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ml.chartshapes+xml"/>
  <Override PartName="/xl/charts/chart4.xml" ContentType="application/vnd.openxmlformats-officedocument.drawingml.chart+xml"/>
  <Override PartName="/xl/drawings/drawing4.xml" ContentType="application/vnd.openxmlformats-officedocument.drawingml.chartshapes+xml"/>
  <Override PartName="/xl/charts/chart5.xml" ContentType="application/vnd.openxmlformats-officedocument.drawingml.chart+xml"/>
  <Override PartName="/xl/drawings/drawing5.xml" ContentType="application/vnd.openxmlformats-officedocument.drawingml.chartshapes+xml"/>
  <Override PartName="/xl/charts/chart6.xml" ContentType="application/vnd.openxmlformats-officedocument.drawingml.chart+xml"/>
  <Override PartName="/xl/drawings/drawing6.xml" ContentType="application/vnd.openxmlformats-officedocument.drawingml.chartshapes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1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1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1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1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ssignments excel\"/>
    </mc:Choice>
  </mc:AlternateContent>
  <bookViews>
    <workbookView xWindow="0" yWindow="0" windowWidth="20490" windowHeight="7500" activeTab="1"/>
  </bookViews>
  <sheets>
    <sheet name="Sales report" sheetId="1" r:id="rId1"/>
    <sheet name="Online Sales Tracker" sheetId="5" r:id="rId2"/>
  </sheets>
  <externalReferences>
    <externalReference r:id="rId3"/>
  </externalReferenc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8" i="5" l="1"/>
  <c r="H12" i="5"/>
  <c r="H11" i="5"/>
  <c r="H10" i="5"/>
  <c r="H9" i="5"/>
  <c r="H8" i="5"/>
  <c r="H7" i="5"/>
  <c r="E7" i="5"/>
  <c r="C7" i="5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8" i="1"/>
  <c r="C15" i="5" l="1"/>
  <c r="G19" i="5"/>
  <c r="E19" i="5"/>
  <c r="C19" i="5"/>
  <c r="E17" i="5"/>
  <c r="F15" i="5"/>
  <c r="G8" i="5"/>
  <c r="G9" i="5"/>
  <c r="F10" i="5"/>
  <c r="G11" i="5"/>
  <c r="G7" i="5"/>
  <c r="F9" i="5" l="1"/>
  <c r="D9" i="5"/>
  <c r="D11" i="5"/>
  <c r="F11" i="5"/>
  <c r="C8" i="5"/>
  <c r="C10" i="5"/>
  <c r="D7" i="5"/>
  <c r="E8" i="5"/>
  <c r="F7" i="5"/>
  <c r="F8" i="5"/>
  <c r="E10" i="5"/>
  <c r="G10" i="5"/>
  <c r="C9" i="5"/>
  <c r="C11" i="5"/>
  <c r="D8" i="5"/>
  <c r="D10" i="5"/>
  <c r="E9" i="5"/>
  <c r="E11" i="5"/>
  <c r="C12" i="5" l="1"/>
  <c r="E12" i="5"/>
  <c r="G12" i="5"/>
  <c r="D12" i="5"/>
  <c r="F12" i="5"/>
  <c r="C35" i="1" l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D18" i="5"/>
  <c r="G15" i="5"/>
  <c r="G16" i="5"/>
  <c r="D16" i="5"/>
  <c r="F17" i="5"/>
  <c r="F16" i="5"/>
  <c r="G17" i="5"/>
  <c r="C16" i="5"/>
  <c r="D17" i="5"/>
  <c r="E18" i="5"/>
  <c r="F19" i="5" l="1"/>
  <c r="C18" i="5"/>
  <c r="F18" i="5"/>
  <c r="D19" i="5"/>
  <c r="H19" i="5" s="1"/>
  <c r="C17" i="5"/>
  <c r="H17" i="5" s="1"/>
  <c r="E16" i="5"/>
  <c r="H16" i="5" s="1"/>
  <c r="D15" i="5"/>
  <c r="H18" i="5" l="1"/>
  <c r="E15" i="5"/>
  <c r="H15" i="5" s="1"/>
</calcChain>
</file>

<file path=xl/sharedStrings.xml><?xml version="1.0" encoding="utf-8"?>
<sst xmlns="http://schemas.openxmlformats.org/spreadsheetml/2006/main" count="98" uniqueCount="30">
  <si>
    <t>Product</t>
  </si>
  <si>
    <t>A</t>
  </si>
  <si>
    <t>B</t>
  </si>
  <si>
    <t>C</t>
  </si>
  <si>
    <t>D</t>
  </si>
  <si>
    <t>E</t>
  </si>
  <si>
    <t>Profit</t>
  </si>
  <si>
    <t>Margin</t>
  </si>
  <si>
    <t>Net income</t>
  </si>
  <si>
    <t>Website</t>
  </si>
  <si>
    <t>Amazon</t>
  </si>
  <si>
    <t>Flipkart</t>
  </si>
  <si>
    <t>Shopclues</t>
  </si>
  <si>
    <t>Date</t>
  </si>
  <si>
    <t>Volume</t>
  </si>
  <si>
    <t>Revenue</t>
  </si>
  <si>
    <t>Big basket</t>
  </si>
  <si>
    <t>Day</t>
  </si>
  <si>
    <t>TOTAL</t>
  </si>
  <si>
    <t>Big Basket</t>
  </si>
  <si>
    <t>Cost Price</t>
  </si>
  <si>
    <t>Quantity</t>
  </si>
  <si>
    <t>Sales channel</t>
  </si>
  <si>
    <t>Sales Summary</t>
  </si>
  <si>
    <t>Online Sales Tracker</t>
  </si>
  <si>
    <t>Volume Breakup</t>
  </si>
  <si>
    <t>Product-wise Profit Breakup</t>
  </si>
  <si>
    <t>Monthly Sales Report</t>
  </si>
  <si>
    <t>Sell Price</t>
  </si>
  <si>
    <t>TIPS:--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</si>
</sst>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 &quot;₹&quot;\ * #,##0.00_ ;_ &quot;₹&quot;\ * \-#,##0.00_ ;_ &quot;₹&quot;\ * &quot;-&quot;??_ ;_ @_ "/>
    <numFmt numFmtId="164" formatCode="_-[$$-409]* #,##0.00_ ;_-[$$-409]* \-#,##0.00\ ;_-[$$-409]* &quot;-&quot;??_ ;_-@_ 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u/>
      <sz val="25"/>
      <color rgb="FFFFFF00"/>
      <name val="Lucida Calligraphy"/>
      <family val="4"/>
    </font>
    <font>
      <b/>
      <sz val="25"/>
      <color theme="0"/>
      <name val="Lucida Calligraphy"/>
      <family val="4"/>
    </font>
    <font>
      <b/>
      <sz val="25"/>
      <color theme="0"/>
      <name val="Times New Roman"/>
      <family val="1"/>
    </font>
    <font>
      <b/>
      <sz val="14"/>
      <color theme="0"/>
      <name val="Times New Roman"/>
      <family val="1"/>
    </font>
    <font>
      <b/>
      <sz val="10"/>
      <color theme="0"/>
      <name val="Times New Roman"/>
      <family val="1"/>
    </font>
    <font>
      <sz val="10"/>
      <color theme="0"/>
      <name val="Times New Roman"/>
      <family val="1"/>
    </font>
    <font>
      <sz val="10"/>
      <name val="Times New Roman"/>
      <family val="1"/>
    </font>
    <font>
      <sz val="11"/>
      <color theme="1"/>
      <name val="Times New Roman"/>
      <family val="1"/>
    </font>
    <font>
      <sz val="11"/>
      <color theme="0"/>
      <name val="Times New Roman"/>
      <family val="1"/>
    </font>
    <font>
      <b/>
      <u/>
      <sz val="35"/>
      <color rgb="FFFFFF00"/>
      <name val="Lucida Calligraphy"/>
      <family val="4"/>
    </font>
    <font>
      <b/>
      <sz val="20"/>
      <color theme="0"/>
      <name val="Times New Roman"/>
      <family val="1"/>
    </font>
    <font>
      <b/>
      <sz val="15"/>
      <color theme="0"/>
      <name val="Times New Roman"/>
      <family val="1"/>
    </font>
    <font>
      <b/>
      <sz val="1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3333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499984740745262"/>
        <bgColor indexed="64"/>
      </patternFill>
    </fill>
  </fills>
  <borders count="13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</cellStyleXfs>
  <cellXfs count="47">
    <xf numFmtId="0" fontId="0" fillId="0" borderId="0" xfId="0"/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14" fontId="10" fillId="0" borderId="0" xfId="0" applyNumberFormat="1" applyFont="1" applyAlignment="1">
      <alignment horizontal="center" vertical="center"/>
    </xf>
    <xf numFmtId="0" fontId="10" fillId="0" borderId="0" xfId="0" applyNumberFormat="1" applyFont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7" fillId="7" borderId="0" xfId="0" applyFont="1" applyFill="1" applyBorder="1" applyAlignment="1">
      <alignment horizontal="center" vertical="center"/>
    </xf>
    <xf numFmtId="0" fontId="8" fillId="7" borderId="0" xfId="0" applyFont="1" applyFill="1" applyBorder="1" applyAlignment="1">
      <alignment horizontal="center" vertical="center"/>
    </xf>
    <xf numFmtId="0" fontId="9" fillId="7" borderId="0" xfId="0" applyFont="1" applyFill="1" applyBorder="1" applyAlignment="1">
      <alignment horizontal="center" vertical="center"/>
    </xf>
    <xf numFmtId="0" fontId="10" fillId="7" borderId="5" xfId="0" applyFont="1" applyFill="1" applyBorder="1" applyAlignment="1">
      <alignment horizontal="center" vertical="center"/>
    </xf>
    <xf numFmtId="0" fontId="10" fillId="7" borderId="6" xfId="0" applyFont="1" applyFill="1" applyBorder="1" applyAlignment="1">
      <alignment horizontal="center" vertical="center"/>
    </xf>
    <xf numFmtId="0" fontId="10" fillId="7" borderId="7" xfId="0" applyFont="1" applyFill="1" applyBorder="1" applyAlignment="1">
      <alignment horizontal="center" vertical="center"/>
    </xf>
    <xf numFmtId="0" fontId="10" fillId="7" borderId="8" xfId="0" applyFont="1" applyFill="1" applyBorder="1" applyAlignment="1">
      <alignment horizontal="center" vertical="center"/>
    </xf>
    <xf numFmtId="0" fontId="10" fillId="7" borderId="0" xfId="0" applyFont="1" applyFill="1" applyBorder="1" applyAlignment="1">
      <alignment horizontal="center" vertical="center"/>
    </xf>
    <xf numFmtId="0" fontId="10" fillId="7" borderId="9" xfId="0" applyFont="1" applyFill="1" applyBorder="1" applyAlignment="1">
      <alignment horizontal="center" vertical="center"/>
    </xf>
    <xf numFmtId="0" fontId="10" fillId="7" borderId="10" xfId="0" applyFont="1" applyFill="1" applyBorder="1" applyAlignment="1">
      <alignment horizontal="center" vertical="center"/>
    </xf>
    <xf numFmtId="0" fontId="10" fillId="7" borderId="11" xfId="0" applyFont="1" applyFill="1" applyBorder="1" applyAlignment="1">
      <alignment horizontal="center" vertical="center"/>
    </xf>
    <xf numFmtId="0" fontId="10" fillId="7" borderId="12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14" fontId="10" fillId="6" borderId="1" xfId="0" applyNumberFormat="1" applyFont="1" applyFill="1" applyBorder="1" applyAlignment="1">
      <alignment horizontal="center" vertical="center"/>
    </xf>
    <xf numFmtId="14" fontId="11" fillId="3" borderId="1" xfId="0" applyNumberFormat="1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164" fontId="11" fillId="3" borderId="1" xfId="2" applyNumberFormat="1" applyFont="1" applyFill="1" applyBorder="1" applyAlignment="1">
      <alignment horizontal="center" vertical="center"/>
    </xf>
    <xf numFmtId="9" fontId="11" fillId="3" borderId="1" xfId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2" fillId="3" borderId="1" xfId="3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3" borderId="1" xfId="3" applyFont="1" applyFill="1" applyBorder="1" applyAlignment="1" applyProtection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</cellXfs>
  <cellStyles count="4">
    <cellStyle name="Currency" xfId="2" builtinId="4"/>
    <cellStyle name="Hyperlink" xfId="3" builtinId="8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333300"/>
      <color rgb="FFDCEEF2"/>
      <color rgb="FFFFCC99"/>
      <color rgb="FFFF7C80"/>
      <color rgb="FFFF9999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Volume Against Each Sales Channel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7455866973192918E-2"/>
          <c:y val="0.32046116530245944"/>
          <c:w val="0.21180315789932277"/>
          <c:h val="6.0929773093758917E-2"/>
        </c:manualLayout>
      </c:layout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173609344"/>
        <c:axId val="173610880"/>
      </c:barChart>
      <c:catAx>
        <c:axId val="17360934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610880"/>
        <c:crosses val="autoZero"/>
        <c:auto val="1"/>
        <c:lblAlgn val="ctr"/>
        <c:lblOffset val="100"/>
        <c:noMultiLvlLbl val="0"/>
      </c:catAx>
      <c:valAx>
        <c:axId val="1736108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609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solidFill>
                  <a:schemeClr val="bg1"/>
                </a:solidFill>
                <a:latin typeface="+mj-lt"/>
                <a:ea typeface="Tahoma" pitchFamily="34" charset="0"/>
                <a:cs typeface="Tahoma" pitchFamily="34" charset="0"/>
              </a:defRPr>
            </a:pPr>
            <a:r>
              <a:rPr lang="en-US" sz="1400">
                <a:latin typeface="+mn-lt"/>
              </a:rPr>
              <a:t>Website</a:t>
            </a:r>
          </a:p>
        </c:rich>
      </c:tx>
      <c:layout>
        <c:manualLayout>
          <c:xMode val="edge"/>
          <c:yMode val="edge"/>
          <c:x val="0.70483118469708583"/>
          <c:y val="5.120699318180901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2.9513361125501951E-2"/>
          <c:y val="2.6200911511359014E-2"/>
          <c:w val="0.62895789833736993"/>
          <c:h val="0.8884540998522914"/>
        </c:manualLayout>
      </c:layout>
      <c:pie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layout>
        <c:manualLayout>
          <c:xMode val="edge"/>
          <c:yMode val="edge"/>
          <c:x val="0.81486143639175757"/>
          <c:y val="0.27226731394456488"/>
          <c:w val="0.14284613309699107"/>
          <c:h val="0.64689350961441672"/>
        </c:manualLayout>
      </c:layout>
      <c:overlay val="0"/>
      <c:spPr>
        <a:ln w="19050"/>
      </c:spPr>
      <c:txPr>
        <a:bodyPr/>
        <a:lstStyle/>
        <a:p>
          <a:pPr>
            <a:defRPr>
              <a:solidFill>
                <a:schemeClr val="bg1"/>
              </a:solidFill>
              <a:latin typeface="Tahoma" pitchFamily="34" charset="0"/>
              <a:ea typeface="Tahoma" pitchFamily="34" charset="0"/>
              <a:cs typeface="Tahoma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4472C4">
        <a:lumMod val="50000"/>
      </a:srgbClr>
    </a:solidFill>
    <a:ln w="19050">
      <a:solidFill>
        <a:sysClr val="window" lastClr="FFFFFF"/>
      </a:solidFill>
    </a:ln>
  </c:sp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solidFill>
                  <a:schemeClr val="bg1"/>
                </a:solidFill>
                <a:latin typeface="+mj-lt"/>
                <a:ea typeface="Tahoma" pitchFamily="34" charset="0"/>
                <a:cs typeface="Tahoma" pitchFamily="34" charset="0"/>
              </a:defRPr>
            </a:pPr>
            <a:r>
              <a:rPr lang="en-US" sz="1400">
                <a:latin typeface="+mn-lt"/>
              </a:rPr>
              <a:t>Amazon</a:t>
            </a:r>
          </a:p>
        </c:rich>
      </c:tx>
      <c:layout>
        <c:manualLayout>
          <c:xMode val="edge"/>
          <c:yMode val="edge"/>
          <c:x val="0.70483118469708583"/>
          <c:y val="5.120699318180901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2.9513361125501951E-2"/>
          <c:y val="2.6200911511358997E-2"/>
          <c:w val="0.62895789833736993"/>
          <c:h val="0.88845409985229185"/>
        </c:manualLayout>
      </c:layout>
      <c:pie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layout>
        <c:manualLayout>
          <c:xMode val="edge"/>
          <c:yMode val="edge"/>
          <c:x val="0.81486143639175734"/>
          <c:y val="0.27226731394456488"/>
          <c:w val="0.14284613309699096"/>
          <c:h val="0.64689350961441638"/>
        </c:manualLayout>
      </c:layout>
      <c:overlay val="0"/>
      <c:spPr>
        <a:ln w="19050"/>
      </c:spPr>
      <c:txPr>
        <a:bodyPr/>
        <a:lstStyle/>
        <a:p>
          <a:pPr>
            <a:defRPr>
              <a:solidFill>
                <a:schemeClr val="bg1"/>
              </a:solidFill>
              <a:latin typeface="Tahoma" pitchFamily="34" charset="0"/>
              <a:ea typeface="Tahoma" pitchFamily="34" charset="0"/>
              <a:cs typeface="Tahoma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4472C4">
        <a:lumMod val="50000"/>
      </a:srgbClr>
    </a:solidFill>
    <a:ln w="19050">
      <a:solidFill>
        <a:sysClr val="window" lastClr="FFFFFF"/>
      </a:solidFill>
    </a:ln>
  </c:spPr>
  <c:printSettings>
    <c:headerFooter/>
    <c:pageMargins b="0.75000000000000189" l="0.70000000000000062" r="0.70000000000000062" t="0.75000000000000189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solidFill>
                  <a:schemeClr val="bg1"/>
                </a:solidFill>
                <a:latin typeface="+mj-lt"/>
                <a:ea typeface="Tahoma" pitchFamily="34" charset="0"/>
                <a:cs typeface="Tahoma" pitchFamily="34" charset="0"/>
              </a:defRPr>
            </a:pPr>
            <a:r>
              <a:rPr lang="en-US" sz="1400">
                <a:latin typeface="+mn-lt"/>
              </a:rPr>
              <a:t>Big basket</a:t>
            </a:r>
          </a:p>
        </c:rich>
      </c:tx>
      <c:layout>
        <c:manualLayout>
          <c:xMode val="edge"/>
          <c:yMode val="edge"/>
          <c:x val="0.70483118469708583"/>
          <c:y val="5.120699318180901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2.9513361125501951E-2"/>
          <c:y val="2.6200911511359014E-2"/>
          <c:w val="0.62895789833736993"/>
          <c:h val="0.8884540998522914"/>
        </c:manualLayout>
      </c:layout>
      <c:pie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layout>
        <c:manualLayout>
          <c:xMode val="edge"/>
          <c:yMode val="edge"/>
          <c:x val="0.81486143639175757"/>
          <c:y val="0.27226731394456488"/>
          <c:w val="0.14284613309699107"/>
          <c:h val="0.64689350961441672"/>
        </c:manualLayout>
      </c:layout>
      <c:overlay val="0"/>
      <c:spPr>
        <a:ln w="19050"/>
      </c:spPr>
      <c:txPr>
        <a:bodyPr/>
        <a:lstStyle/>
        <a:p>
          <a:pPr>
            <a:defRPr>
              <a:solidFill>
                <a:schemeClr val="bg1"/>
              </a:solidFill>
              <a:latin typeface="Tahoma" pitchFamily="34" charset="0"/>
              <a:ea typeface="Tahoma" pitchFamily="34" charset="0"/>
              <a:cs typeface="Tahoma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4472C4">
        <a:lumMod val="50000"/>
      </a:srgbClr>
    </a:solidFill>
    <a:ln w="19050">
      <a:solidFill>
        <a:sysClr val="window" lastClr="FFFFFF"/>
      </a:solidFill>
    </a:ln>
  </c:spPr>
  <c:printSettings>
    <c:headerFooter/>
    <c:pageMargins b="0.75000000000000211" l="0.70000000000000062" r="0.70000000000000062" t="0.75000000000000211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solidFill>
                  <a:schemeClr val="bg1"/>
                </a:solidFill>
                <a:latin typeface="+mj-lt"/>
                <a:ea typeface="Tahoma" pitchFamily="34" charset="0"/>
                <a:cs typeface="Tahoma" pitchFamily="34" charset="0"/>
              </a:defRPr>
            </a:pPr>
            <a:r>
              <a:rPr lang="en-US" sz="1400">
                <a:latin typeface="+mn-lt"/>
              </a:rPr>
              <a:t>Flipkart</a:t>
            </a:r>
          </a:p>
        </c:rich>
      </c:tx>
      <c:layout>
        <c:manualLayout>
          <c:xMode val="edge"/>
          <c:yMode val="edge"/>
          <c:x val="0.70483118469708583"/>
          <c:y val="5.120699318180901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2.9513361125501951E-2"/>
          <c:y val="2.6200911511359014E-2"/>
          <c:w val="0.62895789833736993"/>
          <c:h val="0.8884540998522914"/>
        </c:manualLayout>
      </c:layout>
      <c:pie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layout>
        <c:manualLayout>
          <c:xMode val="edge"/>
          <c:yMode val="edge"/>
          <c:x val="0.81486143639175757"/>
          <c:y val="0.27226731394456488"/>
          <c:w val="0.14284613309699107"/>
          <c:h val="0.64689350961441672"/>
        </c:manualLayout>
      </c:layout>
      <c:overlay val="0"/>
      <c:spPr>
        <a:ln w="19050"/>
      </c:spPr>
      <c:txPr>
        <a:bodyPr/>
        <a:lstStyle/>
        <a:p>
          <a:pPr>
            <a:defRPr>
              <a:solidFill>
                <a:schemeClr val="bg1"/>
              </a:solidFill>
              <a:latin typeface="Tahoma" pitchFamily="34" charset="0"/>
              <a:ea typeface="Tahoma" pitchFamily="34" charset="0"/>
              <a:cs typeface="Tahoma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4472C4">
        <a:lumMod val="50000"/>
      </a:srgbClr>
    </a:solidFill>
    <a:ln w="19050">
      <a:solidFill>
        <a:sysClr val="window" lastClr="FFFFFF"/>
      </a:solidFill>
    </a:ln>
  </c:spPr>
  <c:printSettings>
    <c:headerFooter/>
    <c:pageMargins b="0.75000000000000211" l="0.70000000000000062" r="0.70000000000000062" t="0.75000000000000211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solidFill>
                  <a:schemeClr val="bg1"/>
                </a:solidFill>
                <a:latin typeface="+mj-lt"/>
                <a:ea typeface="Tahoma" pitchFamily="34" charset="0"/>
                <a:cs typeface="Tahoma" pitchFamily="34" charset="0"/>
              </a:defRPr>
            </a:pPr>
            <a:r>
              <a:rPr lang="en-US" sz="1400">
                <a:latin typeface="+mn-lt"/>
              </a:rPr>
              <a:t>Shopclues</a:t>
            </a:r>
          </a:p>
        </c:rich>
      </c:tx>
      <c:layout>
        <c:manualLayout>
          <c:xMode val="edge"/>
          <c:yMode val="edge"/>
          <c:x val="0.70483118469708583"/>
          <c:y val="5.120699318180901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2.9513361125501951E-2"/>
          <c:y val="2.6200911511359014E-2"/>
          <c:w val="0.62895789833736993"/>
          <c:h val="0.8884540998522914"/>
        </c:manualLayout>
      </c:layout>
      <c:pie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layout>
        <c:manualLayout>
          <c:xMode val="edge"/>
          <c:yMode val="edge"/>
          <c:x val="0.81486143639175757"/>
          <c:y val="0.27226731394456488"/>
          <c:w val="0.14284613309699107"/>
          <c:h val="0.64689350961441672"/>
        </c:manualLayout>
      </c:layout>
      <c:overlay val="0"/>
      <c:spPr>
        <a:ln w="19050"/>
      </c:spPr>
      <c:txPr>
        <a:bodyPr/>
        <a:lstStyle/>
        <a:p>
          <a:pPr>
            <a:defRPr>
              <a:solidFill>
                <a:schemeClr val="bg1"/>
              </a:solidFill>
              <a:latin typeface="Tahoma" pitchFamily="34" charset="0"/>
              <a:ea typeface="Tahoma" pitchFamily="34" charset="0"/>
              <a:cs typeface="Tahoma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4472C4">
        <a:lumMod val="50000"/>
      </a:srgbClr>
    </a:solidFill>
    <a:ln w="19050">
      <a:solidFill>
        <a:sysClr val="window" lastClr="FFFFFF"/>
      </a:solidFill>
    </a:ln>
  </c:spPr>
  <c:printSettings>
    <c:headerFooter/>
    <c:pageMargins b="0.75000000000000211" l="0.70000000000000062" r="0.70000000000000062" t="0.75000000000000211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aseline="0">
                <a:solidFill>
                  <a:schemeClr val="bg1"/>
                </a:solidFill>
              </a:defRPr>
            </a:pPr>
            <a:r>
              <a:rPr lang="en-US" baseline="0">
                <a:solidFill>
                  <a:schemeClr val="bg1"/>
                </a:solidFill>
              </a:rPr>
              <a:t>Profit 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6.6351044469962608E-2"/>
          <c:y val="0.1717101186095483"/>
          <c:w val="0.84258220951737239"/>
          <c:h val="0.6828883889513804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'Online Sales Tracker'!$B$15</c:f>
              <c:strCache>
                <c:ptCount val="1"/>
                <c:pt idx="0">
                  <c:v>A</c:v>
                </c:pt>
              </c:strCache>
            </c:strRef>
          </c:tx>
          <c:invertIfNegative val="0"/>
          <c:cat>
            <c:strRef>
              <c:f>'Online Sales Tracker'!$C$14:$G$14</c:f>
              <c:strCache>
                <c:ptCount val="5"/>
                <c:pt idx="0">
                  <c:v>Website</c:v>
                </c:pt>
                <c:pt idx="1">
                  <c:v>Amazon</c:v>
                </c:pt>
                <c:pt idx="2">
                  <c:v>Big Basket</c:v>
                </c:pt>
                <c:pt idx="3">
                  <c:v>Flipkart</c:v>
                </c:pt>
                <c:pt idx="4">
                  <c:v>Shopclues</c:v>
                </c:pt>
              </c:strCache>
            </c:strRef>
          </c:cat>
          <c:val>
            <c:numRef>
              <c:f>'Online Sales Tracker'!$C$15:$G$15</c:f>
              <c:numCache>
                <c:formatCode>General</c:formatCode>
                <c:ptCount val="5"/>
                <c:pt idx="0">
                  <c:v>50</c:v>
                </c:pt>
                <c:pt idx="1">
                  <c:v>125</c:v>
                </c:pt>
                <c:pt idx="2">
                  <c:v>200</c:v>
                </c:pt>
                <c:pt idx="3">
                  <c:v>0</c:v>
                </c:pt>
                <c:pt idx="4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56-4D38-A322-FB25026EF5E4}"/>
            </c:ext>
          </c:extLst>
        </c:ser>
        <c:ser>
          <c:idx val="1"/>
          <c:order val="1"/>
          <c:tx>
            <c:strRef>
              <c:f>'Online Sales Tracker'!$B$16</c:f>
              <c:strCache>
                <c:ptCount val="1"/>
                <c:pt idx="0">
                  <c:v>B</c:v>
                </c:pt>
              </c:strCache>
            </c:strRef>
          </c:tx>
          <c:invertIfNegative val="0"/>
          <c:cat>
            <c:strRef>
              <c:f>'Online Sales Tracker'!$C$14:$G$14</c:f>
              <c:strCache>
                <c:ptCount val="5"/>
                <c:pt idx="0">
                  <c:v>Website</c:v>
                </c:pt>
                <c:pt idx="1">
                  <c:v>Amazon</c:v>
                </c:pt>
                <c:pt idx="2">
                  <c:v>Big Basket</c:v>
                </c:pt>
                <c:pt idx="3">
                  <c:v>Flipkart</c:v>
                </c:pt>
                <c:pt idx="4">
                  <c:v>Shopclues</c:v>
                </c:pt>
              </c:strCache>
            </c:strRef>
          </c:cat>
          <c:val>
            <c:numRef>
              <c:f>'Online Sales Tracker'!$C$16:$G$16</c:f>
              <c:numCache>
                <c:formatCode>General</c:formatCode>
                <c:ptCount val="5"/>
                <c:pt idx="0">
                  <c:v>100</c:v>
                </c:pt>
                <c:pt idx="1">
                  <c:v>300</c:v>
                </c:pt>
                <c:pt idx="2">
                  <c:v>575</c:v>
                </c:pt>
                <c:pt idx="3">
                  <c:v>250</c:v>
                </c:pt>
                <c:pt idx="4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56-4D38-A322-FB25026EF5E4}"/>
            </c:ext>
          </c:extLst>
        </c:ser>
        <c:ser>
          <c:idx val="2"/>
          <c:order val="2"/>
          <c:tx>
            <c:strRef>
              <c:f>'Online Sales Tracker'!$B$17</c:f>
              <c:strCache>
                <c:ptCount val="1"/>
                <c:pt idx="0">
                  <c:v>C</c:v>
                </c:pt>
              </c:strCache>
            </c:strRef>
          </c:tx>
          <c:invertIfNegative val="0"/>
          <c:cat>
            <c:strRef>
              <c:f>'Online Sales Tracker'!$C$14:$G$14</c:f>
              <c:strCache>
                <c:ptCount val="5"/>
                <c:pt idx="0">
                  <c:v>Website</c:v>
                </c:pt>
                <c:pt idx="1">
                  <c:v>Amazon</c:v>
                </c:pt>
                <c:pt idx="2">
                  <c:v>Big Basket</c:v>
                </c:pt>
                <c:pt idx="3">
                  <c:v>Flipkart</c:v>
                </c:pt>
                <c:pt idx="4">
                  <c:v>Shopclues</c:v>
                </c:pt>
              </c:strCache>
            </c:strRef>
          </c:cat>
          <c:val>
            <c:numRef>
              <c:f>'Online Sales Tracker'!$C$17:$G$17</c:f>
              <c:numCache>
                <c:formatCode>General</c:formatCode>
                <c:ptCount val="5"/>
                <c:pt idx="0">
                  <c:v>640</c:v>
                </c:pt>
                <c:pt idx="1">
                  <c:v>320</c:v>
                </c:pt>
                <c:pt idx="2">
                  <c:v>0</c:v>
                </c:pt>
                <c:pt idx="3">
                  <c:v>320</c:v>
                </c:pt>
                <c:pt idx="4">
                  <c:v>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A56-4D38-A322-FB25026EF5E4}"/>
            </c:ext>
          </c:extLst>
        </c:ser>
        <c:ser>
          <c:idx val="3"/>
          <c:order val="3"/>
          <c:tx>
            <c:strRef>
              <c:f>'Online Sales Tracker'!$B$18</c:f>
              <c:strCache>
                <c:ptCount val="1"/>
                <c:pt idx="0">
                  <c:v>D</c:v>
                </c:pt>
              </c:strCache>
            </c:strRef>
          </c:tx>
          <c:invertIfNegative val="0"/>
          <c:cat>
            <c:strRef>
              <c:f>'Online Sales Tracker'!$C$14:$G$14</c:f>
              <c:strCache>
                <c:ptCount val="5"/>
                <c:pt idx="0">
                  <c:v>Website</c:v>
                </c:pt>
                <c:pt idx="1">
                  <c:v>Amazon</c:v>
                </c:pt>
                <c:pt idx="2">
                  <c:v>Big Basket</c:v>
                </c:pt>
                <c:pt idx="3">
                  <c:v>Flipkart</c:v>
                </c:pt>
                <c:pt idx="4">
                  <c:v>Shopclues</c:v>
                </c:pt>
              </c:strCache>
            </c:strRef>
          </c:cat>
          <c:val>
            <c:numRef>
              <c:f>'Online Sales Tracker'!$C$18:$G$18</c:f>
              <c:numCache>
                <c:formatCode>General</c:formatCode>
                <c:ptCount val="5"/>
                <c:pt idx="0">
                  <c:v>450</c:v>
                </c:pt>
                <c:pt idx="1">
                  <c:v>200</c:v>
                </c:pt>
                <c:pt idx="2">
                  <c:v>250</c:v>
                </c:pt>
                <c:pt idx="3">
                  <c:v>700</c:v>
                </c:pt>
                <c:pt idx="4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A56-4D38-A322-FB25026EF5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7589632"/>
        <c:axId val="177144960"/>
      </c:barChart>
      <c:catAx>
        <c:axId val="17758963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baseline="0">
                <a:solidFill>
                  <a:schemeClr val="bg1"/>
                </a:solidFill>
              </a:defRPr>
            </a:pPr>
            <a:endParaRPr lang="en-US"/>
          </a:p>
        </c:txPr>
        <c:crossAx val="177144960"/>
        <c:crosses val="autoZero"/>
        <c:auto val="1"/>
        <c:lblAlgn val="ctr"/>
        <c:lblOffset val="100"/>
        <c:noMultiLvlLbl val="0"/>
      </c:catAx>
      <c:valAx>
        <c:axId val="1771449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baseline="0">
                <a:solidFill>
                  <a:schemeClr val="bg1"/>
                </a:solidFill>
              </a:defRPr>
            </a:pPr>
            <a:endParaRPr lang="en-US"/>
          </a:p>
        </c:txPr>
        <c:crossAx val="177589632"/>
        <c:crosses val="autoZero"/>
        <c:crossBetween val="between"/>
      </c:valAx>
      <c:spPr>
        <a:solidFill>
          <a:schemeClr val="bg1">
            <a:lumMod val="85000"/>
          </a:schemeClr>
        </a:solidFill>
      </c:spPr>
    </c:plotArea>
    <c:legend>
      <c:legendPos val="r"/>
      <c:layout/>
      <c:overlay val="0"/>
      <c:txPr>
        <a:bodyPr/>
        <a:lstStyle/>
        <a:p>
          <a:pPr>
            <a:defRPr>
              <a:solidFill>
                <a:schemeClr val="bg1"/>
              </a:solidFill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5">
        <a:lumMod val="50000"/>
      </a:schemeClr>
    </a:solidFill>
    <a:ln>
      <a:solidFill>
        <a:schemeClr val="bg1"/>
      </a:solidFill>
    </a:ln>
  </c:sp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solidFill>
                  <a:schemeClr val="bg1"/>
                </a:solidFill>
                <a:latin typeface="+mj-lt"/>
                <a:ea typeface="Tahoma" pitchFamily="34" charset="0"/>
                <a:cs typeface="Tahoma" pitchFamily="34" charset="0"/>
              </a:defRPr>
            </a:pPr>
            <a:r>
              <a:rPr lang="en-US" sz="1400">
                <a:latin typeface="+mn-lt"/>
              </a:rPr>
              <a:t>Big Basket</a:t>
            </a:r>
          </a:p>
        </c:rich>
      </c:tx>
      <c:layout>
        <c:manualLayout>
          <c:xMode val="edge"/>
          <c:yMode val="edge"/>
          <c:x val="0.70483118469708583"/>
          <c:y val="5.120699318180901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2.9513361125501951E-2"/>
          <c:y val="2.6200911511359014E-2"/>
          <c:w val="0.62895789833736993"/>
          <c:h val="0.8884540998522914"/>
        </c:manualLayout>
      </c:layout>
      <c:pieChart>
        <c:varyColors val="1"/>
        <c:ser>
          <c:idx val="0"/>
          <c:order val="0"/>
          <c:tx>
            <c:strRef>
              <c:f>'Online Sales Tracker'!$E$14</c:f>
              <c:strCache>
                <c:ptCount val="1"/>
                <c:pt idx="0">
                  <c:v>Big Basket</c:v>
                </c:pt>
              </c:strCache>
            </c:strRef>
          </c:tx>
          <c:cat>
            <c:strRef>
              <c:f>'Online Sales Tracker'!$B$15:$B$19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'Online Sales Tracker'!$E$15:$E$19</c:f>
              <c:numCache>
                <c:formatCode>General</c:formatCode>
                <c:ptCount val="5"/>
                <c:pt idx="0">
                  <c:v>200</c:v>
                </c:pt>
                <c:pt idx="1">
                  <c:v>575</c:v>
                </c:pt>
                <c:pt idx="2">
                  <c:v>0</c:v>
                </c:pt>
                <c:pt idx="3">
                  <c:v>250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5E-4192-B896-6755B23FB1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layout>
        <c:manualLayout>
          <c:xMode val="edge"/>
          <c:yMode val="edge"/>
          <c:x val="0.81486143639175757"/>
          <c:y val="0.27226731394456488"/>
          <c:w val="0.14284613309699107"/>
          <c:h val="0.64689350961441672"/>
        </c:manualLayout>
      </c:layout>
      <c:overlay val="0"/>
      <c:spPr>
        <a:ln w="19050"/>
      </c:spPr>
      <c:txPr>
        <a:bodyPr/>
        <a:lstStyle/>
        <a:p>
          <a:pPr>
            <a:defRPr>
              <a:solidFill>
                <a:schemeClr val="bg1"/>
              </a:solidFill>
              <a:latin typeface="Tahoma" pitchFamily="34" charset="0"/>
              <a:ea typeface="Tahoma" pitchFamily="34" charset="0"/>
              <a:cs typeface="Tahoma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4472C4">
        <a:lumMod val="50000"/>
      </a:srgbClr>
    </a:solidFill>
    <a:ln w="19050">
      <a:solidFill>
        <a:sysClr val="window" lastClr="FFFFFF"/>
      </a:solidFill>
    </a:ln>
  </c:sp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solidFill>
                  <a:schemeClr val="bg1"/>
                </a:solidFill>
                <a:latin typeface="+mj-lt"/>
                <a:ea typeface="Tahoma" pitchFamily="34" charset="0"/>
                <a:cs typeface="Tahoma" pitchFamily="34" charset="0"/>
              </a:defRPr>
            </a:pPr>
            <a:r>
              <a:rPr lang="en-US" sz="1400">
                <a:latin typeface="+mn-lt"/>
              </a:rPr>
              <a:t>Website</a:t>
            </a:r>
          </a:p>
        </c:rich>
      </c:tx>
      <c:layout>
        <c:manualLayout>
          <c:xMode val="edge"/>
          <c:yMode val="edge"/>
          <c:x val="0.70483118469708583"/>
          <c:y val="5.120699318180901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2.9513361125501951E-2"/>
          <c:y val="2.6200911511359014E-2"/>
          <c:w val="0.62895789833736993"/>
          <c:h val="0.8884540998522914"/>
        </c:manualLayout>
      </c:layout>
      <c:pieChart>
        <c:varyColors val="1"/>
        <c:ser>
          <c:idx val="0"/>
          <c:order val="0"/>
          <c:tx>
            <c:strRef>
              <c:f>'Online Sales Tracker'!$C$14</c:f>
              <c:strCache>
                <c:ptCount val="1"/>
                <c:pt idx="0">
                  <c:v>Website</c:v>
                </c:pt>
              </c:strCache>
            </c:strRef>
          </c:tx>
          <c:cat>
            <c:strRef>
              <c:f>'Online Sales Tracker'!$B$15:$B$18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'Online Sales Tracker'!$C$15:$C$18</c:f>
              <c:numCache>
                <c:formatCode>General</c:formatCode>
                <c:ptCount val="4"/>
                <c:pt idx="0">
                  <c:v>50</c:v>
                </c:pt>
                <c:pt idx="1">
                  <c:v>100</c:v>
                </c:pt>
                <c:pt idx="2">
                  <c:v>640</c:v>
                </c:pt>
                <c:pt idx="3">
                  <c:v>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2D-4458-BA3C-093E8B0EAC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layout>
        <c:manualLayout>
          <c:xMode val="edge"/>
          <c:yMode val="edge"/>
          <c:x val="0.81486143639175757"/>
          <c:y val="0.27226731394456488"/>
          <c:w val="0.14284613309699107"/>
          <c:h val="0.64689350961441672"/>
        </c:manualLayout>
      </c:layout>
      <c:overlay val="0"/>
      <c:spPr>
        <a:ln w="19050"/>
      </c:spPr>
      <c:txPr>
        <a:bodyPr/>
        <a:lstStyle/>
        <a:p>
          <a:pPr>
            <a:defRPr>
              <a:solidFill>
                <a:schemeClr val="bg1"/>
              </a:solidFill>
              <a:latin typeface="Tahoma" pitchFamily="34" charset="0"/>
              <a:ea typeface="Tahoma" pitchFamily="34" charset="0"/>
              <a:cs typeface="Tahoma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4472C4">
        <a:lumMod val="50000"/>
      </a:srgbClr>
    </a:solidFill>
    <a:ln w="19050">
      <a:solidFill>
        <a:sysClr val="window" lastClr="FFFFFF"/>
      </a:solidFill>
    </a:ln>
  </c:sp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solidFill>
                  <a:schemeClr val="bg1"/>
                </a:solidFill>
                <a:latin typeface="+mj-lt"/>
                <a:ea typeface="Tahoma" pitchFamily="34" charset="0"/>
                <a:cs typeface="Tahoma" pitchFamily="34" charset="0"/>
              </a:defRPr>
            </a:pPr>
            <a:r>
              <a:rPr lang="en-US" sz="1400">
                <a:latin typeface="+mn-lt"/>
              </a:rPr>
              <a:t>Amazon</a:t>
            </a:r>
          </a:p>
        </c:rich>
      </c:tx>
      <c:layout>
        <c:manualLayout>
          <c:xMode val="edge"/>
          <c:yMode val="edge"/>
          <c:x val="0.70483118469708583"/>
          <c:y val="5.120699318180901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2.9513361125501951E-2"/>
          <c:y val="2.6200911511359014E-2"/>
          <c:w val="0.62895789833736993"/>
          <c:h val="0.8884540998522914"/>
        </c:manualLayout>
      </c:layout>
      <c:pieChart>
        <c:varyColors val="1"/>
        <c:ser>
          <c:idx val="0"/>
          <c:order val="0"/>
          <c:tx>
            <c:strRef>
              <c:f>'Online Sales Tracker'!$D$14</c:f>
              <c:strCache>
                <c:ptCount val="1"/>
                <c:pt idx="0">
                  <c:v>Amazon</c:v>
                </c:pt>
              </c:strCache>
            </c:strRef>
          </c:tx>
          <c:cat>
            <c:strRef>
              <c:f>'Online Sales Tracker'!$B$15:$B$19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'Online Sales Tracker'!$D$15:$D$19</c:f>
              <c:numCache>
                <c:formatCode>General</c:formatCode>
                <c:ptCount val="5"/>
                <c:pt idx="0">
                  <c:v>125</c:v>
                </c:pt>
                <c:pt idx="1">
                  <c:v>300</c:v>
                </c:pt>
                <c:pt idx="2">
                  <c:v>320</c:v>
                </c:pt>
                <c:pt idx="3">
                  <c:v>200</c:v>
                </c:pt>
                <c:pt idx="4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C6-4D57-AFF0-CE6995A6A7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layout>
        <c:manualLayout>
          <c:xMode val="edge"/>
          <c:yMode val="edge"/>
          <c:x val="0.81486143639175757"/>
          <c:y val="0.27226731394456488"/>
          <c:w val="0.14284613309699107"/>
          <c:h val="0.64689350961441672"/>
        </c:manualLayout>
      </c:layout>
      <c:overlay val="0"/>
      <c:spPr>
        <a:ln w="19050"/>
      </c:spPr>
      <c:txPr>
        <a:bodyPr/>
        <a:lstStyle/>
        <a:p>
          <a:pPr>
            <a:defRPr>
              <a:solidFill>
                <a:schemeClr val="bg1"/>
              </a:solidFill>
              <a:latin typeface="Tahoma" pitchFamily="34" charset="0"/>
              <a:ea typeface="Tahoma" pitchFamily="34" charset="0"/>
              <a:cs typeface="Tahoma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4472C4">
        <a:lumMod val="50000"/>
      </a:srgbClr>
    </a:solidFill>
    <a:ln w="19050">
      <a:solidFill>
        <a:sysClr val="window" lastClr="FFFFFF"/>
      </a:solidFill>
    </a:ln>
  </c:sp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solidFill>
                  <a:schemeClr val="bg1"/>
                </a:solidFill>
                <a:latin typeface="+mj-lt"/>
                <a:ea typeface="Tahoma" pitchFamily="34" charset="0"/>
                <a:cs typeface="Tahoma" pitchFamily="34" charset="0"/>
              </a:defRPr>
            </a:pPr>
            <a:r>
              <a:rPr lang="en-US" sz="1400">
                <a:latin typeface="+mn-lt"/>
              </a:rPr>
              <a:t>Flipkart</a:t>
            </a:r>
          </a:p>
        </c:rich>
      </c:tx>
      <c:layout>
        <c:manualLayout>
          <c:xMode val="edge"/>
          <c:yMode val="edge"/>
          <c:x val="0.70483118469708583"/>
          <c:y val="5.120699318180901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2.9513361125501951E-2"/>
          <c:y val="2.6200911511359014E-2"/>
          <c:w val="0.62895789833736993"/>
          <c:h val="0.8884540998522914"/>
        </c:manualLayout>
      </c:layout>
      <c:pieChart>
        <c:varyColors val="1"/>
        <c:ser>
          <c:idx val="0"/>
          <c:order val="0"/>
          <c:tx>
            <c:strRef>
              <c:f>'Online Sales Tracker'!$F$14</c:f>
              <c:strCache>
                <c:ptCount val="1"/>
                <c:pt idx="0">
                  <c:v>Flipkart</c:v>
                </c:pt>
              </c:strCache>
            </c:strRef>
          </c:tx>
          <c:cat>
            <c:strRef>
              <c:f>'Online Sales Tracker'!$B$15:$B$19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'Online Sales Tracker'!$F$15:$F$19</c:f>
              <c:numCache>
                <c:formatCode>General</c:formatCode>
                <c:ptCount val="5"/>
                <c:pt idx="0">
                  <c:v>0</c:v>
                </c:pt>
                <c:pt idx="1">
                  <c:v>250</c:v>
                </c:pt>
                <c:pt idx="2">
                  <c:v>320</c:v>
                </c:pt>
                <c:pt idx="3">
                  <c:v>700</c:v>
                </c:pt>
                <c:pt idx="4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A0-45A9-9BFC-BFFE1BA767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layout>
        <c:manualLayout>
          <c:xMode val="edge"/>
          <c:yMode val="edge"/>
          <c:x val="0.81486143639175757"/>
          <c:y val="0.27226731394456488"/>
          <c:w val="0.14284613309699107"/>
          <c:h val="0.64689350961441672"/>
        </c:manualLayout>
      </c:layout>
      <c:overlay val="0"/>
      <c:spPr>
        <a:ln w="19050"/>
      </c:spPr>
      <c:txPr>
        <a:bodyPr/>
        <a:lstStyle/>
        <a:p>
          <a:pPr>
            <a:defRPr>
              <a:solidFill>
                <a:schemeClr val="bg1"/>
              </a:solidFill>
              <a:latin typeface="Tahoma" pitchFamily="34" charset="0"/>
              <a:ea typeface="Tahoma" pitchFamily="34" charset="0"/>
              <a:cs typeface="Tahoma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4472C4">
        <a:lumMod val="50000"/>
      </a:srgbClr>
    </a:solidFill>
    <a:ln w="19050">
      <a:solidFill>
        <a:sysClr val="window" lastClr="FFFFFF"/>
      </a:solidFill>
    </a:ln>
  </c:sp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solidFill>
                  <a:schemeClr val="bg1"/>
                </a:solidFill>
                <a:latin typeface="+mj-lt"/>
                <a:ea typeface="Tahoma" pitchFamily="34" charset="0"/>
                <a:cs typeface="Tahoma" pitchFamily="34" charset="0"/>
              </a:defRPr>
            </a:pPr>
            <a:r>
              <a:rPr lang="en-US" sz="1400">
                <a:latin typeface="+mn-lt"/>
              </a:rPr>
              <a:t>Flipkart</a:t>
            </a:r>
          </a:p>
        </c:rich>
      </c:tx>
      <c:layout>
        <c:manualLayout>
          <c:xMode val="edge"/>
          <c:yMode val="edge"/>
          <c:x val="0.70483118469708583"/>
          <c:y val="5.120699318180901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2.9513361125501951E-2"/>
          <c:y val="2.6200911511359014E-2"/>
          <c:w val="0.62895789833736993"/>
          <c:h val="0.8884540998522914"/>
        </c:manualLayout>
      </c:layout>
      <c:pieChart>
        <c:varyColors val="1"/>
        <c:ser>
          <c:idx val="0"/>
          <c:order val="0"/>
          <c:tx>
            <c:strRef>
              <c:f>'Online Sales Tracker'!$G$14</c:f>
              <c:strCache>
                <c:ptCount val="1"/>
                <c:pt idx="0">
                  <c:v>Shopclues</c:v>
                </c:pt>
              </c:strCache>
            </c:strRef>
          </c:tx>
          <c:cat>
            <c:strRef>
              <c:f>'Online Sales Tracker'!$B$15:$B$19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'Online Sales Tracker'!$G$15:$G$19</c:f>
              <c:numCache>
                <c:formatCode>General</c:formatCode>
                <c:ptCount val="5"/>
                <c:pt idx="0">
                  <c:v>250</c:v>
                </c:pt>
                <c:pt idx="1">
                  <c:v>250</c:v>
                </c:pt>
                <c:pt idx="2">
                  <c:v>800</c:v>
                </c:pt>
                <c:pt idx="3">
                  <c:v>250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59-4EA3-BB6B-92FC40B22E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layout>
        <c:manualLayout>
          <c:xMode val="edge"/>
          <c:yMode val="edge"/>
          <c:x val="0.81486143639175757"/>
          <c:y val="0.27226731394456488"/>
          <c:w val="0.14284613309699107"/>
          <c:h val="0.64689350961441672"/>
        </c:manualLayout>
      </c:layout>
      <c:overlay val="0"/>
      <c:spPr>
        <a:ln w="19050"/>
      </c:spPr>
      <c:txPr>
        <a:bodyPr/>
        <a:lstStyle/>
        <a:p>
          <a:pPr>
            <a:defRPr>
              <a:solidFill>
                <a:schemeClr val="bg1"/>
              </a:solidFill>
              <a:latin typeface="Tahoma" pitchFamily="34" charset="0"/>
              <a:ea typeface="Tahoma" pitchFamily="34" charset="0"/>
              <a:cs typeface="Tahoma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4472C4">
        <a:lumMod val="50000"/>
      </a:srgbClr>
    </a:solidFill>
    <a:ln w="19050">
      <a:solidFill>
        <a:sysClr val="window" lastClr="FFFFFF"/>
      </a:solidFill>
    </a:ln>
  </c:sp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'Online Sales Tracker'!$B$15</c:f>
              <c:strCache>
                <c:ptCount val="1"/>
                <c:pt idx="0">
                  <c:v>A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DEB-4297-8190-75D06B85A6E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'Online Sales Tracker'!$C$14:$G$14</c15:sqref>
                  </c15:fullRef>
                </c:ext>
              </c:extLst>
              <c:f>'Online Sales Tracker'!$C$14</c:f>
              <c:strCache>
                <c:ptCount val="1"/>
                <c:pt idx="0">
                  <c:v>Website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'Online Sales Tracker'!$C$15:$G$15</c15:sqref>
                  </c15:fullRef>
                </c:ext>
              </c:extLst>
              <c:f>'Online Sales Tracker'!$C$15</c:f>
              <c:numCache>
                <c:formatCode>General</c:formatCode>
                <c:ptCount val="1"/>
                <c:pt idx="0">
                  <c:v>50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0-D15C-44F5-8466-923F2B17F31F}"/>
            </c:ext>
          </c:extLst>
        </c:ser>
        <c:ser>
          <c:idx val="1"/>
          <c:order val="1"/>
          <c:tx>
            <c:strRef>
              <c:f>'Online Sales Tracker'!$B$16</c:f>
              <c:strCache>
                <c:ptCount val="1"/>
                <c:pt idx="0">
                  <c:v>B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DEB-4297-8190-75D06B85A6E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'Online Sales Tracker'!$C$14:$G$14</c15:sqref>
                  </c15:fullRef>
                </c:ext>
              </c:extLst>
              <c:f>'Online Sales Tracker'!$C$14</c:f>
              <c:strCache>
                <c:ptCount val="1"/>
                <c:pt idx="0">
                  <c:v>Website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'Online Sales Tracker'!$C$16:$G$16</c15:sqref>
                  </c15:fullRef>
                </c:ext>
              </c:extLst>
              <c:f>'Online Sales Tracker'!$C$16</c:f>
              <c:numCache>
                <c:formatCode>General</c:formatCode>
                <c:ptCount val="1"/>
                <c:pt idx="0">
                  <c:v>100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1-D15C-44F5-8466-923F2B17F31F}"/>
            </c:ext>
          </c:extLst>
        </c:ser>
        <c:ser>
          <c:idx val="2"/>
          <c:order val="2"/>
          <c:tx>
            <c:strRef>
              <c:f>'Online Sales Tracker'!$B$17</c:f>
              <c:strCache>
                <c:ptCount val="1"/>
                <c:pt idx="0">
                  <c:v>C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DEB-4297-8190-75D06B85A6E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'Online Sales Tracker'!$C$14:$G$14</c15:sqref>
                  </c15:fullRef>
                </c:ext>
              </c:extLst>
              <c:f>'Online Sales Tracker'!$C$14</c:f>
              <c:strCache>
                <c:ptCount val="1"/>
                <c:pt idx="0">
                  <c:v>Website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'Online Sales Tracker'!$C$17:$G$17</c15:sqref>
                  </c15:fullRef>
                </c:ext>
              </c:extLst>
              <c:f>'Online Sales Tracker'!$C$17</c:f>
              <c:numCache>
                <c:formatCode>General</c:formatCode>
                <c:ptCount val="1"/>
                <c:pt idx="0">
                  <c:v>640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2-D15C-44F5-8466-923F2B17F31F}"/>
            </c:ext>
          </c:extLst>
        </c:ser>
        <c:ser>
          <c:idx val="3"/>
          <c:order val="3"/>
          <c:tx>
            <c:strRef>
              <c:f>'Online Sales Tracker'!$B$18</c:f>
              <c:strCache>
                <c:ptCount val="1"/>
                <c:pt idx="0">
                  <c:v>D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DEB-4297-8190-75D06B85A6E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'Online Sales Tracker'!$C$14:$G$14</c15:sqref>
                  </c15:fullRef>
                </c:ext>
              </c:extLst>
              <c:f>'Online Sales Tracker'!$C$14</c:f>
              <c:strCache>
                <c:ptCount val="1"/>
                <c:pt idx="0">
                  <c:v>Website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'Online Sales Tracker'!$C$18:$G$18</c15:sqref>
                  </c15:fullRef>
                </c:ext>
              </c:extLst>
              <c:f>'Online Sales Tracker'!$C$18</c:f>
              <c:numCache>
                <c:formatCode>General</c:formatCode>
                <c:ptCount val="1"/>
                <c:pt idx="0">
                  <c:v>450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3-D15C-44F5-8466-923F2B17F31F}"/>
            </c:ext>
          </c:extLst>
        </c:ser>
        <c:ser>
          <c:idx val="4"/>
          <c:order val="4"/>
          <c:tx>
            <c:strRef>
              <c:f>'Online Sales Tracker'!$B$19</c:f>
              <c:strCache>
                <c:ptCount val="1"/>
                <c:pt idx="0">
                  <c:v>E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DDEB-4297-8190-75D06B85A6E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'Online Sales Tracker'!$C$14:$G$14</c15:sqref>
                  </c15:fullRef>
                </c:ext>
              </c:extLst>
              <c:f>'Online Sales Tracker'!$C$14</c:f>
              <c:strCache>
                <c:ptCount val="1"/>
                <c:pt idx="0">
                  <c:v>Website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'Online Sales Tracker'!$C$19:$G$19</c15:sqref>
                  </c15:fullRef>
                </c:ext>
              </c:extLst>
              <c:f>'Online Sales Tracker'!$C$19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4-D15C-44F5-8466-923F2B17F31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'Online Sales Tracker'!$B$15</c:f>
              <c:strCache>
                <c:ptCount val="1"/>
                <c:pt idx="0">
                  <c:v>A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CD7-4A47-83E0-501F5B92F12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'Online Sales Tracker'!$C$14:$G$14</c15:sqref>
                  </c15:fullRef>
                </c:ext>
              </c:extLst>
              <c:f>'Online Sales Tracker'!$D$14</c:f>
              <c:strCache>
                <c:ptCount val="1"/>
                <c:pt idx="0">
                  <c:v>Amazon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'Online Sales Tracker'!$C$15:$G$15</c15:sqref>
                  </c15:fullRef>
                </c:ext>
              </c:extLst>
              <c:f>'Online Sales Tracker'!$D$15</c:f>
              <c:numCache>
                <c:formatCode>General</c:formatCode>
                <c:ptCount val="1"/>
                <c:pt idx="0">
                  <c:v>125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0-D3C4-4F85-BE47-5251BF8BA7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'Online Sales Tracker'!$B$16</c15:sqref>
                        </c15:formulaRef>
                      </c:ext>
                    </c:extLst>
                    <c:strCache>
                      <c:ptCount val="1"/>
                      <c:pt idx="0">
                        <c:v>B</c:v>
                      </c:pt>
                    </c:strCache>
                  </c:strRef>
                </c:tx>
                <c:dPt>
                  <c:idx val="0"/>
                  <c:bubble3D val="0"/>
                  <c:spPr>
                    <a:gradFill rotWithShape="1">
                      <a:gsLst>
                        <a:gs pos="0">
                          <a:schemeClr val="accent1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3-DCD7-4A47-83E0-501F5B92F12F}"/>
                    </c:ext>
                  </c:extLst>
                </c:dPt>
                <c:cat>
                  <c:strRef>
                    <c:extLst>
                      <c:ext uri="{02D57815-91ED-43cb-92C2-25804820EDAC}">
                        <c15:fullRef>
                          <c15:sqref>'Online Sales Tracker'!$C$14:$G$14</c15:sqref>
                        </c15:fullRef>
                        <c15:formulaRef>
                          <c15:sqref>'Online Sales Tracker'!$D$14</c15:sqref>
                        </c15:formulaRef>
                      </c:ext>
                    </c:extLst>
                    <c:strCache>
                      <c:ptCount val="1"/>
                      <c:pt idx="0">
                        <c:v>Amazon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'Online Sales Tracker'!$C$16:$G$16</c15:sqref>
                        </c15:fullRef>
                        <c15:formulaRef>
                          <c15:sqref>'Online Sales Tracker'!$D$16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300</c:v>
                      </c:pt>
                    </c:numCache>
                  </c:numRef>
                </c:val>
                <c:extLst>
                  <c:ext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01-D3C4-4F85-BE47-5251BF8BA72E}"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'Online Sales Tracker'!$B$17</c15:sqref>
                        </c15:formulaRef>
                      </c:ext>
                    </c:extLst>
                    <c:strCache>
                      <c:ptCount val="1"/>
                      <c:pt idx="0">
                        <c:v>C</c:v>
                      </c:pt>
                    </c:strCache>
                  </c:strRef>
                </c:tx>
                <c:dPt>
                  <c:idx val="0"/>
                  <c:bubble3D val="0"/>
                  <c:spPr>
                    <a:gradFill rotWithShape="1">
                      <a:gsLst>
                        <a:gs pos="0">
                          <a:schemeClr val="accent1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5-DCD7-4A47-83E0-501F5B92F12F}"/>
                    </c:ext>
                  </c:extLst>
                </c:dPt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'Online Sales Tracker'!$C$14:$G$14</c15:sqref>
                        </c15:fullRef>
                        <c15:formulaRef>
                          <c15:sqref>'Online Sales Tracker'!$D$14</c15:sqref>
                        </c15:formulaRef>
                      </c:ext>
                    </c:extLst>
                    <c:strCache>
                      <c:ptCount val="1"/>
                      <c:pt idx="0">
                        <c:v>Amazon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'Online Sales Tracker'!$C$17:$G$17</c15:sqref>
                        </c15:fullRef>
                        <c15:formulaRef>
                          <c15:sqref>'Online Sales Tracker'!$D$17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320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02-D3C4-4F85-BE47-5251BF8BA72E}"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'Online Sales Tracker'!$B$18</c15:sqref>
                        </c15:formulaRef>
                      </c:ext>
                    </c:extLst>
                    <c:strCache>
                      <c:ptCount val="1"/>
                      <c:pt idx="0">
                        <c:v>D</c:v>
                      </c:pt>
                    </c:strCache>
                  </c:strRef>
                </c:tx>
                <c:dPt>
                  <c:idx val="0"/>
                  <c:bubble3D val="0"/>
                  <c:spPr>
                    <a:gradFill rotWithShape="1">
                      <a:gsLst>
                        <a:gs pos="0">
                          <a:schemeClr val="accent1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7-DCD7-4A47-83E0-501F5B92F12F}"/>
                    </c:ext>
                  </c:extLst>
                </c:dPt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'Online Sales Tracker'!$C$14:$G$14</c15:sqref>
                        </c15:fullRef>
                        <c15:formulaRef>
                          <c15:sqref>'Online Sales Tracker'!$D$14</c15:sqref>
                        </c15:formulaRef>
                      </c:ext>
                    </c:extLst>
                    <c:strCache>
                      <c:ptCount val="1"/>
                      <c:pt idx="0">
                        <c:v>Amazon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'Online Sales Tracker'!$C$18:$G$18</c15:sqref>
                        </c15:fullRef>
                        <c15:formulaRef>
                          <c15:sqref>'Online Sales Tracker'!$D$18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200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03-D3C4-4F85-BE47-5251BF8BA72E}"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'Online Sales Tracker'!$B$19</c15:sqref>
                        </c15:formulaRef>
                      </c:ext>
                    </c:extLst>
                    <c:strCache>
                      <c:ptCount val="1"/>
                      <c:pt idx="0">
                        <c:v>E</c:v>
                      </c:pt>
                    </c:strCache>
                  </c:strRef>
                </c:tx>
                <c:dPt>
                  <c:idx val="0"/>
                  <c:bubble3D val="0"/>
                  <c:spPr>
                    <a:gradFill rotWithShape="1">
                      <a:gsLst>
                        <a:gs pos="0">
                          <a:schemeClr val="accent1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9-DCD7-4A47-83E0-501F5B92F12F}"/>
                    </c:ext>
                  </c:extLst>
                </c:dPt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'Online Sales Tracker'!$C$14:$G$14</c15:sqref>
                        </c15:fullRef>
                        <c15:formulaRef>
                          <c15:sqref>'Online Sales Tracker'!$D$14</c15:sqref>
                        </c15:formulaRef>
                      </c:ext>
                    </c:extLst>
                    <c:strCache>
                      <c:ptCount val="1"/>
                      <c:pt idx="0">
                        <c:v>Amazon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'Online Sales Tracker'!$C$19:$G$19</c15:sqref>
                        </c15:fullRef>
                        <c15:formulaRef>
                          <c15:sqref>'Online Sales Tracker'!$D$19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120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04-D3C4-4F85-BE47-5251BF8BA72E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235073359087427"/>
          <c:y val="0.11819123350942448"/>
          <c:w val="0.34616680891841001"/>
          <c:h val="0.5081861988316605"/>
        </c:manualLayout>
      </c:layout>
      <c:pieChart>
        <c:varyColors val="1"/>
        <c:ser>
          <c:idx val="0"/>
          <c:order val="0"/>
          <c:tx>
            <c:strRef>
              <c:f>'Online Sales Tracker'!$B$15</c:f>
              <c:strCache>
                <c:ptCount val="1"/>
                <c:pt idx="0">
                  <c:v>A</c:v>
                </c:pt>
              </c:strCache>
            </c:strRef>
          </c:tx>
          <c:explosion val="53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3BC-43A3-A94C-E2B491D0A7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'Online Sales Tracker'!$C$14:$G$14</c15:sqref>
                  </c15:fullRef>
                </c:ext>
              </c:extLst>
              <c:f>'Online Sales Tracker'!$E$14</c:f>
              <c:strCache>
                <c:ptCount val="1"/>
                <c:pt idx="0">
                  <c:v>Big Basket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'Online Sales Tracker'!$C$15:$G$15</c15:sqref>
                  </c15:fullRef>
                </c:ext>
              </c:extLst>
              <c:f>'Online Sales Tracker'!$E$15</c:f>
              <c:numCache>
                <c:formatCode>General</c:formatCode>
                <c:ptCount val="1"/>
                <c:pt idx="0">
                  <c:v>200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0-57EF-4563-8CBE-5C3BD0CA1FFF}"/>
            </c:ext>
          </c:extLst>
        </c:ser>
        <c:ser>
          <c:idx val="1"/>
          <c:order val="1"/>
          <c:tx>
            <c:strRef>
              <c:f>'Online Sales Tracker'!$B$16</c:f>
              <c:strCache>
                <c:ptCount val="1"/>
                <c:pt idx="0">
                  <c:v>B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3BC-43A3-A94C-E2B491D0A7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'Online Sales Tracker'!$C$14:$G$14</c15:sqref>
                  </c15:fullRef>
                </c:ext>
              </c:extLst>
              <c:f>'Online Sales Tracker'!$E$14</c:f>
              <c:strCache>
                <c:ptCount val="1"/>
                <c:pt idx="0">
                  <c:v>Big Basket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'Online Sales Tracker'!$C$16:$G$16</c15:sqref>
                  </c15:fullRef>
                </c:ext>
              </c:extLst>
              <c:f>'Online Sales Tracker'!$E$16</c:f>
              <c:numCache>
                <c:formatCode>General</c:formatCode>
                <c:ptCount val="1"/>
                <c:pt idx="0">
                  <c:v>575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1-57EF-4563-8CBE-5C3BD0CA1FFF}"/>
            </c:ext>
          </c:extLst>
        </c:ser>
        <c:ser>
          <c:idx val="2"/>
          <c:order val="2"/>
          <c:tx>
            <c:strRef>
              <c:f>'Online Sales Tracker'!$B$17</c:f>
              <c:strCache>
                <c:ptCount val="1"/>
                <c:pt idx="0">
                  <c:v>C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3BC-43A3-A94C-E2B491D0A7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'Online Sales Tracker'!$C$14:$G$14</c15:sqref>
                  </c15:fullRef>
                </c:ext>
              </c:extLst>
              <c:f>'Online Sales Tracker'!$E$14</c:f>
              <c:strCache>
                <c:ptCount val="1"/>
                <c:pt idx="0">
                  <c:v>Big Basket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'Online Sales Tracker'!$C$17:$G$17</c15:sqref>
                  </c15:fullRef>
                </c:ext>
              </c:extLst>
              <c:f>'Online Sales Tracker'!$E$17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2-57EF-4563-8CBE-5C3BD0CA1FFF}"/>
            </c:ext>
          </c:extLst>
        </c:ser>
        <c:ser>
          <c:idx val="3"/>
          <c:order val="3"/>
          <c:tx>
            <c:strRef>
              <c:f>'Online Sales Tracker'!$B$18</c:f>
              <c:strCache>
                <c:ptCount val="1"/>
                <c:pt idx="0">
                  <c:v>D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3BC-43A3-A94C-E2B491D0A7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'Online Sales Tracker'!$C$14:$G$14</c15:sqref>
                  </c15:fullRef>
                </c:ext>
              </c:extLst>
              <c:f>'Online Sales Tracker'!$E$14</c:f>
              <c:strCache>
                <c:ptCount val="1"/>
                <c:pt idx="0">
                  <c:v>Big Basket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'Online Sales Tracker'!$C$18:$G$18</c15:sqref>
                  </c15:fullRef>
                </c:ext>
              </c:extLst>
              <c:f>'Online Sales Tracker'!$E$18</c:f>
              <c:numCache>
                <c:formatCode>General</c:formatCode>
                <c:ptCount val="1"/>
                <c:pt idx="0">
                  <c:v>250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3-57EF-4563-8CBE-5C3BD0CA1FFF}"/>
            </c:ext>
          </c:extLst>
        </c:ser>
        <c:ser>
          <c:idx val="4"/>
          <c:order val="4"/>
          <c:tx>
            <c:strRef>
              <c:f>'Online Sales Tracker'!$B$19</c:f>
              <c:strCache>
                <c:ptCount val="1"/>
                <c:pt idx="0">
                  <c:v>E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3BC-43A3-A94C-E2B491D0A7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'Online Sales Tracker'!$C$14:$G$14</c15:sqref>
                  </c15:fullRef>
                </c:ext>
              </c:extLst>
              <c:f>'Online Sales Tracker'!$E$14</c:f>
              <c:strCache>
                <c:ptCount val="1"/>
                <c:pt idx="0">
                  <c:v>Big Basket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'Online Sales Tracker'!$C$19:$G$19</c15:sqref>
                  </c15:fullRef>
                </c:ext>
              </c:extLst>
              <c:f>'Online Sales Tracker'!$E$19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4-57EF-4563-8CBE-5C3BD0CA1FF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2401380902266486"/>
          <c:y val="0.23560683110060091"/>
          <c:w val="0.3113288626177822"/>
          <c:h val="0.43942545596400384"/>
        </c:manualLayout>
      </c:layout>
      <c:pieChart>
        <c:varyColors val="1"/>
        <c:ser>
          <c:idx val="0"/>
          <c:order val="0"/>
          <c:tx>
            <c:strRef>
              <c:f>'Online Sales Tracker'!$B$15</c:f>
              <c:strCache>
                <c:ptCount val="1"/>
                <c:pt idx="0">
                  <c:v>A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B38-4B1B-9800-13F1BF00F93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'Online Sales Tracker'!$C$14:$G$14</c15:sqref>
                  </c15:fullRef>
                </c:ext>
              </c:extLst>
              <c:f>'Online Sales Tracker'!$F$14</c:f>
              <c:strCache>
                <c:ptCount val="1"/>
                <c:pt idx="0">
                  <c:v>Flipkart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'Online Sales Tracker'!$C$15:$G$15</c15:sqref>
                  </c15:fullRef>
                </c:ext>
              </c:extLst>
              <c:f>'Online Sales Tracker'!$F$15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0-EB1C-4475-84AC-6B6E0AE737B6}"/>
            </c:ext>
          </c:extLst>
        </c:ser>
        <c:ser>
          <c:idx val="1"/>
          <c:order val="1"/>
          <c:tx>
            <c:strRef>
              <c:f>'Online Sales Tracker'!$B$16</c:f>
              <c:strCache>
                <c:ptCount val="1"/>
                <c:pt idx="0">
                  <c:v>B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B38-4B1B-9800-13F1BF00F93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'Online Sales Tracker'!$C$14:$G$14</c15:sqref>
                  </c15:fullRef>
                </c:ext>
              </c:extLst>
              <c:f>'Online Sales Tracker'!$F$14</c:f>
              <c:strCache>
                <c:ptCount val="1"/>
                <c:pt idx="0">
                  <c:v>Flipkart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'Online Sales Tracker'!$C$16:$G$16</c15:sqref>
                  </c15:fullRef>
                </c:ext>
              </c:extLst>
              <c:f>'Online Sales Tracker'!$F$16</c:f>
              <c:numCache>
                <c:formatCode>General</c:formatCode>
                <c:ptCount val="1"/>
                <c:pt idx="0">
                  <c:v>250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1-EB1C-4475-84AC-6B6E0AE737B6}"/>
            </c:ext>
          </c:extLst>
        </c:ser>
        <c:ser>
          <c:idx val="2"/>
          <c:order val="2"/>
          <c:tx>
            <c:strRef>
              <c:f>'Online Sales Tracker'!$B$17</c:f>
              <c:strCache>
                <c:ptCount val="1"/>
                <c:pt idx="0">
                  <c:v>C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B38-4B1B-9800-13F1BF00F93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'Online Sales Tracker'!$C$14:$G$14</c15:sqref>
                  </c15:fullRef>
                </c:ext>
              </c:extLst>
              <c:f>'Online Sales Tracker'!$F$14</c:f>
              <c:strCache>
                <c:ptCount val="1"/>
                <c:pt idx="0">
                  <c:v>Flipkart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'Online Sales Tracker'!$C$17:$G$17</c15:sqref>
                  </c15:fullRef>
                </c:ext>
              </c:extLst>
              <c:f>'Online Sales Tracker'!$F$17</c:f>
              <c:numCache>
                <c:formatCode>General</c:formatCode>
                <c:ptCount val="1"/>
                <c:pt idx="0">
                  <c:v>320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2-EB1C-4475-84AC-6B6E0AE737B6}"/>
            </c:ext>
          </c:extLst>
        </c:ser>
        <c:ser>
          <c:idx val="3"/>
          <c:order val="3"/>
          <c:tx>
            <c:strRef>
              <c:f>'Online Sales Tracker'!$B$18</c:f>
              <c:strCache>
                <c:ptCount val="1"/>
                <c:pt idx="0">
                  <c:v>D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B38-4B1B-9800-13F1BF00F93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'Online Sales Tracker'!$C$14:$G$14</c15:sqref>
                  </c15:fullRef>
                </c:ext>
              </c:extLst>
              <c:f>'Online Sales Tracker'!$F$14</c:f>
              <c:strCache>
                <c:ptCount val="1"/>
                <c:pt idx="0">
                  <c:v>Flipkart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'Online Sales Tracker'!$C$18:$G$18</c15:sqref>
                  </c15:fullRef>
                </c:ext>
              </c:extLst>
              <c:f>'Online Sales Tracker'!$F$18</c:f>
              <c:numCache>
                <c:formatCode>General</c:formatCode>
                <c:ptCount val="1"/>
                <c:pt idx="0">
                  <c:v>700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3-EB1C-4475-84AC-6B6E0AE737B6}"/>
            </c:ext>
          </c:extLst>
        </c:ser>
        <c:ser>
          <c:idx val="4"/>
          <c:order val="4"/>
          <c:tx>
            <c:strRef>
              <c:f>'Online Sales Tracker'!$B$19</c:f>
              <c:strCache>
                <c:ptCount val="1"/>
                <c:pt idx="0">
                  <c:v>E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FB38-4B1B-9800-13F1BF00F93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'Online Sales Tracker'!$C$14:$G$14</c15:sqref>
                  </c15:fullRef>
                </c:ext>
              </c:extLst>
              <c:f>'Online Sales Tracker'!$F$14</c:f>
              <c:strCache>
                <c:ptCount val="1"/>
                <c:pt idx="0">
                  <c:v>Flipkart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'Online Sales Tracker'!$C$19:$G$19</c15:sqref>
                  </c15:fullRef>
                </c:ext>
              </c:extLst>
              <c:f>'Online Sales Tracker'!$F$19</c:f>
              <c:numCache>
                <c:formatCode>General</c:formatCode>
                <c:ptCount val="1"/>
                <c:pt idx="0">
                  <c:v>400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4-EB1C-4475-84AC-6B6E0AE737B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5135587443041216"/>
          <c:y val="0.23869613614806337"/>
          <c:w val="0.33930885289959128"/>
          <c:h val="0.54038074110075485"/>
        </c:manualLayout>
      </c:layout>
      <c:pieChart>
        <c:varyColors val="1"/>
        <c:ser>
          <c:idx val="0"/>
          <c:order val="0"/>
          <c:tx>
            <c:strRef>
              <c:f>'Online Sales Tracker'!$B$15</c:f>
              <c:strCache>
                <c:ptCount val="1"/>
                <c:pt idx="0">
                  <c:v>A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C4C-44AE-BFA7-C15A465F24B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'Online Sales Tracker'!$C$14:$G$14</c15:sqref>
                  </c15:fullRef>
                </c:ext>
              </c:extLst>
              <c:f>'Online Sales Tracker'!$G$14</c:f>
              <c:strCache>
                <c:ptCount val="1"/>
                <c:pt idx="0">
                  <c:v>Shopclues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'Online Sales Tracker'!$C$15:$G$15</c15:sqref>
                  </c15:fullRef>
                </c:ext>
              </c:extLst>
              <c:f>'Online Sales Tracker'!$G$15</c:f>
              <c:numCache>
                <c:formatCode>General</c:formatCode>
                <c:ptCount val="1"/>
                <c:pt idx="0">
                  <c:v>250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0-3941-4098-9825-593DEFD89FDB}"/>
            </c:ext>
          </c:extLst>
        </c:ser>
        <c:ser>
          <c:idx val="1"/>
          <c:order val="1"/>
          <c:tx>
            <c:strRef>
              <c:f>'Online Sales Tracker'!$B$16</c:f>
              <c:strCache>
                <c:ptCount val="1"/>
                <c:pt idx="0">
                  <c:v>B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C4C-44AE-BFA7-C15A465F24B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'Online Sales Tracker'!$C$14:$G$14</c15:sqref>
                  </c15:fullRef>
                </c:ext>
              </c:extLst>
              <c:f>'Online Sales Tracker'!$G$14</c:f>
              <c:strCache>
                <c:ptCount val="1"/>
                <c:pt idx="0">
                  <c:v>Shopclues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'Online Sales Tracker'!$C$16:$G$16</c15:sqref>
                  </c15:fullRef>
                </c:ext>
              </c:extLst>
              <c:f>'Online Sales Tracker'!$G$16</c:f>
              <c:numCache>
                <c:formatCode>General</c:formatCode>
                <c:ptCount val="1"/>
                <c:pt idx="0">
                  <c:v>250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1-3941-4098-9825-593DEFD89FDB}"/>
            </c:ext>
          </c:extLst>
        </c:ser>
        <c:ser>
          <c:idx val="2"/>
          <c:order val="2"/>
          <c:tx>
            <c:strRef>
              <c:f>'Online Sales Tracker'!$B$17</c:f>
              <c:strCache>
                <c:ptCount val="1"/>
                <c:pt idx="0">
                  <c:v>C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C4C-44AE-BFA7-C15A465F24B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'Online Sales Tracker'!$C$14:$G$14</c15:sqref>
                  </c15:fullRef>
                </c:ext>
              </c:extLst>
              <c:f>'Online Sales Tracker'!$G$14</c:f>
              <c:strCache>
                <c:ptCount val="1"/>
                <c:pt idx="0">
                  <c:v>Shopclues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'Online Sales Tracker'!$C$17:$G$17</c15:sqref>
                  </c15:fullRef>
                </c:ext>
              </c:extLst>
              <c:f>'Online Sales Tracker'!$G$17</c:f>
              <c:numCache>
                <c:formatCode>General</c:formatCode>
                <c:ptCount val="1"/>
                <c:pt idx="0">
                  <c:v>800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2-3941-4098-9825-593DEFD89FDB}"/>
            </c:ext>
          </c:extLst>
        </c:ser>
        <c:ser>
          <c:idx val="3"/>
          <c:order val="3"/>
          <c:tx>
            <c:strRef>
              <c:f>'Online Sales Tracker'!$B$18</c:f>
              <c:strCache>
                <c:ptCount val="1"/>
                <c:pt idx="0">
                  <c:v>D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C4C-44AE-BFA7-C15A465F24B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'Online Sales Tracker'!$C$14:$G$14</c15:sqref>
                  </c15:fullRef>
                </c:ext>
              </c:extLst>
              <c:f>'Online Sales Tracker'!$G$14</c:f>
              <c:strCache>
                <c:ptCount val="1"/>
                <c:pt idx="0">
                  <c:v>Shopclues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'Online Sales Tracker'!$C$18:$G$18</c15:sqref>
                  </c15:fullRef>
                </c:ext>
              </c:extLst>
              <c:f>'Online Sales Tracker'!$G$18</c:f>
              <c:numCache>
                <c:formatCode>General</c:formatCode>
                <c:ptCount val="1"/>
                <c:pt idx="0">
                  <c:v>250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3-3941-4098-9825-593DEFD89FDB}"/>
            </c:ext>
          </c:extLst>
        </c:ser>
        <c:ser>
          <c:idx val="4"/>
          <c:order val="4"/>
          <c:tx>
            <c:strRef>
              <c:f>'Online Sales Tracker'!$B$19</c:f>
              <c:strCache>
                <c:ptCount val="1"/>
                <c:pt idx="0">
                  <c:v>E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C4C-44AE-BFA7-C15A465F24B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'Online Sales Tracker'!$C$14:$G$14</c15:sqref>
                  </c15:fullRef>
                </c:ext>
              </c:extLst>
              <c:f>'Online Sales Tracker'!$G$14</c:f>
              <c:strCache>
                <c:ptCount val="1"/>
                <c:pt idx="0">
                  <c:v>Shopclues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'Online Sales Tracker'!$C$19:$G$19</c15:sqref>
                  </c15:fullRef>
                </c:ext>
              </c:extLst>
              <c:f>'Online Sales Tracker'!$G$19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4-3941-4098-9825-593DEFD89FD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614612674444326"/>
          <c:y val="0.20060010530189257"/>
          <c:w val="0.80631288585694383"/>
          <c:h val="0.4642102174331850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'Online Sales Tracker'!$B$15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'Online Sales Tracker'!$C$14:$G$14</c:f>
              <c:strCache>
                <c:ptCount val="5"/>
                <c:pt idx="0">
                  <c:v>Website</c:v>
                </c:pt>
                <c:pt idx="1">
                  <c:v>Amazon</c:v>
                </c:pt>
                <c:pt idx="2">
                  <c:v>Big Basket</c:v>
                </c:pt>
                <c:pt idx="3">
                  <c:v>Flipkart</c:v>
                </c:pt>
                <c:pt idx="4">
                  <c:v>Shopclues</c:v>
                </c:pt>
              </c:strCache>
            </c:strRef>
          </c:cat>
          <c:val>
            <c:numRef>
              <c:f>'Online Sales Tracker'!$C$15:$G$15</c:f>
              <c:numCache>
                <c:formatCode>General</c:formatCode>
                <c:ptCount val="5"/>
                <c:pt idx="0">
                  <c:v>50</c:v>
                </c:pt>
                <c:pt idx="1">
                  <c:v>125</c:v>
                </c:pt>
                <c:pt idx="2">
                  <c:v>200</c:v>
                </c:pt>
                <c:pt idx="3">
                  <c:v>0</c:v>
                </c:pt>
                <c:pt idx="4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3C-4882-AAA1-3EABA0B1622A}"/>
            </c:ext>
          </c:extLst>
        </c:ser>
        <c:ser>
          <c:idx val="1"/>
          <c:order val="1"/>
          <c:tx>
            <c:strRef>
              <c:f>'Online Sales Tracker'!$B$16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'Online Sales Tracker'!$C$14:$G$14</c:f>
              <c:strCache>
                <c:ptCount val="5"/>
                <c:pt idx="0">
                  <c:v>Website</c:v>
                </c:pt>
                <c:pt idx="1">
                  <c:v>Amazon</c:v>
                </c:pt>
                <c:pt idx="2">
                  <c:v>Big Basket</c:v>
                </c:pt>
                <c:pt idx="3">
                  <c:v>Flipkart</c:v>
                </c:pt>
                <c:pt idx="4">
                  <c:v>Shopclues</c:v>
                </c:pt>
              </c:strCache>
            </c:strRef>
          </c:cat>
          <c:val>
            <c:numRef>
              <c:f>'Online Sales Tracker'!$C$16:$G$16</c:f>
              <c:numCache>
                <c:formatCode>General</c:formatCode>
                <c:ptCount val="5"/>
                <c:pt idx="0">
                  <c:v>100</c:v>
                </c:pt>
                <c:pt idx="1">
                  <c:v>300</c:v>
                </c:pt>
                <c:pt idx="2">
                  <c:v>575</c:v>
                </c:pt>
                <c:pt idx="3">
                  <c:v>250</c:v>
                </c:pt>
                <c:pt idx="4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3C-4882-AAA1-3EABA0B1622A}"/>
            </c:ext>
          </c:extLst>
        </c:ser>
        <c:ser>
          <c:idx val="2"/>
          <c:order val="2"/>
          <c:tx>
            <c:strRef>
              <c:f>'Online Sales Tracker'!$B$17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'Online Sales Tracker'!$C$14:$G$14</c:f>
              <c:strCache>
                <c:ptCount val="5"/>
                <c:pt idx="0">
                  <c:v>Website</c:v>
                </c:pt>
                <c:pt idx="1">
                  <c:v>Amazon</c:v>
                </c:pt>
                <c:pt idx="2">
                  <c:v>Big Basket</c:v>
                </c:pt>
                <c:pt idx="3">
                  <c:v>Flipkart</c:v>
                </c:pt>
                <c:pt idx="4">
                  <c:v>Shopclues</c:v>
                </c:pt>
              </c:strCache>
            </c:strRef>
          </c:cat>
          <c:val>
            <c:numRef>
              <c:f>'Online Sales Tracker'!$C$17:$G$17</c:f>
              <c:numCache>
                <c:formatCode>General</c:formatCode>
                <c:ptCount val="5"/>
                <c:pt idx="0">
                  <c:v>640</c:v>
                </c:pt>
                <c:pt idx="1">
                  <c:v>320</c:v>
                </c:pt>
                <c:pt idx="2">
                  <c:v>0</c:v>
                </c:pt>
                <c:pt idx="3">
                  <c:v>320</c:v>
                </c:pt>
                <c:pt idx="4">
                  <c:v>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3C-4882-AAA1-3EABA0B1622A}"/>
            </c:ext>
          </c:extLst>
        </c:ser>
        <c:ser>
          <c:idx val="3"/>
          <c:order val="3"/>
          <c:tx>
            <c:strRef>
              <c:f>'Online Sales Tracker'!$B$18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'Online Sales Tracker'!$C$14:$G$14</c:f>
              <c:strCache>
                <c:ptCount val="5"/>
                <c:pt idx="0">
                  <c:v>Website</c:v>
                </c:pt>
                <c:pt idx="1">
                  <c:v>Amazon</c:v>
                </c:pt>
                <c:pt idx="2">
                  <c:v>Big Basket</c:v>
                </c:pt>
                <c:pt idx="3">
                  <c:v>Flipkart</c:v>
                </c:pt>
                <c:pt idx="4">
                  <c:v>Shopclues</c:v>
                </c:pt>
              </c:strCache>
            </c:strRef>
          </c:cat>
          <c:val>
            <c:numRef>
              <c:f>'Online Sales Tracker'!$C$18:$G$18</c:f>
              <c:numCache>
                <c:formatCode>General</c:formatCode>
                <c:ptCount val="5"/>
                <c:pt idx="0">
                  <c:v>450</c:v>
                </c:pt>
                <c:pt idx="1">
                  <c:v>200</c:v>
                </c:pt>
                <c:pt idx="2">
                  <c:v>250</c:v>
                </c:pt>
                <c:pt idx="3">
                  <c:v>700</c:v>
                </c:pt>
                <c:pt idx="4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33C-4882-AAA1-3EABA0B1622A}"/>
            </c:ext>
          </c:extLst>
        </c:ser>
        <c:ser>
          <c:idx val="4"/>
          <c:order val="4"/>
          <c:tx>
            <c:strRef>
              <c:f>'Online Sales Tracker'!$B$19</c:f>
              <c:strCache>
                <c:ptCount val="1"/>
                <c:pt idx="0">
                  <c:v>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'Online Sales Tracker'!$C$14:$G$14</c:f>
              <c:strCache>
                <c:ptCount val="5"/>
                <c:pt idx="0">
                  <c:v>Website</c:v>
                </c:pt>
                <c:pt idx="1">
                  <c:v>Amazon</c:v>
                </c:pt>
                <c:pt idx="2">
                  <c:v>Big Basket</c:v>
                </c:pt>
                <c:pt idx="3">
                  <c:v>Flipkart</c:v>
                </c:pt>
                <c:pt idx="4">
                  <c:v>Shopclues</c:v>
                </c:pt>
              </c:strCache>
            </c:strRef>
          </c:cat>
          <c:val>
            <c:numRef>
              <c:f>'Online Sales Tracker'!$C$19:$G$19</c:f>
              <c:numCache>
                <c:formatCode>General</c:formatCode>
                <c:ptCount val="5"/>
                <c:pt idx="0">
                  <c:v>0</c:v>
                </c:pt>
                <c:pt idx="1">
                  <c:v>120</c:v>
                </c:pt>
                <c:pt idx="2">
                  <c:v>0</c:v>
                </c:pt>
                <c:pt idx="3">
                  <c:v>400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33C-4882-AAA1-3EABA0B16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9352399"/>
        <c:axId val="429351567"/>
      </c:barChart>
      <c:catAx>
        <c:axId val="429352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351567"/>
        <c:crosses val="autoZero"/>
        <c:auto val="1"/>
        <c:lblAlgn val="ctr"/>
        <c:lblOffset val="100"/>
        <c:noMultiLvlLbl val="0"/>
      </c:catAx>
      <c:valAx>
        <c:axId val="429351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35239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571501</xdr:colOff>
      <xdr:row>6</xdr:row>
      <xdr:rowOff>142875</xdr:rowOff>
    </xdr:from>
    <xdr:to>
      <xdr:col>22</xdr:col>
      <xdr:colOff>390526</xdr:colOff>
      <xdr:row>32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3231769-30CD-41C7-BFE6-84D31DBA2873}"/>
            </a:ext>
          </a:extLst>
        </xdr:cNvPr>
        <xdr:cNvSpPr txBox="1"/>
      </xdr:nvSpPr>
      <xdr:spPr>
        <a:xfrm>
          <a:off x="9877426" y="742950"/>
          <a:ext cx="6038850" cy="51149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600" b="1" baseline="0"/>
        </a:p>
        <a:p>
          <a:r>
            <a:rPr lang="en-US" sz="1600" b="1" baseline="0"/>
            <a:t>1.For Calculating the Profit = Sell Price - Cost Price</a:t>
          </a:r>
        </a:p>
        <a:p>
          <a:endParaRPr lang="en-US" sz="1600" b="1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2.For Calculating the Margin  = Profit / Sell Price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6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3.For Calculating the Net Income = Profit * Quanity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600" b="1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4.For Calculating the Revenue =  Sell Price * Quantity</a:t>
          </a:r>
          <a:endParaRPr lang="en-US" sz="1600" b="1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0</xdr:col>
      <xdr:colOff>142875</xdr:colOff>
      <xdr:row>0</xdr:row>
      <xdr:rowOff>142875</xdr:rowOff>
    </xdr:from>
    <xdr:to>
      <xdr:col>19</xdr:col>
      <xdr:colOff>523875</xdr:colOff>
      <xdr:row>3</xdr:row>
      <xdr:rowOff>19050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0F29FF0-4505-4146-82E5-3DF907403601}"/>
            </a:ext>
          </a:extLst>
        </xdr:cNvPr>
        <xdr:cNvSpPr txBox="1"/>
      </xdr:nvSpPr>
      <xdr:spPr>
        <a:xfrm>
          <a:off x="142875" y="142875"/>
          <a:ext cx="14077950" cy="4476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CAPSTONE</a:t>
          </a:r>
          <a:r>
            <a:rPr lang="en-US" sz="1100" baseline="0"/>
            <a:t> PROJECT ON ONLINE SALES TRACKING SYSTEM</a:t>
          </a:r>
        </a:p>
        <a:p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19</xdr:row>
      <xdr:rowOff>180976</xdr:rowOff>
    </xdr:from>
    <xdr:to>
      <xdr:col>8</xdr:col>
      <xdr:colOff>10886</xdr:colOff>
      <xdr:row>33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15240</xdr:colOff>
      <xdr:row>35</xdr:row>
      <xdr:rowOff>7620</xdr:rowOff>
    </xdr:from>
    <xdr:to>
      <xdr:col>2</xdr:col>
      <xdr:colOff>1045020</xdr:colOff>
      <xdr:row>43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563880</xdr:colOff>
      <xdr:row>35</xdr:row>
      <xdr:rowOff>1</xdr:rowOff>
    </xdr:from>
    <xdr:to>
      <xdr:col>5</xdr:col>
      <xdr:colOff>510540</xdr:colOff>
      <xdr:row>43</xdr:row>
      <xdr:rowOff>22861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1059179</xdr:colOff>
      <xdr:row>35</xdr:row>
      <xdr:rowOff>1</xdr:rowOff>
    </xdr:from>
    <xdr:to>
      <xdr:col>8</xdr:col>
      <xdr:colOff>21772</xdr:colOff>
      <xdr:row>43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7620</xdr:colOff>
      <xdr:row>44</xdr:row>
      <xdr:rowOff>7620</xdr:rowOff>
    </xdr:from>
    <xdr:to>
      <xdr:col>4</xdr:col>
      <xdr:colOff>0</xdr:colOff>
      <xdr:row>51</xdr:row>
      <xdr:rowOff>175260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0</xdr:colOff>
      <xdr:row>44</xdr:row>
      <xdr:rowOff>0</xdr:rowOff>
    </xdr:from>
    <xdr:to>
      <xdr:col>7</xdr:col>
      <xdr:colOff>11577</xdr:colOff>
      <xdr:row>51</xdr:row>
      <xdr:rowOff>167640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15240</xdr:colOff>
      <xdr:row>53</xdr:row>
      <xdr:rowOff>57151</xdr:rowOff>
    </xdr:from>
    <xdr:to>
      <xdr:col>8</xdr:col>
      <xdr:colOff>45720</xdr:colOff>
      <xdr:row>66</xdr:row>
      <xdr:rowOff>95250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1043941</xdr:colOff>
      <xdr:row>68</xdr:row>
      <xdr:rowOff>17146</xdr:rowOff>
    </xdr:from>
    <xdr:to>
      <xdr:col>8</xdr:col>
      <xdr:colOff>15241</xdr:colOff>
      <xdr:row>77</xdr:row>
      <xdr:rowOff>102871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15241</xdr:colOff>
      <xdr:row>68</xdr:row>
      <xdr:rowOff>9525</xdr:rowOff>
    </xdr:from>
    <xdr:to>
      <xdr:col>3</xdr:col>
      <xdr:colOff>15241</xdr:colOff>
      <xdr:row>77</xdr:row>
      <xdr:rowOff>103686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</xdr:col>
      <xdr:colOff>472440</xdr:colOff>
      <xdr:row>68</xdr:row>
      <xdr:rowOff>32385</xdr:rowOff>
    </xdr:from>
    <xdr:to>
      <xdr:col>5</xdr:col>
      <xdr:colOff>541020</xdr:colOff>
      <xdr:row>77</xdr:row>
      <xdr:rowOff>104775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1028700</xdr:colOff>
      <xdr:row>78</xdr:row>
      <xdr:rowOff>149407</xdr:rowOff>
    </xdr:from>
    <xdr:to>
      <xdr:col>3</xdr:col>
      <xdr:colOff>1039224</xdr:colOff>
      <xdr:row>88</xdr:row>
      <xdr:rowOff>17146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</xdr:col>
      <xdr:colOff>1040674</xdr:colOff>
      <xdr:row>78</xdr:row>
      <xdr:rowOff>135253</xdr:rowOff>
    </xdr:from>
    <xdr:to>
      <xdr:col>7</xdr:col>
      <xdr:colOff>15240</xdr:colOff>
      <xdr:row>88</xdr:row>
      <xdr:rowOff>55244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10</xdr:col>
      <xdr:colOff>95250</xdr:colOff>
      <xdr:row>2</xdr:row>
      <xdr:rowOff>381000</xdr:rowOff>
    </xdr:from>
    <xdr:to>
      <xdr:col>20</xdr:col>
      <xdr:colOff>523875</xdr:colOff>
      <xdr:row>22</xdr:row>
      <xdr:rowOff>38100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72E245D5-E8DC-42C8-B086-AC60580C0015}"/>
            </a:ext>
          </a:extLst>
        </xdr:cNvPr>
        <xdr:cNvSpPr txBox="1"/>
      </xdr:nvSpPr>
      <xdr:spPr>
        <a:xfrm>
          <a:off x="8896350" y="1219200"/>
          <a:ext cx="7839075" cy="448627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1. To Calculate</a:t>
          </a:r>
          <a:r>
            <a:rPr lang="en-US" sz="1100" baseline="0"/>
            <a:t> Volume of the All Product just combine the = </a:t>
          </a:r>
        </a:p>
        <a:p>
          <a:r>
            <a:rPr lang="en-US" sz="1100" baseline="0"/>
            <a:t>Website + Amazon + BigBasket + Flipkart + Shopclues</a:t>
          </a:r>
        </a:p>
        <a:p>
          <a:endParaRPr lang="en-US" sz="1100" baseline="0"/>
        </a:p>
        <a:p>
          <a:r>
            <a:rPr lang="en-US" sz="1100"/>
            <a:t>2. For Calculating</a:t>
          </a:r>
          <a:r>
            <a:rPr lang="en-US" sz="1100" baseline="0"/>
            <a:t> Profit  of All Products combine the =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Website + Amazon + BigBasket + Flipkart + Shopclues</a:t>
          </a:r>
          <a:endParaRPr lang="en-US">
            <a:effectLst/>
          </a:endParaRPr>
        </a:p>
        <a:p>
          <a:endParaRPr lang="en-US" sz="1100"/>
        </a:p>
        <a:p>
          <a:endParaRPr lang="en-US" sz="1100"/>
        </a:p>
        <a:p>
          <a:r>
            <a:rPr lang="en-US" sz="1100"/>
            <a:t>3. In sales</a:t>
          </a:r>
          <a:r>
            <a:rPr lang="en-US" sz="1100" baseline="0"/>
            <a:t> Volume Against Each Sales channel Draw out some Visual</a:t>
          </a:r>
        </a:p>
        <a:p>
          <a:endParaRPr lang="en-US" sz="1100" baseline="0"/>
        </a:p>
        <a:p>
          <a:endParaRPr lang="en-US" sz="1100" baseline="0"/>
        </a:p>
        <a:p>
          <a:r>
            <a:rPr lang="en-US" sz="1100" baseline="0"/>
            <a:t>4. For Website  , Amazon , BigBasket , Flipkart and ShopClues create Pie Chart</a:t>
          </a:r>
          <a:endParaRPr lang="en-US" sz="1100"/>
        </a:p>
      </xdr:txBody>
    </xdr:sp>
    <xdr:clientData/>
  </xdr:twoCellAnchor>
  <xdr:twoCellAnchor>
    <xdr:from>
      <xdr:col>2</xdr:col>
      <xdr:colOff>571500</xdr:colOff>
      <xdr:row>21</xdr:row>
      <xdr:rowOff>0</xdr:rowOff>
    </xdr:from>
    <xdr:to>
      <xdr:col>5</xdr:col>
      <xdr:colOff>819150</xdr:colOff>
      <xdr:row>23</xdr:row>
      <xdr:rowOff>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E8F9C367-CEC6-4019-B5E0-7749C7568105}"/>
            </a:ext>
          </a:extLst>
        </xdr:cNvPr>
        <xdr:cNvSpPr txBox="1"/>
      </xdr:nvSpPr>
      <xdr:spPr>
        <a:xfrm>
          <a:off x="1828800" y="5476875"/>
          <a:ext cx="3390900" cy="381000"/>
        </a:xfrm>
        <a:prstGeom prst="rect">
          <a:avLst/>
        </a:prstGeom>
        <a:solidFill>
          <a:schemeClr val="accent2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n-US" sz="14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Sales Volume Against Each Sales Channel</a:t>
          </a:r>
          <a:endParaRPr lang="en-US" sz="1400" b="1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2</xdr:col>
      <xdr:colOff>266700</xdr:colOff>
      <xdr:row>35</xdr:row>
      <xdr:rowOff>123826</xdr:rowOff>
    </xdr:from>
    <xdr:to>
      <xdr:col>2</xdr:col>
      <xdr:colOff>1000125</xdr:colOff>
      <xdr:row>36</xdr:row>
      <xdr:rowOff>180976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CDE083F9-C07C-45D3-96FF-60380FAF2409}"/>
            </a:ext>
          </a:extLst>
        </xdr:cNvPr>
        <xdr:cNvSpPr txBox="1"/>
      </xdr:nvSpPr>
      <xdr:spPr>
        <a:xfrm>
          <a:off x="1524000" y="8277226"/>
          <a:ext cx="733425" cy="247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Websites</a:t>
          </a:r>
        </a:p>
      </xdr:txBody>
    </xdr:sp>
    <xdr:clientData/>
  </xdr:twoCellAnchor>
  <xdr:twoCellAnchor>
    <xdr:from>
      <xdr:col>1</xdr:col>
      <xdr:colOff>2</xdr:colOff>
      <xdr:row>34</xdr:row>
      <xdr:rowOff>142875</xdr:rowOff>
    </xdr:from>
    <xdr:to>
      <xdr:col>3</xdr:col>
      <xdr:colOff>9525</xdr:colOff>
      <xdr:row>43</xdr:row>
      <xdr:rowOff>19050</xdr:rowOff>
    </xdr:to>
    <xdr:graphicFrame macro="">
      <xdr:nvGraphicFramePr>
        <xdr:cNvPr id="20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</xdr:col>
      <xdr:colOff>541111</xdr:colOff>
      <xdr:row>34</xdr:row>
      <xdr:rowOff>135619</xdr:rowOff>
    </xdr:from>
    <xdr:to>
      <xdr:col>5</xdr:col>
      <xdr:colOff>589642</xdr:colOff>
      <xdr:row>42</xdr:row>
      <xdr:rowOff>170091</xdr:rowOff>
    </xdr:to>
    <xdr:graphicFrame macro="">
      <xdr:nvGraphicFramePr>
        <xdr:cNvPr id="21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6</xdr:col>
      <xdr:colOff>0</xdr:colOff>
      <xdr:row>34</xdr:row>
      <xdr:rowOff>170089</xdr:rowOff>
    </xdr:from>
    <xdr:to>
      <xdr:col>8</xdr:col>
      <xdr:colOff>83228</xdr:colOff>
      <xdr:row>43</xdr:row>
      <xdr:rowOff>0</xdr:rowOff>
    </xdr:to>
    <xdr:graphicFrame macro="">
      <xdr:nvGraphicFramePr>
        <xdr:cNvPr id="22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</xdr:col>
      <xdr:colOff>10338</xdr:colOff>
      <xdr:row>44</xdr:row>
      <xdr:rowOff>22151</xdr:rowOff>
    </xdr:from>
    <xdr:to>
      <xdr:col>4</xdr:col>
      <xdr:colOff>36919</xdr:colOff>
      <xdr:row>51</xdr:row>
      <xdr:rowOff>169824</xdr:rowOff>
    </xdr:to>
    <xdr:graphicFrame macro="">
      <xdr:nvGraphicFramePr>
        <xdr:cNvPr id="24" name="Chart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4</xdr:col>
      <xdr:colOff>941160</xdr:colOff>
      <xdr:row>44</xdr:row>
      <xdr:rowOff>0</xdr:rowOff>
    </xdr:from>
    <xdr:to>
      <xdr:col>7</xdr:col>
      <xdr:colOff>249464</xdr:colOff>
      <xdr:row>51</xdr:row>
      <xdr:rowOff>181429</xdr:rowOff>
    </xdr:to>
    <xdr:graphicFrame macro="">
      <xdr:nvGraphicFramePr>
        <xdr:cNvPr id="26" name="Chart 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</xdr:col>
      <xdr:colOff>839108</xdr:colOff>
      <xdr:row>23</xdr:row>
      <xdr:rowOff>136070</xdr:rowOff>
    </xdr:from>
    <xdr:to>
      <xdr:col>6</xdr:col>
      <xdr:colOff>805089</xdr:colOff>
      <xdr:row>33</xdr:row>
      <xdr:rowOff>102053</xdr:rowOff>
    </xdr:to>
    <xdr:graphicFrame macro="">
      <xdr:nvGraphicFramePr>
        <xdr:cNvPr id="1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0.51679</cdr:x>
      <cdr:y>0.03284</cdr:y>
    </cdr:from>
    <cdr:to>
      <cdr:x>0.93657</cdr:x>
      <cdr:y>0.19294</cdr:y>
    </cdr:to>
    <cdr:sp macro="" textlink="">
      <cdr:nvSpPr>
        <cdr:cNvPr id="3" name="TextBox 16">
          <a:extLst xmlns:a="http://schemas.openxmlformats.org/drawingml/2006/main">
            <a:ext uri="{FF2B5EF4-FFF2-40B4-BE49-F238E27FC236}">
              <a16:creationId xmlns:a16="http://schemas.microsoft.com/office/drawing/2014/main" id="{CDE083F9-C07C-45D3-96FF-60380FAF2409}"/>
            </a:ext>
          </a:extLst>
        </cdr:cNvPr>
        <cdr:cNvSpPr txBox="1"/>
      </cdr:nvSpPr>
      <cdr:spPr>
        <a:xfrm xmlns:a="http://schemas.openxmlformats.org/drawingml/2006/main">
          <a:off x="1055370" y="50800"/>
          <a:ext cx="857250" cy="24765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b="1"/>
            <a:t>Amazon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0.57095</cdr:x>
      <cdr:y>0.03333</cdr:y>
    </cdr:from>
    <cdr:to>
      <cdr:x>0.95369</cdr:x>
      <cdr:y>0.19583</cdr:y>
    </cdr:to>
    <cdr:sp macro="" textlink="">
      <cdr:nvSpPr>
        <cdr:cNvPr id="2" name="TextBox 16">
          <a:extLst xmlns:a="http://schemas.openxmlformats.org/drawingml/2006/main">
            <a:ext uri="{FF2B5EF4-FFF2-40B4-BE49-F238E27FC236}">
              <a16:creationId xmlns:a16="http://schemas.microsoft.com/office/drawing/2014/main" id="{CDE083F9-C07C-45D3-96FF-60380FAF2409}"/>
            </a:ext>
          </a:extLst>
        </cdr:cNvPr>
        <cdr:cNvSpPr txBox="1"/>
      </cdr:nvSpPr>
      <cdr:spPr>
        <a:xfrm xmlns:a="http://schemas.openxmlformats.org/drawingml/2006/main">
          <a:off x="1207770" y="50800"/>
          <a:ext cx="809625" cy="24765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b="1"/>
            <a:t>Big Basket</a:t>
          </a: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0.58029</cdr:x>
      <cdr:y>0.03384</cdr:y>
    </cdr:from>
    <cdr:to>
      <cdr:x>0.94525</cdr:x>
      <cdr:y>0.19882</cdr:y>
    </cdr:to>
    <cdr:sp macro="" textlink="">
      <cdr:nvSpPr>
        <cdr:cNvPr id="2" name="TextBox 16">
          <a:extLst xmlns:a="http://schemas.openxmlformats.org/drawingml/2006/main">
            <a:ext uri="{FF2B5EF4-FFF2-40B4-BE49-F238E27FC236}">
              <a16:creationId xmlns:a16="http://schemas.microsoft.com/office/drawing/2014/main" id="{CDE083F9-C07C-45D3-96FF-60380FAF2409}"/>
            </a:ext>
          </a:extLst>
        </cdr:cNvPr>
        <cdr:cNvSpPr txBox="1"/>
      </cdr:nvSpPr>
      <cdr:spPr>
        <a:xfrm xmlns:a="http://schemas.openxmlformats.org/drawingml/2006/main">
          <a:off x="1211580" y="50800"/>
          <a:ext cx="761999" cy="24765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b="1"/>
            <a:t>Flipkart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0.57862</cdr:x>
      <cdr:y>0.03384</cdr:y>
    </cdr:from>
    <cdr:to>
      <cdr:x>0.95834</cdr:x>
      <cdr:y>0.19882</cdr:y>
    </cdr:to>
    <cdr:sp macro="" textlink="">
      <cdr:nvSpPr>
        <cdr:cNvPr id="2" name="TextBox 16">
          <a:extLst xmlns:a="http://schemas.openxmlformats.org/drawingml/2006/main">
            <a:ext uri="{FF2B5EF4-FFF2-40B4-BE49-F238E27FC236}">
              <a16:creationId xmlns:a16="http://schemas.microsoft.com/office/drawing/2014/main" id="{CDE083F9-C07C-45D3-96FF-60380FAF2409}"/>
            </a:ext>
          </a:extLst>
        </cdr:cNvPr>
        <cdr:cNvSpPr txBox="1"/>
      </cdr:nvSpPr>
      <cdr:spPr>
        <a:xfrm xmlns:a="http://schemas.openxmlformats.org/drawingml/2006/main">
          <a:off x="1219200" y="50800"/>
          <a:ext cx="800099" cy="24765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b="1"/>
            <a:t>Shopclues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atabas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bas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P36"/>
  <sheetViews>
    <sheetView topLeftCell="D15" workbookViewId="0">
      <selection activeCell="D7" sqref="D7:L35"/>
    </sheetView>
  </sheetViews>
  <sheetFormatPr defaultRowHeight="15" x14ac:dyDescent="0.25"/>
  <cols>
    <col min="1" max="1" width="3.140625" style="4" customWidth="1"/>
    <col min="2" max="3" width="11.28515625" style="4" bestFit="1" customWidth="1"/>
    <col min="4" max="4" width="10.5703125" style="4" bestFit="1" customWidth="1"/>
    <col min="5" max="5" width="11.42578125" style="4" bestFit="1" customWidth="1"/>
    <col min="6" max="6" width="17.42578125" style="4" customWidth="1"/>
    <col min="7" max="7" width="13.7109375" style="4" bestFit="1" customWidth="1"/>
    <col min="8" max="8" width="12.5703125" style="4" bestFit="1" customWidth="1"/>
    <col min="9" max="9" width="8.42578125" style="4" bestFit="1" customWidth="1"/>
    <col min="10" max="10" width="10" style="4" bestFit="1" customWidth="1"/>
    <col min="11" max="11" width="14.85546875" style="4" bestFit="1" customWidth="1"/>
    <col min="12" max="12" width="11.7109375" style="4" customWidth="1"/>
    <col min="13" max="13" width="3.140625" style="4" customWidth="1"/>
    <col min="14" max="16" width="10.28515625" style="4" customWidth="1"/>
    <col min="17" max="17" width="12.28515625" style="4" bestFit="1" customWidth="1"/>
    <col min="18" max="18" width="10.5703125" style="4" bestFit="1" customWidth="1"/>
    <col min="19" max="19" width="12.140625" style="4" bestFit="1" customWidth="1"/>
    <col min="20" max="16384" width="9.140625" style="4"/>
  </cols>
  <sheetData>
    <row r="5" spans="1:16" ht="15.75" thickBot="1" x14ac:dyDescent="0.3">
      <c r="A5" s="6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 spans="1:16" ht="31.5" thickBot="1" x14ac:dyDescent="0.3">
      <c r="A6" s="6"/>
      <c r="B6" s="36" t="s">
        <v>27</v>
      </c>
      <c r="C6" s="36"/>
      <c r="D6" s="36"/>
      <c r="E6" s="36"/>
      <c r="F6" s="36"/>
      <c r="G6" s="36"/>
      <c r="H6" s="36"/>
      <c r="I6" s="36"/>
      <c r="J6" s="36"/>
      <c r="K6" s="36"/>
      <c r="L6" s="36"/>
      <c r="M6" s="7"/>
    </row>
    <row r="7" spans="1:16" ht="19.5" thickBot="1" x14ac:dyDescent="0.3">
      <c r="A7" s="6"/>
      <c r="B7" s="25" t="s">
        <v>13</v>
      </c>
      <c r="C7" s="25" t="s">
        <v>17</v>
      </c>
      <c r="D7" s="25" t="s">
        <v>0</v>
      </c>
      <c r="E7" s="25" t="s">
        <v>21</v>
      </c>
      <c r="F7" s="25" t="s">
        <v>22</v>
      </c>
      <c r="G7" s="25" t="s">
        <v>20</v>
      </c>
      <c r="H7" s="25" t="s">
        <v>28</v>
      </c>
      <c r="I7" s="25" t="s">
        <v>6</v>
      </c>
      <c r="J7" s="25" t="s">
        <v>7</v>
      </c>
      <c r="K7" s="25" t="s">
        <v>8</v>
      </c>
      <c r="L7" s="25" t="s">
        <v>15</v>
      </c>
      <c r="M7" s="5"/>
    </row>
    <row r="8" spans="1:16" ht="15.75" thickBot="1" x14ac:dyDescent="0.3">
      <c r="A8" s="6"/>
      <c r="B8" s="29">
        <v>43009</v>
      </c>
      <c r="C8" s="30" t="str">
        <f>TEXT(B8,"dddd")</f>
        <v>Sunday</v>
      </c>
      <c r="D8" s="31" t="s">
        <v>1</v>
      </c>
      <c r="E8" s="31">
        <v>25</v>
      </c>
      <c r="F8" s="32" t="s">
        <v>10</v>
      </c>
      <c r="G8" s="33">
        <v>10</v>
      </c>
      <c r="H8" s="33">
        <v>15</v>
      </c>
      <c r="I8" s="33">
        <f>H8-G8</f>
        <v>5</v>
      </c>
      <c r="J8" s="34">
        <f>I8*H8</f>
        <v>75</v>
      </c>
      <c r="K8" s="33">
        <f>I8*E8</f>
        <v>125</v>
      </c>
      <c r="L8" s="33">
        <f>H8-E8</f>
        <v>-10</v>
      </c>
      <c r="M8" s="5"/>
    </row>
    <row r="9" spans="1:16" ht="15.75" thickBot="1" x14ac:dyDescent="0.3">
      <c r="A9" s="6"/>
      <c r="B9" s="29">
        <v>43009</v>
      </c>
      <c r="C9" s="30" t="str">
        <f t="shared" ref="C9:C35" si="0">TEXT(B9,"dddd")</f>
        <v>Sunday</v>
      </c>
      <c r="D9" s="31" t="s">
        <v>1</v>
      </c>
      <c r="E9" s="31">
        <v>10</v>
      </c>
      <c r="F9" s="32" t="s">
        <v>9</v>
      </c>
      <c r="G9" s="33">
        <v>10</v>
      </c>
      <c r="H9" s="33">
        <v>15</v>
      </c>
      <c r="I9" s="33">
        <f t="shared" ref="I9:I35" si="1">H9-G9</f>
        <v>5</v>
      </c>
      <c r="J9" s="34">
        <f t="shared" ref="J9:J35" si="2">I9*H9</f>
        <v>75</v>
      </c>
      <c r="K9" s="33">
        <f t="shared" ref="K9:K35" si="3">I9*E9</f>
        <v>50</v>
      </c>
      <c r="L9" s="33">
        <f t="shared" ref="L9:L35" si="4">H9-E9</f>
        <v>5</v>
      </c>
      <c r="M9" s="5"/>
    </row>
    <row r="10" spans="1:16" ht="15.75" thickBot="1" x14ac:dyDescent="0.3">
      <c r="A10" s="6"/>
      <c r="B10" s="29">
        <v>43009</v>
      </c>
      <c r="C10" s="30" t="str">
        <f t="shared" si="0"/>
        <v>Sunday</v>
      </c>
      <c r="D10" s="31" t="s">
        <v>5</v>
      </c>
      <c r="E10" s="31">
        <v>50</v>
      </c>
      <c r="F10" s="32" t="s">
        <v>10</v>
      </c>
      <c r="G10" s="33">
        <v>8</v>
      </c>
      <c r="H10" s="33">
        <v>10</v>
      </c>
      <c r="I10" s="33">
        <f t="shared" si="1"/>
        <v>2</v>
      </c>
      <c r="J10" s="34">
        <f t="shared" si="2"/>
        <v>20</v>
      </c>
      <c r="K10" s="33">
        <f t="shared" si="3"/>
        <v>100</v>
      </c>
      <c r="L10" s="33">
        <f t="shared" si="4"/>
        <v>-40</v>
      </c>
      <c r="M10" s="5"/>
    </row>
    <row r="11" spans="1:16" ht="15.75" thickBot="1" x14ac:dyDescent="0.3">
      <c r="A11" s="6"/>
      <c r="B11" s="29">
        <v>43010</v>
      </c>
      <c r="C11" s="30" t="str">
        <f t="shared" si="0"/>
        <v>Monday</v>
      </c>
      <c r="D11" s="31" t="s">
        <v>2</v>
      </c>
      <c r="E11" s="31">
        <v>25</v>
      </c>
      <c r="F11" s="32" t="s">
        <v>16</v>
      </c>
      <c r="G11" s="33">
        <v>5</v>
      </c>
      <c r="H11" s="33">
        <v>10</v>
      </c>
      <c r="I11" s="33">
        <f t="shared" si="1"/>
        <v>5</v>
      </c>
      <c r="J11" s="34">
        <f t="shared" si="2"/>
        <v>50</v>
      </c>
      <c r="K11" s="33">
        <f t="shared" si="3"/>
        <v>125</v>
      </c>
      <c r="L11" s="33">
        <f t="shared" si="4"/>
        <v>-15</v>
      </c>
      <c r="M11" s="5"/>
    </row>
    <row r="12" spans="1:16" ht="15.75" thickBot="1" x14ac:dyDescent="0.3">
      <c r="A12" s="6"/>
      <c r="B12" s="29">
        <v>43010</v>
      </c>
      <c r="C12" s="30" t="str">
        <f t="shared" si="0"/>
        <v>Monday</v>
      </c>
      <c r="D12" s="31" t="s">
        <v>3</v>
      </c>
      <c r="E12" s="31">
        <v>25</v>
      </c>
      <c r="F12" s="32" t="s">
        <v>9</v>
      </c>
      <c r="G12" s="33">
        <v>12</v>
      </c>
      <c r="H12" s="33">
        <v>20</v>
      </c>
      <c r="I12" s="33">
        <f t="shared" si="1"/>
        <v>8</v>
      </c>
      <c r="J12" s="34">
        <f t="shared" si="2"/>
        <v>160</v>
      </c>
      <c r="K12" s="33">
        <f t="shared" si="3"/>
        <v>200</v>
      </c>
      <c r="L12" s="33">
        <f t="shared" si="4"/>
        <v>-5</v>
      </c>
      <c r="M12" s="5"/>
    </row>
    <row r="13" spans="1:16" ht="15.75" thickBot="1" x14ac:dyDescent="0.3">
      <c r="A13" s="6"/>
      <c r="B13" s="29">
        <v>43012</v>
      </c>
      <c r="C13" s="30" t="str">
        <f t="shared" si="0"/>
        <v>Wednesday</v>
      </c>
      <c r="D13" s="31" t="s">
        <v>5</v>
      </c>
      <c r="E13" s="31">
        <v>10</v>
      </c>
      <c r="F13" s="32" t="s">
        <v>10</v>
      </c>
      <c r="G13" s="33">
        <v>8</v>
      </c>
      <c r="H13" s="33">
        <v>10</v>
      </c>
      <c r="I13" s="33">
        <f t="shared" si="1"/>
        <v>2</v>
      </c>
      <c r="J13" s="34">
        <f t="shared" si="2"/>
        <v>20</v>
      </c>
      <c r="K13" s="33">
        <f t="shared" si="3"/>
        <v>20</v>
      </c>
      <c r="L13" s="33">
        <f t="shared" si="4"/>
        <v>0</v>
      </c>
      <c r="M13" s="5"/>
    </row>
    <row r="14" spans="1:16" ht="15.75" thickBot="1" x14ac:dyDescent="0.3">
      <c r="A14" s="6"/>
      <c r="B14" s="29">
        <v>43012</v>
      </c>
      <c r="C14" s="30" t="str">
        <f t="shared" si="0"/>
        <v>Wednesday</v>
      </c>
      <c r="D14" s="31" t="s">
        <v>4</v>
      </c>
      <c r="E14" s="31">
        <v>20</v>
      </c>
      <c r="F14" s="32" t="s">
        <v>11</v>
      </c>
      <c r="G14" s="33">
        <v>20</v>
      </c>
      <c r="H14" s="33">
        <v>30</v>
      </c>
      <c r="I14" s="33">
        <f t="shared" si="1"/>
        <v>10</v>
      </c>
      <c r="J14" s="34">
        <f t="shared" si="2"/>
        <v>300</v>
      </c>
      <c r="K14" s="33">
        <f t="shared" si="3"/>
        <v>200</v>
      </c>
      <c r="L14" s="33">
        <f t="shared" si="4"/>
        <v>10</v>
      </c>
      <c r="M14" s="5"/>
    </row>
    <row r="15" spans="1:16" ht="15.75" thickBot="1" x14ac:dyDescent="0.3">
      <c r="A15" s="6"/>
      <c r="B15" s="29">
        <v>43013</v>
      </c>
      <c r="C15" s="30" t="str">
        <f t="shared" si="0"/>
        <v>Thursday</v>
      </c>
      <c r="D15" s="31" t="s">
        <v>3</v>
      </c>
      <c r="E15" s="31">
        <v>40</v>
      </c>
      <c r="F15" s="32" t="s">
        <v>10</v>
      </c>
      <c r="G15" s="33">
        <v>12</v>
      </c>
      <c r="H15" s="33">
        <v>20</v>
      </c>
      <c r="I15" s="33">
        <f t="shared" si="1"/>
        <v>8</v>
      </c>
      <c r="J15" s="34">
        <f t="shared" si="2"/>
        <v>160</v>
      </c>
      <c r="K15" s="33">
        <f t="shared" si="3"/>
        <v>320</v>
      </c>
      <c r="L15" s="33">
        <f t="shared" si="4"/>
        <v>-20</v>
      </c>
      <c r="M15" s="5"/>
      <c r="N15" s="8"/>
      <c r="O15" s="9"/>
      <c r="P15" s="9"/>
    </row>
    <row r="16" spans="1:16" ht="15.75" thickBot="1" x14ac:dyDescent="0.3">
      <c r="A16" s="6"/>
      <c r="B16" s="29">
        <v>43013</v>
      </c>
      <c r="C16" s="30" t="str">
        <f t="shared" si="0"/>
        <v>Thursday</v>
      </c>
      <c r="D16" s="31" t="s">
        <v>4</v>
      </c>
      <c r="E16" s="31">
        <v>50</v>
      </c>
      <c r="F16" s="32" t="s">
        <v>11</v>
      </c>
      <c r="G16" s="33">
        <v>20</v>
      </c>
      <c r="H16" s="33">
        <v>30</v>
      </c>
      <c r="I16" s="33">
        <f t="shared" si="1"/>
        <v>10</v>
      </c>
      <c r="J16" s="34">
        <f t="shared" si="2"/>
        <v>300</v>
      </c>
      <c r="K16" s="33">
        <f t="shared" si="3"/>
        <v>500</v>
      </c>
      <c r="L16" s="33">
        <f t="shared" si="4"/>
        <v>-20</v>
      </c>
      <c r="M16" s="5"/>
    </row>
    <row r="17" spans="1:13" ht="15.75" thickBot="1" x14ac:dyDescent="0.3">
      <c r="A17" s="6"/>
      <c r="B17" s="29">
        <v>43014</v>
      </c>
      <c r="C17" s="30" t="str">
        <f t="shared" si="0"/>
        <v>Friday</v>
      </c>
      <c r="D17" s="31" t="s">
        <v>5</v>
      </c>
      <c r="E17" s="31">
        <v>100</v>
      </c>
      <c r="F17" s="32" t="s">
        <v>11</v>
      </c>
      <c r="G17" s="33">
        <v>8</v>
      </c>
      <c r="H17" s="33">
        <v>10</v>
      </c>
      <c r="I17" s="33">
        <f t="shared" si="1"/>
        <v>2</v>
      </c>
      <c r="J17" s="34">
        <f t="shared" si="2"/>
        <v>20</v>
      </c>
      <c r="K17" s="33">
        <f t="shared" si="3"/>
        <v>200</v>
      </c>
      <c r="L17" s="33">
        <f t="shared" si="4"/>
        <v>-90</v>
      </c>
      <c r="M17" s="5"/>
    </row>
    <row r="18" spans="1:13" ht="15.75" thickBot="1" x14ac:dyDescent="0.3">
      <c r="A18" s="6"/>
      <c r="B18" s="29">
        <v>43015</v>
      </c>
      <c r="C18" s="30" t="str">
        <f t="shared" si="0"/>
        <v>Saturday</v>
      </c>
      <c r="D18" s="31" t="s">
        <v>4</v>
      </c>
      <c r="E18" s="31">
        <v>25</v>
      </c>
      <c r="F18" s="32" t="s">
        <v>16</v>
      </c>
      <c r="G18" s="33">
        <v>20</v>
      </c>
      <c r="H18" s="33">
        <v>30</v>
      </c>
      <c r="I18" s="33">
        <f t="shared" si="1"/>
        <v>10</v>
      </c>
      <c r="J18" s="34">
        <f t="shared" si="2"/>
        <v>300</v>
      </c>
      <c r="K18" s="33">
        <f t="shared" si="3"/>
        <v>250</v>
      </c>
      <c r="L18" s="33">
        <f t="shared" si="4"/>
        <v>5</v>
      </c>
      <c r="M18" s="5"/>
    </row>
    <row r="19" spans="1:13" ht="15.75" thickBot="1" x14ac:dyDescent="0.3">
      <c r="A19" s="6"/>
      <c r="B19" s="29">
        <v>43016</v>
      </c>
      <c r="C19" s="30" t="str">
        <f t="shared" si="0"/>
        <v>Sunday</v>
      </c>
      <c r="D19" s="31" t="s">
        <v>1</v>
      </c>
      <c r="E19" s="31">
        <v>40</v>
      </c>
      <c r="F19" s="32" t="s">
        <v>16</v>
      </c>
      <c r="G19" s="33">
        <v>10</v>
      </c>
      <c r="H19" s="33">
        <v>15</v>
      </c>
      <c r="I19" s="33">
        <f t="shared" si="1"/>
        <v>5</v>
      </c>
      <c r="J19" s="34">
        <f t="shared" si="2"/>
        <v>75</v>
      </c>
      <c r="K19" s="33">
        <f t="shared" si="3"/>
        <v>200</v>
      </c>
      <c r="L19" s="33">
        <f t="shared" si="4"/>
        <v>-25</v>
      </c>
      <c r="M19" s="5"/>
    </row>
    <row r="20" spans="1:13" ht="15.75" thickBot="1" x14ac:dyDescent="0.3">
      <c r="A20" s="6"/>
      <c r="B20" s="29">
        <v>43018</v>
      </c>
      <c r="C20" s="30" t="str">
        <f t="shared" si="0"/>
        <v>Tuesday</v>
      </c>
      <c r="D20" s="31" t="s">
        <v>2</v>
      </c>
      <c r="E20" s="31">
        <v>20</v>
      </c>
      <c r="F20" s="32" t="s">
        <v>9</v>
      </c>
      <c r="G20" s="33">
        <v>5</v>
      </c>
      <c r="H20" s="33">
        <v>10</v>
      </c>
      <c r="I20" s="33">
        <f t="shared" si="1"/>
        <v>5</v>
      </c>
      <c r="J20" s="34">
        <f t="shared" si="2"/>
        <v>50</v>
      </c>
      <c r="K20" s="33">
        <f t="shared" si="3"/>
        <v>100</v>
      </c>
      <c r="L20" s="33">
        <f t="shared" si="4"/>
        <v>-10</v>
      </c>
      <c r="M20" s="5"/>
    </row>
    <row r="21" spans="1:13" ht="15.75" thickBot="1" x14ac:dyDescent="0.3">
      <c r="A21" s="6"/>
      <c r="B21" s="29">
        <v>43018</v>
      </c>
      <c r="C21" s="30" t="str">
        <f t="shared" si="0"/>
        <v>Tuesday</v>
      </c>
      <c r="D21" s="31" t="s">
        <v>3</v>
      </c>
      <c r="E21" s="31">
        <v>100</v>
      </c>
      <c r="F21" s="32" t="s">
        <v>12</v>
      </c>
      <c r="G21" s="33">
        <v>12</v>
      </c>
      <c r="H21" s="33">
        <v>20</v>
      </c>
      <c r="I21" s="33">
        <f t="shared" si="1"/>
        <v>8</v>
      </c>
      <c r="J21" s="34">
        <f t="shared" si="2"/>
        <v>160</v>
      </c>
      <c r="K21" s="33">
        <f t="shared" si="3"/>
        <v>800</v>
      </c>
      <c r="L21" s="33">
        <f t="shared" si="4"/>
        <v>-80</v>
      </c>
      <c r="M21" s="5"/>
    </row>
    <row r="22" spans="1:13" ht="15.75" thickBot="1" x14ac:dyDescent="0.3">
      <c r="A22" s="6"/>
      <c r="B22" s="29">
        <v>43019</v>
      </c>
      <c r="C22" s="30" t="str">
        <f t="shared" si="0"/>
        <v>Wednesday</v>
      </c>
      <c r="D22" s="31" t="s">
        <v>3</v>
      </c>
      <c r="E22" s="31">
        <v>25</v>
      </c>
      <c r="F22" s="32" t="s">
        <v>9</v>
      </c>
      <c r="G22" s="33">
        <v>12</v>
      </c>
      <c r="H22" s="33">
        <v>20</v>
      </c>
      <c r="I22" s="33">
        <f t="shared" si="1"/>
        <v>8</v>
      </c>
      <c r="J22" s="34">
        <f t="shared" si="2"/>
        <v>160</v>
      </c>
      <c r="K22" s="33">
        <f t="shared" si="3"/>
        <v>200</v>
      </c>
      <c r="L22" s="33">
        <f t="shared" si="4"/>
        <v>-5</v>
      </c>
      <c r="M22" s="5"/>
    </row>
    <row r="23" spans="1:13" ht="15.75" thickBot="1" x14ac:dyDescent="0.3">
      <c r="A23" s="6"/>
      <c r="B23" s="29">
        <v>43021</v>
      </c>
      <c r="C23" s="30" t="str">
        <f t="shared" si="0"/>
        <v>Friday</v>
      </c>
      <c r="D23" s="31" t="s">
        <v>2</v>
      </c>
      <c r="E23" s="31">
        <v>40</v>
      </c>
      <c r="F23" s="32" t="s">
        <v>16</v>
      </c>
      <c r="G23" s="33">
        <v>5</v>
      </c>
      <c r="H23" s="33">
        <v>10</v>
      </c>
      <c r="I23" s="33">
        <f t="shared" si="1"/>
        <v>5</v>
      </c>
      <c r="J23" s="34">
        <f t="shared" si="2"/>
        <v>50</v>
      </c>
      <c r="K23" s="33">
        <f t="shared" si="3"/>
        <v>200</v>
      </c>
      <c r="L23" s="33">
        <f t="shared" si="4"/>
        <v>-30</v>
      </c>
      <c r="M23" s="5"/>
    </row>
    <row r="24" spans="1:13" ht="15.75" thickBot="1" x14ac:dyDescent="0.3">
      <c r="A24" s="6"/>
      <c r="B24" s="29">
        <v>43022</v>
      </c>
      <c r="C24" s="30" t="str">
        <f t="shared" si="0"/>
        <v>Saturday</v>
      </c>
      <c r="D24" s="31" t="s">
        <v>4</v>
      </c>
      <c r="E24" s="31">
        <v>25</v>
      </c>
      <c r="F24" s="32" t="s">
        <v>9</v>
      </c>
      <c r="G24" s="33">
        <v>20</v>
      </c>
      <c r="H24" s="33">
        <v>30</v>
      </c>
      <c r="I24" s="33">
        <f t="shared" si="1"/>
        <v>10</v>
      </c>
      <c r="J24" s="34">
        <f t="shared" si="2"/>
        <v>300</v>
      </c>
      <c r="K24" s="33">
        <f t="shared" si="3"/>
        <v>250</v>
      </c>
      <c r="L24" s="33">
        <f t="shared" si="4"/>
        <v>5</v>
      </c>
      <c r="M24" s="5"/>
    </row>
    <row r="25" spans="1:13" ht="15.75" thickBot="1" x14ac:dyDescent="0.3">
      <c r="A25" s="6"/>
      <c r="B25" s="29">
        <v>43024</v>
      </c>
      <c r="C25" s="30" t="str">
        <f t="shared" si="0"/>
        <v>Monday</v>
      </c>
      <c r="D25" s="31" t="s">
        <v>2</v>
      </c>
      <c r="E25" s="31">
        <v>50</v>
      </c>
      <c r="F25" s="32" t="s">
        <v>11</v>
      </c>
      <c r="G25" s="33">
        <v>5</v>
      </c>
      <c r="H25" s="33">
        <v>10</v>
      </c>
      <c r="I25" s="33">
        <f t="shared" si="1"/>
        <v>5</v>
      </c>
      <c r="J25" s="34">
        <f t="shared" si="2"/>
        <v>50</v>
      </c>
      <c r="K25" s="33">
        <f t="shared" si="3"/>
        <v>250</v>
      </c>
      <c r="L25" s="33">
        <f t="shared" si="4"/>
        <v>-40</v>
      </c>
      <c r="M25" s="5"/>
    </row>
    <row r="26" spans="1:13" ht="15.75" thickBot="1" x14ac:dyDescent="0.3">
      <c r="A26" s="6"/>
      <c r="B26" s="29">
        <v>43024</v>
      </c>
      <c r="C26" s="30" t="str">
        <f t="shared" si="0"/>
        <v>Monday</v>
      </c>
      <c r="D26" s="31" t="s">
        <v>3</v>
      </c>
      <c r="E26" s="31">
        <v>30</v>
      </c>
      <c r="F26" s="32" t="s">
        <v>9</v>
      </c>
      <c r="G26" s="33">
        <v>12</v>
      </c>
      <c r="H26" s="33">
        <v>20</v>
      </c>
      <c r="I26" s="33">
        <f t="shared" si="1"/>
        <v>8</v>
      </c>
      <c r="J26" s="34">
        <f t="shared" si="2"/>
        <v>160</v>
      </c>
      <c r="K26" s="33">
        <f t="shared" si="3"/>
        <v>240</v>
      </c>
      <c r="L26" s="33">
        <f t="shared" si="4"/>
        <v>-10</v>
      </c>
      <c r="M26" s="5"/>
    </row>
    <row r="27" spans="1:13" ht="15.75" thickBot="1" x14ac:dyDescent="0.3">
      <c r="A27" s="6"/>
      <c r="B27" s="29">
        <v>43025</v>
      </c>
      <c r="C27" s="30" t="str">
        <f t="shared" si="0"/>
        <v>Tuesday</v>
      </c>
      <c r="D27" s="31" t="s">
        <v>4</v>
      </c>
      <c r="E27" s="31">
        <v>25</v>
      </c>
      <c r="F27" s="32" t="s">
        <v>12</v>
      </c>
      <c r="G27" s="33">
        <v>20</v>
      </c>
      <c r="H27" s="33">
        <v>30</v>
      </c>
      <c r="I27" s="33">
        <f t="shared" si="1"/>
        <v>10</v>
      </c>
      <c r="J27" s="34">
        <f t="shared" si="2"/>
        <v>300</v>
      </c>
      <c r="K27" s="33">
        <f t="shared" si="3"/>
        <v>250</v>
      </c>
      <c r="L27" s="33">
        <f t="shared" si="4"/>
        <v>5</v>
      </c>
      <c r="M27" s="5"/>
    </row>
    <row r="28" spans="1:13" ht="15.75" thickBot="1" x14ac:dyDescent="0.3">
      <c r="A28" s="6"/>
      <c r="B28" s="29">
        <v>43029</v>
      </c>
      <c r="C28" s="30" t="str">
        <f t="shared" si="0"/>
        <v>Saturday</v>
      </c>
      <c r="D28" s="31" t="s">
        <v>2</v>
      </c>
      <c r="E28" s="31">
        <v>60</v>
      </c>
      <c r="F28" s="32" t="s">
        <v>10</v>
      </c>
      <c r="G28" s="33">
        <v>5</v>
      </c>
      <c r="H28" s="33">
        <v>10</v>
      </c>
      <c r="I28" s="33">
        <f t="shared" si="1"/>
        <v>5</v>
      </c>
      <c r="J28" s="34">
        <f t="shared" si="2"/>
        <v>50</v>
      </c>
      <c r="K28" s="33">
        <f t="shared" si="3"/>
        <v>300</v>
      </c>
      <c r="L28" s="33">
        <f t="shared" si="4"/>
        <v>-50</v>
      </c>
      <c r="M28" s="5"/>
    </row>
    <row r="29" spans="1:13" ht="15.75" thickBot="1" x14ac:dyDescent="0.3">
      <c r="A29" s="6"/>
      <c r="B29" s="29">
        <v>43030</v>
      </c>
      <c r="C29" s="30" t="str">
        <f t="shared" si="0"/>
        <v>Sunday</v>
      </c>
      <c r="D29" s="31" t="s">
        <v>5</v>
      </c>
      <c r="E29" s="31">
        <v>100</v>
      </c>
      <c r="F29" s="32" t="s">
        <v>11</v>
      </c>
      <c r="G29" s="33">
        <v>8</v>
      </c>
      <c r="H29" s="33">
        <v>10</v>
      </c>
      <c r="I29" s="33">
        <f t="shared" si="1"/>
        <v>2</v>
      </c>
      <c r="J29" s="34">
        <f t="shared" si="2"/>
        <v>20</v>
      </c>
      <c r="K29" s="33">
        <f t="shared" si="3"/>
        <v>200</v>
      </c>
      <c r="L29" s="33">
        <f t="shared" si="4"/>
        <v>-90</v>
      </c>
      <c r="M29" s="5"/>
    </row>
    <row r="30" spans="1:13" ht="15.75" thickBot="1" x14ac:dyDescent="0.3">
      <c r="A30" s="6"/>
      <c r="B30" s="29">
        <v>43032</v>
      </c>
      <c r="C30" s="30" t="str">
        <f t="shared" si="0"/>
        <v>Tuesday</v>
      </c>
      <c r="D30" s="31" t="s">
        <v>4</v>
      </c>
      <c r="E30" s="31">
        <v>20</v>
      </c>
      <c r="F30" s="32" t="s">
        <v>9</v>
      </c>
      <c r="G30" s="33">
        <v>20</v>
      </c>
      <c r="H30" s="33">
        <v>30</v>
      </c>
      <c r="I30" s="33">
        <f t="shared" si="1"/>
        <v>10</v>
      </c>
      <c r="J30" s="34">
        <f t="shared" si="2"/>
        <v>300</v>
      </c>
      <c r="K30" s="33">
        <f t="shared" si="3"/>
        <v>200</v>
      </c>
      <c r="L30" s="33">
        <f t="shared" si="4"/>
        <v>10</v>
      </c>
      <c r="M30" s="5"/>
    </row>
    <row r="31" spans="1:13" ht="15.75" thickBot="1" x14ac:dyDescent="0.3">
      <c r="A31" s="6"/>
      <c r="B31" s="29">
        <v>43032</v>
      </c>
      <c r="C31" s="30" t="str">
        <f t="shared" si="0"/>
        <v>Tuesday</v>
      </c>
      <c r="D31" s="31" t="s">
        <v>3</v>
      </c>
      <c r="E31" s="31">
        <v>40</v>
      </c>
      <c r="F31" s="32" t="s">
        <v>11</v>
      </c>
      <c r="G31" s="33">
        <v>12</v>
      </c>
      <c r="H31" s="33">
        <v>20</v>
      </c>
      <c r="I31" s="33">
        <f t="shared" si="1"/>
        <v>8</v>
      </c>
      <c r="J31" s="34">
        <f t="shared" si="2"/>
        <v>160</v>
      </c>
      <c r="K31" s="33">
        <f t="shared" si="3"/>
        <v>320</v>
      </c>
      <c r="L31" s="33">
        <f t="shared" si="4"/>
        <v>-20</v>
      </c>
      <c r="M31" s="5"/>
    </row>
    <row r="32" spans="1:13" ht="15.75" thickBot="1" x14ac:dyDescent="0.3">
      <c r="A32" s="6"/>
      <c r="B32" s="29">
        <v>43035</v>
      </c>
      <c r="C32" s="30" t="str">
        <f t="shared" si="0"/>
        <v>Friday</v>
      </c>
      <c r="D32" s="31" t="s">
        <v>2</v>
      </c>
      <c r="E32" s="31">
        <v>50</v>
      </c>
      <c r="F32" s="32" t="s">
        <v>12</v>
      </c>
      <c r="G32" s="33">
        <v>5</v>
      </c>
      <c r="H32" s="33">
        <v>10</v>
      </c>
      <c r="I32" s="33">
        <f t="shared" si="1"/>
        <v>5</v>
      </c>
      <c r="J32" s="34">
        <f t="shared" si="2"/>
        <v>50</v>
      </c>
      <c r="K32" s="33">
        <f t="shared" si="3"/>
        <v>250</v>
      </c>
      <c r="L32" s="33">
        <f t="shared" si="4"/>
        <v>-40</v>
      </c>
      <c r="M32" s="5"/>
    </row>
    <row r="33" spans="1:13" ht="15.75" thickBot="1" x14ac:dyDescent="0.3">
      <c r="A33" s="6"/>
      <c r="B33" s="29">
        <v>43036</v>
      </c>
      <c r="C33" s="30" t="str">
        <f t="shared" si="0"/>
        <v>Saturday</v>
      </c>
      <c r="D33" s="31" t="s">
        <v>2</v>
      </c>
      <c r="E33" s="31">
        <v>50</v>
      </c>
      <c r="F33" s="32" t="s">
        <v>16</v>
      </c>
      <c r="G33" s="33">
        <v>5</v>
      </c>
      <c r="H33" s="33">
        <v>10</v>
      </c>
      <c r="I33" s="33">
        <f t="shared" si="1"/>
        <v>5</v>
      </c>
      <c r="J33" s="34">
        <f t="shared" si="2"/>
        <v>50</v>
      </c>
      <c r="K33" s="33">
        <f t="shared" si="3"/>
        <v>250</v>
      </c>
      <c r="L33" s="33">
        <f t="shared" si="4"/>
        <v>-40</v>
      </c>
      <c r="M33" s="5"/>
    </row>
    <row r="34" spans="1:13" ht="15.75" thickBot="1" x14ac:dyDescent="0.3">
      <c r="A34" s="6"/>
      <c r="B34" s="29">
        <v>43038</v>
      </c>
      <c r="C34" s="30" t="str">
        <f t="shared" si="0"/>
        <v>Monday</v>
      </c>
      <c r="D34" s="31" t="s">
        <v>1</v>
      </c>
      <c r="E34" s="31">
        <v>50</v>
      </c>
      <c r="F34" s="32" t="s">
        <v>12</v>
      </c>
      <c r="G34" s="33">
        <v>10</v>
      </c>
      <c r="H34" s="33">
        <v>15</v>
      </c>
      <c r="I34" s="33">
        <f t="shared" si="1"/>
        <v>5</v>
      </c>
      <c r="J34" s="34">
        <f t="shared" si="2"/>
        <v>75</v>
      </c>
      <c r="K34" s="33">
        <f t="shared" si="3"/>
        <v>250</v>
      </c>
      <c r="L34" s="33">
        <f t="shared" si="4"/>
        <v>-35</v>
      </c>
      <c r="M34" s="5"/>
    </row>
    <row r="35" spans="1:13" ht="15.75" thickBot="1" x14ac:dyDescent="0.3">
      <c r="A35" s="6"/>
      <c r="B35" s="29">
        <v>43038</v>
      </c>
      <c r="C35" s="30" t="str">
        <f t="shared" si="0"/>
        <v>Monday</v>
      </c>
      <c r="D35" s="31" t="s">
        <v>4</v>
      </c>
      <c r="E35" s="31">
        <v>20</v>
      </c>
      <c r="F35" s="32" t="s">
        <v>10</v>
      </c>
      <c r="G35" s="33">
        <v>20</v>
      </c>
      <c r="H35" s="33">
        <v>30</v>
      </c>
      <c r="I35" s="33">
        <f t="shared" si="1"/>
        <v>10</v>
      </c>
      <c r="J35" s="34">
        <f t="shared" si="2"/>
        <v>300</v>
      </c>
      <c r="K35" s="33">
        <f t="shared" si="3"/>
        <v>200</v>
      </c>
      <c r="L35" s="33">
        <f t="shared" si="4"/>
        <v>10</v>
      </c>
      <c r="M35" s="5"/>
    </row>
    <row r="36" spans="1:13" x14ac:dyDescent="0.25">
      <c r="A36" s="6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</row>
  </sheetData>
  <mergeCells count="1">
    <mergeCell ref="B6:L6"/>
  </mergeCells>
  <pageMargins left="0.7" right="0.7" top="0.75" bottom="0.75" header="0.3" footer="0.3"/>
  <pageSetup orientation="portrait" horizontalDpi="300" verticalDpi="3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Database!#REF!</xm:f>
          </x14:formula1>
          <xm:sqref>C7:C34</xm:sqref>
        </x14:dataValidation>
        <x14:dataValidation type="list" allowBlank="1" showInputMessage="1" showErrorMessage="1">
          <x14:formula1>
            <xm:f>Database!#REF!</xm:f>
          </x14:formula1>
          <xm:sqref>E7:E34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247"/>
  <sheetViews>
    <sheetView tabSelected="1" topLeftCell="A6" zoomScale="84" workbookViewId="0">
      <selection activeCell="L34" sqref="L34"/>
    </sheetView>
  </sheetViews>
  <sheetFormatPr defaultRowHeight="15" x14ac:dyDescent="0.25"/>
  <cols>
    <col min="1" max="1" width="3.140625" style="2" customWidth="1"/>
    <col min="2" max="8" width="15.7109375" style="2" customWidth="1"/>
    <col min="9" max="9" width="3.140625" style="2" customWidth="1"/>
    <col min="10" max="13" width="15.7109375" style="2" customWidth="1"/>
    <col min="14" max="16384" width="9.140625" style="2"/>
  </cols>
  <sheetData>
    <row r="1" spans="1:11" ht="15.75" thickBot="1" x14ac:dyDescent="0.3">
      <c r="A1" s="1"/>
      <c r="B1" s="1"/>
      <c r="C1" s="1"/>
      <c r="D1" s="1"/>
      <c r="E1" s="1"/>
      <c r="F1" s="1"/>
      <c r="G1" s="1"/>
      <c r="H1" s="1"/>
      <c r="I1" s="1"/>
    </row>
    <row r="2" spans="1:11" ht="50.25" customHeight="1" thickBot="1" x14ac:dyDescent="0.3">
      <c r="A2" s="1"/>
      <c r="B2" s="41"/>
      <c r="C2" s="41"/>
      <c r="D2" s="41"/>
      <c r="E2" s="41"/>
      <c r="F2" s="41"/>
      <c r="G2" s="41"/>
      <c r="H2" s="43"/>
      <c r="I2" s="1"/>
    </row>
    <row r="3" spans="1:11" ht="32.25" customHeight="1" thickBot="1" x14ac:dyDescent="0.3">
      <c r="A3" s="1"/>
      <c r="B3" s="42" t="s">
        <v>24</v>
      </c>
      <c r="C3" s="42"/>
      <c r="D3" s="42"/>
      <c r="E3" s="42"/>
      <c r="F3" s="42"/>
      <c r="G3" s="42"/>
      <c r="H3" s="43"/>
      <c r="I3" s="1"/>
      <c r="K3" s="35" t="s">
        <v>29</v>
      </c>
    </row>
    <row r="4" spans="1:11" ht="32.25" customHeight="1" thickBot="1" x14ac:dyDescent="0.3">
      <c r="A4" s="1"/>
      <c r="B4" s="44" t="s">
        <v>23</v>
      </c>
      <c r="C4" s="45"/>
      <c r="D4" s="45"/>
      <c r="E4" s="45"/>
      <c r="F4" s="45"/>
      <c r="G4" s="45"/>
      <c r="H4" s="46"/>
      <c r="I4" s="1"/>
    </row>
    <row r="5" spans="1:11" ht="26.25" thickBot="1" x14ac:dyDescent="0.3">
      <c r="A5" s="1"/>
      <c r="B5" s="37" t="s">
        <v>25</v>
      </c>
      <c r="C5" s="38"/>
      <c r="D5" s="38"/>
      <c r="E5" s="38"/>
      <c r="F5" s="38"/>
      <c r="G5" s="38"/>
      <c r="H5" s="39"/>
      <c r="I5" s="1"/>
    </row>
    <row r="6" spans="1:11" ht="20.25" thickBot="1" x14ac:dyDescent="0.3">
      <c r="A6" s="1"/>
      <c r="B6" s="27" t="s">
        <v>0</v>
      </c>
      <c r="C6" s="27" t="s">
        <v>9</v>
      </c>
      <c r="D6" s="27" t="s">
        <v>10</v>
      </c>
      <c r="E6" s="27" t="s">
        <v>16</v>
      </c>
      <c r="F6" s="27" t="s">
        <v>11</v>
      </c>
      <c r="G6" s="27" t="s">
        <v>12</v>
      </c>
      <c r="H6" s="28" t="s">
        <v>14</v>
      </c>
      <c r="I6" s="1"/>
    </row>
    <row r="7" spans="1:11" ht="15.75" thickBot="1" x14ac:dyDescent="0.3">
      <c r="A7" s="1"/>
      <c r="B7" s="10" t="s">
        <v>1</v>
      </c>
      <c r="C7" s="10">
        <f>SUMIFS('Sales report'!$E$8:E$35,'Sales report'!$D$8:$D$35,B7,'Sales report'!$F$8:$F$35,C6)</f>
        <v>10</v>
      </c>
      <c r="D7" s="10">
        <f>SUMIFS('Sales report'!$E$8:$E$35,'Sales report'!$D$8:$D$35,B7,'Sales report'!$F$8:$F$35,D6)</f>
        <v>25</v>
      </c>
      <c r="E7" s="10">
        <f>SUMIFS('Sales report'!$E$8:$E$35,'Sales report'!$D$8:$D$35,B7,'Sales report'!$F$8:$F$35,E6)</f>
        <v>40</v>
      </c>
      <c r="F7" s="10">
        <f>SUMIFS('Sales report'!$E$8:$E$35,'Sales report'!$D$8:$D$35,B7,'Sales report'!$F$8:$F$35,F6)</f>
        <v>0</v>
      </c>
      <c r="G7" s="10">
        <f>SUMIFS('Sales report'!$E$8:$E$35,'Sales report'!$D$8:$D$35,B7,'Sales report'!$F$8:$F$35,G6)</f>
        <v>50</v>
      </c>
      <c r="H7" s="11">
        <f t="shared" ref="H7:H12" si="0">SUM(C7:G7)</f>
        <v>125</v>
      </c>
      <c r="I7" s="1"/>
    </row>
    <row r="8" spans="1:11" ht="15.75" thickBot="1" x14ac:dyDescent="0.3">
      <c r="A8" s="1"/>
      <c r="B8" s="10" t="s">
        <v>2</v>
      </c>
      <c r="C8" s="10">
        <f>SUMIFS('Sales report'!$E$8:$E$35,'Sales report'!$D$8:$D$35,B8,'Sales report'!$F$8:$F$35,C6)</f>
        <v>20</v>
      </c>
      <c r="D8" s="10">
        <f>SUMIFS('Sales report'!$E$8:$E$35,'Sales report'!$D$8:$D$35,B8,'Sales report'!$F$8:$F$35,D6)</f>
        <v>60</v>
      </c>
      <c r="E8" s="10">
        <f>SUMIFS('Sales report'!$E$8:$E$35,'Sales report'!$D$8:$D$35,B8,'Sales report'!$F$8:$F$35,E6)</f>
        <v>115</v>
      </c>
      <c r="F8" s="10">
        <f>SUMIFS('Sales report'!$E$8:$E$35,'Sales report'!$D$8:$D$35,B8,'Sales report'!$F$8:$F$35,F6)</f>
        <v>50</v>
      </c>
      <c r="G8" s="10">
        <f>SUMIFS('Sales report'!$E$8:$E$35,'Sales report'!$D$8:$D$35,B8,'Sales report'!$F$8:$F$35,G6)</f>
        <v>50</v>
      </c>
      <c r="H8" s="11">
        <f t="shared" si="0"/>
        <v>295</v>
      </c>
      <c r="I8" s="1"/>
    </row>
    <row r="9" spans="1:11" ht="15.75" thickBot="1" x14ac:dyDescent="0.3">
      <c r="A9" s="1"/>
      <c r="B9" s="10" t="s">
        <v>3</v>
      </c>
      <c r="C9" s="10">
        <f>SUMIFS('Sales report'!$E$8:$E$35,'Sales report'!$D$8:$D$35,B9,'Sales report'!$F$8:$F$35,C6)</f>
        <v>80</v>
      </c>
      <c r="D9" s="10">
        <f>SUMIFS('Sales report'!$E$8:$E$35,'Sales report'!$D$8:$D$35,B9,'Sales report'!$F$8:$F$35,D6)</f>
        <v>40</v>
      </c>
      <c r="E9" s="10">
        <f>SUMIFS('Sales report'!$E$8:$E$35,'Sales report'!$D$8:$D$35,B9,'Sales report'!$F$8:$F$35,E6)</f>
        <v>0</v>
      </c>
      <c r="F9" s="10">
        <f>SUMIFS('Sales report'!$E$8:$E$35,'Sales report'!$D$8:$D$35,B9,'Sales report'!$F$8:$F$35,F6)</f>
        <v>40</v>
      </c>
      <c r="G9" s="10">
        <f>SUMIFS('Sales report'!$E$8:$E$35,'Sales report'!$D$8:$D$35,B9,'Sales report'!$F$8:$F$35,G6)</f>
        <v>100</v>
      </c>
      <c r="H9" s="11">
        <f t="shared" si="0"/>
        <v>260</v>
      </c>
      <c r="I9" s="1"/>
    </row>
    <row r="10" spans="1:11" ht="15.75" thickBot="1" x14ac:dyDescent="0.3">
      <c r="A10" s="1"/>
      <c r="B10" s="10" t="s">
        <v>4</v>
      </c>
      <c r="C10" s="10">
        <f>SUMIFS('Sales report'!$E$8:$E$35,'Sales report'!$D$8:$D$35,B10,'Sales report'!$F$8:$F$35,C6)</f>
        <v>45</v>
      </c>
      <c r="D10" s="10">
        <f>SUMIFS('Sales report'!$E$8:$E$35,'Sales report'!$D$8:$D$35,B10,'Sales report'!$F$8:$F$35,D6)</f>
        <v>20</v>
      </c>
      <c r="E10" s="10">
        <f>SUMIFS('Sales report'!$E$8:$E$35,'Sales report'!$D$8:$D$35,B10,'Sales report'!$F$8:$F$35,E6)</f>
        <v>25</v>
      </c>
      <c r="F10" s="10">
        <f>SUMIFS('Sales report'!$E$8:$E$35,'Sales report'!$D$8:$D$35,B10,'Sales report'!$F$8:$F$35,F6)</f>
        <v>70</v>
      </c>
      <c r="G10" s="10">
        <f>SUMIFS('Sales report'!$E$8:$E$35,'Sales report'!$D$8:$D$35,B10,'Sales report'!$F$8:$F$35,G6)</f>
        <v>25</v>
      </c>
      <c r="H10" s="11">
        <f t="shared" si="0"/>
        <v>185</v>
      </c>
      <c r="I10" s="1"/>
    </row>
    <row r="11" spans="1:11" ht="15.75" thickBot="1" x14ac:dyDescent="0.3">
      <c r="A11" s="1"/>
      <c r="B11" s="10" t="s">
        <v>5</v>
      </c>
      <c r="C11" s="10">
        <f>SUMIFS('Sales report'!$E$8:$E$35,'Sales report'!$D$8:$D$35,B11,'Sales report'!$F$8:$F$35,C6)</f>
        <v>0</v>
      </c>
      <c r="D11" s="10">
        <f>SUMIFS('Sales report'!$E$8:$E$35,'Sales report'!$D$8:$D$35,B11,'Sales report'!$F$8:$F$35,D6)</f>
        <v>60</v>
      </c>
      <c r="E11" s="10">
        <f>SUMIFS('Sales report'!$E$8:$E$35,'Sales report'!$D$8:$D$35,B11,'Sales report'!$F$8:$F$35,E6)</f>
        <v>0</v>
      </c>
      <c r="F11" s="10">
        <f>SUMIFS('Sales report'!$E$8:$E$35,'Sales report'!$D$8:$D$35,B11,'Sales report'!$F$8:$F$35,F6)</f>
        <v>200</v>
      </c>
      <c r="G11" s="10">
        <f>SUMIFS('Sales report'!$E$8:$E$35,'Sales report'!$D$8:$D$35,B11,'Sales report'!$F$8:$F$35,G6)</f>
        <v>0</v>
      </c>
      <c r="H11" s="11">
        <f t="shared" si="0"/>
        <v>260</v>
      </c>
      <c r="I11" s="1"/>
    </row>
    <row r="12" spans="1:11" ht="19.5" thickBot="1" x14ac:dyDescent="0.3">
      <c r="A12" s="1"/>
      <c r="B12" s="25" t="s">
        <v>18</v>
      </c>
      <c r="C12" s="25">
        <f t="shared" ref="C12:G12" si="1">SUM(C7:C11)</f>
        <v>155</v>
      </c>
      <c r="D12" s="25">
        <f t="shared" si="1"/>
        <v>205</v>
      </c>
      <c r="E12" s="25">
        <f t="shared" si="1"/>
        <v>180</v>
      </c>
      <c r="F12" s="25">
        <f t="shared" si="1"/>
        <v>360</v>
      </c>
      <c r="G12" s="25">
        <f t="shared" si="1"/>
        <v>225</v>
      </c>
      <c r="H12" s="26">
        <f t="shared" si="0"/>
        <v>1125</v>
      </c>
      <c r="I12" s="1"/>
    </row>
    <row r="13" spans="1:11" ht="26.25" thickBot="1" x14ac:dyDescent="0.3">
      <c r="A13" s="1"/>
      <c r="B13" s="40" t="s">
        <v>26</v>
      </c>
      <c r="C13" s="40"/>
      <c r="D13" s="40"/>
      <c r="E13" s="40"/>
      <c r="F13" s="40"/>
      <c r="G13" s="40"/>
      <c r="H13" s="40"/>
      <c r="I13" s="1"/>
    </row>
    <row r="14" spans="1:11" ht="20.25" thickBot="1" x14ac:dyDescent="0.3">
      <c r="A14" s="1"/>
      <c r="B14" s="27" t="s">
        <v>0</v>
      </c>
      <c r="C14" s="27" t="s">
        <v>9</v>
      </c>
      <c r="D14" s="27" t="s">
        <v>10</v>
      </c>
      <c r="E14" s="27" t="s">
        <v>19</v>
      </c>
      <c r="F14" s="27" t="s">
        <v>11</v>
      </c>
      <c r="G14" s="27" t="s">
        <v>12</v>
      </c>
      <c r="H14" s="28" t="s">
        <v>6</v>
      </c>
      <c r="I14" s="1"/>
      <c r="J14"/>
    </row>
    <row r="15" spans="1:11" ht="15.75" thickBot="1" x14ac:dyDescent="0.3">
      <c r="A15" s="1"/>
      <c r="B15" s="10" t="s">
        <v>1</v>
      </c>
      <c r="C15" s="10">
        <f>SUMIFS('Sales report'!$K$8:$K$35,'Sales report'!$D$8:$D$35,B15,'Sales report'!$F$8:$F$35,C14)</f>
        <v>50</v>
      </c>
      <c r="D15" s="10">
        <f>SUMIFS('Sales report'!$K$8:$K$35,'Sales report'!$D$8:$D$35,B15,'Sales report'!$F$8:$F$35,D6)</f>
        <v>125</v>
      </c>
      <c r="E15" s="10">
        <f>SUMIFS('Sales report'!$K$8:$K$35,'Sales report'!$D$8:$D$35,B15,'Sales report'!$F$8:$F$35,E6)</f>
        <v>200</v>
      </c>
      <c r="F15" s="10">
        <f>SUMIFS('Sales report'!$K$8:$K$35,'Sales report'!$D$8:$D$35,B15,'Sales report'!$F$8:$F$35,F6)</f>
        <v>0</v>
      </c>
      <c r="G15" s="10">
        <f>SUMIFS('Sales report'!$K$8:$K$35,'Sales report'!$D$8:$D$35,B15,'Sales report'!$F$8:$F$35,G6)</f>
        <v>250</v>
      </c>
      <c r="H15" s="11">
        <f>SUM(C15:G15)</f>
        <v>625</v>
      </c>
      <c r="I15" s="1"/>
    </row>
    <row r="16" spans="1:11" ht="15.75" thickBot="1" x14ac:dyDescent="0.3">
      <c r="A16" s="1"/>
      <c r="B16" s="10" t="s">
        <v>2</v>
      </c>
      <c r="C16" s="10">
        <f>SUMIFS('Sales report'!$K$8:$K$35,'Sales report'!$D$8:$D$35,B16,'Sales report'!$F$8:$F$35,C14)</f>
        <v>100</v>
      </c>
      <c r="D16" s="10">
        <f>SUMIFS('Sales report'!$K$8:$K$35,'Sales report'!$D$8:$D$35,B16,'Sales report'!$F$8:$F$35,D6)</f>
        <v>300</v>
      </c>
      <c r="E16" s="10">
        <f>SUMIFS('Sales report'!$K$8:$K$35,'Sales report'!$D$8:$D$35,B16,'Sales report'!$F$8:$F$35,E6)</f>
        <v>575</v>
      </c>
      <c r="F16" s="10">
        <f>SUMIFS('Sales report'!$K$8:$K$35,'Sales report'!$D$8:$D$35,B16,'Sales report'!$F$8:$F$35,F6)</f>
        <v>250</v>
      </c>
      <c r="G16" s="10">
        <f>SUMIFS('Sales report'!$K$8:$K$35,'Sales report'!$D$8:$D$35,B16,'Sales report'!$F$8:$F$35,G6)</f>
        <v>250</v>
      </c>
      <c r="H16" s="11">
        <f>SUM(C16:G16)</f>
        <v>1475</v>
      </c>
      <c r="I16" s="1"/>
    </row>
    <row r="17" spans="1:9" ht="15.75" thickBot="1" x14ac:dyDescent="0.3">
      <c r="A17" s="1"/>
      <c r="B17" s="10" t="s">
        <v>3</v>
      </c>
      <c r="C17" s="10">
        <f>SUMIFS('Sales report'!$K$8:$K$35,'Sales report'!$D$8:$D$35,B17,'Sales report'!$F$8:$F$35,C14)</f>
        <v>640</v>
      </c>
      <c r="D17" s="10">
        <f>SUMIFS('Sales report'!$K$8:$K$35,'Sales report'!$D$8:$D$35,B17,'Sales report'!$F$8:$F$35,D6)</f>
        <v>320</v>
      </c>
      <c r="E17" s="10">
        <f>SUMIFS('Sales report'!$K$8:$K$35,'Sales report'!$D$8:$D$35,B17,'Sales report'!$F$8:$F$35,E6)</f>
        <v>0</v>
      </c>
      <c r="F17" s="10">
        <f>SUMIFS('Sales report'!$K$8:$K$35,'Sales report'!$D$8:$D$35,B17,'Sales report'!$F$8:$F$35,F6)</f>
        <v>320</v>
      </c>
      <c r="G17" s="10">
        <f>SUMIFS('Sales report'!$K$8:$K$35,'Sales report'!$D$8:$D$35,B17,'Sales report'!$F$8:$F$35,G6)</f>
        <v>800</v>
      </c>
      <c r="H17" s="11">
        <f>SUM(C17:G17)</f>
        <v>2080</v>
      </c>
      <c r="I17" s="1"/>
    </row>
    <row r="18" spans="1:9" ht="15.75" thickBot="1" x14ac:dyDescent="0.3">
      <c r="A18" s="1"/>
      <c r="B18" s="10" t="s">
        <v>4</v>
      </c>
      <c r="C18" s="10">
        <f>SUMIFS('Sales report'!$K$8:$K$35,'Sales report'!$D$8:$D$35,B18,'Sales report'!$F$8:$F$35,C14)</f>
        <v>450</v>
      </c>
      <c r="D18" s="10">
        <f>SUMIFS('Sales report'!$K$8:$K$35,'Sales report'!$D$8:$D$35,B18,'Sales report'!$F$8:$F$35,D6)</f>
        <v>200</v>
      </c>
      <c r="E18" s="10">
        <f>SUMIFS('Sales report'!$K$8:$K$35,'Sales report'!$D$8:$D$35,B18,'Sales report'!$F$8:$F$35,E6)</f>
        <v>250</v>
      </c>
      <c r="F18" s="10">
        <f>SUMIFS('Sales report'!$K$8:$K$35,'Sales report'!$D$8:$D$35,B18,'Sales report'!$F$8:$F$35,F6)</f>
        <v>700</v>
      </c>
      <c r="G18" s="10">
        <f>SUMIFS('Sales report'!$K$8:$K$35,'Sales report'!$D$8:$D$35,B18,'Sales report'!$F$8:$F$35,G6)</f>
        <v>250</v>
      </c>
      <c r="H18" s="11">
        <f>SUM(C18:G18)</f>
        <v>1850</v>
      </c>
      <c r="I18" s="1"/>
    </row>
    <row r="19" spans="1:9" ht="15.75" thickBot="1" x14ac:dyDescent="0.3">
      <c r="A19" s="1"/>
      <c r="B19" s="10" t="s">
        <v>5</v>
      </c>
      <c r="C19" s="10">
        <f>SUMIFS('Sales report'!$K$8:$K$35,'Sales report'!$D$8:$D$35,B19,'Sales report'!$F$8:$F$35,C14)</f>
        <v>0</v>
      </c>
      <c r="D19" s="10">
        <f>SUMIFS('Sales report'!$K$8:$K$35,'Sales report'!$D$8:$D$35,B19,'Sales report'!$F$8:$F$35,D6)</f>
        <v>120</v>
      </c>
      <c r="E19" s="10">
        <f>SUMIFS('Sales report'!$K$8:$K$35,'Sales report'!$D$8:$D$35,B19,'Sales report'!$F$8:$F$35,E6)</f>
        <v>0</v>
      </c>
      <c r="F19" s="10">
        <f>SUMIFS('Sales report'!$K$8:$K$35,'Sales report'!$D$8:$D$35,B19,'Sales report'!$F$8:$F$35,F6)</f>
        <v>400</v>
      </c>
      <c r="G19" s="10">
        <f>SUMIFS('Sales report'!$K$8:$K$35,'Sales report'!$D$8:$D$35,B19,'Sales report'!$F$8:$F$35,G6)</f>
        <v>0</v>
      </c>
      <c r="H19" s="11">
        <f>SUM(C19:G20)</f>
        <v>520</v>
      </c>
      <c r="I19" s="1"/>
    </row>
    <row r="20" spans="1:9" ht="15.75" thickBot="1" x14ac:dyDescent="0.3">
      <c r="A20" s="12"/>
      <c r="B20" s="13"/>
      <c r="C20" s="14"/>
      <c r="D20" s="14"/>
      <c r="E20" s="14"/>
      <c r="F20" s="14"/>
      <c r="G20" s="14"/>
      <c r="H20" s="15"/>
      <c r="I20" s="1"/>
    </row>
    <row r="21" spans="1:9" x14ac:dyDescent="0.25">
      <c r="A21" s="12"/>
      <c r="B21" s="16"/>
      <c r="C21" s="17"/>
      <c r="D21" s="17"/>
      <c r="E21" s="17"/>
      <c r="F21" s="17"/>
      <c r="G21" s="17"/>
      <c r="H21" s="18"/>
      <c r="I21" s="1"/>
    </row>
    <row r="22" spans="1:9" x14ac:dyDescent="0.25">
      <c r="A22" s="12"/>
      <c r="B22" s="19"/>
      <c r="C22" s="20"/>
      <c r="D22" s="20"/>
      <c r="E22" s="20"/>
      <c r="F22" s="20"/>
      <c r="G22" s="20"/>
      <c r="H22" s="21"/>
      <c r="I22" s="1"/>
    </row>
    <row r="23" spans="1:9" x14ac:dyDescent="0.25">
      <c r="A23" s="12"/>
      <c r="B23" s="19"/>
      <c r="C23" s="20"/>
      <c r="D23" s="20"/>
      <c r="E23" s="20"/>
      <c r="F23" s="20"/>
      <c r="G23" s="20"/>
      <c r="H23" s="21"/>
      <c r="I23" s="1"/>
    </row>
    <row r="24" spans="1:9" x14ac:dyDescent="0.25">
      <c r="A24" s="12"/>
      <c r="B24" s="19"/>
      <c r="C24" s="20"/>
      <c r="D24" s="20"/>
      <c r="E24" s="20"/>
      <c r="F24" s="20"/>
      <c r="G24" s="20"/>
      <c r="H24" s="21"/>
      <c r="I24" s="1"/>
    </row>
    <row r="25" spans="1:9" x14ac:dyDescent="0.25">
      <c r="A25" s="12"/>
      <c r="B25" s="19"/>
      <c r="C25" s="20"/>
      <c r="D25" s="20"/>
      <c r="E25" s="20"/>
      <c r="F25" s="20"/>
      <c r="G25" s="20"/>
      <c r="H25" s="21"/>
      <c r="I25" s="1"/>
    </row>
    <row r="26" spans="1:9" x14ac:dyDescent="0.25">
      <c r="A26" s="12"/>
      <c r="B26" s="19"/>
      <c r="C26" s="20"/>
      <c r="D26" s="20"/>
      <c r="E26" s="20"/>
      <c r="F26" s="20"/>
      <c r="G26" s="20"/>
      <c r="H26" s="21"/>
      <c r="I26" s="1"/>
    </row>
    <row r="27" spans="1:9" x14ac:dyDescent="0.25">
      <c r="A27" s="12"/>
      <c r="B27" s="19"/>
      <c r="C27" s="20"/>
      <c r="D27" s="20"/>
      <c r="E27" s="20"/>
      <c r="F27" s="20"/>
      <c r="G27" s="20"/>
      <c r="H27" s="21"/>
      <c r="I27" s="1"/>
    </row>
    <row r="28" spans="1:9" x14ac:dyDescent="0.25">
      <c r="A28" s="12"/>
      <c r="B28" s="19"/>
      <c r="C28" s="20"/>
      <c r="D28" s="20"/>
      <c r="E28" s="20"/>
      <c r="F28" s="20"/>
      <c r="G28" s="20"/>
      <c r="H28" s="21"/>
      <c r="I28" s="1"/>
    </row>
    <row r="29" spans="1:9" x14ac:dyDescent="0.25">
      <c r="A29" s="12"/>
      <c r="B29" s="19"/>
      <c r="C29" s="20"/>
      <c r="D29" s="20"/>
      <c r="E29" s="20"/>
      <c r="F29" s="20"/>
      <c r="G29" s="20"/>
      <c r="H29" s="21"/>
      <c r="I29" s="1"/>
    </row>
    <row r="30" spans="1:9" x14ac:dyDescent="0.25">
      <c r="A30" s="12"/>
      <c r="B30" s="19"/>
      <c r="C30" s="20"/>
      <c r="D30" s="20"/>
      <c r="E30" s="20"/>
      <c r="F30" s="20"/>
      <c r="G30" s="20"/>
      <c r="H30" s="21"/>
      <c r="I30" s="1"/>
    </row>
    <row r="31" spans="1:9" x14ac:dyDescent="0.25">
      <c r="A31" s="12"/>
      <c r="B31" s="19"/>
      <c r="C31" s="20"/>
      <c r="D31" s="20"/>
      <c r="E31" s="20"/>
      <c r="F31" s="20"/>
      <c r="G31" s="20"/>
      <c r="H31" s="21"/>
      <c r="I31" s="1"/>
    </row>
    <row r="32" spans="1:9" x14ac:dyDescent="0.25">
      <c r="A32" s="12"/>
      <c r="B32" s="19"/>
      <c r="C32" s="20"/>
      <c r="D32" s="20"/>
      <c r="E32" s="20"/>
      <c r="F32" s="20"/>
      <c r="G32" s="20"/>
      <c r="H32" s="21"/>
      <c r="I32" s="1"/>
    </row>
    <row r="33" spans="1:30" x14ac:dyDescent="0.25">
      <c r="A33" s="12"/>
      <c r="B33" s="19"/>
      <c r="C33" s="20"/>
      <c r="D33" s="20"/>
      <c r="E33" s="20"/>
      <c r="F33" s="20"/>
      <c r="G33" s="20"/>
      <c r="H33" s="21"/>
      <c r="I33" s="1"/>
    </row>
    <row r="34" spans="1:30" ht="15.75" thickBot="1" x14ac:dyDescent="0.3">
      <c r="A34" s="12"/>
      <c r="B34" s="22"/>
      <c r="C34" s="23"/>
      <c r="D34" s="23"/>
      <c r="E34" s="23"/>
      <c r="F34" s="23"/>
      <c r="G34" s="23"/>
      <c r="H34" s="24"/>
      <c r="I34" s="1"/>
    </row>
    <row r="35" spans="1:30" x14ac:dyDescent="0.25">
      <c r="A35" s="12"/>
      <c r="B35" s="20"/>
      <c r="C35" s="20"/>
      <c r="D35" s="20"/>
      <c r="E35" s="20"/>
      <c r="F35" s="20"/>
      <c r="G35" s="20"/>
      <c r="H35" s="20"/>
      <c r="I35" s="1"/>
    </row>
    <row r="36" spans="1:30" x14ac:dyDescent="0.25">
      <c r="A36" s="12"/>
      <c r="B36" s="6"/>
      <c r="C36" s="6"/>
      <c r="D36" s="6"/>
      <c r="E36" s="6"/>
      <c r="F36" s="6"/>
      <c r="G36" s="6"/>
      <c r="H36" s="6"/>
      <c r="I36" s="1"/>
    </row>
    <row r="37" spans="1:30" x14ac:dyDescent="0.25">
      <c r="A37" s="12"/>
      <c r="B37" s="6"/>
      <c r="C37" s="6"/>
      <c r="D37" s="6"/>
      <c r="E37" s="6"/>
      <c r="F37" s="6"/>
      <c r="G37" s="6"/>
      <c r="H37" s="6"/>
      <c r="I37" s="1"/>
    </row>
    <row r="38" spans="1:30" x14ac:dyDescent="0.25">
      <c r="A38" s="12"/>
      <c r="B38" s="6"/>
      <c r="C38" s="6"/>
      <c r="D38" s="6"/>
      <c r="E38" s="6"/>
      <c r="F38" s="6"/>
      <c r="G38" s="6"/>
      <c r="H38" s="6"/>
      <c r="I38" s="1"/>
    </row>
    <row r="39" spans="1:30" x14ac:dyDescent="0.25">
      <c r="A39" s="12"/>
      <c r="B39" s="6"/>
      <c r="C39" s="6"/>
      <c r="D39" s="6"/>
      <c r="E39" s="6"/>
      <c r="F39" s="6"/>
      <c r="G39" s="6"/>
      <c r="H39" s="6"/>
      <c r="I39" s="1"/>
    </row>
    <row r="40" spans="1:30" x14ac:dyDescent="0.25">
      <c r="A40" s="12"/>
      <c r="B40" s="6"/>
      <c r="C40" s="6"/>
      <c r="D40" s="6"/>
      <c r="E40" s="6"/>
      <c r="F40" s="6"/>
      <c r="G40" s="6"/>
      <c r="H40" s="6"/>
      <c r="I40" s="1"/>
    </row>
    <row r="41" spans="1:30" x14ac:dyDescent="0.25">
      <c r="A41" s="12"/>
      <c r="B41" s="6"/>
      <c r="C41" s="6"/>
      <c r="D41" s="6"/>
      <c r="E41" s="6"/>
      <c r="F41" s="6"/>
      <c r="G41" s="6"/>
      <c r="H41" s="6"/>
      <c r="I41" s="1"/>
    </row>
    <row r="42" spans="1:30" x14ac:dyDescent="0.25">
      <c r="A42" s="12"/>
      <c r="B42" s="6"/>
      <c r="C42" s="6"/>
      <c r="D42" s="6"/>
      <c r="E42" s="6"/>
      <c r="F42" s="6"/>
      <c r="G42" s="6"/>
      <c r="H42" s="6"/>
      <c r="I42" s="1"/>
    </row>
    <row r="43" spans="1:30" x14ac:dyDescent="0.25">
      <c r="A43" s="12"/>
      <c r="B43" s="6"/>
      <c r="C43" s="6"/>
      <c r="D43" s="6"/>
      <c r="E43" s="6"/>
      <c r="F43" s="6"/>
      <c r="G43" s="6"/>
      <c r="H43" s="6"/>
      <c r="I43" s="1"/>
    </row>
    <row r="44" spans="1:30" s="1" customFormat="1" x14ac:dyDescent="0.25">
      <c r="A44" s="12"/>
      <c r="B44" s="6"/>
      <c r="C44" s="6"/>
      <c r="D44" s="6"/>
      <c r="E44" s="6"/>
      <c r="F44" s="6"/>
      <c r="G44" s="6"/>
      <c r="H44" s="6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 spans="1:30" x14ac:dyDescent="0.25">
      <c r="A45" s="12"/>
      <c r="B45" s="6"/>
      <c r="C45" s="6"/>
      <c r="D45" s="6"/>
      <c r="E45" s="6"/>
      <c r="F45" s="6"/>
      <c r="G45" s="6"/>
      <c r="H45" s="6"/>
      <c r="I45" s="1"/>
    </row>
    <row r="46" spans="1:30" x14ac:dyDescent="0.25">
      <c r="A46" s="12"/>
      <c r="B46" s="6"/>
      <c r="C46" s="6"/>
      <c r="D46" s="6"/>
      <c r="E46" s="6"/>
      <c r="F46" s="6"/>
      <c r="G46" s="6"/>
      <c r="H46" s="6"/>
      <c r="I46" s="1"/>
    </row>
    <row r="47" spans="1:30" x14ac:dyDescent="0.25">
      <c r="A47" s="12"/>
      <c r="B47" s="6"/>
      <c r="C47" s="6"/>
      <c r="D47" s="6"/>
      <c r="E47" s="6"/>
      <c r="F47" s="6"/>
      <c r="G47" s="6"/>
      <c r="H47" s="6"/>
      <c r="I47" s="1"/>
    </row>
    <row r="48" spans="1:30" x14ac:dyDescent="0.25">
      <c r="A48" s="12"/>
      <c r="B48" s="6"/>
      <c r="C48" s="6"/>
      <c r="D48" s="6"/>
      <c r="E48" s="6"/>
      <c r="F48" s="6"/>
      <c r="G48" s="6"/>
      <c r="H48" s="6"/>
      <c r="I48" s="1"/>
    </row>
    <row r="49" spans="1:9" x14ac:dyDescent="0.25">
      <c r="A49" s="12"/>
      <c r="B49" s="6"/>
      <c r="C49" s="6"/>
      <c r="D49" s="6"/>
      <c r="E49" s="6"/>
      <c r="F49" s="6"/>
      <c r="G49" s="6"/>
      <c r="H49" s="6"/>
      <c r="I49" s="1"/>
    </row>
    <row r="50" spans="1:9" x14ac:dyDescent="0.25">
      <c r="A50" s="12"/>
      <c r="B50" s="6"/>
      <c r="C50" s="6"/>
      <c r="D50" s="6"/>
      <c r="E50" s="6"/>
      <c r="F50" s="6"/>
      <c r="G50" s="6"/>
      <c r="H50" s="6"/>
      <c r="I50" s="1"/>
    </row>
    <row r="51" spans="1:9" x14ac:dyDescent="0.25">
      <c r="A51" s="12"/>
      <c r="B51" s="6"/>
      <c r="C51" s="6"/>
      <c r="D51" s="6"/>
      <c r="E51" s="6"/>
      <c r="F51" s="6"/>
      <c r="G51" s="6"/>
      <c r="H51" s="6"/>
      <c r="I51" s="1"/>
    </row>
    <row r="52" spans="1:9" x14ac:dyDescent="0.25">
      <c r="A52" s="12"/>
      <c r="B52" s="6"/>
      <c r="C52" s="6"/>
      <c r="D52" s="6"/>
      <c r="E52" s="6"/>
      <c r="F52" s="6"/>
      <c r="G52" s="6"/>
      <c r="H52" s="6"/>
      <c r="I52" s="1"/>
    </row>
    <row r="53" spans="1:9" ht="9.75" customHeight="1" x14ac:dyDescent="0.25">
      <c r="A53" s="12"/>
      <c r="B53" s="6"/>
      <c r="C53" s="6"/>
      <c r="D53" s="6"/>
      <c r="E53" s="6"/>
      <c r="F53" s="6"/>
      <c r="G53" s="6"/>
      <c r="H53" s="6"/>
      <c r="I53" s="1"/>
    </row>
    <row r="54" spans="1:9" x14ac:dyDescent="0.25">
      <c r="A54" s="12"/>
      <c r="B54" s="6"/>
      <c r="C54" s="6"/>
      <c r="D54" s="6"/>
      <c r="E54" s="6"/>
      <c r="F54" s="6"/>
      <c r="G54" s="6"/>
      <c r="H54" s="6"/>
      <c r="I54" s="1"/>
    </row>
    <row r="55" spans="1:9" x14ac:dyDescent="0.25">
      <c r="A55" s="12"/>
      <c r="B55" s="6"/>
      <c r="C55" s="6"/>
      <c r="D55" s="6"/>
      <c r="E55" s="6"/>
      <c r="F55" s="6"/>
      <c r="G55" s="6"/>
      <c r="H55" s="6"/>
      <c r="I55" s="1"/>
    </row>
    <row r="56" spans="1:9" x14ac:dyDescent="0.25">
      <c r="A56" s="12"/>
      <c r="B56" s="6"/>
      <c r="C56" s="6"/>
      <c r="D56" s="6"/>
      <c r="E56" s="6"/>
      <c r="F56" s="6"/>
      <c r="G56" s="6"/>
      <c r="H56" s="6"/>
      <c r="I56" s="1"/>
    </row>
    <row r="57" spans="1:9" x14ac:dyDescent="0.25">
      <c r="A57" s="12"/>
      <c r="B57" s="6"/>
      <c r="C57" s="6"/>
      <c r="D57" s="6"/>
      <c r="E57" s="6"/>
      <c r="F57" s="6"/>
      <c r="G57" s="6"/>
      <c r="H57" s="6"/>
      <c r="I57" s="1"/>
    </row>
    <row r="58" spans="1:9" x14ac:dyDescent="0.25">
      <c r="A58" s="12"/>
      <c r="B58" s="6"/>
      <c r="C58" s="6"/>
      <c r="D58" s="6"/>
      <c r="E58" s="6"/>
      <c r="F58" s="6"/>
      <c r="G58" s="6"/>
      <c r="H58" s="6"/>
      <c r="I58" s="1"/>
    </row>
    <row r="59" spans="1:9" x14ac:dyDescent="0.25">
      <c r="A59" s="12"/>
      <c r="B59" s="6"/>
      <c r="C59" s="6"/>
      <c r="D59" s="6"/>
      <c r="E59" s="6"/>
      <c r="F59" s="6"/>
      <c r="G59" s="6"/>
      <c r="H59" s="6"/>
      <c r="I59" s="1"/>
    </row>
    <row r="60" spans="1:9" x14ac:dyDescent="0.25">
      <c r="A60" s="12"/>
      <c r="B60" s="6"/>
      <c r="C60" s="6"/>
      <c r="D60" s="6"/>
      <c r="E60" s="6"/>
      <c r="F60" s="6"/>
      <c r="G60" s="6"/>
      <c r="H60" s="6"/>
      <c r="I60" s="1"/>
    </row>
    <row r="61" spans="1:9" x14ac:dyDescent="0.25">
      <c r="A61" s="12"/>
      <c r="B61" s="6"/>
      <c r="C61" s="6"/>
      <c r="D61" s="6"/>
      <c r="E61" s="6"/>
      <c r="F61" s="6"/>
      <c r="G61" s="6"/>
      <c r="H61" s="6"/>
      <c r="I61" s="1"/>
    </row>
    <row r="62" spans="1:9" x14ac:dyDescent="0.25">
      <c r="A62" s="12"/>
      <c r="B62" s="6"/>
      <c r="C62" s="6"/>
      <c r="D62" s="6"/>
      <c r="E62" s="6"/>
      <c r="F62" s="6"/>
      <c r="G62" s="6"/>
      <c r="H62" s="6"/>
      <c r="I62" s="1"/>
    </row>
    <row r="63" spans="1:9" x14ac:dyDescent="0.25">
      <c r="A63" s="12"/>
      <c r="B63" s="6"/>
      <c r="C63" s="6"/>
      <c r="D63" s="6"/>
      <c r="E63" s="6"/>
      <c r="F63" s="6"/>
      <c r="G63" s="6"/>
      <c r="H63" s="6"/>
      <c r="I63" s="1"/>
    </row>
    <row r="64" spans="1:9" x14ac:dyDescent="0.25">
      <c r="A64" s="12"/>
      <c r="B64" s="6"/>
      <c r="C64" s="6"/>
      <c r="D64" s="6"/>
      <c r="E64" s="6"/>
      <c r="F64" s="6"/>
      <c r="G64" s="6"/>
      <c r="H64" s="6"/>
      <c r="I64" s="1"/>
    </row>
    <row r="65" spans="1:45" x14ac:dyDescent="0.25">
      <c r="A65" s="12"/>
      <c r="B65" s="6"/>
      <c r="C65" s="6"/>
      <c r="D65" s="6"/>
      <c r="E65" s="6"/>
      <c r="F65" s="6"/>
      <c r="G65" s="6"/>
      <c r="H65" s="6"/>
      <c r="I65" s="1"/>
    </row>
    <row r="66" spans="1:45" ht="15.75" customHeight="1" x14ac:dyDescent="0.25">
      <c r="A66" s="12"/>
      <c r="B66" s="6"/>
      <c r="C66" s="6"/>
      <c r="D66" s="6"/>
      <c r="E66" s="6"/>
      <c r="F66" s="6"/>
      <c r="G66" s="6"/>
      <c r="H66" s="6"/>
      <c r="I66" s="1"/>
    </row>
    <row r="67" spans="1:45" ht="5.25" customHeight="1" x14ac:dyDescent="0.25">
      <c r="A67" s="12"/>
      <c r="B67" s="6"/>
      <c r="C67" s="6"/>
      <c r="D67" s="6"/>
      <c r="E67" s="6"/>
      <c r="F67" s="6"/>
      <c r="G67" s="6"/>
      <c r="H67" s="6"/>
      <c r="I67" s="1"/>
    </row>
    <row r="68" spans="1:45" s="1" customFormat="1" x14ac:dyDescent="0.25">
      <c r="A68" s="12"/>
      <c r="B68" s="6"/>
      <c r="C68" s="6"/>
      <c r="D68" s="6"/>
      <c r="E68" s="6"/>
      <c r="F68" s="6"/>
      <c r="G68" s="6"/>
      <c r="H68" s="6"/>
      <c r="I68" s="12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</row>
    <row r="69" spans="1:45" x14ac:dyDescent="0.25">
      <c r="A69" s="12"/>
      <c r="B69" s="6"/>
      <c r="C69" s="6"/>
      <c r="D69" s="6"/>
      <c r="E69" s="6"/>
      <c r="F69" s="6"/>
      <c r="G69" s="6"/>
      <c r="H69" s="6"/>
      <c r="I69" s="1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</row>
    <row r="70" spans="1:45" x14ac:dyDescent="0.25">
      <c r="A70" s="12"/>
      <c r="B70" s="6"/>
      <c r="C70" s="6"/>
      <c r="D70" s="6"/>
      <c r="E70" s="6"/>
      <c r="F70" s="6"/>
      <c r="G70" s="6"/>
      <c r="H70" s="6"/>
      <c r="I70" s="1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</row>
    <row r="71" spans="1:45" x14ac:dyDescent="0.25">
      <c r="A71" s="12"/>
      <c r="B71" s="6"/>
      <c r="C71" s="6"/>
      <c r="D71" s="6"/>
      <c r="E71" s="6"/>
      <c r="F71" s="6"/>
      <c r="G71" s="6"/>
      <c r="H71" s="6"/>
      <c r="I71" s="1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</row>
    <row r="72" spans="1:45" x14ac:dyDescent="0.25">
      <c r="A72" s="12"/>
      <c r="B72" s="6"/>
      <c r="C72" s="6"/>
      <c r="D72" s="6"/>
      <c r="E72" s="6"/>
      <c r="F72" s="6"/>
      <c r="G72" s="6"/>
      <c r="H72" s="6"/>
      <c r="I72" s="12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</row>
    <row r="73" spans="1:45" x14ac:dyDescent="0.25">
      <c r="A73" s="12"/>
      <c r="B73" s="6"/>
      <c r="C73" s="6"/>
      <c r="D73" s="6"/>
      <c r="E73" s="6"/>
      <c r="F73" s="6"/>
      <c r="G73" s="6"/>
      <c r="H73" s="6"/>
      <c r="I73" s="12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</row>
    <row r="74" spans="1:45" x14ac:dyDescent="0.25">
      <c r="A74" s="12"/>
      <c r="B74" s="6"/>
      <c r="C74" s="6"/>
      <c r="D74" s="6"/>
      <c r="E74" s="6"/>
      <c r="F74" s="6"/>
      <c r="G74" s="6"/>
      <c r="H74" s="6"/>
      <c r="I74" s="12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</row>
    <row r="75" spans="1:45" x14ac:dyDescent="0.25">
      <c r="A75" s="12"/>
      <c r="B75" s="6"/>
      <c r="C75" s="6"/>
      <c r="D75" s="6"/>
      <c r="E75" s="6"/>
      <c r="F75" s="6"/>
      <c r="G75" s="6"/>
      <c r="H75" s="6"/>
      <c r="I75" s="12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</row>
    <row r="76" spans="1:45" x14ac:dyDescent="0.25">
      <c r="A76" s="12"/>
      <c r="B76" s="6"/>
      <c r="C76" s="6"/>
      <c r="D76" s="6"/>
      <c r="E76" s="6"/>
      <c r="F76" s="6"/>
      <c r="G76" s="6"/>
      <c r="H76" s="6"/>
      <c r="I76" s="12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</row>
    <row r="77" spans="1:45" ht="6" customHeight="1" x14ac:dyDescent="0.25">
      <c r="A77" s="12"/>
      <c r="B77" s="6"/>
      <c r="C77" s="6"/>
      <c r="D77" s="6"/>
      <c r="E77" s="6"/>
      <c r="F77" s="6"/>
      <c r="G77" s="6"/>
      <c r="H77" s="6"/>
      <c r="I77" s="12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</row>
    <row r="78" spans="1:45" s="1" customFormat="1" x14ac:dyDescent="0.25">
      <c r="A78" s="12"/>
      <c r="B78" s="6"/>
      <c r="C78" s="6"/>
      <c r="D78" s="6"/>
      <c r="E78" s="6"/>
      <c r="F78" s="6"/>
      <c r="G78" s="6"/>
      <c r="H78" s="6"/>
      <c r="I78" s="12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</row>
    <row r="79" spans="1:45" x14ac:dyDescent="0.25">
      <c r="A79" s="12"/>
      <c r="B79" s="6"/>
      <c r="C79" s="6"/>
      <c r="D79" s="6"/>
      <c r="E79" s="6"/>
      <c r="F79" s="6"/>
      <c r="G79" s="6"/>
      <c r="H79" s="6"/>
      <c r="I79" s="12"/>
    </row>
    <row r="80" spans="1:45" x14ac:dyDescent="0.25">
      <c r="A80" s="12"/>
      <c r="B80" s="6"/>
      <c r="C80" s="6"/>
      <c r="D80" s="6"/>
      <c r="E80" s="6"/>
      <c r="F80" s="6"/>
      <c r="G80" s="6"/>
      <c r="H80" s="6"/>
      <c r="I80" s="1"/>
    </row>
    <row r="81" spans="1:9" x14ac:dyDescent="0.25">
      <c r="A81" s="12"/>
      <c r="B81" s="6"/>
      <c r="C81" s="6"/>
      <c r="D81" s="6"/>
      <c r="E81" s="6"/>
      <c r="F81" s="6"/>
      <c r="G81" s="6"/>
      <c r="H81" s="6"/>
      <c r="I81" s="1"/>
    </row>
    <row r="82" spans="1:9" x14ac:dyDescent="0.25">
      <c r="A82" s="12"/>
      <c r="B82" s="6"/>
      <c r="C82" s="6"/>
      <c r="D82" s="6"/>
      <c r="E82" s="6"/>
      <c r="F82" s="6"/>
      <c r="G82" s="6"/>
      <c r="H82" s="6"/>
      <c r="I82" s="1"/>
    </row>
    <row r="83" spans="1:9" x14ac:dyDescent="0.25">
      <c r="A83" s="12"/>
      <c r="B83" s="6"/>
      <c r="C83" s="6"/>
      <c r="D83" s="6"/>
      <c r="E83" s="6"/>
      <c r="F83" s="6"/>
      <c r="G83" s="6"/>
      <c r="H83" s="6"/>
      <c r="I83" s="1"/>
    </row>
    <row r="84" spans="1:9" x14ac:dyDescent="0.25">
      <c r="A84" s="12"/>
      <c r="B84" s="6"/>
      <c r="C84" s="6"/>
      <c r="D84" s="6"/>
      <c r="E84" s="6"/>
      <c r="F84" s="6"/>
      <c r="G84" s="6"/>
      <c r="H84" s="6"/>
      <c r="I84" s="1"/>
    </row>
    <row r="85" spans="1:9" x14ac:dyDescent="0.25">
      <c r="A85" s="12"/>
      <c r="B85" s="6"/>
      <c r="C85" s="6"/>
      <c r="D85" s="6"/>
      <c r="E85" s="6"/>
      <c r="F85" s="6"/>
      <c r="G85" s="6"/>
      <c r="H85" s="6"/>
      <c r="I85" s="1"/>
    </row>
    <row r="86" spans="1:9" x14ac:dyDescent="0.25">
      <c r="A86" s="12"/>
      <c r="B86" s="6"/>
      <c r="C86" s="6"/>
      <c r="D86" s="6"/>
      <c r="E86" s="6"/>
      <c r="F86" s="6"/>
      <c r="G86" s="6"/>
      <c r="H86" s="6"/>
      <c r="I86" s="1"/>
    </row>
    <row r="87" spans="1:9" x14ac:dyDescent="0.25">
      <c r="A87" s="12"/>
      <c r="B87" s="6"/>
      <c r="C87" s="6"/>
      <c r="D87" s="6"/>
      <c r="E87" s="6"/>
      <c r="F87" s="6"/>
      <c r="G87" s="6"/>
      <c r="H87" s="6"/>
      <c r="I87" s="1"/>
    </row>
    <row r="88" spans="1:9" ht="10.5" customHeight="1" x14ac:dyDescent="0.25">
      <c r="A88" s="12"/>
      <c r="B88" s="6"/>
      <c r="C88" s="6"/>
      <c r="D88" s="6"/>
      <c r="E88" s="6"/>
      <c r="F88" s="6"/>
      <c r="G88" s="6"/>
      <c r="H88" s="6"/>
      <c r="I88" s="1"/>
    </row>
    <row r="89" spans="1:9" x14ac:dyDescent="0.25">
      <c r="A89" s="12"/>
      <c r="B89" s="12"/>
      <c r="C89" s="12"/>
      <c r="D89" s="12"/>
      <c r="E89" s="12"/>
      <c r="F89" s="12"/>
      <c r="G89" s="12"/>
      <c r="H89" s="12"/>
      <c r="I89" s="12"/>
    </row>
    <row r="90" spans="1:9" x14ac:dyDescent="0.25">
      <c r="I90" s="3"/>
    </row>
    <row r="91" spans="1:9" x14ac:dyDescent="0.25">
      <c r="I91" s="3"/>
    </row>
    <row r="92" spans="1:9" x14ac:dyDescent="0.25">
      <c r="I92" s="3"/>
    </row>
    <row r="93" spans="1:9" x14ac:dyDescent="0.25">
      <c r="I93" s="3"/>
    </row>
    <row r="94" spans="1:9" x14ac:dyDescent="0.25">
      <c r="I94" s="3"/>
    </row>
    <row r="95" spans="1:9" x14ac:dyDescent="0.25">
      <c r="I95" s="3"/>
    </row>
    <row r="96" spans="1:9" x14ac:dyDescent="0.25">
      <c r="I96" s="3"/>
    </row>
    <row r="97" spans="9:9" x14ac:dyDescent="0.25">
      <c r="I97" s="3"/>
    </row>
    <row r="98" spans="9:9" x14ac:dyDescent="0.25">
      <c r="I98" s="3"/>
    </row>
    <row r="99" spans="9:9" x14ac:dyDescent="0.25">
      <c r="I99" s="3"/>
    </row>
    <row r="100" spans="9:9" x14ac:dyDescent="0.25">
      <c r="I100" s="3"/>
    </row>
    <row r="101" spans="9:9" x14ac:dyDescent="0.25">
      <c r="I101" s="3"/>
    </row>
    <row r="102" spans="9:9" x14ac:dyDescent="0.25">
      <c r="I102" s="3"/>
    </row>
    <row r="103" spans="9:9" x14ac:dyDescent="0.25">
      <c r="I103" s="3"/>
    </row>
    <row r="104" spans="9:9" x14ac:dyDescent="0.25">
      <c r="I104" s="3"/>
    </row>
    <row r="105" spans="9:9" x14ac:dyDescent="0.25">
      <c r="I105" s="3"/>
    </row>
    <row r="106" spans="9:9" x14ac:dyDescent="0.25">
      <c r="I106" s="3"/>
    </row>
    <row r="107" spans="9:9" x14ac:dyDescent="0.25">
      <c r="I107" s="3"/>
    </row>
    <row r="108" spans="9:9" x14ac:dyDescent="0.25">
      <c r="I108" s="3"/>
    </row>
    <row r="109" spans="9:9" x14ac:dyDescent="0.25">
      <c r="I109" s="3"/>
    </row>
    <row r="110" spans="9:9" x14ac:dyDescent="0.25">
      <c r="I110" s="3"/>
    </row>
    <row r="111" spans="9:9" x14ac:dyDescent="0.25">
      <c r="I111" s="3"/>
    </row>
    <row r="112" spans="9:9" x14ac:dyDescent="0.25">
      <c r="I112" s="3"/>
    </row>
    <row r="113" spans="9:9" x14ac:dyDescent="0.25">
      <c r="I113" s="3"/>
    </row>
    <row r="114" spans="9:9" x14ac:dyDescent="0.25">
      <c r="I114" s="3"/>
    </row>
    <row r="115" spans="9:9" x14ac:dyDescent="0.25">
      <c r="I115" s="3"/>
    </row>
    <row r="116" spans="9:9" x14ac:dyDescent="0.25">
      <c r="I116" s="3"/>
    </row>
    <row r="117" spans="9:9" x14ac:dyDescent="0.25">
      <c r="I117" s="3"/>
    </row>
    <row r="118" spans="9:9" x14ac:dyDescent="0.25">
      <c r="I118" s="3"/>
    </row>
    <row r="119" spans="9:9" x14ac:dyDescent="0.25">
      <c r="I119" s="3"/>
    </row>
    <row r="120" spans="9:9" x14ac:dyDescent="0.25">
      <c r="I120" s="3"/>
    </row>
    <row r="121" spans="9:9" x14ac:dyDescent="0.25">
      <c r="I121" s="3"/>
    </row>
    <row r="122" spans="9:9" x14ac:dyDescent="0.25">
      <c r="I122" s="3"/>
    </row>
    <row r="123" spans="9:9" x14ac:dyDescent="0.25">
      <c r="I123" s="3"/>
    </row>
    <row r="124" spans="9:9" x14ac:dyDescent="0.25">
      <c r="I124" s="3"/>
    </row>
    <row r="125" spans="9:9" x14ac:dyDescent="0.25">
      <c r="I125" s="3"/>
    </row>
    <row r="126" spans="9:9" x14ac:dyDescent="0.25">
      <c r="I126" s="3"/>
    </row>
    <row r="127" spans="9:9" x14ac:dyDescent="0.25">
      <c r="I127" s="3"/>
    </row>
    <row r="128" spans="9:9" x14ac:dyDescent="0.25">
      <c r="I128" s="3"/>
    </row>
    <row r="129" spans="9:9" x14ac:dyDescent="0.25">
      <c r="I129" s="3"/>
    </row>
    <row r="130" spans="9:9" x14ac:dyDescent="0.25">
      <c r="I130" s="3"/>
    </row>
    <row r="131" spans="9:9" x14ac:dyDescent="0.25">
      <c r="I131" s="3"/>
    </row>
    <row r="132" spans="9:9" x14ac:dyDescent="0.25">
      <c r="I132" s="3"/>
    </row>
    <row r="133" spans="9:9" x14ac:dyDescent="0.25">
      <c r="I133" s="3"/>
    </row>
    <row r="134" spans="9:9" x14ac:dyDescent="0.25">
      <c r="I134" s="3"/>
    </row>
    <row r="135" spans="9:9" x14ac:dyDescent="0.25">
      <c r="I135" s="3"/>
    </row>
    <row r="136" spans="9:9" x14ac:dyDescent="0.25">
      <c r="I136" s="3"/>
    </row>
    <row r="137" spans="9:9" x14ac:dyDescent="0.25">
      <c r="I137" s="3"/>
    </row>
    <row r="138" spans="9:9" x14ac:dyDescent="0.25">
      <c r="I138" s="3"/>
    </row>
    <row r="139" spans="9:9" x14ac:dyDescent="0.25">
      <c r="I139" s="3"/>
    </row>
    <row r="140" spans="9:9" x14ac:dyDescent="0.25">
      <c r="I140" s="3"/>
    </row>
    <row r="141" spans="9:9" x14ac:dyDescent="0.25">
      <c r="I141" s="3"/>
    </row>
    <row r="142" spans="9:9" x14ac:dyDescent="0.25">
      <c r="I142" s="3"/>
    </row>
    <row r="143" spans="9:9" x14ac:dyDescent="0.25">
      <c r="I143" s="3"/>
    </row>
    <row r="144" spans="9:9" x14ac:dyDescent="0.25">
      <c r="I144" s="3"/>
    </row>
    <row r="145" spans="9:9" x14ac:dyDescent="0.25">
      <c r="I145" s="3"/>
    </row>
    <row r="146" spans="9:9" x14ac:dyDescent="0.25">
      <c r="I146" s="3"/>
    </row>
    <row r="147" spans="9:9" x14ac:dyDescent="0.25">
      <c r="I147" s="3"/>
    </row>
    <row r="148" spans="9:9" x14ac:dyDescent="0.25">
      <c r="I148" s="3"/>
    </row>
    <row r="149" spans="9:9" x14ac:dyDescent="0.25">
      <c r="I149" s="3"/>
    </row>
    <row r="150" spans="9:9" x14ac:dyDescent="0.25">
      <c r="I150" s="3"/>
    </row>
    <row r="151" spans="9:9" x14ac:dyDescent="0.25">
      <c r="I151" s="3"/>
    </row>
    <row r="152" spans="9:9" x14ac:dyDescent="0.25">
      <c r="I152" s="3"/>
    </row>
    <row r="153" spans="9:9" x14ac:dyDescent="0.25">
      <c r="I153" s="3"/>
    </row>
    <row r="154" spans="9:9" x14ac:dyDescent="0.25">
      <c r="I154" s="3"/>
    </row>
    <row r="155" spans="9:9" x14ac:dyDescent="0.25">
      <c r="I155" s="3"/>
    </row>
    <row r="156" spans="9:9" x14ac:dyDescent="0.25">
      <c r="I156" s="3"/>
    </row>
    <row r="157" spans="9:9" x14ac:dyDescent="0.25">
      <c r="I157" s="3"/>
    </row>
    <row r="158" spans="9:9" x14ac:dyDescent="0.25">
      <c r="I158" s="3"/>
    </row>
    <row r="159" spans="9:9" x14ac:dyDescent="0.25">
      <c r="I159" s="3"/>
    </row>
    <row r="160" spans="9:9" x14ac:dyDescent="0.25">
      <c r="I160" s="3"/>
    </row>
    <row r="161" spans="9:9" x14ac:dyDescent="0.25">
      <c r="I161" s="3"/>
    </row>
    <row r="162" spans="9:9" x14ac:dyDescent="0.25">
      <c r="I162" s="3"/>
    </row>
    <row r="163" spans="9:9" x14ac:dyDescent="0.25">
      <c r="I163" s="3"/>
    </row>
    <row r="164" spans="9:9" x14ac:dyDescent="0.25">
      <c r="I164" s="3"/>
    </row>
    <row r="165" spans="9:9" x14ac:dyDescent="0.25">
      <c r="I165" s="3"/>
    </row>
    <row r="166" spans="9:9" x14ac:dyDescent="0.25">
      <c r="I166" s="3"/>
    </row>
    <row r="167" spans="9:9" x14ac:dyDescent="0.25">
      <c r="I167" s="3"/>
    </row>
    <row r="168" spans="9:9" x14ac:dyDescent="0.25">
      <c r="I168" s="3"/>
    </row>
    <row r="169" spans="9:9" x14ac:dyDescent="0.25">
      <c r="I169" s="3"/>
    </row>
    <row r="170" spans="9:9" x14ac:dyDescent="0.25">
      <c r="I170" s="3"/>
    </row>
    <row r="171" spans="9:9" x14ac:dyDescent="0.25">
      <c r="I171" s="3"/>
    </row>
    <row r="172" spans="9:9" x14ac:dyDescent="0.25">
      <c r="I172" s="3"/>
    </row>
    <row r="173" spans="9:9" x14ac:dyDescent="0.25">
      <c r="I173" s="3"/>
    </row>
    <row r="174" spans="9:9" x14ac:dyDescent="0.25">
      <c r="I174" s="3"/>
    </row>
    <row r="175" spans="9:9" x14ac:dyDescent="0.25">
      <c r="I175" s="3"/>
    </row>
    <row r="176" spans="9:9" x14ac:dyDescent="0.25">
      <c r="I176" s="3"/>
    </row>
    <row r="177" spans="9:9" x14ac:dyDescent="0.25">
      <c r="I177" s="3"/>
    </row>
    <row r="178" spans="9:9" x14ac:dyDescent="0.25">
      <c r="I178" s="3"/>
    </row>
    <row r="179" spans="9:9" x14ac:dyDescent="0.25">
      <c r="I179" s="3"/>
    </row>
    <row r="180" spans="9:9" x14ac:dyDescent="0.25">
      <c r="I180" s="3"/>
    </row>
    <row r="181" spans="9:9" x14ac:dyDescent="0.25">
      <c r="I181" s="3"/>
    </row>
    <row r="182" spans="9:9" x14ac:dyDescent="0.25">
      <c r="I182" s="3"/>
    </row>
    <row r="183" spans="9:9" x14ac:dyDescent="0.25">
      <c r="I183" s="3"/>
    </row>
    <row r="184" spans="9:9" x14ac:dyDescent="0.25">
      <c r="I184" s="3"/>
    </row>
    <row r="185" spans="9:9" x14ac:dyDescent="0.25">
      <c r="I185" s="3"/>
    </row>
    <row r="186" spans="9:9" x14ac:dyDescent="0.25">
      <c r="I186" s="3"/>
    </row>
    <row r="187" spans="9:9" x14ac:dyDescent="0.25">
      <c r="I187" s="3"/>
    </row>
    <row r="188" spans="9:9" x14ac:dyDescent="0.25">
      <c r="I188" s="3"/>
    </row>
    <row r="189" spans="9:9" x14ac:dyDescent="0.25">
      <c r="I189" s="3"/>
    </row>
    <row r="190" spans="9:9" x14ac:dyDescent="0.25">
      <c r="I190" s="3"/>
    </row>
    <row r="191" spans="9:9" x14ac:dyDescent="0.25">
      <c r="I191" s="3"/>
    </row>
    <row r="192" spans="9:9" x14ac:dyDescent="0.25">
      <c r="I192" s="3"/>
    </row>
    <row r="193" spans="9:9" x14ac:dyDescent="0.25">
      <c r="I193" s="3"/>
    </row>
    <row r="194" spans="9:9" x14ac:dyDescent="0.25">
      <c r="I194" s="3"/>
    </row>
    <row r="195" spans="9:9" x14ac:dyDescent="0.25">
      <c r="I195" s="3"/>
    </row>
    <row r="196" spans="9:9" x14ac:dyDescent="0.25">
      <c r="I196" s="3"/>
    </row>
    <row r="197" spans="9:9" x14ac:dyDescent="0.25">
      <c r="I197" s="3"/>
    </row>
    <row r="198" spans="9:9" x14ac:dyDescent="0.25">
      <c r="I198" s="3"/>
    </row>
    <row r="199" spans="9:9" x14ac:dyDescent="0.25">
      <c r="I199" s="3"/>
    </row>
    <row r="200" spans="9:9" x14ac:dyDescent="0.25">
      <c r="I200" s="3"/>
    </row>
    <row r="201" spans="9:9" x14ac:dyDescent="0.25">
      <c r="I201" s="3"/>
    </row>
    <row r="202" spans="9:9" x14ac:dyDescent="0.25">
      <c r="I202" s="3"/>
    </row>
    <row r="203" spans="9:9" x14ac:dyDescent="0.25">
      <c r="I203" s="3"/>
    </row>
    <row r="204" spans="9:9" x14ac:dyDescent="0.25">
      <c r="I204" s="3"/>
    </row>
    <row r="205" spans="9:9" x14ac:dyDescent="0.25">
      <c r="I205" s="3"/>
    </row>
    <row r="206" spans="9:9" x14ac:dyDescent="0.25">
      <c r="I206" s="3"/>
    </row>
    <row r="207" spans="9:9" x14ac:dyDescent="0.25">
      <c r="I207" s="3"/>
    </row>
    <row r="208" spans="9:9" x14ac:dyDescent="0.25">
      <c r="I208" s="3"/>
    </row>
    <row r="209" spans="9:9" x14ac:dyDescent="0.25">
      <c r="I209" s="3"/>
    </row>
    <row r="210" spans="9:9" x14ac:dyDescent="0.25">
      <c r="I210" s="3"/>
    </row>
    <row r="211" spans="9:9" x14ac:dyDescent="0.25">
      <c r="I211" s="3"/>
    </row>
    <row r="212" spans="9:9" x14ac:dyDescent="0.25">
      <c r="I212" s="3"/>
    </row>
    <row r="213" spans="9:9" x14ac:dyDescent="0.25">
      <c r="I213" s="3"/>
    </row>
    <row r="214" spans="9:9" x14ac:dyDescent="0.25">
      <c r="I214" s="3"/>
    </row>
    <row r="215" spans="9:9" x14ac:dyDescent="0.25">
      <c r="I215" s="3"/>
    </row>
    <row r="216" spans="9:9" x14ac:dyDescent="0.25">
      <c r="I216" s="3"/>
    </row>
    <row r="217" spans="9:9" x14ac:dyDescent="0.25">
      <c r="I217" s="3"/>
    </row>
    <row r="218" spans="9:9" x14ac:dyDescent="0.25">
      <c r="I218" s="3"/>
    </row>
    <row r="219" spans="9:9" x14ac:dyDescent="0.25">
      <c r="I219" s="3"/>
    </row>
    <row r="220" spans="9:9" x14ac:dyDescent="0.25">
      <c r="I220" s="3"/>
    </row>
    <row r="221" spans="9:9" x14ac:dyDescent="0.25">
      <c r="I221" s="3"/>
    </row>
    <row r="222" spans="9:9" x14ac:dyDescent="0.25">
      <c r="I222" s="3"/>
    </row>
    <row r="223" spans="9:9" x14ac:dyDescent="0.25">
      <c r="I223" s="3"/>
    </row>
    <row r="224" spans="9:9" x14ac:dyDescent="0.25">
      <c r="I224" s="3"/>
    </row>
    <row r="225" spans="9:9" x14ac:dyDescent="0.25">
      <c r="I225" s="3"/>
    </row>
    <row r="226" spans="9:9" x14ac:dyDescent="0.25">
      <c r="I226" s="3"/>
    </row>
    <row r="227" spans="9:9" x14ac:dyDescent="0.25">
      <c r="I227" s="3"/>
    </row>
    <row r="228" spans="9:9" x14ac:dyDescent="0.25">
      <c r="I228" s="3"/>
    </row>
    <row r="229" spans="9:9" x14ac:dyDescent="0.25">
      <c r="I229" s="3"/>
    </row>
    <row r="230" spans="9:9" x14ac:dyDescent="0.25">
      <c r="I230" s="3"/>
    </row>
    <row r="231" spans="9:9" x14ac:dyDescent="0.25">
      <c r="I231" s="3"/>
    </row>
    <row r="232" spans="9:9" x14ac:dyDescent="0.25">
      <c r="I232" s="3"/>
    </row>
    <row r="233" spans="9:9" x14ac:dyDescent="0.25">
      <c r="I233" s="3"/>
    </row>
    <row r="234" spans="9:9" x14ac:dyDescent="0.25">
      <c r="I234" s="3"/>
    </row>
    <row r="235" spans="9:9" x14ac:dyDescent="0.25">
      <c r="I235" s="3"/>
    </row>
    <row r="236" spans="9:9" x14ac:dyDescent="0.25">
      <c r="I236" s="3"/>
    </row>
    <row r="237" spans="9:9" x14ac:dyDescent="0.25">
      <c r="I237" s="3"/>
    </row>
    <row r="238" spans="9:9" x14ac:dyDescent="0.25">
      <c r="I238" s="3"/>
    </row>
    <row r="239" spans="9:9" x14ac:dyDescent="0.25">
      <c r="I239" s="3"/>
    </row>
    <row r="240" spans="9:9" x14ac:dyDescent="0.25">
      <c r="I240" s="3"/>
    </row>
    <row r="241" spans="9:9" x14ac:dyDescent="0.25">
      <c r="I241" s="3"/>
    </row>
    <row r="242" spans="9:9" x14ac:dyDescent="0.25">
      <c r="I242" s="3"/>
    </row>
    <row r="243" spans="9:9" x14ac:dyDescent="0.25">
      <c r="I243" s="3"/>
    </row>
    <row r="244" spans="9:9" x14ac:dyDescent="0.25">
      <c r="I244" s="3"/>
    </row>
    <row r="245" spans="9:9" x14ac:dyDescent="0.25">
      <c r="I245" s="3"/>
    </row>
    <row r="246" spans="9:9" x14ac:dyDescent="0.25">
      <c r="I246" s="3"/>
    </row>
    <row r="247" spans="9:9" x14ac:dyDescent="0.25">
      <c r="I247" s="3"/>
    </row>
  </sheetData>
  <mergeCells count="6">
    <mergeCell ref="B5:H5"/>
    <mergeCell ref="B13:H13"/>
    <mergeCell ref="B2:G2"/>
    <mergeCell ref="B3:G3"/>
    <mergeCell ref="H2:H3"/>
    <mergeCell ref="B4:H4"/>
  </mergeCells>
  <pageMargins left="0.7" right="0.7" top="0.75" bottom="0.75" header="0.3" footer="0.3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report</vt:lpstr>
      <vt:lpstr>Online Sales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Fahim, ExcelDataPro</dc:creator>
  <cp:keywords>Online Sales Tracker Excel Template;www.exceldatapro.com</cp:keywords>
  <cp:lastModifiedBy>DELL</cp:lastModifiedBy>
  <dcterms:created xsi:type="dcterms:W3CDTF">2015-06-05T18:17:20Z</dcterms:created>
  <dcterms:modified xsi:type="dcterms:W3CDTF">2026-07-22T05:51:36Z</dcterms:modified>
</cp:coreProperties>
</file>