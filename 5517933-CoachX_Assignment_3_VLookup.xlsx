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ssignments excel\"/>
    </mc:Choice>
  </mc:AlternateContent>
  <bookViews>
    <workbookView xWindow="-105" yWindow="-105" windowWidth="23250" windowHeight="12450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l="1" a="1"/>
  <c r="R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<sst xmlns="http://schemas.openxmlformats.org/spreadsheetml/2006/main" count="28072" uniqueCount="6222">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</sst>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15"/>
  <sheetViews>
    <sheetView tabSelected="1" workbookViewId="0">
      <selection activeCell="S10" sqref="S10:S4815"/>
    </sheetView>
  </sheetViews>
  <sheetFormatPr defaultRowHeight="15" x14ac:dyDescent="0.25"/>
  <cols>
    <col min="1" max="1" width="14.140625" bestFit="1" customWidth="1"/>
    <col min="2" max="2" width="21.7109375" bestFit="1" customWidth="1"/>
    <col min="3" max="3" width="15" bestFit="1" customWidth="1"/>
    <col min="4" max="4" width="20.7109375" bestFit="1" customWidth="1"/>
    <col min="5" max="5" width="17" bestFit="1" customWidth="1"/>
    <col min="6" max="6" width="22.28515625" bestFit="1" customWidth="1"/>
    <col min="7" max="7" width="24" bestFit="1" customWidth="1"/>
    <col min="8" max="8" width="24.85546875" bestFit="1" customWidth="1"/>
    <col min="9" max="9" width="38.42578125" customWidth="1"/>
    <col min="10" max="10" width="8.140625" bestFit="1" customWidth="1"/>
    <col min="11" max="11" width="7.42578125" bestFit="1" customWidth="1"/>
    <col min="12" max="12" width="12" bestFit="1" customWidth="1"/>
    <col min="13" max="13" width="14.140625" bestFit="1" customWidth="1"/>
    <col min="14" max="14" width="15.140625" bestFit="1" customWidth="1"/>
    <col min="15" max="15" width="15.42578125" bestFit="1" customWidth="1"/>
    <col min="16" max="16" width="24.28515625" bestFit="1" customWidth="1"/>
    <col min="17" max="17" width="20.5703125" bestFit="1" customWidth="1"/>
    <col min="18" max="18" width="17.140625" bestFit="1" customWidth="1"/>
    <col min="19" max="19" width="33.28515625" bestFit="1" customWidth="1"/>
    <col min="20" max="20" width="9" bestFit="1" customWidth="1"/>
    <col min="21" max="21" width="15" bestFit="1" customWidth="1"/>
  </cols>
  <sheetData>
    <row r="1" spans="1:21" ht="15.75" x14ac:dyDescent="0.25">
      <c r="T1" s="1" t="s">
        <v>0</v>
      </c>
      <c r="U1" s="1" t="s">
        <v>1</v>
      </c>
    </row>
    <row r="2" spans="1:21" x14ac:dyDescent="0.25">
      <c r="T2" s="2">
        <v>0</v>
      </c>
      <c r="U2" s="3">
        <v>0.02</v>
      </c>
    </row>
    <row r="3" spans="1:21" x14ac:dyDescent="0.25">
      <c r="T3" s="2">
        <v>5000</v>
      </c>
      <c r="U3" s="3">
        <v>0.05</v>
      </c>
    </row>
    <row r="4" spans="1:21" x14ac:dyDescent="0.25">
      <c r="T4" s="2">
        <v>25000</v>
      </c>
      <c r="U4" s="3">
        <v>7.0000000000000007E-2</v>
      </c>
    </row>
    <row r="5" spans="1:21" x14ac:dyDescent="0.25">
      <c r="T5" s="2">
        <v>50000</v>
      </c>
      <c r="U5" s="3">
        <v>0.09</v>
      </c>
    </row>
    <row r="6" spans="1:21" x14ac:dyDescent="0.25">
      <c r="T6" s="2">
        <v>100000</v>
      </c>
      <c r="U6" s="3">
        <v>0.12</v>
      </c>
    </row>
    <row r="7" spans="1:21" x14ac:dyDescent="0.25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25">
      <c r="S8" s="23" t="s">
        <v>6220</v>
      </c>
    </row>
    <row r="9" spans="1:21" ht="15.75" x14ac:dyDescent="0.25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25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VLOOKUP(F10,'Customer Info'!A2:I501,2,0)</f>
        <v>Cari</v>
      </c>
      <c r="H10" s="6" t="str">
        <f>VLOOKUP(F10,'Customer Info'!A2:I501,3,0)</f>
        <v>Sayre</v>
      </c>
      <c r="I10" s="6" t="str">
        <f>VLOOKUP(F10,'Customer Info'!A2:I501,5,0)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SUM(N10,O10)</f>
        <v>3721</v>
      </c>
      <c r="Q10" s="8">
        <f>N10-O10</f>
        <v>3615</v>
      </c>
      <c r="R10" s="2" t="s">
        <v>26</v>
      </c>
      <c r="S10" s="9">
        <f>VLOOKUP(P10,$T$2:U7,2,1)</f>
        <v>0.02</v>
      </c>
    </row>
    <row r="11" spans="1:21" x14ac:dyDescent="0.25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VLOOKUP(F11,'Customer Info'!A3:I502,2,0)</f>
        <v>Michael</v>
      </c>
      <c r="H11" s="6" t="str">
        <f>VLOOKUP(F11,'Customer Info'!A3:I502,3,0)</f>
        <v>Granlund</v>
      </c>
      <c r="I11" s="6" t="str">
        <f>VLOOKUP(F11,'Customer Info'!A3:I502,5,0)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SUM(N11,O11)</f>
        <v>28879</v>
      </c>
      <c r="Q11" s="8">
        <f t="shared" ref="Q11:Q74" si="3">N11-O11</f>
        <v>28697</v>
      </c>
      <c r="R11" s="2" t="s">
        <v>28</v>
      </c>
      <c r="S11" s="9">
        <f>VLOOKUP(P11,$T$2:U8,2,1)</f>
        <v>7.0000000000000007E-2</v>
      </c>
    </row>
    <row r="12" spans="1:21" x14ac:dyDescent="0.25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VLOOKUP(F12,'Customer Info'!A4:I503,2,0)</f>
        <v>Muhammed</v>
      </c>
      <c r="H12" s="6" t="str">
        <f>VLOOKUP(F12,'Customer Info'!A4:I503,3,0)</f>
        <v>Lee</v>
      </c>
      <c r="I12" s="6" t="str">
        <f>VLOOKUP(F12,'Customer Info'!A4:I503,5,0)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8377</v>
      </c>
      <c r="R12" s="2" t="s">
        <v>28</v>
      </c>
      <c r="S12" s="9">
        <f>VLOOKUP(P12,$T$2:U9,2,1)</f>
        <v>0.05</v>
      </c>
    </row>
    <row r="13" spans="1:21" x14ac:dyDescent="0.25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VLOOKUP(F13,'Customer Info'!A5:I504,2,0)</f>
        <v>Rick</v>
      </c>
      <c r="H13" s="6" t="str">
        <f>VLOOKUP(F13,'Customer Info'!A5:I504,3,0)</f>
        <v>Duston</v>
      </c>
      <c r="I13" s="6" t="str">
        <f>VLOOKUP(F13,'Customer Info'!A5:I504,5,0)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3559</v>
      </c>
      <c r="R13" s="2" t="s">
        <v>28</v>
      </c>
      <c r="S13" s="9">
        <f>VLOOKUP(P13,$T$2:U10,2,1)</f>
        <v>0.02</v>
      </c>
    </row>
    <row r="14" spans="1:21" x14ac:dyDescent="0.25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VLOOKUP(F14,'Customer Info'!A6:I505,2,0)</f>
        <v>Steve</v>
      </c>
      <c r="H14" s="6" t="str">
        <f>VLOOKUP(F14,'Customer Info'!A6:I505,3,0)</f>
        <v>Nguyen</v>
      </c>
      <c r="I14" s="6" t="str">
        <f>VLOOKUP(F14,'Customer Info'!A6:I505,5,0)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6606</v>
      </c>
      <c r="R14" s="2" t="s">
        <v>28</v>
      </c>
      <c r="S14" s="9">
        <f>VLOOKUP(P14,$T$2:U11,2,1)</f>
        <v>0.05</v>
      </c>
    </row>
    <row r="15" spans="1:21" x14ac:dyDescent="0.25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VLOOKUP(F15,'Customer Info'!A7:I506,2,0)</f>
        <v>Michael</v>
      </c>
      <c r="H15" s="6" t="str">
        <f>VLOOKUP(F15,'Customer Info'!A7:I506,3,0)</f>
        <v>Moore</v>
      </c>
      <c r="I15" s="6" t="str">
        <f>VLOOKUP(F15,'Customer Info'!A7:I506,5,0)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572</v>
      </c>
      <c r="R15" s="2" t="s">
        <v>28</v>
      </c>
      <c r="S15" s="9">
        <f>VLOOKUP(P15,$T$2:U12,2,1)</f>
        <v>0.02</v>
      </c>
    </row>
    <row r="16" spans="1:21" x14ac:dyDescent="0.25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VLOOKUP(F16,'Customer Info'!A8:I507,2,0)</f>
        <v>Jas</v>
      </c>
      <c r="H16" s="6" t="str">
        <f>VLOOKUP(F16,'Customer Info'!A8:I507,3,0)</f>
        <v>O'Carroll</v>
      </c>
      <c r="I16" s="6" t="str">
        <f>VLOOKUP(F16,'Customer Info'!A8:I507,5,0)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5482</v>
      </c>
      <c r="R16" s="2" t="s">
        <v>28</v>
      </c>
      <c r="S16" s="9">
        <f>VLOOKUP(P16,$T$2:U13,2,1)</f>
        <v>0.05</v>
      </c>
    </row>
    <row r="17" spans="1:19" x14ac:dyDescent="0.25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VLOOKUP(F17,'Customer Info'!A9:I508,2,0)</f>
        <v>Cindy</v>
      </c>
      <c r="H17" s="6" t="str">
        <f>VLOOKUP(F17,'Customer Info'!A9:I508,3,0)</f>
        <v>Schnelling</v>
      </c>
      <c r="I17" s="6" t="str">
        <f>VLOOKUP(F17,'Customer Info'!A9:I508,5,0)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384</v>
      </c>
      <c r="R17" s="2" t="s">
        <v>28</v>
      </c>
      <c r="S17" s="9">
        <f>VLOOKUP(P17,$T$2:U14,2,1)</f>
        <v>0.02</v>
      </c>
    </row>
    <row r="18" spans="1:19" x14ac:dyDescent="0.25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VLOOKUP(F18,'Customer Info'!A10:I509,2,0)</f>
        <v>Jeremy</v>
      </c>
      <c r="H18" s="6" t="str">
        <f>VLOOKUP(F18,'Customer Info'!A10:I509,3,0)</f>
        <v>Ellison</v>
      </c>
      <c r="I18" s="6" t="str">
        <f>VLOOKUP(F18,'Customer Info'!A10:I509,5,0)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456</v>
      </c>
      <c r="R18" s="2" t="s">
        <v>28</v>
      </c>
      <c r="S18" s="9">
        <f>VLOOKUP(P18,$T$2:U15,2,1)</f>
        <v>0.02</v>
      </c>
    </row>
    <row r="19" spans="1:19" x14ac:dyDescent="0.25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VLOOKUP(F19,'Customer Info'!A11:I510,2,0)</f>
        <v>Corinna</v>
      </c>
      <c r="H19" s="6" t="str">
        <f>VLOOKUP(F19,'Customer Info'!A11:I510,3,0)</f>
        <v>Mitchell</v>
      </c>
      <c r="I19" s="6" t="str">
        <f>VLOOKUP(F19,'Customer Info'!A11:I510,5,0)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1580</v>
      </c>
      <c r="R19" s="2" t="s">
        <v>50</v>
      </c>
      <c r="S19" s="9">
        <f>VLOOKUP(P19,$T$2:U16,2,1)</f>
        <v>0.02</v>
      </c>
    </row>
    <row r="20" spans="1:19" x14ac:dyDescent="0.25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VLOOKUP(F20,'Customer Info'!A12:I511,2,0)</f>
        <v>Victor</v>
      </c>
      <c r="H20" s="6" t="str">
        <f>VLOOKUP(F20,'Customer Info'!A12:I511,3,0)</f>
        <v>Preis</v>
      </c>
      <c r="I20" s="6" t="str">
        <f>VLOOKUP(F20,'Customer Info'!A12:I511,5,0)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2672</v>
      </c>
      <c r="R20" s="2" t="s">
        <v>28</v>
      </c>
      <c r="S20" s="9">
        <f>VLOOKUP(P20,$T$2:U17,2,1)</f>
        <v>0.02</v>
      </c>
    </row>
    <row r="21" spans="1:19" x14ac:dyDescent="0.25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VLOOKUP(F21,'Customer Info'!A13:I512,2,0)</f>
        <v>Jenna</v>
      </c>
      <c r="H21" s="6" t="str">
        <f>VLOOKUP(F21,'Customer Info'!A13:I512,3,0)</f>
        <v>Caffey</v>
      </c>
      <c r="I21" s="6" t="str">
        <f>VLOOKUP(F21,'Customer Info'!A13:I512,5,0)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308</v>
      </c>
      <c r="R21" s="2" t="s">
        <v>56</v>
      </c>
      <c r="S21" s="9">
        <f>VLOOKUP(P21,$T$2:U18,2,1)</f>
        <v>0.02</v>
      </c>
    </row>
    <row r="22" spans="1:19" x14ac:dyDescent="0.25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VLOOKUP(F22,'Customer Info'!A14:I513,2,0)</f>
        <v>Paul</v>
      </c>
      <c r="H22" s="6" t="str">
        <f>VLOOKUP(F22,'Customer Info'!A14:I513,3,0)</f>
        <v>Knutson</v>
      </c>
      <c r="I22" s="6" t="str">
        <f>VLOOKUP(F22,'Customer Info'!A14:I513,5,0)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36474</v>
      </c>
      <c r="R22" s="2" t="s">
        <v>50</v>
      </c>
      <c r="S22" s="9">
        <f>VLOOKUP(P22,$T$2:U19,2,1)</f>
        <v>7.0000000000000007E-2</v>
      </c>
    </row>
    <row r="23" spans="1:19" x14ac:dyDescent="0.25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VLOOKUP(F23,'Customer Info'!A15:I514,2,0)</f>
        <v>Ryan</v>
      </c>
      <c r="H23" s="6" t="str">
        <f>VLOOKUP(F23,'Customer Info'!A15:I514,3,0)</f>
        <v>Crowe</v>
      </c>
      <c r="I23" s="6" t="str">
        <f>VLOOKUP(F23,'Customer Info'!A15:I514,5,0)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4120</v>
      </c>
      <c r="R23" s="2" t="s">
        <v>28</v>
      </c>
      <c r="S23" s="9">
        <f>VLOOKUP(P23,$T$2:U20,2,1)</f>
        <v>0.02</v>
      </c>
    </row>
    <row r="24" spans="1:19" x14ac:dyDescent="0.25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VLOOKUP(F24,'Customer Info'!A16:I515,2,0)</f>
        <v>Kelly</v>
      </c>
      <c r="H24" s="6" t="str">
        <f>VLOOKUP(F24,'Customer Info'!A16:I515,3,0)</f>
        <v>Collister</v>
      </c>
      <c r="I24" s="6" t="str">
        <f>VLOOKUP(F24,'Customer Info'!A16:I515,5,0)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538</v>
      </c>
      <c r="R24" s="2" t="s">
        <v>56</v>
      </c>
      <c r="S24" s="9">
        <f>VLOOKUP(P24,$T$2:U21,2,1)</f>
        <v>0.02</v>
      </c>
    </row>
    <row r="25" spans="1:19" x14ac:dyDescent="0.25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e">
        <f>VLOOKUP(F25,'Customer Info'!A17:I516,2,0)</f>
        <v>#N/A</v>
      </c>
      <c r="H25" s="6" t="e">
        <f>VLOOKUP(F25,'Customer Info'!A17:I516,3,0)</f>
        <v>#N/A</v>
      </c>
      <c r="I25" s="6" t="e">
        <f>VLOOKUP(F25,'Customer Info'!A17:I516,5,0)</f>
        <v>#N/A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3570</v>
      </c>
      <c r="R25" s="2" t="s">
        <v>50</v>
      </c>
      <c r="S25" s="9">
        <f>VLOOKUP(P25,$T$2:U22,2,1)</f>
        <v>0.02</v>
      </c>
    </row>
    <row r="26" spans="1:19" x14ac:dyDescent="0.25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VLOOKUP(F26,'Customer Info'!A18:I517,2,0)</f>
        <v>Corey</v>
      </c>
      <c r="H26" s="6" t="str">
        <f>VLOOKUP(F26,'Customer Info'!A18:I517,3,0)</f>
        <v>Lock</v>
      </c>
      <c r="I26" s="6" t="str">
        <f>VLOOKUP(F26,'Customer Info'!A18:I517,5,0)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19056</v>
      </c>
      <c r="R26" s="2" t="s">
        <v>28</v>
      </c>
      <c r="S26" s="9">
        <f>VLOOKUP(P26,$T$2:U23,2,1)</f>
        <v>0.05</v>
      </c>
    </row>
    <row r="27" spans="1:19" x14ac:dyDescent="0.25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VLOOKUP(F27,'Customer Info'!A19:I518,2,0)</f>
        <v>Dennis</v>
      </c>
      <c r="H27" s="6" t="str">
        <f>VLOOKUP(F27,'Customer Info'!A19:I518,3,0)</f>
        <v>Pardue</v>
      </c>
      <c r="I27" s="6" t="str">
        <f>VLOOKUP(F27,'Customer Info'!A19:I518,5,0)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51662</v>
      </c>
      <c r="R27" s="2" t="s">
        <v>28</v>
      </c>
      <c r="S27" s="9">
        <f>VLOOKUP(P27,$T$2:U24,2,1)</f>
        <v>0.09</v>
      </c>
    </row>
    <row r="28" spans="1:19" x14ac:dyDescent="0.25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VLOOKUP(F28,'Customer Info'!A20:I519,2,0)</f>
        <v>Lisa</v>
      </c>
      <c r="H28" s="6" t="str">
        <f>VLOOKUP(F28,'Customer Info'!A20:I519,3,0)</f>
        <v>DeCherney</v>
      </c>
      <c r="I28" s="6" t="str">
        <f>VLOOKUP(F28,'Customer Info'!A20:I519,5,0)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1543</v>
      </c>
      <c r="R28" s="2" t="s">
        <v>50</v>
      </c>
      <c r="S28" s="9">
        <f>VLOOKUP(P28,$T$2:U25,2,1)</f>
        <v>0.02</v>
      </c>
    </row>
    <row r="29" spans="1:19" x14ac:dyDescent="0.25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VLOOKUP(F29,'Customer Info'!A21:I520,2,0)</f>
        <v>Bill</v>
      </c>
      <c r="H29" s="6" t="str">
        <f>VLOOKUP(F29,'Customer Info'!A21:I520,3,0)</f>
        <v>Stewart</v>
      </c>
      <c r="I29" s="6" t="str">
        <f>VLOOKUP(F29,'Customer Info'!A21:I520,5,0)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363</v>
      </c>
      <c r="R29" s="2" t="s">
        <v>50</v>
      </c>
      <c r="S29" s="9">
        <f>VLOOKUP(P29,$T$2:U26,2,1)</f>
        <v>0.02</v>
      </c>
    </row>
    <row r="30" spans="1:19" x14ac:dyDescent="0.25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VLOOKUP(F30,'Customer Info'!A22:I521,2,0)</f>
        <v>David</v>
      </c>
      <c r="H30" s="6" t="str">
        <f>VLOOKUP(F30,'Customer Info'!A22:I521,3,0)</f>
        <v>Kendrick</v>
      </c>
      <c r="I30" s="6" t="str">
        <f>VLOOKUP(F30,'Customer Info'!A22:I521,5,0)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6722</v>
      </c>
      <c r="R30" s="2" t="s">
        <v>28</v>
      </c>
      <c r="S30" s="9">
        <f>VLOOKUP(P30,$T$2:U27,2,1)</f>
        <v>0.05</v>
      </c>
    </row>
    <row r="31" spans="1:19" x14ac:dyDescent="0.25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VLOOKUP(F31,'Customer Info'!A23:I522,2,0)</f>
        <v>Laurel</v>
      </c>
      <c r="H31" s="6" t="str">
        <f>VLOOKUP(F31,'Customer Info'!A23:I522,3,0)</f>
        <v>Workman</v>
      </c>
      <c r="I31" s="6" t="str">
        <f>VLOOKUP(F31,'Customer Info'!A23:I522,5,0)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11966</v>
      </c>
      <c r="R31" s="2" t="s">
        <v>50</v>
      </c>
      <c r="S31" s="9">
        <f>VLOOKUP(P31,$T$2:U28,2,1)</f>
        <v>0.05</v>
      </c>
    </row>
    <row r="32" spans="1:19" x14ac:dyDescent="0.25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VLOOKUP(F32,'Customer Info'!A24:I523,2,0)</f>
        <v>Craig</v>
      </c>
      <c r="H32" s="6" t="str">
        <f>VLOOKUP(F32,'Customer Info'!A24:I523,3,0)</f>
        <v>Carroll</v>
      </c>
      <c r="I32" s="6" t="str">
        <f>VLOOKUP(F32,'Customer Info'!A24:I523,5,0)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549</v>
      </c>
      <c r="R32" s="2" t="s">
        <v>28</v>
      </c>
      <c r="S32" s="9">
        <f>VLOOKUP(P32,$T$2:U29,2,1)</f>
        <v>0.02</v>
      </c>
    </row>
    <row r="33" spans="1:19" x14ac:dyDescent="0.25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VLOOKUP(F33,'Customer Info'!A25:I524,2,0)</f>
        <v>Emily</v>
      </c>
      <c r="H33" s="6" t="str">
        <f>VLOOKUP(F33,'Customer Info'!A25:I524,3,0)</f>
        <v>Burns</v>
      </c>
      <c r="I33" s="6" t="str">
        <f>VLOOKUP(F33,'Customer Info'!A25:I524,5,0)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4391</v>
      </c>
      <c r="R33" s="2" t="s">
        <v>28</v>
      </c>
      <c r="S33" s="9">
        <f>VLOOKUP(P33,$T$2:U30,2,1)</f>
        <v>0.02</v>
      </c>
    </row>
    <row r="34" spans="1:19" x14ac:dyDescent="0.25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VLOOKUP(F34,'Customer Info'!A26:I525,2,0)</f>
        <v>Erica</v>
      </c>
      <c r="H34" s="6" t="str">
        <f>VLOOKUP(F34,'Customer Info'!A26:I525,3,0)</f>
        <v>Smith</v>
      </c>
      <c r="I34" s="6" t="str">
        <f>VLOOKUP(F34,'Customer Info'!A26:I525,5,0)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804</v>
      </c>
      <c r="R34" s="2" t="s">
        <v>28</v>
      </c>
      <c r="S34" s="9">
        <f>VLOOKUP(P34,$T$2:U31,2,1)</f>
        <v>0.02</v>
      </c>
    </row>
    <row r="35" spans="1:19" x14ac:dyDescent="0.25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VLOOKUP(F35,'Customer Info'!A27:I526,2,0)</f>
        <v>Thomas</v>
      </c>
      <c r="H35" s="6" t="str">
        <f>VLOOKUP(F35,'Customer Info'!A27:I526,3,0)</f>
        <v>Brumley</v>
      </c>
      <c r="I35" s="6" t="str">
        <f>VLOOKUP(F35,'Customer Info'!A27:I526,5,0)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5714</v>
      </c>
      <c r="R35" s="2" t="s">
        <v>28</v>
      </c>
      <c r="S35" s="9">
        <f>VLOOKUP(P35,$T$2:U32,2,1)</f>
        <v>0.05</v>
      </c>
    </row>
    <row r="36" spans="1:19" x14ac:dyDescent="0.25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VLOOKUP(F36,'Customer Info'!A28:I527,2,0)</f>
        <v>Justin</v>
      </c>
      <c r="H36" s="6" t="str">
        <f>VLOOKUP(F36,'Customer Info'!A28:I527,3,0)</f>
        <v>Hirsh</v>
      </c>
      <c r="I36" s="6" t="str">
        <f>VLOOKUP(F36,'Customer Info'!A28:I527,5,0)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14604</v>
      </c>
      <c r="R36" s="2" t="s">
        <v>28</v>
      </c>
      <c r="S36" s="9">
        <f>VLOOKUP(P36,$T$2:U33,2,1)</f>
        <v>0.05</v>
      </c>
    </row>
    <row r="37" spans="1:19" x14ac:dyDescent="0.25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VLOOKUP(F37,'Customer Info'!A29:I528,2,0)</f>
        <v>Thomas</v>
      </c>
      <c r="H37" s="6" t="str">
        <f>VLOOKUP(F37,'Customer Info'!A29:I528,3,0)</f>
        <v>Brumley</v>
      </c>
      <c r="I37" s="6" t="str">
        <f>VLOOKUP(F37,'Customer Info'!A29:I528,5,0)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39279</v>
      </c>
      <c r="R37" s="2" t="s">
        <v>28</v>
      </c>
      <c r="S37" s="9">
        <f>VLOOKUP(P37,$T$2:U34,2,1)</f>
        <v>7.0000000000000007E-2</v>
      </c>
    </row>
    <row r="38" spans="1:19" x14ac:dyDescent="0.25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VLOOKUP(F38,'Customer Info'!A30:I529,2,0)</f>
        <v>Heather</v>
      </c>
      <c r="H38" s="6" t="str">
        <f>VLOOKUP(F38,'Customer Info'!A30:I529,3,0)</f>
        <v>Kirkland</v>
      </c>
      <c r="I38" s="6" t="str">
        <f>VLOOKUP(F38,'Customer Info'!A30:I529,5,0)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966</v>
      </c>
      <c r="R38" s="2" t="s">
        <v>50</v>
      </c>
      <c r="S38" s="9">
        <f>VLOOKUP(P38,$T$2:U35,2,1)</f>
        <v>0.02</v>
      </c>
    </row>
    <row r="39" spans="1:19" x14ac:dyDescent="0.25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VLOOKUP(F39,'Customer Info'!A31:I530,2,0)</f>
        <v>Jeremy</v>
      </c>
      <c r="H39" s="6" t="str">
        <f>VLOOKUP(F39,'Customer Info'!A31:I530,3,0)</f>
        <v>Ellison</v>
      </c>
      <c r="I39" s="6" t="str">
        <f>VLOOKUP(F39,'Customer Info'!A31:I530,5,0)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431</v>
      </c>
      <c r="R39" s="2" t="s">
        <v>50</v>
      </c>
      <c r="S39" s="9">
        <f>VLOOKUP(P39,$T$2:U36,2,1)</f>
        <v>0.02</v>
      </c>
    </row>
    <row r="40" spans="1:19" x14ac:dyDescent="0.25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VLOOKUP(F40,'Customer Info'!A32:I531,2,0)</f>
        <v>Jenna</v>
      </c>
      <c r="H40" s="6" t="str">
        <f>VLOOKUP(F40,'Customer Info'!A32:I531,3,0)</f>
        <v>Caffey</v>
      </c>
      <c r="I40" s="6" t="str">
        <f>VLOOKUP(F40,'Customer Info'!A32:I531,5,0)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14685</v>
      </c>
      <c r="R40" s="2" t="s">
        <v>50</v>
      </c>
      <c r="S40" s="9">
        <f>VLOOKUP(P40,$T$2:U37,2,1)</f>
        <v>0.05</v>
      </c>
    </row>
    <row r="41" spans="1:19" x14ac:dyDescent="0.25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VLOOKUP(F41,'Customer Info'!A33:I532,2,0)</f>
        <v>Frank</v>
      </c>
      <c r="H41" s="6" t="str">
        <f>VLOOKUP(F41,'Customer Info'!A33:I532,3,0)</f>
        <v>Hawley</v>
      </c>
      <c r="I41" s="6" t="str">
        <f>VLOOKUP(F41,'Customer Info'!A33:I532,5,0)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20534</v>
      </c>
      <c r="R41" s="2" t="s">
        <v>28</v>
      </c>
      <c r="S41" s="9">
        <f>VLOOKUP(P41,$T$2:U38,2,1)</f>
        <v>0.05</v>
      </c>
    </row>
    <row r="42" spans="1:19" x14ac:dyDescent="0.25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VLOOKUP(F42,'Customer Info'!A34:I533,2,0)</f>
        <v>Trudy</v>
      </c>
      <c r="H42" s="6" t="str">
        <f>VLOOKUP(F42,'Customer Info'!A34:I533,3,0)</f>
        <v>Glocke</v>
      </c>
      <c r="I42" s="6" t="str">
        <f>VLOOKUP(F42,'Customer Info'!A34:I533,5,0)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753</v>
      </c>
      <c r="R42" s="2" t="s">
        <v>50</v>
      </c>
      <c r="S42" s="9">
        <f>VLOOKUP(P42,$T$2:U39,2,1)</f>
        <v>0.02</v>
      </c>
    </row>
    <row r="43" spans="1:19" x14ac:dyDescent="0.25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VLOOKUP(F43,'Customer Info'!A35:I534,2,0)</f>
        <v>Duane</v>
      </c>
      <c r="H43" s="6" t="str">
        <f>VLOOKUP(F43,'Customer Info'!A35:I534,3,0)</f>
        <v>Huffman</v>
      </c>
      <c r="I43" s="6" t="str">
        <f>VLOOKUP(F43,'Customer Info'!A35:I534,5,0)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46</v>
      </c>
      <c r="R43" s="2" t="s">
        <v>28</v>
      </c>
      <c r="S43" s="9">
        <f>VLOOKUP(P43,$T$2:U40,2,1)</f>
        <v>0.02</v>
      </c>
    </row>
    <row r="44" spans="1:19" x14ac:dyDescent="0.25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VLOOKUP(F44,'Customer Info'!A36:I535,2,0)</f>
        <v>Steven</v>
      </c>
      <c r="H44" s="6" t="str">
        <f>VLOOKUP(F44,'Customer Info'!A36:I535,3,0)</f>
        <v>Ward</v>
      </c>
      <c r="I44" s="6" t="str">
        <f>VLOOKUP(F44,'Customer Info'!A36:I535,5,0)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15910</v>
      </c>
      <c r="R44" s="2" t="s">
        <v>50</v>
      </c>
      <c r="S44" s="9">
        <f>VLOOKUP(P44,$T$2:U41,2,1)</f>
        <v>0.05</v>
      </c>
    </row>
    <row r="45" spans="1:19" x14ac:dyDescent="0.25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VLOOKUP(F45,'Customer Info'!A37:I536,2,0)</f>
        <v>Victoria</v>
      </c>
      <c r="H45" s="6" t="str">
        <f>VLOOKUP(F45,'Customer Info'!A37:I536,3,0)</f>
        <v>Pisteka</v>
      </c>
      <c r="I45" s="6" t="str">
        <f>VLOOKUP(F45,'Customer Info'!A37:I536,5,0)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21979</v>
      </c>
      <c r="R45" s="2" t="s">
        <v>26</v>
      </c>
      <c r="S45" s="9">
        <f>VLOOKUP(P45,$T$2:U42,2,1)</f>
        <v>0.05</v>
      </c>
    </row>
    <row r="46" spans="1:19" x14ac:dyDescent="0.25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VLOOKUP(F46,'Customer Info'!A38:I537,2,0)</f>
        <v>Dana</v>
      </c>
      <c r="H46" s="6" t="str">
        <f>VLOOKUP(F46,'Customer Info'!A38:I537,3,0)</f>
        <v>Kaydos</v>
      </c>
      <c r="I46" s="6" t="str">
        <f>VLOOKUP(F46,'Customer Info'!A38:I537,5,0)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1114</v>
      </c>
      <c r="R46" s="2" t="s">
        <v>56</v>
      </c>
      <c r="S46" s="9">
        <f>VLOOKUP(P46,$T$2:U43,2,1)</f>
        <v>0.02</v>
      </c>
    </row>
    <row r="47" spans="1:19" x14ac:dyDescent="0.25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VLOOKUP(F47,'Customer Info'!A39:I538,2,0)</f>
        <v>Steve</v>
      </c>
      <c r="H47" s="6" t="str">
        <f>VLOOKUP(F47,'Customer Info'!A39:I538,3,0)</f>
        <v>Carroll</v>
      </c>
      <c r="I47" s="6" t="str">
        <f>VLOOKUP(F47,'Customer Info'!A39:I538,5,0)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9968</v>
      </c>
      <c r="R47" s="2" t="s">
        <v>28</v>
      </c>
      <c r="S47" s="9">
        <f>VLOOKUP(P47,$T$2:U44,2,1)</f>
        <v>0.05</v>
      </c>
    </row>
    <row r="48" spans="1:19" x14ac:dyDescent="0.25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VLOOKUP(F48,'Customer Info'!A40:I539,2,0)</f>
        <v>Hunter</v>
      </c>
      <c r="H48" s="6" t="str">
        <f>VLOOKUP(F48,'Customer Info'!A40:I539,3,0)</f>
        <v>Lopez</v>
      </c>
      <c r="I48" s="6" t="str">
        <f>VLOOKUP(F48,'Customer Info'!A40:I539,5,0)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4125</v>
      </c>
      <c r="R48" s="2" t="s">
        <v>50</v>
      </c>
      <c r="S48" s="9">
        <f>VLOOKUP(P48,$T$2:U45,2,1)</f>
        <v>0.02</v>
      </c>
    </row>
    <row r="49" spans="1:19" x14ac:dyDescent="0.25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VLOOKUP(F49,'Customer Info'!A41:I540,2,0)</f>
        <v>Lisa</v>
      </c>
      <c r="H49" s="6" t="str">
        <f>VLOOKUP(F49,'Customer Info'!A41:I540,3,0)</f>
        <v>Ryan</v>
      </c>
      <c r="I49" s="6" t="str">
        <f>VLOOKUP(F49,'Customer Info'!A41:I540,5,0)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254</v>
      </c>
      <c r="R49" s="2" t="s">
        <v>50</v>
      </c>
      <c r="S49" s="9">
        <f>VLOOKUP(P49,$T$2:U46,2,1)</f>
        <v>0.02</v>
      </c>
    </row>
    <row r="50" spans="1:19" x14ac:dyDescent="0.25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VLOOKUP(F50,'Customer Info'!A42:I541,2,0)</f>
        <v>Neil</v>
      </c>
      <c r="H50" s="6" t="str">
        <f>VLOOKUP(F50,'Customer Info'!A42:I541,3,0)</f>
        <v>Knudson</v>
      </c>
      <c r="I50" s="6" t="str">
        <f>VLOOKUP(F50,'Customer Info'!A42:I541,5,0)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4653</v>
      </c>
      <c r="R50" s="2" t="s">
        <v>28</v>
      </c>
      <c r="S50" s="9">
        <f>VLOOKUP(P50,$T$2:U47,2,1)</f>
        <v>0.02</v>
      </c>
    </row>
    <row r="51" spans="1:19" x14ac:dyDescent="0.25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e">
        <f>VLOOKUP(F51,'Customer Info'!A43:I542,2,0)</f>
        <v>#N/A</v>
      </c>
      <c r="H51" s="6" t="e">
        <f>VLOOKUP(F51,'Customer Info'!A43:I542,3,0)</f>
        <v>#N/A</v>
      </c>
      <c r="I51" s="6" t="e">
        <f>VLOOKUP(F51,'Customer Info'!A43:I542,5,0)</f>
        <v>#N/A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174</v>
      </c>
      <c r="R51" s="2" t="s">
        <v>28</v>
      </c>
      <c r="S51" s="9">
        <f>VLOOKUP(P51,$T$2:U48,2,1)</f>
        <v>0.02</v>
      </c>
    </row>
    <row r="52" spans="1:19" x14ac:dyDescent="0.25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VLOOKUP(F52,'Customer Info'!A44:I543,2,0)</f>
        <v>Larry</v>
      </c>
      <c r="H52" s="6" t="str">
        <f>VLOOKUP(F52,'Customer Info'!A44:I543,3,0)</f>
        <v>Blacks</v>
      </c>
      <c r="I52" s="6" t="str">
        <f>VLOOKUP(F52,'Customer Info'!A44:I543,5,0)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539</v>
      </c>
      <c r="R52" s="2" t="s">
        <v>28</v>
      </c>
      <c r="S52" s="9">
        <f>VLOOKUP(P52,$T$2:U49,2,1)</f>
        <v>0.02</v>
      </c>
    </row>
    <row r="53" spans="1:19" x14ac:dyDescent="0.25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VLOOKUP(F53,'Customer Info'!A45:I544,2,0)</f>
        <v>Patrick</v>
      </c>
      <c r="H53" s="6" t="str">
        <f>VLOOKUP(F53,'Customer Info'!A45:I544,3,0)</f>
        <v>Bzostek</v>
      </c>
      <c r="I53" s="6" t="str">
        <f>VLOOKUP(F53,'Customer Info'!A45:I544,5,0)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13410</v>
      </c>
      <c r="R53" s="2" t="s">
        <v>28</v>
      </c>
      <c r="S53" s="9">
        <f>VLOOKUP(P53,$T$2:U50,2,1)</f>
        <v>0.05</v>
      </c>
    </row>
    <row r="54" spans="1:19" x14ac:dyDescent="0.25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VLOOKUP(F54,'Customer Info'!A46:I545,2,0)</f>
        <v>Eileen</v>
      </c>
      <c r="H54" s="6" t="str">
        <f>VLOOKUP(F54,'Customer Info'!A46:I545,3,0)</f>
        <v>Kiefer</v>
      </c>
      <c r="I54" s="6" t="str">
        <f>VLOOKUP(F54,'Customer Info'!A46:I545,5,0)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815</v>
      </c>
      <c r="R54" s="2" t="s">
        <v>50</v>
      </c>
      <c r="S54" s="9">
        <f>VLOOKUP(P54,$T$2:U51,2,1)</f>
        <v>0.02</v>
      </c>
    </row>
    <row r="55" spans="1:19" x14ac:dyDescent="0.25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VLOOKUP(F55,'Customer Info'!A47:I546,2,0)</f>
        <v>Trudy</v>
      </c>
      <c r="H55" s="6" t="str">
        <f>VLOOKUP(F55,'Customer Info'!A47:I546,3,0)</f>
        <v>Glocke</v>
      </c>
      <c r="I55" s="6" t="str">
        <f>VLOOKUP(F55,'Customer Info'!A47:I546,5,0)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2227</v>
      </c>
      <c r="R55" s="2" t="s">
        <v>28</v>
      </c>
      <c r="S55" s="9">
        <f>VLOOKUP(P55,$T$2:U52,2,1)</f>
        <v>0.02</v>
      </c>
    </row>
    <row r="56" spans="1:19" x14ac:dyDescent="0.25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VLOOKUP(F56,'Customer Info'!A48:I547,2,0)</f>
        <v>Mark</v>
      </c>
      <c r="H56" s="6" t="str">
        <f>VLOOKUP(F56,'Customer Info'!A48:I547,3,0)</f>
        <v>Packer</v>
      </c>
      <c r="I56" s="6" t="str">
        <f>VLOOKUP(F56,'Customer Info'!A48:I547,5,0)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12122</v>
      </c>
      <c r="R56" s="2" t="s">
        <v>28</v>
      </c>
      <c r="S56" s="9">
        <f>VLOOKUP(P56,$T$2:U53,2,1)</f>
        <v>0.05</v>
      </c>
    </row>
    <row r="57" spans="1:19" x14ac:dyDescent="0.25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VLOOKUP(F57,'Customer Info'!A49:I548,2,0)</f>
        <v>Stuart</v>
      </c>
      <c r="H57" s="6" t="str">
        <f>VLOOKUP(F57,'Customer Info'!A49:I548,3,0)</f>
        <v>Calhoun</v>
      </c>
      <c r="I57" s="6" t="str">
        <f>VLOOKUP(F57,'Customer Info'!A49:I548,5,0)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5805</v>
      </c>
      <c r="R57" s="2" t="s">
        <v>28</v>
      </c>
      <c r="S57" s="9">
        <f>VLOOKUP(P57,$T$2:U54,2,1)</f>
        <v>0.05</v>
      </c>
    </row>
    <row r="58" spans="1:19" x14ac:dyDescent="0.25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VLOOKUP(F58,'Customer Info'!A50:I549,2,0)</f>
        <v>Jack</v>
      </c>
      <c r="H58" s="6" t="str">
        <f>VLOOKUP(F58,'Customer Info'!A50:I549,3,0)</f>
        <v>Lebron</v>
      </c>
      <c r="I58" s="6" t="str">
        <f>VLOOKUP(F58,'Customer Info'!A50:I549,5,0)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14060</v>
      </c>
      <c r="R58" s="2" t="s">
        <v>50</v>
      </c>
      <c r="S58" s="9">
        <f>VLOOKUP(P58,$T$2:U55,2,1)</f>
        <v>0.05</v>
      </c>
    </row>
    <row r="59" spans="1:19" x14ac:dyDescent="0.25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VLOOKUP(F59,'Customer Info'!A51:I550,2,0)</f>
        <v>Lisa</v>
      </c>
      <c r="H59" s="6" t="str">
        <f>VLOOKUP(F59,'Customer Info'!A51:I550,3,0)</f>
        <v>Ryan</v>
      </c>
      <c r="I59" s="6" t="str">
        <f>VLOOKUP(F59,'Customer Info'!A51:I550,5,0)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692</v>
      </c>
      <c r="R59" s="2" t="s">
        <v>28</v>
      </c>
      <c r="S59" s="9">
        <f>VLOOKUP(P59,$T$2:U56,2,1)</f>
        <v>0.02</v>
      </c>
    </row>
    <row r="60" spans="1:19" x14ac:dyDescent="0.25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VLOOKUP(F60,'Customer Info'!A52:I551,2,0)</f>
        <v>Laurel</v>
      </c>
      <c r="H60" s="6" t="str">
        <f>VLOOKUP(F60,'Customer Info'!A52:I551,3,0)</f>
        <v>Workman</v>
      </c>
      <c r="I60" s="6" t="str">
        <f>VLOOKUP(F60,'Customer Info'!A52:I551,5,0)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2924</v>
      </c>
      <c r="R60" s="2" t="s">
        <v>28</v>
      </c>
      <c r="S60" s="9">
        <f>VLOOKUP(P60,$T$2:U57,2,1)</f>
        <v>0.02</v>
      </c>
    </row>
    <row r="61" spans="1:19" x14ac:dyDescent="0.25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VLOOKUP(F61,'Customer Info'!A53:I552,2,0)</f>
        <v>Dean</v>
      </c>
      <c r="H61" s="6" t="str">
        <f>VLOOKUP(F61,'Customer Info'!A53:I552,3,0)</f>
        <v>Katz</v>
      </c>
      <c r="I61" s="6" t="str">
        <f>VLOOKUP(F61,'Customer Info'!A53:I552,5,0)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5727</v>
      </c>
      <c r="R61" s="2" t="s">
        <v>28</v>
      </c>
      <c r="S61" s="9">
        <f>VLOOKUP(P61,$T$2:U58,2,1)</f>
        <v>0.05</v>
      </c>
    </row>
    <row r="62" spans="1:19" x14ac:dyDescent="0.25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VLOOKUP(F62,'Customer Info'!A54:I553,2,0)</f>
        <v>Tony</v>
      </c>
      <c r="H62" s="6" t="str">
        <f>VLOOKUP(F62,'Customer Info'!A54:I553,3,0)</f>
        <v>Sayre</v>
      </c>
      <c r="I62" s="6" t="str">
        <f>VLOOKUP(F62,'Customer Info'!A54:I553,5,0)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41940</v>
      </c>
      <c r="R62" s="2" t="s">
        <v>50</v>
      </c>
      <c r="S62" s="9">
        <f>VLOOKUP(P62,$T$2:U59,2,1)</f>
        <v>7.0000000000000007E-2</v>
      </c>
    </row>
    <row r="63" spans="1:19" x14ac:dyDescent="0.25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VLOOKUP(F63,'Customer Info'!A55:I554,2,0)</f>
        <v>Gary</v>
      </c>
      <c r="H63" s="6" t="str">
        <f>VLOOKUP(F63,'Customer Info'!A55:I554,3,0)</f>
        <v>Hansen</v>
      </c>
      <c r="I63" s="6" t="str">
        <f>VLOOKUP(F63,'Customer Info'!A55:I554,5,0)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1693</v>
      </c>
      <c r="R63" s="2" t="s">
        <v>28</v>
      </c>
      <c r="S63" s="9">
        <f>VLOOKUP(P63,$T$2:U60,2,1)</f>
        <v>0.02</v>
      </c>
    </row>
    <row r="64" spans="1:19" x14ac:dyDescent="0.25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e">
        <f>VLOOKUP(F64,'Customer Info'!A56:I555,2,0)</f>
        <v>#N/A</v>
      </c>
      <c r="H64" s="6" t="e">
        <f>VLOOKUP(F64,'Customer Info'!A56:I555,3,0)</f>
        <v>#N/A</v>
      </c>
      <c r="I64" s="6" t="e">
        <f>VLOOKUP(F64,'Customer Info'!A56:I555,5,0)</f>
        <v>#N/A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7557</v>
      </c>
      <c r="R64" s="2" t="s">
        <v>50</v>
      </c>
      <c r="S64" s="9">
        <f>VLOOKUP(P64,$T$2:U61,2,1)</f>
        <v>0.05</v>
      </c>
    </row>
    <row r="65" spans="1:19" x14ac:dyDescent="0.25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VLOOKUP(F65,'Customer Info'!A57:I556,2,0)</f>
        <v>Craig</v>
      </c>
      <c r="H65" s="6" t="str">
        <f>VLOOKUP(F65,'Customer Info'!A57:I556,3,0)</f>
        <v>Carroll</v>
      </c>
      <c r="I65" s="6" t="str">
        <f>VLOOKUP(F65,'Customer Info'!A57:I556,5,0)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18492</v>
      </c>
      <c r="R65" s="2" t="s">
        <v>50</v>
      </c>
      <c r="S65" s="9">
        <f>VLOOKUP(P65,$T$2:U62,2,1)</f>
        <v>0.05</v>
      </c>
    </row>
    <row r="66" spans="1:19" x14ac:dyDescent="0.25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VLOOKUP(F66,'Customer Info'!A58:I557,2,0)</f>
        <v>Greg</v>
      </c>
      <c r="H66" s="6" t="str">
        <f>VLOOKUP(F66,'Customer Info'!A58:I557,3,0)</f>
        <v>Hansen</v>
      </c>
      <c r="I66" s="6" t="str">
        <f>VLOOKUP(F66,'Customer Info'!A58:I557,5,0)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14896</v>
      </c>
      <c r="R66" s="2" t="s">
        <v>28</v>
      </c>
      <c r="S66" s="9">
        <f>VLOOKUP(P66,$T$2:U63,2,1)</f>
        <v>0.05</v>
      </c>
    </row>
    <row r="67" spans="1:19" x14ac:dyDescent="0.25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e">
        <f>VLOOKUP(F67,'Customer Info'!A59:I558,2,0)</f>
        <v>#N/A</v>
      </c>
      <c r="H67" s="6" t="e">
        <f>VLOOKUP(F67,'Customer Info'!A59:I558,3,0)</f>
        <v>#N/A</v>
      </c>
      <c r="I67" s="6" t="e">
        <f>VLOOKUP(F67,'Customer Info'!A59:I558,5,0)</f>
        <v>#N/A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956</v>
      </c>
      <c r="R67" s="2" t="s">
        <v>50</v>
      </c>
      <c r="S67" s="9">
        <f>VLOOKUP(P67,$T$2:U64,2,1)</f>
        <v>0.02</v>
      </c>
    </row>
    <row r="68" spans="1:19" x14ac:dyDescent="0.25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e">
        <f>VLOOKUP(F68,'Customer Info'!A60:I559,2,0)</f>
        <v>#N/A</v>
      </c>
      <c r="H68" s="6" t="e">
        <f>VLOOKUP(F68,'Customer Info'!A60:I559,3,0)</f>
        <v>#N/A</v>
      </c>
      <c r="I68" s="6" t="e">
        <f>VLOOKUP(F68,'Customer Info'!A60:I559,5,0)</f>
        <v>#N/A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1858</v>
      </c>
      <c r="R68" s="2" t="s">
        <v>28</v>
      </c>
      <c r="S68" s="9">
        <f>VLOOKUP(P68,$T$2:U65,2,1)</f>
        <v>0.02</v>
      </c>
    </row>
    <row r="69" spans="1:19" x14ac:dyDescent="0.25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VLOOKUP(F69,'Customer Info'!A61:I560,2,0)</f>
        <v>Catherine</v>
      </c>
      <c r="H69" s="6" t="str">
        <f>VLOOKUP(F69,'Customer Info'!A61:I560,3,0)</f>
        <v>Glotzbach</v>
      </c>
      <c r="I69" s="6" t="str">
        <f>VLOOKUP(F69,'Customer Info'!A61:I560,5,0)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1862</v>
      </c>
      <c r="R69" s="2" t="s">
        <v>50</v>
      </c>
      <c r="S69" s="9">
        <f>VLOOKUP(P69,$T$2:U66,2,1)</f>
        <v>0.02</v>
      </c>
    </row>
    <row r="70" spans="1:19" x14ac:dyDescent="0.25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VLOOKUP(F70,'Customer Info'!A62:I561,2,0)</f>
        <v>James</v>
      </c>
      <c r="H70" s="6" t="str">
        <f>VLOOKUP(F70,'Customer Info'!A62:I561,3,0)</f>
        <v>Lanier</v>
      </c>
      <c r="I70" s="6" t="str">
        <f>VLOOKUP(F70,'Customer Info'!A62:I561,5,0)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2825</v>
      </c>
      <c r="R70" s="2" t="s">
        <v>50</v>
      </c>
      <c r="S70" s="9">
        <f>VLOOKUP(P70,$T$2:U67,2,1)</f>
        <v>0.02</v>
      </c>
    </row>
    <row r="71" spans="1:19" x14ac:dyDescent="0.25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VLOOKUP(F71,'Customer Info'!A63:I562,2,0)</f>
        <v>Jenna</v>
      </c>
      <c r="H71" s="6" t="str">
        <f>VLOOKUP(F71,'Customer Info'!A63:I562,3,0)</f>
        <v>Caffey</v>
      </c>
      <c r="I71" s="6" t="str">
        <f>VLOOKUP(F71,'Customer Info'!A63:I562,5,0)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146</v>
      </c>
      <c r="R71" s="2" t="s">
        <v>26</v>
      </c>
      <c r="S71" s="9">
        <f>VLOOKUP(P71,$T$2:U68,2,1)</f>
        <v>0.02</v>
      </c>
    </row>
    <row r="72" spans="1:19" x14ac:dyDescent="0.25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e">
        <f>VLOOKUP(F72,'Customer Info'!A64:I563,2,0)</f>
        <v>#N/A</v>
      </c>
      <c r="H72" s="6" t="e">
        <f>VLOOKUP(F72,'Customer Info'!A64:I563,3,0)</f>
        <v>#N/A</v>
      </c>
      <c r="I72" s="6" t="e">
        <f>VLOOKUP(F72,'Customer Info'!A64:I563,5,0)</f>
        <v>#N/A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29179</v>
      </c>
      <c r="R72" s="2" t="s">
        <v>28</v>
      </c>
      <c r="S72" s="9">
        <f>VLOOKUP(P72,$T$2:U69,2,1)</f>
        <v>7.0000000000000007E-2</v>
      </c>
    </row>
    <row r="73" spans="1:19" x14ac:dyDescent="0.25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VLOOKUP(F73,'Customer Info'!A65:I564,2,0)</f>
        <v>Pamela</v>
      </c>
      <c r="H73" s="6" t="str">
        <f>VLOOKUP(F73,'Customer Info'!A65:I564,3,0)</f>
        <v>Stobb</v>
      </c>
      <c r="I73" s="6" t="str">
        <f>VLOOKUP(F73,'Customer Info'!A65:I564,5,0)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1917</v>
      </c>
      <c r="R73" s="2" t="s">
        <v>28</v>
      </c>
      <c r="S73" s="9">
        <f>VLOOKUP(P73,$T$2:U70,2,1)</f>
        <v>0.02</v>
      </c>
    </row>
    <row r="74" spans="1:19" x14ac:dyDescent="0.25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VLOOKUP(F74,'Customer Info'!A66:I565,2,0)</f>
        <v>Sheri</v>
      </c>
      <c r="H74" s="6" t="str">
        <f>VLOOKUP(F74,'Customer Info'!A66:I565,3,0)</f>
        <v>Gordon</v>
      </c>
      <c r="I74" s="6" t="str">
        <f>VLOOKUP(F74,'Customer Info'!A66:I565,5,0)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1886</v>
      </c>
      <c r="R74" s="2" t="s">
        <v>56</v>
      </c>
      <c r="S74" s="9">
        <f>VLOOKUP(P74,$T$2:U71,2,1)</f>
        <v>0.02</v>
      </c>
    </row>
    <row r="75" spans="1:19" x14ac:dyDescent="0.25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VLOOKUP(F75,'Customer Info'!A67:I566,2,0)</f>
        <v>Neil</v>
      </c>
      <c r="H75" s="6" t="str">
        <f>VLOOKUP(F75,'Customer Info'!A67:I566,3,0)</f>
        <v>Knudson</v>
      </c>
      <c r="I75" s="6" t="str">
        <f>VLOOKUP(F75,'Customer Info'!A67:I566,5,0)</f>
        <v>Malang</v>
      </c>
      <c r="J75" s="2">
        <v>2857</v>
      </c>
      <c r="K75" s="2">
        <v>2622</v>
      </c>
      <c r="L75" s="2">
        <v>7</v>
      </c>
      <c r="M75" s="7">
        <f t="shared" ref="M75:M138" si="4">K75*L75</f>
        <v>18354</v>
      </c>
      <c r="N75" s="7">
        <f t="shared" ref="N75:N138" si="5">J75*L75</f>
        <v>19999</v>
      </c>
      <c r="O75" s="2">
        <v>82</v>
      </c>
      <c r="P75" s="8">
        <f t="shared" ref="P75:P138" si="6">SUM(N75,O75)</f>
        <v>20081</v>
      </c>
      <c r="Q75" s="8">
        <f t="shared" ref="Q75:Q138" si="7">N75-O75</f>
        <v>19917</v>
      </c>
      <c r="R75" s="2" t="s">
        <v>50</v>
      </c>
      <c r="S75" s="9">
        <f>VLOOKUP(P75,$T$2:U72,2,1)</f>
        <v>0.05</v>
      </c>
    </row>
    <row r="76" spans="1:19" x14ac:dyDescent="0.25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VLOOKUP(F76,'Customer Info'!A68:I567,2,0)</f>
        <v>Meg</v>
      </c>
      <c r="H76" s="6" t="str">
        <f>VLOOKUP(F76,'Customer Info'!A68:I567,3,0)</f>
        <v>Tillman</v>
      </c>
      <c r="I76" s="6" t="str">
        <f>VLOOKUP(F76,'Customer Info'!A68:I567,5,0)</f>
        <v>Bangalore</v>
      </c>
      <c r="J76" s="2">
        <v>2333</v>
      </c>
      <c r="K76" s="2">
        <v>2060</v>
      </c>
      <c r="L76" s="2">
        <v>2</v>
      </c>
      <c r="M76" s="7">
        <f t="shared" si="4"/>
        <v>4120</v>
      </c>
      <c r="N76" s="7">
        <f t="shared" si="5"/>
        <v>4666</v>
      </c>
      <c r="O76" s="2">
        <v>64</v>
      </c>
      <c r="P76" s="8">
        <f t="shared" si="6"/>
        <v>4730</v>
      </c>
      <c r="Q76" s="8">
        <f t="shared" si="7"/>
        <v>4602</v>
      </c>
      <c r="R76" s="2" t="s">
        <v>28</v>
      </c>
      <c r="S76" s="9">
        <f>VLOOKUP(P76,$T$2:U73,2,1)</f>
        <v>0.02</v>
      </c>
    </row>
    <row r="77" spans="1:19" x14ac:dyDescent="0.25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VLOOKUP(F77,'Customer Info'!A69:I568,2,0)</f>
        <v>Laurel</v>
      </c>
      <c r="H77" s="6" t="str">
        <f>VLOOKUP(F77,'Customer Info'!A69:I568,3,0)</f>
        <v>Beltran</v>
      </c>
      <c r="I77" s="6" t="str">
        <f>VLOOKUP(F77,'Customer Info'!A69:I568,5,0)</f>
        <v>Bonn</v>
      </c>
      <c r="J77" s="2">
        <v>1601</v>
      </c>
      <c r="K77" s="2">
        <v>1510</v>
      </c>
      <c r="L77" s="2">
        <v>1</v>
      </c>
      <c r="M77" s="7">
        <f t="shared" si="4"/>
        <v>1510</v>
      </c>
      <c r="N77" s="7">
        <f t="shared" si="5"/>
        <v>1601</v>
      </c>
      <c r="O77" s="2">
        <v>82</v>
      </c>
      <c r="P77" s="8">
        <f t="shared" si="6"/>
        <v>1683</v>
      </c>
      <c r="Q77" s="8">
        <f t="shared" si="7"/>
        <v>1519</v>
      </c>
      <c r="R77" s="2" t="s">
        <v>50</v>
      </c>
      <c r="S77" s="9">
        <f>VLOOKUP(P77,$T$2:U74,2,1)</f>
        <v>0.02</v>
      </c>
    </row>
    <row r="78" spans="1:19" x14ac:dyDescent="0.25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VLOOKUP(F78,'Customer Info'!A70:I569,2,0)</f>
        <v>Toby</v>
      </c>
      <c r="H78" s="6" t="str">
        <f>VLOOKUP(F78,'Customer Info'!A70:I569,3,0)</f>
        <v>Braunhardt</v>
      </c>
      <c r="I78" s="6" t="str">
        <f>VLOOKUP(F78,'Customer Info'!A70:I569,5,0)</f>
        <v>Perth</v>
      </c>
      <c r="J78" s="2">
        <v>954</v>
      </c>
      <c r="K78" s="2">
        <v>901</v>
      </c>
      <c r="L78" s="2">
        <v>1</v>
      </c>
      <c r="M78" s="7">
        <f t="shared" si="4"/>
        <v>901</v>
      </c>
      <c r="N78" s="7">
        <f t="shared" si="5"/>
        <v>954</v>
      </c>
      <c r="O78" s="2">
        <v>32</v>
      </c>
      <c r="P78" s="8">
        <f t="shared" si="6"/>
        <v>986</v>
      </c>
      <c r="Q78" s="8">
        <f t="shared" si="7"/>
        <v>922</v>
      </c>
      <c r="R78" s="2" t="s">
        <v>28</v>
      </c>
      <c r="S78" s="9">
        <f>VLOOKUP(P78,$T$2:U75,2,1)</f>
        <v>0.02</v>
      </c>
    </row>
    <row r="79" spans="1:19" x14ac:dyDescent="0.25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VLOOKUP(F79,'Customer Info'!A71:I570,2,0)</f>
        <v>Victoria</v>
      </c>
      <c r="H79" s="6" t="str">
        <f>VLOOKUP(F79,'Customer Info'!A71:I570,3,0)</f>
        <v>Wilson</v>
      </c>
      <c r="I79" s="6" t="str">
        <f>VLOOKUP(F79,'Customer Info'!A71:I570,5,0)</f>
        <v>Berlin</v>
      </c>
      <c r="J79" s="2">
        <v>8889</v>
      </c>
      <c r="K79" s="2">
        <v>8469</v>
      </c>
      <c r="L79" s="2">
        <v>4</v>
      </c>
      <c r="M79" s="7">
        <f t="shared" si="4"/>
        <v>33876</v>
      </c>
      <c r="N79" s="7">
        <f t="shared" si="5"/>
        <v>35556</v>
      </c>
      <c r="O79" s="2">
        <v>52</v>
      </c>
      <c r="P79" s="8">
        <f t="shared" si="6"/>
        <v>35608</v>
      </c>
      <c r="Q79" s="8">
        <f t="shared" si="7"/>
        <v>35504</v>
      </c>
      <c r="R79" s="2" t="s">
        <v>28</v>
      </c>
      <c r="S79" s="9">
        <f>VLOOKUP(P79,$T$2:U76,2,1)</f>
        <v>7.0000000000000007E-2</v>
      </c>
    </row>
    <row r="80" spans="1:19" x14ac:dyDescent="0.25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VLOOKUP(F80,'Customer Info'!A72:I571,2,0)</f>
        <v>Sam</v>
      </c>
      <c r="H80" s="6" t="str">
        <f>VLOOKUP(F80,'Customer Info'!A72:I571,3,0)</f>
        <v>Zeldin</v>
      </c>
      <c r="I80" s="6" t="str">
        <f>VLOOKUP(F80,'Customer Info'!A72:I571,5,0)</f>
        <v>Yanji</v>
      </c>
      <c r="J80" s="2">
        <v>1637</v>
      </c>
      <c r="K80" s="2">
        <v>1532</v>
      </c>
      <c r="L80" s="2">
        <v>12</v>
      </c>
      <c r="M80" s="7">
        <f t="shared" si="4"/>
        <v>18384</v>
      </c>
      <c r="N80" s="7">
        <f t="shared" si="5"/>
        <v>19644</v>
      </c>
      <c r="O80" s="2">
        <v>94</v>
      </c>
      <c r="P80" s="8">
        <f t="shared" si="6"/>
        <v>19738</v>
      </c>
      <c r="Q80" s="8">
        <f t="shared" si="7"/>
        <v>19550</v>
      </c>
      <c r="R80" s="2" t="s">
        <v>28</v>
      </c>
      <c r="S80" s="9">
        <f>VLOOKUP(P80,$T$2:U77,2,1)</f>
        <v>0.05</v>
      </c>
    </row>
    <row r="81" spans="1:19" x14ac:dyDescent="0.25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VLOOKUP(F81,'Customer Info'!A73:I572,2,0)</f>
        <v>Tamara</v>
      </c>
      <c r="H81" s="6" t="str">
        <f>VLOOKUP(F81,'Customer Info'!A73:I572,3,0)</f>
        <v>Willingham</v>
      </c>
      <c r="I81" s="6" t="str">
        <f>VLOOKUP(F81,'Customer Info'!A73:I572,5,0)</f>
        <v>Sindelfingen</v>
      </c>
      <c r="J81" s="2">
        <v>2515</v>
      </c>
      <c r="K81" s="2">
        <v>2397</v>
      </c>
      <c r="L81" s="2">
        <v>7</v>
      </c>
      <c r="M81" s="7">
        <f t="shared" si="4"/>
        <v>16779</v>
      </c>
      <c r="N81" s="7">
        <f t="shared" si="5"/>
        <v>17605</v>
      </c>
      <c r="O81" s="2">
        <v>46</v>
      </c>
      <c r="P81" s="8">
        <f t="shared" si="6"/>
        <v>17651</v>
      </c>
      <c r="Q81" s="8">
        <f t="shared" si="7"/>
        <v>17559</v>
      </c>
      <c r="R81" s="2" t="s">
        <v>56</v>
      </c>
      <c r="S81" s="9">
        <f>VLOOKUP(P81,$T$2:U78,2,1)</f>
        <v>0.05</v>
      </c>
    </row>
    <row r="82" spans="1:19" x14ac:dyDescent="0.25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VLOOKUP(F82,'Customer Info'!A74:I573,2,0)</f>
        <v>Thais</v>
      </c>
      <c r="H82" s="6" t="str">
        <f>VLOOKUP(F82,'Customer Info'!A74:I573,3,0)</f>
        <v>Sissman</v>
      </c>
      <c r="I82" s="6" t="str">
        <f>VLOOKUP(F82,'Customer Info'!A74:I573,5,0)</f>
        <v>Essen</v>
      </c>
      <c r="J82" s="2">
        <v>1798</v>
      </c>
      <c r="K82" s="2">
        <v>1666</v>
      </c>
      <c r="L82" s="2">
        <v>2</v>
      </c>
      <c r="M82" s="7">
        <f t="shared" si="4"/>
        <v>3332</v>
      </c>
      <c r="N82" s="7">
        <f t="shared" si="5"/>
        <v>3596</v>
      </c>
      <c r="O82" s="2">
        <v>78</v>
      </c>
      <c r="P82" s="8">
        <f t="shared" si="6"/>
        <v>3674</v>
      </c>
      <c r="Q82" s="8">
        <f t="shared" si="7"/>
        <v>3518</v>
      </c>
      <c r="R82" s="2" t="s">
        <v>50</v>
      </c>
      <c r="S82" s="9">
        <f>VLOOKUP(P82,$T$2:U79,2,1)</f>
        <v>0.02</v>
      </c>
    </row>
    <row r="83" spans="1:19" x14ac:dyDescent="0.25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VLOOKUP(F83,'Customer Info'!A75:I574,2,0)</f>
        <v>Roy</v>
      </c>
      <c r="H83" s="6" t="str">
        <f>VLOOKUP(F83,'Customer Info'!A75:I574,3,0)</f>
        <v>Phan</v>
      </c>
      <c r="I83" s="6" t="str">
        <f>VLOOKUP(F83,'Customer Info'!A75:I574,5,0)</f>
        <v>Melbourne</v>
      </c>
      <c r="J83" s="2">
        <v>626</v>
      </c>
      <c r="K83" s="2">
        <v>559</v>
      </c>
      <c r="L83" s="2">
        <v>5</v>
      </c>
      <c r="M83" s="7">
        <f t="shared" si="4"/>
        <v>2795</v>
      </c>
      <c r="N83" s="7">
        <f t="shared" si="5"/>
        <v>3130</v>
      </c>
      <c r="O83" s="2">
        <v>29</v>
      </c>
      <c r="P83" s="8">
        <f t="shared" si="6"/>
        <v>3159</v>
      </c>
      <c r="Q83" s="8">
        <f t="shared" si="7"/>
        <v>3101</v>
      </c>
      <c r="R83" s="2" t="s">
        <v>28</v>
      </c>
      <c r="S83" s="9">
        <f>VLOOKUP(P83,$T$2:U80,2,1)</f>
        <v>0.02</v>
      </c>
    </row>
    <row r="84" spans="1:19" x14ac:dyDescent="0.25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VLOOKUP(F84,'Customer Info'!A76:I575,2,0)</f>
        <v>Erin</v>
      </c>
      <c r="H84" s="6" t="str">
        <f>VLOOKUP(F84,'Customer Info'!A76:I575,3,0)</f>
        <v>Smith</v>
      </c>
      <c r="I84" s="6" t="str">
        <f>VLOOKUP(F84,'Customer Info'!A76:I575,5,0)</f>
        <v>Yuci</v>
      </c>
      <c r="J84" s="2">
        <v>1734</v>
      </c>
      <c r="K84" s="2">
        <v>1702</v>
      </c>
      <c r="L84" s="2">
        <v>4</v>
      </c>
      <c r="M84" s="7">
        <f t="shared" si="4"/>
        <v>6808</v>
      </c>
      <c r="N84" s="7">
        <f t="shared" si="5"/>
        <v>6936</v>
      </c>
      <c r="O84" s="2">
        <v>68</v>
      </c>
      <c r="P84" s="8">
        <f t="shared" si="6"/>
        <v>7004</v>
      </c>
      <c r="Q84" s="8">
        <f t="shared" si="7"/>
        <v>6868</v>
      </c>
      <c r="R84" s="2" t="s">
        <v>28</v>
      </c>
      <c r="S84" s="9">
        <f>VLOOKUP(P84,$T$2:U81,2,1)</f>
        <v>0.05</v>
      </c>
    </row>
    <row r="85" spans="1:19" x14ac:dyDescent="0.25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VLOOKUP(F85,'Customer Info'!A77:I576,2,0)</f>
        <v>Kristina</v>
      </c>
      <c r="H85" s="6" t="str">
        <f>VLOOKUP(F85,'Customer Info'!A77:I576,3,0)</f>
        <v>Nunn</v>
      </c>
      <c r="I85" s="6" t="str">
        <f>VLOOKUP(F85,'Customer Info'!A77:I576,5,0)</f>
        <v>Jakarta</v>
      </c>
      <c r="J85" s="2">
        <v>2960</v>
      </c>
      <c r="K85" s="2">
        <v>2635</v>
      </c>
      <c r="L85" s="2">
        <v>1</v>
      </c>
      <c r="M85" s="7">
        <f t="shared" si="4"/>
        <v>2635</v>
      </c>
      <c r="N85" s="7">
        <f t="shared" si="5"/>
        <v>2960</v>
      </c>
      <c r="O85" s="2">
        <v>52</v>
      </c>
      <c r="P85" s="8">
        <f t="shared" si="6"/>
        <v>3012</v>
      </c>
      <c r="Q85" s="8">
        <f t="shared" si="7"/>
        <v>2908</v>
      </c>
      <c r="R85" s="2" t="s">
        <v>28</v>
      </c>
      <c r="S85" s="9">
        <f>VLOOKUP(P85,$T$2:U82,2,1)</f>
        <v>0.02</v>
      </c>
    </row>
    <row r="86" spans="1:19" x14ac:dyDescent="0.25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VLOOKUP(F86,'Customer Info'!A78:I577,2,0)</f>
        <v>Cassandra</v>
      </c>
      <c r="H86" s="6" t="str">
        <f>VLOOKUP(F86,'Customer Info'!A78:I577,3,0)</f>
        <v>Brandow</v>
      </c>
      <c r="I86" s="6" t="str">
        <f>VLOOKUP(F86,'Customer Info'!A78:I577,5,0)</f>
        <v>Hamburg</v>
      </c>
      <c r="J86" s="2">
        <v>726</v>
      </c>
      <c r="K86" s="2">
        <v>646</v>
      </c>
      <c r="L86" s="2">
        <v>3</v>
      </c>
      <c r="M86" s="7">
        <f t="shared" si="4"/>
        <v>1938</v>
      </c>
      <c r="N86" s="7">
        <f t="shared" si="5"/>
        <v>2178</v>
      </c>
      <c r="O86" s="2">
        <v>45</v>
      </c>
      <c r="P86" s="8">
        <f t="shared" si="6"/>
        <v>2223</v>
      </c>
      <c r="Q86" s="8">
        <f t="shared" si="7"/>
        <v>2133</v>
      </c>
      <c r="R86" s="2" t="s">
        <v>50</v>
      </c>
      <c r="S86" s="9">
        <f>VLOOKUP(P86,$T$2:U83,2,1)</f>
        <v>0.02</v>
      </c>
    </row>
    <row r="87" spans="1:19" x14ac:dyDescent="0.25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VLOOKUP(F87,'Customer Info'!A79:I578,2,0)</f>
        <v>Max</v>
      </c>
      <c r="H87" s="6" t="str">
        <f>VLOOKUP(F87,'Customer Info'!A79:I578,3,0)</f>
        <v>Ludwig</v>
      </c>
      <c r="I87" s="6" t="str">
        <f>VLOOKUP(F87,'Customer Info'!A79:I578,5,0)</f>
        <v>Newcastle</v>
      </c>
      <c r="J87" s="2">
        <v>743</v>
      </c>
      <c r="K87" s="2">
        <v>694</v>
      </c>
      <c r="L87" s="2">
        <v>1</v>
      </c>
      <c r="M87" s="7">
        <f t="shared" si="4"/>
        <v>694</v>
      </c>
      <c r="N87" s="7">
        <f t="shared" si="5"/>
        <v>743</v>
      </c>
      <c r="O87" s="2">
        <v>94</v>
      </c>
      <c r="P87" s="8">
        <f t="shared" si="6"/>
        <v>837</v>
      </c>
      <c r="Q87" s="8">
        <f t="shared" si="7"/>
        <v>649</v>
      </c>
      <c r="R87" s="2" t="s">
        <v>50</v>
      </c>
      <c r="S87" s="9">
        <f>VLOOKUP(P87,$T$2:U84,2,1)</f>
        <v>0.02</v>
      </c>
    </row>
    <row r="88" spans="1:19" x14ac:dyDescent="0.25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VLOOKUP(F88,'Customer Info'!A80:I579,2,0)</f>
        <v>Laurel</v>
      </c>
      <c r="H88" s="6" t="str">
        <f>VLOOKUP(F88,'Customer Info'!A80:I579,3,0)</f>
        <v>Elliston</v>
      </c>
      <c r="I88" s="6" t="str">
        <f>VLOOKUP(F88,'Customer Info'!A80:I579,5,0)</f>
        <v>Herten</v>
      </c>
      <c r="J88" s="2">
        <v>4704</v>
      </c>
      <c r="K88" s="2">
        <v>4361</v>
      </c>
      <c r="L88" s="2">
        <v>1</v>
      </c>
      <c r="M88" s="7">
        <f t="shared" si="4"/>
        <v>4361</v>
      </c>
      <c r="N88" s="7">
        <f t="shared" si="5"/>
        <v>4704</v>
      </c>
      <c r="O88" s="2">
        <v>60</v>
      </c>
      <c r="P88" s="8">
        <f t="shared" si="6"/>
        <v>4764</v>
      </c>
      <c r="Q88" s="8">
        <f t="shared" si="7"/>
        <v>4644</v>
      </c>
      <c r="R88" s="2" t="s">
        <v>50</v>
      </c>
      <c r="S88" s="9">
        <f>VLOOKUP(P88,$T$2:U85,2,1)</f>
        <v>0.02</v>
      </c>
    </row>
    <row r="89" spans="1:19" x14ac:dyDescent="0.25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VLOOKUP(F89,'Customer Info'!A81:I580,2,0)</f>
        <v>Pamela</v>
      </c>
      <c r="H89" s="6" t="str">
        <f>VLOOKUP(F89,'Customer Info'!A81:I580,3,0)</f>
        <v>Coakley</v>
      </c>
      <c r="I89" s="6" t="str">
        <f>VLOOKUP(F89,'Customer Info'!A81:I580,5,0)</f>
        <v>Jakarta</v>
      </c>
      <c r="J89" s="2">
        <v>4832</v>
      </c>
      <c r="K89" s="2">
        <v>4563</v>
      </c>
      <c r="L89" s="2">
        <v>5</v>
      </c>
      <c r="M89" s="7">
        <f t="shared" si="4"/>
        <v>22815</v>
      </c>
      <c r="N89" s="7">
        <f t="shared" si="5"/>
        <v>24160</v>
      </c>
      <c r="O89" s="2">
        <v>83</v>
      </c>
      <c r="P89" s="8">
        <f t="shared" si="6"/>
        <v>24243</v>
      </c>
      <c r="Q89" s="8">
        <f t="shared" si="7"/>
        <v>24077</v>
      </c>
      <c r="R89" s="2" t="s">
        <v>28</v>
      </c>
      <c r="S89" s="9">
        <f>VLOOKUP(P89,$T$2:U86,2,1)</f>
        <v>0.05</v>
      </c>
    </row>
    <row r="90" spans="1:19" x14ac:dyDescent="0.25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VLOOKUP(F90,'Customer Info'!A82:I581,2,0)</f>
        <v>Sanjit</v>
      </c>
      <c r="H90" s="6" t="str">
        <f>VLOOKUP(F90,'Customer Info'!A82:I581,3,0)</f>
        <v>Chand</v>
      </c>
      <c r="I90" s="6" t="str">
        <f>VLOOKUP(F90,'Customer Info'!A82:I581,5,0)</f>
        <v>Thiruvananthapuram</v>
      </c>
      <c r="J90" s="2">
        <v>6337</v>
      </c>
      <c r="K90" s="2">
        <v>6215</v>
      </c>
      <c r="L90" s="2">
        <v>2</v>
      </c>
      <c r="M90" s="7">
        <f t="shared" si="4"/>
        <v>12430</v>
      </c>
      <c r="N90" s="7">
        <f t="shared" si="5"/>
        <v>12674</v>
      </c>
      <c r="O90" s="2">
        <v>47</v>
      </c>
      <c r="P90" s="8">
        <f t="shared" si="6"/>
        <v>12721</v>
      </c>
      <c r="Q90" s="8">
        <f t="shared" si="7"/>
        <v>12627</v>
      </c>
      <c r="R90" s="2" t="s">
        <v>56</v>
      </c>
      <c r="S90" s="9">
        <f>VLOOKUP(P90,$T$2:U87,2,1)</f>
        <v>0.05</v>
      </c>
    </row>
    <row r="91" spans="1:19" x14ac:dyDescent="0.25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VLOOKUP(F91,'Customer Info'!A83:I582,2,0)</f>
        <v>Patricia</v>
      </c>
      <c r="H91" s="6" t="str">
        <f>VLOOKUP(F91,'Customer Info'!A83:I582,3,0)</f>
        <v>Hirasaki</v>
      </c>
      <c r="I91" s="6" t="str">
        <f>VLOOKUP(F91,'Customer Info'!A83:I582,5,0)</f>
        <v>Pimpri</v>
      </c>
      <c r="J91" s="2">
        <v>918</v>
      </c>
      <c r="K91" s="2">
        <v>859</v>
      </c>
      <c r="L91" s="2">
        <v>1</v>
      </c>
      <c r="M91" s="7">
        <f t="shared" si="4"/>
        <v>859</v>
      </c>
      <c r="N91" s="7">
        <f t="shared" si="5"/>
        <v>918</v>
      </c>
      <c r="O91" s="2">
        <v>53</v>
      </c>
      <c r="P91" s="8">
        <f t="shared" si="6"/>
        <v>971</v>
      </c>
      <c r="Q91" s="8">
        <f t="shared" si="7"/>
        <v>865</v>
      </c>
      <c r="R91" s="2" t="s">
        <v>28</v>
      </c>
      <c r="S91" s="9">
        <f>VLOOKUP(P91,$T$2:U88,2,1)</f>
        <v>0.02</v>
      </c>
    </row>
    <row r="92" spans="1:19" x14ac:dyDescent="0.25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VLOOKUP(F92,'Customer Info'!A84:I583,2,0)</f>
        <v>Christina</v>
      </c>
      <c r="H92" s="6" t="str">
        <f>VLOOKUP(F92,'Customer Info'!A84:I583,3,0)</f>
        <v>VanderZanden</v>
      </c>
      <c r="I92" s="6" t="str">
        <f>VLOOKUP(F92,'Customer Info'!A84:I583,5,0)</f>
        <v>Gold Coast</v>
      </c>
      <c r="J92" s="2">
        <v>1564</v>
      </c>
      <c r="K92" s="2">
        <v>1420</v>
      </c>
      <c r="L92" s="2">
        <v>2</v>
      </c>
      <c r="M92" s="7">
        <f t="shared" si="4"/>
        <v>2840</v>
      </c>
      <c r="N92" s="7">
        <f t="shared" si="5"/>
        <v>3128</v>
      </c>
      <c r="O92" s="2">
        <v>26</v>
      </c>
      <c r="P92" s="8">
        <f t="shared" si="6"/>
        <v>3154</v>
      </c>
      <c r="Q92" s="8">
        <f t="shared" si="7"/>
        <v>3102</v>
      </c>
      <c r="R92" s="2" t="s">
        <v>28</v>
      </c>
      <c r="S92" s="9">
        <f>VLOOKUP(P92,$T$2:U89,2,1)</f>
        <v>0.02</v>
      </c>
    </row>
    <row r="93" spans="1:19" x14ac:dyDescent="0.25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VLOOKUP(F93,'Customer Info'!A85:I584,2,0)</f>
        <v>Eugene</v>
      </c>
      <c r="H93" s="6" t="str">
        <f>VLOOKUP(F93,'Customer Info'!A85:I584,3,0)</f>
        <v>Hildebrand</v>
      </c>
      <c r="I93" s="6" t="str">
        <f>VLOOKUP(F93,'Customer Info'!A85:I584,5,0)</f>
        <v>Liaocheng</v>
      </c>
      <c r="J93" s="2">
        <v>80</v>
      </c>
      <c r="K93" s="2">
        <v>75</v>
      </c>
      <c r="L93" s="2">
        <v>2</v>
      </c>
      <c r="M93" s="7">
        <f t="shared" si="4"/>
        <v>150</v>
      </c>
      <c r="N93" s="7">
        <f t="shared" si="5"/>
        <v>160</v>
      </c>
      <c r="O93" s="2">
        <v>10</v>
      </c>
      <c r="P93" s="8">
        <f t="shared" si="6"/>
        <v>170</v>
      </c>
      <c r="Q93" s="8">
        <f t="shared" si="7"/>
        <v>150</v>
      </c>
      <c r="R93" s="2" t="s">
        <v>26</v>
      </c>
      <c r="S93" s="9">
        <f>VLOOKUP(P93,$T$2:U90,2,1)</f>
        <v>0.02</v>
      </c>
    </row>
    <row r="94" spans="1:19" x14ac:dyDescent="0.25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VLOOKUP(F94,'Customer Info'!A86:I585,2,0)</f>
        <v>Charlotte</v>
      </c>
      <c r="H94" s="6" t="str">
        <f>VLOOKUP(F94,'Customer Info'!A86:I585,3,0)</f>
        <v>Melton</v>
      </c>
      <c r="I94" s="6" t="str">
        <f>VLOOKUP(F94,'Customer Info'!A86:I585,5,0)</f>
        <v>Canberra</v>
      </c>
      <c r="J94" s="2">
        <v>29378</v>
      </c>
      <c r="K94" s="2">
        <v>26912</v>
      </c>
      <c r="L94" s="2">
        <v>3</v>
      </c>
      <c r="M94" s="7">
        <f t="shared" si="4"/>
        <v>80736</v>
      </c>
      <c r="N94" s="7">
        <f t="shared" si="5"/>
        <v>88134</v>
      </c>
      <c r="O94" s="2">
        <v>88</v>
      </c>
      <c r="P94" s="8">
        <f t="shared" si="6"/>
        <v>88222</v>
      </c>
      <c r="Q94" s="8">
        <f t="shared" si="7"/>
        <v>88046</v>
      </c>
      <c r="R94" s="2" t="s">
        <v>28</v>
      </c>
      <c r="S94" s="9">
        <f>VLOOKUP(P94,$T$2:U91,2,1)</f>
        <v>0.09</v>
      </c>
    </row>
    <row r="95" spans="1:19" x14ac:dyDescent="0.25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VLOOKUP(F95,'Customer Info'!A87:I586,2,0)</f>
        <v>Nathan</v>
      </c>
      <c r="H95" s="6" t="str">
        <f>VLOOKUP(F95,'Customer Info'!A87:I586,3,0)</f>
        <v>Gelder</v>
      </c>
      <c r="I95" s="6" t="str">
        <f>VLOOKUP(F95,'Customer Info'!A87:I586,5,0)</f>
        <v>Depok</v>
      </c>
      <c r="J95" s="2">
        <v>2333</v>
      </c>
      <c r="K95" s="2">
        <v>2060</v>
      </c>
      <c r="L95" s="2">
        <v>1</v>
      </c>
      <c r="M95" s="7">
        <f t="shared" si="4"/>
        <v>2060</v>
      </c>
      <c r="N95" s="7">
        <f t="shared" si="5"/>
        <v>2333</v>
      </c>
      <c r="O95" s="2">
        <v>68</v>
      </c>
      <c r="P95" s="8">
        <f t="shared" si="6"/>
        <v>2401</v>
      </c>
      <c r="Q95" s="8">
        <f t="shared" si="7"/>
        <v>2265</v>
      </c>
      <c r="R95" s="2" t="s">
        <v>50</v>
      </c>
      <c r="S95" s="9">
        <f>VLOOKUP(P95,$T$2:U92,2,1)</f>
        <v>0.02</v>
      </c>
    </row>
    <row r="96" spans="1:19" x14ac:dyDescent="0.25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VLOOKUP(F96,'Customer Info'!A88:I587,2,0)</f>
        <v>Cynthia</v>
      </c>
      <c r="H96" s="6" t="str">
        <f>VLOOKUP(F96,'Customer Info'!A88:I587,3,0)</f>
        <v>Delaney</v>
      </c>
      <c r="I96" s="6" t="str">
        <f>VLOOKUP(F96,'Customer Info'!A88:I587,5,0)</f>
        <v>Wodonga</v>
      </c>
      <c r="J96" s="2">
        <v>2310</v>
      </c>
      <c r="K96" s="2">
        <v>2040</v>
      </c>
      <c r="L96" s="2">
        <v>2</v>
      </c>
      <c r="M96" s="7">
        <f t="shared" si="4"/>
        <v>4080</v>
      </c>
      <c r="N96" s="7">
        <f t="shared" si="5"/>
        <v>4620</v>
      </c>
      <c r="O96" s="2">
        <v>28</v>
      </c>
      <c r="P96" s="8">
        <f t="shared" si="6"/>
        <v>4648</v>
      </c>
      <c r="Q96" s="8">
        <f t="shared" si="7"/>
        <v>4592</v>
      </c>
      <c r="R96" s="2" t="s">
        <v>28</v>
      </c>
      <c r="S96" s="9">
        <f>VLOOKUP(P96,$T$2:U93,2,1)</f>
        <v>0.02</v>
      </c>
    </row>
    <row r="97" spans="1:19" x14ac:dyDescent="0.25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VLOOKUP(F97,'Customer Info'!A89:I588,2,0)</f>
        <v>Nancy</v>
      </c>
      <c r="H97" s="6" t="str">
        <f>VLOOKUP(F97,'Customer Info'!A89:I588,3,0)</f>
        <v>Lomonaco</v>
      </c>
      <c r="I97" s="6" t="str">
        <f>VLOOKUP(F97,'Customer Info'!A89:I588,5,0)</f>
        <v>Tengzhou</v>
      </c>
      <c r="J97" s="2">
        <v>162</v>
      </c>
      <c r="K97" s="2">
        <v>148</v>
      </c>
      <c r="L97" s="2">
        <v>1</v>
      </c>
      <c r="M97" s="7">
        <f t="shared" si="4"/>
        <v>148</v>
      </c>
      <c r="N97" s="7">
        <f t="shared" si="5"/>
        <v>162</v>
      </c>
      <c r="O97" s="2">
        <v>30</v>
      </c>
      <c r="P97" s="8">
        <f t="shared" si="6"/>
        <v>192</v>
      </c>
      <c r="Q97" s="8">
        <f t="shared" si="7"/>
        <v>132</v>
      </c>
      <c r="R97" s="2" t="s">
        <v>50</v>
      </c>
      <c r="S97" s="9">
        <f>VLOOKUP(P97,$T$2:U94,2,1)</f>
        <v>0.02</v>
      </c>
    </row>
    <row r="98" spans="1:19" x14ac:dyDescent="0.25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VLOOKUP(F98,'Customer Info'!A90:I589,2,0)</f>
        <v>Tony</v>
      </c>
      <c r="H98" s="6" t="str">
        <f>VLOOKUP(F98,'Customer Info'!A90:I589,3,0)</f>
        <v>Sayre</v>
      </c>
      <c r="I98" s="6" t="str">
        <f>VLOOKUP(F98,'Customer Info'!A90:I589,5,0)</f>
        <v>Bharatpur</v>
      </c>
      <c r="J98" s="2">
        <v>4846</v>
      </c>
      <c r="K98" s="2">
        <v>4492</v>
      </c>
      <c r="L98" s="2">
        <v>7</v>
      </c>
      <c r="M98" s="7">
        <f t="shared" si="4"/>
        <v>31444</v>
      </c>
      <c r="N98" s="7">
        <f t="shared" si="5"/>
        <v>33922</v>
      </c>
      <c r="O98" s="2">
        <v>59</v>
      </c>
      <c r="P98" s="8">
        <f t="shared" si="6"/>
        <v>33981</v>
      </c>
      <c r="Q98" s="8">
        <f t="shared" si="7"/>
        <v>33863</v>
      </c>
      <c r="R98" s="2" t="s">
        <v>28</v>
      </c>
      <c r="S98" s="9">
        <f>VLOOKUP(P98,$T$2:U95,2,1)</f>
        <v>7.0000000000000007E-2</v>
      </c>
    </row>
    <row r="99" spans="1:19" x14ac:dyDescent="0.25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e">
        <f>VLOOKUP(F99,'Customer Info'!A91:I590,2,0)</f>
        <v>#N/A</v>
      </c>
      <c r="H99" s="6" t="e">
        <f>VLOOKUP(F99,'Customer Info'!A91:I590,3,0)</f>
        <v>#N/A</v>
      </c>
      <c r="I99" s="6" t="e">
        <f>VLOOKUP(F99,'Customer Info'!A91:I590,5,0)</f>
        <v>#N/A</v>
      </c>
      <c r="J99" s="2">
        <v>645</v>
      </c>
      <c r="K99" s="2">
        <v>565</v>
      </c>
      <c r="L99" s="2">
        <v>6</v>
      </c>
      <c r="M99" s="7">
        <f t="shared" si="4"/>
        <v>3390</v>
      </c>
      <c r="N99" s="7">
        <f t="shared" si="5"/>
        <v>3870</v>
      </c>
      <c r="O99" s="2">
        <v>93</v>
      </c>
      <c r="P99" s="8">
        <f t="shared" si="6"/>
        <v>3963</v>
      </c>
      <c r="Q99" s="8">
        <f t="shared" si="7"/>
        <v>3777</v>
      </c>
      <c r="R99" s="2" t="s">
        <v>50</v>
      </c>
      <c r="S99" s="9">
        <f>VLOOKUP(P99,$T$2:U96,2,1)</f>
        <v>0.02</v>
      </c>
    </row>
    <row r="100" spans="1:19" x14ac:dyDescent="0.25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e">
        <f>VLOOKUP(F100,'Customer Info'!A92:I591,2,0)</f>
        <v>#N/A</v>
      </c>
      <c r="H100" s="6" t="e">
        <f>VLOOKUP(F100,'Customer Info'!A92:I591,3,0)</f>
        <v>#N/A</v>
      </c>
      <c r="I100" s="6" t="e">
        <f>VLOOKUP(F100,'Customer Info'!A92:I591,5,0)</f>
        <v>#N/A</v>
      </c>
      <c r="J100" s="2">
        <v>7315</v>
      </c>
      <c r="K100" s="2">
        <v>6967</v>
      </c>
      <c r="L100" s="2">
        <v>4</v>
      </c>
      <c r="M100" s="7">
        <f t="shared" si="4"/>
        <v>27868</v>
      </c>
      <c r="N100" s="7">
        <f t="shared" si="5"/>
        <v>29260</v>
      </c>
      <c r="O100" s="2">
        <v>95</v>
      </c>
      <c r="P100" s="8">
        <f t="shared" si="6"/>
        <v>29355</v>
      </c>
      <c r="Q100" s="8">
        <f t="shared" si="7"/>
        <v>29165</v>
      </c>
      <c r="R100" s="2" t="s">
        <v>28</v>
      </c>
      <c r="S100" s="9">
        <f>VLOOKUP(P100,$T$2:U97,2,1)</f>
        <v>7.0000000000000007E-2</v>
      </c>
    </row>
    <row r="101" spans="1:19" x14ac:dyDescent="0.25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VLOOKUP(F101,'Customer Info'!A93:I592,2,0)</f>
        <v>Erica</v>
      </c>
      <c r="H101" s="6" t="str">
        <f>VLOOKUP(F101,'Customer Info'!A93:I592,3,0)</f>
        <v>Smith</v>
      </c>
      <c r="I101" s="6" t="str">
        <f>VLOOKUP(F101,'Customer Info'!A93:I592,5,0)</f>
        <v>Halle</v>
      </c>
      <c r="J101" s="2">
        <v>1763</v>
      </c>
      <c r="K101" s="2">
        <v>1602</v>
      </c>
      <c r="L101" s="2">
        <v>3</v>
      </c>
      <c r="M101" s="7">
        <f t="shared" si="4"/>
        <v>4806</v>
      </c>
      <c r="N101" s="7">
        <f t="shared" si="5"/>
        <v>5289</v>
      </c>
      <c r="O101" s="2">
        <v>61</v>
      </c>
      <c r="P101" s="8">
        <f t="shared" si="6"/>
        <v>5350</v>
      </c>
      <c r="Q101" s="8">
        <f t="shared" si="7"/>
        <v>5228</v>
      </c>
      <c r="R101" s="2" t="s">
        <v>50</v>
      </c>
      <c r="S101" s="9">
        <f>VLOOKUP(P101,$T$2:U98,2,1)</f>
        <v>0.05</v>
      </c>
    </row>
    <row r="102" spans="1:19" x14ac:dyDescent="0.25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VLOOKUP(F102,'Customer Info'!A94:I593,2,0)</f>
        <v>Xylona</v>
      </c>
      <c r="H102" s="6" t="str">
        <f>VLOOKUP(F102,'Customer Info'!A94:I593,3,0)</f>
        <v>Preis</v>
      </c>
      <c r="I102" s="6" t="str">
        <f>VLOOKUP(F102,'Customer Info'!A94:I593,5,0)</f>
        <v>Suining</v>
      </c>
      <c r="J102" s="2">
        <v>1358</v>
      </c>
      <c r="K102" s="2">
        <v>1257</v>
      </c>
      <c r="L102" s="2">
        <v>3</v>
      </c>
      <c r="M102" s="7">
        <f t="shared" si="4"/>
        <v>3771</v>
      </c>
      <c r="N102" s="7">
        <f t="shared" si="5"/>
        <v>4074</v>
      </c>
      <c r="O102" s="2">
        <v>29</v>
      </c>
      <c r="P102" s="8">
        <f t="shared" si="6"/>
        <v>4103</v>
      </c>
      <c r="Q102" s="8">
        <f t="shared" si="7"/>
        <v>4045</v>
      </c>
      <c r="R102" s="2" t="s">
        <v>28</v>
      </c>
      <c r="S102" s="9">
        <f>VLOOKUP(P102,$T$2:U99,2,1)</f>
        <v>0.02</v>
      </c>
    </row>
    <row r="103" spans="1:19" x14ac:dyDescent="0.25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VLOOKUP(F103,'Customer Info'!A95:I594,2,0)</f>
        <v>Jack</v>
      </c>
      <c r="H103" s="6" t="str">
        <f>VLOOKUP(F103,'Customer Info'!A95:I594,3,0)</f>
        <v>Lebron</v>
      </c>
      <c r="I103" s="6" t="str">
        <f>VLOOKUP(F103,'Customer Info'!A95:I594,5,0)</f>
        <v>Erftstadt</v>
      </c>
      <c r="J103" s="2">
        <v>162</v>
      </c>
      <c r="K103" s="2">
        <v>148</v>
      </c>
      <c r="L103" s="2">
        <v>4</v>
      </c>
      <c r="M103" s="7">
        <f t="shared" si="4"/>
        <v>592</v>
      </c>
      <c r="N103" s="7">
        <f t="shared" si="5"/>
        <v>648</v>
      </c>
      <c r="O103" s="2">
        <v>30</v>
      </c>
      <c r="P103" s="8">
        <f t="shared" si="6"/>
        <v>678</v>
      </c>
      <c r="Q103" s="8">
        <f t="shared" si="7"/>
        <v>618</v>
      </c>
      <c r="R103" s="2" t="s">
        <v>28</v>
      </c>
      <c r="S103" s="9">
        <f>VLOOKUP(P103,$T$2:U100,2,1)</f>
        <v>0.02</v>
      </c>
    </row>
    <row r="104" spans="1:19" x14ac:dyDescent="0.25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e">
        <f>VLOOKUP(F104,'Customer Info'!A96:I595,2,0)</f>
        <v>#N/A</v>
      </c>
      <c r="H104" s="6" t="e">
        <f>VLOOKUP(F104,'Customer Info'!A96:I595,3,0)</f>
        <v>#N/A</v>
      </c>
      <c r="I104" s="6" t="e">
        <f>VLOOKUP(F104,'Customer Info'!A96:I595,5,0)</f>
        <v>#N/A</v>
      </c>
      <c r="J104" s="2">
        <v>542</v>
      </c>
      <c r="K104" s="2">
        <v>492</v>
      </c>
      <c r="L104" s="2">
        <v>3</v>
      </c>
      <c r="M104" s="7">
        <f t="shared" si="4"/>
        <v>1476</v>
      </c>
      <c r="N104" s="7">
        <f t="shared" si="5"/>
        <v>1626</v>
      </c>
      <c r="O104" s="2">
        <v>35</v>
      </c>
      <c r="P104" s="8">
        <f t="shared" si="6"/>
        <v>1661</v>
      </c>
      <c r="Q104" s="8">
        <f t="shared" si="7"/>
        <v>1591</v>
      </c>
      <c r="R104" s="2" t="s">
        <v>28</v>
      </c>
      <c r="S104" s="9">
        <f>VLOOKUP(P104,$T$2:U101,2,1)</f>
        <v>0.02</v>
      </c>
    </row>
    <row r="105" spans="1:19" x14ac:dyDescent="0.25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VLOOKUP(F105,'Customer Info'!A97:I596,2,0)</f>
        <v>Jenna</v>
      </c>
      <c r="H105" s="6" t="str">
        <f>VLOOKUP(F105,'Customer Info'!A97:I596,3,0)</f>
        <v>Caffey</v>
      </c>
      <c r="I105" s="6" t="str">
        <f>VLOOKUP(F105,'Customer Info'!A97:I596,5,0)</f>
        <v>Kanpur</v>
      </c>
      <c r="J105" s="2">
        <v>1372</v>
      </c>
      <c r="K105" s="2">
        <v>1308</v>
      </c>
      <c r="L105" s="2">
        <v>4</v>
      </c>
      <c r="M105" s="7">
        <f t="shared" si="4"/>
        <v>5232</v>
      </c>
      <c r="N105" s="7">
        <f t="shared" si="5"/>
        <v>5488</v>
      </c>
      <c r="O105" s="2">
        <v>68</v>
      </c>
      <c r="P105" s="8">
        <f t="shared" si="6"/>
        <v>5556</v>
      </c>
      <c r="Q105" s="8">
        <f t="shared" si="7"/>
        <v>5420</v>
      </c>
      <c r="R105" s="2" t="s">
        <v>28</v>
      </c>
      <c r="S105" s="9">
        <f>VLOOKUP(P105,$T$2:U102,2,1)</f>
        <v>0.05</v>
      </c>
    </row>
    <row r="106" spans="1:19" x14ac:dyDescent="0.25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VLOOKUP(F106,'Customer Info'!A98:I597,2,0)</f>
        <v>Todd</v>
      </c>
      <c r="H106" s="6" t="str">
        <f>VLOOKUP(F106,'Customer Info'!A98:I597,3,0)</f>
        <v>Sumrall</v>
      </c>
      <c r="I106" s="6" t="str">
        <f>VLOOKUP(F106,'Customer Info'!A98:I597,5,0)</f>
        <v>Yangzhou</v>
      </c>
      <c r="J106" s="2">
        <v>793</v>
      </c>
      <c r="K106" s="2">
        <v>755</v>
      </c>
      <c r="L106" s="2">
        <v>6</v>
      </c>
      <c r="M106" s="7">
        <f t="shared" si="4"/>
        <v>4530</v>
      </c>
      <c r="N106" s="7">
        <f t="shared" si="5"/>
        <v>4758</v>
      </c>
      <c r="O106" s="2">
        <v>93</v>
      </c>
      <c r="P106" s="8">
        <f t="shared" si="6"/>
        <v>4851</v>
      </c>
      <c r="Q106" s="8">
        <f t="shared" si="7"/>
        <v>4665</v>
      </c>
      <c r="R106" s="2" t="s">
        <v>50</v>
      </c>
      <c r="S106" s="9">
        <f>VLOOKUP(P106,$T$2:U103,2,1)</f>
        <v>0.02</v>
      </c>
    </row>
    <row r="107" spans="1:19" x14ac:dyDescent="0.25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VLOOKUP(F107,'Customer Info'!A99:I598,2,0)</f>
        <v>Sara</v>
      </c>
      <c r="H107" s="6" t="str">
        <f>VLOOKUP(F107,'Customer Info'!A99:I598,3,0)</f>
        <v>Luxemburg</v>
      </c>
      <c r="I107" s="6" t="str">
        <f>VLOOKUP(F107,'Customer Info'!A99:I598,5,0)</f>
        <v>Luoyang</v>
      </c>
      <c r="J107" s="2">
        <v>726</v>
      </c>
      <c r="K107" s="2">
        <v>646</v>
      </c>
      <c r="L107" s="2">
        <v>4</v>
      </c>
      <c r="M107" s="7">
        <f t="shared" si="4"/>
        <v>2584</v>
      </c>
      <c r="N107" s="7">
        <f t="shared" si="5"/>
        <v>2904</v>
      </c>
      <c r="O107" s="2">
        <v>58</v>
      </c>
      <c r="P107" s="8">
        <f t="shared" si="6"/>
        <v>2962</v>
      </c>
      <c r="Q107" s="8">
        <f t="shared" si="7"/>
        <v>2846</v>
      </c>
      <c r="R107" s="2" t="s">
        <v>28</v>
      </c>
      <c r="S107" s="9">
        <f>VLOOKUP(P107,$T$2:U104,2,1)</f>
        <v>0.02</v>
      </c>
    </row>
    <row r="108" spans="1:19" x14ac:dyDescent="0.25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VLOOKUP(F108,'Customer Info'!A100:I599,2,0)</f>
        <v>Xylona</v>
      </c>
      <c r="H108" s="6" t="str">
        <f>VLOOKUP(F108,'Customer Info'!A100:I599,3,0)</f>
        <v>Preis</v>
      </c>
      <c r="I108" s="6" t="str">
        <f>VLOOKUP(F108,'Customer Info'!A100:I599,5,0)</f>
        <v>Qidong</v>
      </c>
      <c r="J108" s="2">
        <v>142</v>
      </c>
      <c r="K108" s="2">
        <v>134</v>
      </c>
      <c r="L108" s="2">
        <v>3</v>
      </c>
      <c r="M108" s="7">
        <f t="shared" si="4"/>
        <v>402</v>
      </c>
      <c r="N108" s="7">
        <f t="shared" si="5"/>
        <v>426</v>
      </c>
      <c r="O108" s="2">
        <v>30</v>
      </c>
      <c r="P108" s="8">
        <f t="shared" si="6"/>
        <v>456</v>
      </c>
      <c r="Q108" s="8">
        <f t="shared" si="7"/>
        <v>396</v>
      </c>
      <c r="R108" s="2" t="s">
        <v>50</v>
      </c>
      <c r="S108" s="9">
        <f>VLOOKUP(P108,$T$2:U105,2,1)</f>
        <v>0.02</v>
      </c>
    </row>
    <row r="109" spans="1:19" x14ac:dyDescent="0.25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VLOOKUP(F109,'Customer Info'!A101:I600,2,0)</f>
        <v>Jas</v>
      </c>
      <c r="H109" s="6" t="str">
        <f>VLOOKUP(F109,'Customer Info'!A101:I600,3,0)</f>
        <v>O'Carroll</v>
      </c>
      <c r="I109" s="6" t="str">
        <f>VLOOKUP(F109,'Customer Info'!A101:I600,5,0)</f>
        <v>Essen</v>
      </c>
      <c r="J109" s="2">
        <v>1518</v>
      </c>
      <c r="K109" s="2">
        <v>1392</v>
      </c>
      <c r="L109" s="2">
        <v>7</v>
      </c>
      <c r="M109" s="7">
        <f t="shared" si="4"/>
        <v>9744</v>
      </c>
      <c r="N109" s="7">
        <f t="shared" si="5"/>
        <v>10626</v>
      </c>
      <c r="O109" s="2">
        <v>24</v>
      </c>
      <c r="P109" s="8">
        <f t="shared" si="6"/>
        <v>10650</v>
      </c>
      <c r="Q109" s="8">
        <f t="shared" si="7"/>
        <v>10602</v>
      </c>
      <c r="R109" s="2" t="s">
        <v>26</v>
      </c>
      <c r="S109" s="9">
        <f>VLOOKUP(P109,$T$2:U106,2,1)</f>
        <v>0.05</v>
      </c>
    </row>
    <row r="110" spans="1:19" x14ac:dyDescent="0.25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VLOOKUP(F110,'Customer Info'!A102:I601,2,0)</f>
        <v>Mick</v>
      </c>
      <c r="H110" s="6" t="str">
        <f>VLOOKUP(F110,'Customer Info'!A102:I601,3,0)</f>
        <v>Brown</v>
      </c>
      <c r="I110" s="6" t="str">
        <f>VLOOKUP(F110,'Customer Info'!A102:I601,5,0)</f>
        <v>Frankfurt</v>
      </c>
      <c r="J110" s="2">
        <v>2515</v>
      </c>
      <c r="K110" s="2">
        <v>2397</v>
      </c>
      <c r="L110" s="2">
        <v>3</v>
      </c>
      <c r="M110" s="7">
        <f t="shared" si="4"/>
        <v>7191</v>
      </c>
      <c r="N110" s="7">
        <f t="shared" si="5"/>
        <v>7545</v>
      </c>
      <c r="O110" s="2">
        <v>60</v>
      </c>
      <c r="P110" s="8">
        <f t="shared" si="6"/>
        <v>7605</v>
      </c>
      <c r="Q110" s="8">
        <f t="shared" si="7"/>
        <v>7485</v>
      </c>
      <c r="R110" s="2" t="s">
        <v>28</v>
      </c>
      <c r="S110" s="9">
        <f>VLOOKUP(P110,$T$2:U107,2,1)</f>
        <v>0.05</v>
      </c>
    </row>
    <row r="111" spans="1:19" x14ac:dyDescent="0.25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VLOOKUP(F111,'Customer Info'!A103:I602,2,0)</f>
        <v>Michelle</v>
      </c>
      <c r="H111" s="6" t="str">
        <f>VLOOKUP(F111,'Customer Info'!A103:I602,3,0)</f>
        <v>Arnett</v>
      </c>
      <c r="I111" s="6" t="str">
        <f>VLOOKUP(F111,'Customer Info'!A103:I602,5,0)</f>
        <v>Yancheng</v>
      </c>
      <c r="J111" s="2">
        <v>8878</v>
      </c>
      <c r="K111" s="2">
        <v>7914</v>
      </c>
      <c r="L111" s="2">
        <v>2</v>
      </c>
      <c r="M111" s="7">
        <f t="shared" si="4"/>
        <v>15828</v>
      </c>
      <c r="N111" s="7">
        <f t="shared" si="5"/>
        <v>17756</v>
      </c>
      <c r="O111" s="2">
        <v>72</v>
      </c>
      <c r="P111" s="8">
        <f t="shared" si="6"/>
        <v>17828</v>
      </c>
      <c r="Q111" s="8">
        <f t="shared" si="7"/>
        <v>17684</v>
      </c>
      <c r="R111" s="2" t="s">
        <v>28</v>
      </c>
      <c r="S111" s="9">
        <f>VLOOKUP(P111,$T$2:U108,2,1)</f>
        <v>0.05</v>
      </c>
    </row>
    <row r="112" spans="1:19" x14ac:dyDescent="0.25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VLOOKUP(F112,'Customer Info'!A104:I603,2,0)</f>
        <v>Toby</v>
      </c>
      <c r="H112" s="6" t="str">
        <f>VLOOKUP(F112,'Customer Info'!A104:I603,3,0)</f>
        <v>Braunhardt</v>
      </c>
      <c r="I112" s="6" t="str">
        <f>VLOOKUP(F112,'Customer Info'!A104:I603,5,0)</f>
        <v>Jiangyan</v>
      </c>
      <c r="J112" s="2">
        <v>8651</v>
      </c>
      <c r="K112" s="2">
        <v>8081</v>
      </c>
      <c r="L112" s="2">
        <v>3</v>
      </c>
      <c r="M112" s="7">
        <f t="shared" si="4"/>
        <v>24243</v>
      </c>
      <c r="N112" s="7">
        <f t="shared" si="5"/>
        <v>25953</v>
      </c>
      <c r="O112" s="2">
        <v>66</v>
      </c>
      <c r="P112" s="8">
        <f t="shared" si="6"/>
        <v>26019</v>
      </c>
      <c r="Q112" s="8">
        <f t="shared" si="7"/>
        <v>25887</v>
      </c>
      <c r="R112" s="2" t="s">
        <v>28</v>
      </c>
      <c r="S112" s="9">
        <f>VLOOKUP(P112,$T$2:U109,2,1)</f>
        <v>7.0000000000000007E-2</v>
      </c>
    </row>
    <row r="113" spans="1:19" x14ac:dyDescent="0.25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VLOOKUP(F113,'Customer Info'!A105:I604,2,0)</f>
        <v>Tony</v>
      </c>
      <c r="H113" s="6" t="str">
        <f>VLOOKUP(F113,'Customer Info'!A105:I604,3,0)</f>
        <v>Sayre</v>
      </c>
      <c r="I113" s="6" t="str">
        <f>VLOOKUP(F113,'Customer Info'!A105:I604,5,0)</f>
        <v>Jakarta</v>
      </c>
      <c r="J113" s="2">
        <v>645</v>
      </c>
      <c r="K113" s="2">
        <v>565</v>
      </c>
      <c r="L113" s="2">
        <v>2</v>
      </c>
      <c r="M113" s="7">
        <f t="shared" si="4"/>
        <v>1130</v>
      </c>
      <c r="N113" s="7">
        <f t="shared" si="5"/>
        <v>1290</v>
      </c>
      <c r="O113" s="2">
        <v>91</v>
      </c>
      <c r="P113" s="8">
        <f t="shared" si="6"/>
        <v>1381</v>
      </c>
      <c r="Q113" s="8">
        <f t="shared" si="7"/>
        <v>1199</v>
      </c>
      <c r="R113" s="2" t="s">
        <v>50</v>
      </c>
      <c r="S113" s="9">
        <f>VLOOKUP(P113,$T$2:U110,2,1)</f>
        <v>0.02</v>
      </c>
    </row>
    <row r="114" spans="1:19" x14ac:dyDescent="0.25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VLOOKUP(F114,'Customer Info'!A106:I605,2,0)</f>
        <v>Nick</v>
      </c>
      <c r="H114" s="6" t="str">
        <f>VLOOKUP(F114,'Customer Info'!A106:I605,3,0)</f>
        <v>Radford</v>
      </c>
      <c r="I114" s="6" t="str">
        <f>VLOOKUP(F114,'Customer Info'!A106:I605,5,0)</f>
        <v>Lucknow</v>
      </c>
      <c r="J114" s="2">
        <v>125</v>
      </c>
      <c r="K114" s="2">
        <v>113</v>
      </c>
      <c r="L114" s="2">
        <v>1</v>
      </c>
      <c r="M114" s="7">
        <f t="shared" si="4"/>
        <v>113</v>
      </c>
      <c r="N114" s="7">
        <f t="shared" si="5"/>
        <v>125</v>
      </c>
      <c r="O114" s="2">
        <v>30</v>
      </c>
      <c r="P114" s="8">
        <f t="shared" si="6"/>
        <v>155</v>
      </c>
      <c r="Q114" s="8">
        <f t="shared" si="7"/>
        <v>95</v>
      </c>
      <c r="R114" s="2" t="s">
        <v>28</v>
      </c>
      <c r="S114" s="9">
        <f>VLOOKUP(P114,$T$2:U111,2,1)</f>
        <v>0.02</v>
      </c>
    </row>
    <row r="115" spans="1:19" x14ac:dyDescent="0.25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e">
        <f>VLOOKUP(F115,'Customer Info'!A107:I606,2,0)</f>
        <v>#N/A</v>
      </c>
      <c r="H115" s="6" t="e">
        <f>VLOOKUP(F115,'Customer Info'!A107:I606,3,0)</f>
        <v>#N/A</v>
      </c>
      <c r="I115" s="6" t="e">
        <f>VLOOKUP(F115,'Customer Info'!A107:I606,5,0)</f>
        <v>#N/A</v>
      </c>
      <c r="J115" s="2">
        <v>139</v>
      </c>
      <c r="K115" s="2">
        <v>130</v>
      </c>
      <c r="L115" s="2">
        <v>2</v>
      </c>
      <c r="M115" s="7">
        <f t="shared" si="4"/>
        <v>260</v>
      </c>
      <c r="N115" s="7">
        <f t="shared" si="5"/>
        <v>278</v>
      </c>
      <c r="O115" s="2">
        <v>30</v>
      </c>
      <c r="P115" s="8">
        <f t="shared" si="6"/>
        <v>308</v>
      </c>
      <c r="Q115" s="8">
        <f t="shared" si="7"/>
        <v>248</v>
      </c>
      <c r="R115" s="2" t="s">
        <v>28</v>
      </c>
      <c r="S115" s="9">
        <f>VLOOKUP(P115,$T$2:U112,2,1)</f>
        <v>0.02</v>
      </c>
    </row>
    <row r="116" spans="1:19" x14ac:dyDescent="0.25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VLOOKUP(F116,'Customer Info'!A108:I607,2,0)</f>
        <v>Melanie</v>
      </c>
      <c r="H116" s="6" t="str">
        <f>VLOOKUP(F116,'Customer Info'!A108:I607,3,0)</f>
        <v>Seite</v>
      </c>
      <c r="I116" s="6" t="str">
        <f>VLOOKUP(F116,'Customer Info'!A108:I607,5,0)</f>
        <v>Xining</v>
      </c>
      <c r="J116" s="2">
        <v>3256</v>
      </c>
      <c r="K116" s="2">
        <v>2959</v>
      </c>
      <c r="L116" s="2">
        <v>3</v>
      </c>
      <c r="M116" s="7">
        <f t="shared" si="4"/>
        <v>8877</v>
      </c>
      <c r="N116" s="7">
        <f t="shared" si="5"/>
        <v>9768</v>
      </c>
      <c r="O116" s="2">
        <v>90</v>
      </c>
      <c r="P116" s="8">
        <f t="shared" si="6"/>
        <v>9858</v>
      </c>
      <c r="Q116" s="8">
        <f t="shared" si="7"/>
        <v>9678</v>
      </c>
      <c r="R116" s="2" t="s">
        <v>50</v>
      </c>
      <c r="S116" s="9">
        <f>VLOOKUP(P116,$T$2:U113,2,1)</f>
        <v>0.05</v>
      </c>
    </row>
    <row r="117" spans="1:19" x14ac:dyDescent="0.25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e">
        <f>VLOOKUP(F117,'Customer Info'!A109:I608,2,0)</f>
        <v>#N/A</v>
      </c>
      <c r="H117" s="6" t="e">
        <f>VLOOKUP(F117,'Customer Info'!A109:I608,3,0)</f>
        <v>#N/A</v>
      </c>
      <c r="I117" s="6" t="e">
        <f>VLOOKUP(F117,'Customer Info'!A109:I608,5,0)</f>
        <v>#N/A</v>
      </c>
      <c r="J117" s="2">
        <v>743</v>
      </c>
      <c r="K117" s="2">
        <v>694</v>
      </c>
      <c r="L117" s="2">
        <v>1</v>
      </c>
      <c r="M117" s="7">
        <f t="shared" si="4"/>
        <v>694</v>
      </c>
      <c r="N117" s="7">
        <f t="shared" si="5"/>
        <v>743</v>
      </c>
      <c r="O117" s="2">
        <v>99</v>
      </c>
      <c r="P117" s="8">
        <f t="shared" si="6"/>
        <v>842</v>
      </c>
      <c r="Q117" s="8">
        <f t="shared" si="7"/>
        <v>644</v>
      </c>
      <c r="R117" s="2" t="s">
        <v>28</v>
      </c>
      <c r="S117" s="9">
        <f>VLOOKUP(P117,$T$2:U114,2,1)</f>
        <v>0.02</v>
      </c>
    </row>
    <row r="118" spans="1:19" x14ac:dyDescent="0.25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VLOOKUP(F118,'Customer Info'!A110:I609,2,0)</f>
        <v>Cyra</v>
      </c>
      <c r="H118" s="6" t="str">
        <f>VLOOKUP(F118,'Customer Info'!A110:I609,3,0)</f>
        <v>Reiten</v>
      </c>
      <c r="I118" s="6" t="str">
        <f>VLOOKUP(F118,'Customer Info'!A110:I609,5,0)</f>
        <v>Samarinda</v>
      </c>
      <c r="J118" s="2">
        <v>1186</v>
      </c>
      <c r="K118" s="2">
        <v>1141</v>
      </c>
      <c r="L118" s="2">
        <v>3</v>
      </c>
      <c r="M118" s="7">
        <f t="shared" si="4"/>
        <v>3423</v>
      </c>
      <c r="N118" s="7">
        <f t="shared" si="5"/>
        <v>3558</v>
      </c>
      <c r="O118" s="2">
        <v>48</v>
      </c>
      <c r="P118" s="8">
        <f t="shared" si="6"/>
        <v>3606</v>
      </c>
      <c r="Q118" s="8">
        <f t="shared" si="7"/>
        <v>3510</v>
      </c>
      <c r="R118" s="2" t="s">
        <v>28</v>
      </c>
      <c r="S118" s="9">
        <f>VLOOKUP(P118,$T$2:U115,2,1)</f>
        <v>0.02</v>
      </c>
    </row>
    <row r="119" spans="1:19" x14ac:dyDescent="0.25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VLOOKUP(F119,'Customer Info'!A111:I610,2,0)</f>
        <v>Darren</v>
      </c>
      <c r="H119" s="6" t="str">
        <f>VLOOKUP(F119,'Customer Info'!A111:I610,3,0)</f>
        <v>Powers</v>
      </c>
      <c r="I119" s="6" t="str">
        <f>VLOOKUP(F119,'Customer Info'!A111:I610,5,0)</f>
        <v>Depok</v>
      </c>
      <c r="J119" s="2">
        <v>2965</v>
      </c>
      <c r="K119" s="2">
        <v>2694</v>
      </c>
      <c r="L119" s="2">
        <v>8</v>
      </c>
      <c r="M119" s="7">
        <f t="shared" si="4"/>
        <v>21552</v>
      </c>
      <c r="N119" s="7">
        <f t="shared" si="5"/>
        <v>23720</v>
      </c>
      <c r="O119" s="2">
        <v>33</v>
      </c>
      <c r="P119" s="8">
        <f t="shared" si="6"/>
        <v>23753</v>
      </c>
      <c r="Q119" s="8">
        <f t="shared" si="7"/>
        <v>23687</v>
      </c>
      <c r="R119" s="2" t="s">
        <v>28</v>
      </c>
      <c r="S119" s="9">
        <f>VLOOKUP(P119,$T$2:U116,2,1)</f>
        <v>0.05</v>
      </c>
    </row>
    <row r="120" spans="1:19" x14ac:dyDescent="0.25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VLOOKUP(F120,'Customer Info'!A112:I611,2,0)</f>
        <v>Yana</v>
      </c>
      <c r="H120" s="6" t="str">
        <f>VLOOKUP(F120,'Customer Info'!A112:I611,3,0)</f>
        <v>Sorensen</v>
      </c>
      <c r="I120" s="6" t="str">
        <f>VLOOKUP(F120,'Customer Info'!A112:I611,5,0)</f>
        <v>Bottrop</v>
      </c>
      <c r="J120" s="2">
        <v>60</v>
      </c>
      <c r="K120" s="2">
        <v>58</v>
      </c>
      <c r="L120" s="2">
        <v>1</v>
      </c>
      <c r="M120" s="7">
        <f t="shared" si="4"/>
        <v>58</v>
      </c>
      <c r="N120" s="7">
        <f t="shared" si="5"/>
        <v>60</v>
      </c>
      <c r="O120" s="2">
        <v>10</v>
      </c>
      <c r="P120" s="8">
        <f t="shared" si="6"/>
        <v>70</v>
      </c>
      <c r="Q120" s="8">
        <f t="shared" si="7"/>
        <v>50</v>
      </c>
      <c r="R120" s="2" t="s">
        <v>50</v>
      </c>
      <c r="S120" s="9">
        <f>VLOOKUP(P120,$T$2:U117,2,1)</f>
        <v>0.02</v>
      </c>
    </row>
    <row r="121" spans="1:19" x14ac:dyDescent="0.25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VLOOKUP(F121,'Customer Info'!A113:I612,2,0)</f>
        <v>Mick</v>
      </c>
      <c r="H121" s="6" t="str">
        <f>VLOOKUP(F121,'Customer Info'!A113:I612,3,0)</f>
        <v>Crebagga</v>
      </c>
      <c r="I121" s="6" t="str">
        <f>VLOOKUP(F121,'Customer Info'!A113:I612,5,0)</f>
        <v>Banjarmasin</v>
      </c>
      <c r="J121" s="2">
        <v>63</v>
      </c>
      <c r="K121" s="2">
        <v>58</v>
      </c>
      <c r="L121" s="2">
        <v>9</v>
      </c>
      <c r="M121" s="7">
        <f t="shared" si="4"/>
        <v>522</v>
      </c>
      <c r="N121" s="7">
        <f t="shared" si="5"/>
        <v>567</v>
      </c>
      <c r="O121" s="2">
        <v>10</v>
      </c>
      <c r="P121" s="8">
        <f t="shared" si="6"/>
        <v>577</v>
      </c>
      <c r="Q121" s="8">
        <f t="shared" si="7"/>
        <v>557</v>
      </c>
      <c r="R121" s="2" t="s">
        <v>28</v>
      </c>
      <c r="S121" s="9">
        <f>VLOOKUP(P121,$T$2:U118,2,1)</f>
        <v>0.02</v>
      </c>
    </row>
    <row r="122" spans="1:19" x14ac:dyDescent="0.25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VLOOKUP(F122,'Customer Info'!A114:I613,2,0)</f>
        <v>Jill</v>
      </c>
      <c r="H122" s="6" t="str">
        <f>VLOOKUP(F122,'Customer Info'!A114:I613,3,0)</f>
        <v>Stevenson</v>
      </c>
      <c r="I122" s="6" t="str">
        <f>VLOOKUP(F122,'Customer Info'!A114:I613,5,0)</f>
        <v>Bengbu</v>
      </c>
      <c r="J122" s="2">
        <v>691</v>
      </c>
      <c r="K122" s="2">
        <v>646</v>
      </c>
      <c r="L122" s="2">
        <v>2</v>
      </c>
      <c r="M122" s="7">
        <f t="shared" si="4"/>
        <v>1292</v>
      </c>
      <c r="N122" s="7">
        <f t="shared" si="5"/>
        <v>1382</v>
      </c>
      <c r="O122" s="2">
        <v>57</v>
      </c>
      <c r="P122" s="8">
        <f t="shared" si="6"/>
        <v>1439</v>
      </c>
      <c r="Q122" s="8">
        <f t="shared" si="7"/>
        <v>1325</v>
      </c>
      <c r="R122" s="2" t="s">
        <v>28</v>
      </c>
      <c r="S122" s="9">
        <f>VLOOKUP(P122,$T$2:U119,2,1)</f>
        <v>0.02</v>
      </c>
    </row>
    <row r="123" spans="1:19" x14ac:dyDescent="0.25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VLOOKUP(F123,'Customer Info'!A115:I614,2,0)</f>
        <v>Thea</v>
      </c>
      <c r="H123" s="6" t="str">
        <f>VLOOKUP(F123,'Customer Info'!A115:I614,3,0)</f>
        <v>Hudgings</v>
      </c>
      <c r="I123" s="6" t="str">
        <f>VLOOKUP(F123,'Customer Info'!A115:I614,5,0)</f>
        <v>Anshan</v>
      </c>
      <c r="J123" s="2">
        <v>1587</v>
      </c>
      <c r="K123" s="2">
        <v>1428</v>
      </c>
      <c r="L123" s="2">
        <v>1</v>
      </c>
      <c r="M123" s="7">
        <f t="shared" si="4"/>
        <v>1428</v>
      </c>
      <c r="N123" s="7">
        <f t="shared" si="5"/>
        <v>1587</v>
      </c>
      <c r="O123" s="2">
        <v>81</v>
      </c>
      <c r="P123" s="8">
        <f t="shared" si="6"/>
        <v>1668</v>
      </c>
      <c r="Q123" s="8">
        <f t="shared" si="7"/>
        <v>1506</v>
      </c>
      <c r="R123" s="2" t="s">
        <v>26</v>
      </c>
      <c r="S123" s="9">
        <f>VLOOKUP(P123,$T$2:U120,2,1)</f>
        <v>0.02</v>
      </c>
    </row>
    <row r="124" spans="1:19" x14ac:dyDescent="0.25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VLOOKUP(F124,'Customer Info'!A116:I615,2,0)</f>
        <v>Maureen</v>
      </c>
      <c r="H124" s="6" t="str">
        <f>VLOOKUP(F124,'Customer Info'!A116:I615,3,0)</f>
        <v>Fritzler</v>
      </c>
      <c r="I124" s="6" t="str">
        <f>VLOOKUP(F124,'Customer Info'!A116:I615,5,0)</f>
        <v>BadenBaden</v>
      </c>
      <c r="J124" s="2">
        <v>1816</v>
      </c>
      <c r="K124" s="2">
        <v>1699</v>
      </c>
      <c r="L124" s="2">
        <v>2</v>
      </c>
      <c r="M124" s="7">
        <f t="shared" si="4"/>
        <v>3398</v>
      </c>
      <c r="N124" s="7">
        <f t="shared" si="5"/>
        <v>3632</v>
      </c>
      <c r="O124" s="2">
        <v>47</v>
      </c>
      <c r="P124" s="8">
        <f t="shared" si="6"/>
        <v>3679</v>
      </c>
      <c r="Q124" s="8">
        <f t="shared" si="7"/>
        <v>3585</v>
      </c>
      <c r="R124" s="2" t="s">
        <v>26</v>
      </c>
      <c r="S124" s="9">
        <f>VLOOKUP(P124,$T$2:U121,2,1)</f>
        <v>0.02</v>
      </c>
    </row>
    <row r="125" spans="1:19" x14ac:dyDescent="0.25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VLOOKUP(F125,'Customer Info'!A117:I616,2,0)</f>
        <v>Erica</v>
      </c>
      <c r="H125" s="6" t="str">
        <f>VLOOKUP(F125,'Customer Info'!A117:I616,3,0)</f>
        <v>Smith</v>
      </c>
      <c r="I125" s="6" t="str">
        <f>VLOOKUP(F125,'Customer Info'!A117:I616,5,0)</f>
        <v>Halle</v>
      </c>
      <c r="J125" s="2">
        <v>1653</v>
      </c>
      <c r="K125" s="2">
        <v>1560</v>
      </c>
      <c r="L125" s="2">
        <v>2</v>
      </c>
      <c r="M125" s="7">
        <f t="shared" si="4"/>
        <v>3120</v>
      </c>
      <c r="N125" s="7">
        <f t="shared" si="5"/>
        <v>3306</v>
      </c>
      <c r="O125" s="2">
        <v>49</v>
      </c>
      <c r="P125" s="8">
        <f t="shared" si="6"/>
        <v>3355</v>
      </c>
      <c r="Q125" s="8">
        <f t="shared" si="7"/>
        <v>3257</v>
      </c>
      <c r="R125" s="2" t="s">
        <v>28</v>
      </c>
      <c r="S125" s="9">
        <f>VLOOKUP(P125,$T$2:U122,2,1)</f>
        <v>0.02</v>
      </c>
    </row>
    <row r="126" spans="1:19" x14ac:dyDescent="0.25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e">
        <f>VLOOKUP(F126,'Customer Info'!A118:I617,2,0)</f>
        <v>#N/A</v>
      </c>
      <c r="H126" s="6" t="e">
        <f>VLOOKUP(F126,'Customer Info'!A118:I617,3,0)</f>
        <v>#N/A</v>
      </c>
      <c r="I126" s="6" t="e">
        <f>VLOOKUP(F126,'Customer Info'!A118:I617,5,0)</f>
        <v>#N/A</v>
      </c>
      <c r="J126" s="2">
        <v>7609</v>
      </c>
      <c r="K126" s="2">
        <v>7248</v>
      </c>
      <c r="L126" s="2">
        <v>4</v>
      </c>
      <c r="M126" s="7">
        <f t="shared" si="4"/>
        <v>28992</v>
      </c>
      <c r="N126" s="7">
        <f t="shared" si="5"/>
        <v>30436</v>
      </c>
      <c r="O126" s="2">
        <v>76</v>
      </c>
      <c r="P126" s="8">
        <f t="shared" si="6"/>
        <v>30512</v>
      </c>
      <c r="Q126" s="8">
        <f t="shared" si="7"/>
        <v>30360</v>
      </c>
      <c r="R126" s="2" t="s">
        <v>28</v>
      </c>
      <c r="S126" s="9">
        <f>VLOOKUP(P126,$T$2:U123,2,1)</f>
        <v>7.0000000000000007E-2</v>
      </c>
    </row>
    <row r="127" spans="1:19" x14ac:dyDescent="0.25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e">
        <f>VLOOKUP(F127,'Customer Info'!A119:I618,2,0)</f>
        <v>#N/A</v>
      </c>
      <c r="H127" s="6" t="e">
        <f>VLOOKUP(F127,'Customer Info'!A119:I618,3,0)</f>
        <v>#N/A</v>
      </c>
      <c r="I127" s="6" t="e">
        <f>VLOOKUP(F127,'Customer Info'!A119:I618,5,0)</f>
        <v>#N/A</v>
      </c>
      <c r="J127" s="2">
        <v>1405</v>
      </c>
      <c r="K127" s="2">
        <v>1287</v>
      </c>
      <c r="L127" s="2">
        <v>2</v>
      </c>
      <c r="M127" s="7">
        <f t="shared" si="4"/>
        <v>2574</v>
      </c>
      <c r="N127" s="7">
        <f t="shared" si="5"/>
        <v>2810</v>
      </c>
      <c r="O127" s="2">
        <v>36</v>
      </c>
      <c r="P127" s="8">
        <f t="shared" si="6"/>
        <v>2846</v>
      </c>
      <c r="Q127" s="8">
        <f t="shared" si="7"/>
        <v>2774</v>
      </c>
      <c r="R127" s="2" t="s">
        <v>28</v>
      </c>
      <c r="S127" s="9">
        <f>VLOOKUP(P127,$T$2:U124,2,1)</f>
        <v>0.02</v>
      </c>
    </row>
    <row r="128" spans="1:19" x14ac:dyDescent="0.25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VLOOKUP(F128,'Customer Info'!A120:I619,2,0)</f>
        <v>Sarah</v>
      </c>
      <c r="H128" s="6" t="str">
        <f>VLOOKUP(F128,'Customer Info'!A120:I619,3,0)</f>
        <v>Foster</v>
      </c>
      <c r="I128" s="6" t="str">
        <f>VLOOKUP(F128,'Customer Info'!A120:I619,5,0)</f>
        <v>Xianning</v>
      </c>
      <c r="J128" s="2">
        <v>7534</v>
      </c>
      <c r="K128" s="2">
        <v>7106</v>
      </c>
      <c r="L128" s="2">
        <v>12</v>
      </c>
      <c r="M128" s="7">
        <f t="shared" si="4"/>
        <v>85272</v>
      </c>
      <c r="N128" s="7">
        <f t="shared" si="5"/>
        <v>90408</v>
      </c>
      <c r="O128" s="2">
        <v>24</v>
      </c>
      <c r="P128" s="8">
        <f t="shared" si="6"/>
        <v>90432</v>
      </c>
      <c r="Q128" s="8">
        <f t="shared" si="7"/>
        <v>90384</v>
      </c>
      <c r="R128" s="2" t="s">
        <v>26</v>
      </c>
      <c r="S128" s="9">
        <f>VLOOKUP(P128,$T$2:U125,2,1)</f>
        <v>0.09</v>
      </c>
    </row>
    <row r="129" spans="1:19" x14ac:dyDescent="0.25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e">
        <f>VLOOKUP(F129,'Customer Info'!A121:I620,2,0)</f>
        <v>#N/A</v>
      </c>
      <c r="H129" s="6" t="e">
        <f>VLOOKUP(F129,'Customer Info'!A121:I620,3,0)</f>
        <v>#N/A</v>
      </c>
      <c r="I129" s="6" t="e">
        <f>VLOOKUP(F129,'Customer Info'!A121:I620,5,0)</f>
        <v>#N/A</v>
      </c>
      <c r="J129" s="2">
        <v>1790</v>
      </c>
      <c r="K129" s="2">
        <v>1706</v>
      </c>
      <c r="L129" s="2">
        <v>1</v>
      </c>
      <c r="M129" s="7">
        <f t="shared" si="4"/>
        <v>1706</v>
      </c>
      <c r="N129" s="7">
        <f t="shared" si="5"/>
        <v>1790</v>
      </c>
      <c r="O129" s="2">
        <v>42</v>
      </c>
      <c r="P129" s="8">
        <f t="shared" si="6"/>
        <v>1832</v>
      </c>
      <c r="Q129" s="8">
        <f t="shared" si="7"/>
        <v>1748</v>
      </c>
      <c r="R129" s="2" t="s">
        <v>50</v>
      </c>
      <c r="S129" s="9">
        <f>VLOOKUP(P129,$T$2:U126,2,1)</f>
        <v>0.02</v>
      </c>
    </row>
    <row r="130" spans="1:19" x14ac:dyDescent="0.25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VLOOKUP(F130,'Customer Info'!A122:I621,2,0)</f>
        <v>Shahid</v>
      </c>
      <c r="H130" s="6" t="str">
        <f>VLOOKUP(F130,'Customer Info'!A122:I621,3,0)</f>
        <v>Collister</v>
      </c>
      <c r="I130" s="6" t="str">
        <f>VLOOKUP(F130,'Customer Info'!A122:I621,5,0)</f>
        <v>Leipzig</v>
      </c>
      <c r="J130" s="2">
        <v>674</v>
      </c>
      <c r="K130" s="2">
        <v>629</v>
      </c>
      <c r="L130" s="2">
        <v>1</v>
      </c>
      <c r="M130" s="7">
        <f t="shared" si="4"/>
        <v>629</v>
      </c>
      <c r="N130" s="7">
        <f t="shared" si="5"/>
        <v>674</v>
      </c>
      <c r="O130" s="2">
        <v>22</v>
      </c>
      <c r="P130" s="8">
        <f t="shared" si="6"/>
        <v>696</v>
      </c>
      <c r="Q130" s="8">
        <f t="shared" si="7"/>
        <v>652</v>
      </c>
      <c r="R130" s="2" t="s">
        <v>28</v>
      </c>
      <c r="S130" s="9">
        <f>VLOOKUP(P130,$T$2:U127,2,1)</f>
        <v>0.02</v>
      </c>
    </row>
    <row r="131" spans="1:19" x14ac:dyDescent="0.25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VLOOKUP(F131,'Customer Info'!A123:I622,2,0)</f>
        <v>Jill</v>
      </c>
      <c r="H131" s="6" t="str">
        <f>VLOOKUP(F131,'Customer Info'!A123:I622,3,0)</f>
        <v>Stevenson</v>
      </c>
      <c r="I131" s="6" t="str">
        <f>VLOOKUP(F131,'Customer Info'!A123:I622,5,0)</f>
        <v>Bengbu</v>
      </c>
      <c r="J131" s="2">
        <v>171</v>
      </c>
      <c r="K131" s="2">
        <v>153</v>
      </c>
      <c r="L131" s="2">
        <v>3</v>
      </c>
      <c r="M131" s="7">
        <f t="shared" si="4"/>
        <v>459</v>
      </c>
      <c r="N131" s="7">
        <f t="shared" si="5"/>
        <v>513</v>
      </c>
      <c r="O131" s="2">
        <v>30</v>
      </c>
      <c r="P131" s="8">
        <f t="shared" si="6"/>
        <v>543</v>
      </c>
      <c r="Q131" s="8">
        <f t="shared" si="7"/>
        <v>483</v>
      </c>
      <c r="R131" s="2" t="s">
        <v>50</v>
      </c>
      <c r="S131" s="9">
        <f>VLOOKUP(P131,$T$2:U128,2,1)</f>
        <v>0.02</v>
      </c>
    </row>
    <row r="132" spans="1:19" x14ac:dyDescent="0.25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VLOOKUP(F132,'Customer Info'!A124:I623,2,0)</f>
        <v>Nick</v>
      </c>
      <c r="H132" s="6" t="str">
        <f>VLOOKUP(F132,'Customer Info'!A124:I623,3,0)</f>
        <v>Zandusky</v>
      </c>
      <c r="I132" s="6" t="str">
        <f>VLOOKUP(F132,'Customer Info'!A124:I623,5,0)</f>
        <v>Surabaya</v>
      </c>
      <c r="J132" s="2">
        <v>900</v>
      </c>
      <c r="K132" s="2">
        <v>834</v>
      </c>
      <c r="L132" s="2">
        <v>3</v>
      </c>
      <c r="M132" s="7">
        <f t="shared" si="4"/>
        <v>2502</v>
      </c>
      <c r="N132" s="7">
        <f t="shared" si="5"/>
        <v>2700</v>
      </c>
      <c r="O132" s="2">
        <v>71</v>
      </c>
      <c r="P132" s="8">
        <f t="shared" si="6"/>
        <v>2771</v>
      </c>
      <c r="Q132" s="8">
        <f t="shared" si="7"/>
        <v>2629</v>
      </c>
      <c r="R132" s="2" t="s">
        <v>56</v>
      </c>
      <c r="S132" s="9">
        <f>VLOOKUP(P132,$T$2:U129,2,1)</f>
        <v>0.02</v>
      </c>
    </row>
    <row r="133" spans="1:19" x14ac:dyDescent="0.25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VLOOKUP(F133,'Customer Info'!A125:I624,2,0)</f>
        <v>Robert</v>
      </c>
      <c r="H133" s="6" t="str">
        <f>VLOOKUP(F133,'Customer Info'!A125:I624,3,0)</f>
        <v>Waldorf</v>
      </c>
      <c r="I133" s="6" t="str">
        <f>VLOOKUP(F133,'Customer Info'!A125:I624,5,0)</f>
        <v>Emden</v>
      </c>
      <c r="J133" s="2">
        <v>1635</v>
      </c>
      <c r="K133" s="2">
        <v>1573</v>
      </c>
      <c r="L133" s="2">
        <v>4</v>
      </c>
      <c r="M133" s="7">
        <f t="shared" si="4"/>
        <v>6292</v>
      </c>
      <c r="N133" s="7">
        <f t="shared" si="5"/>
        <v>6540</v>
      </c>
      <c r="O133" s="2">
        <v>33</v>
      </c>
      <c r="P133" s="8">
        <f t="shared" si="6"/>
        <v>6573</v>
      </c>
      <c r="Q133" s="8">
        <f t="shared" si="7"/>
        <v>6507</v>
      </c>
      <c r="R133" s="2" t="s">
        <v>28</v>
      </c>
      <c r="S133" s="9">
        <f>VLOOKUP(P133,$T$2:U130,2,1)</f>
        <v>0.05</v>
      </c>
    </row>
    <row r="134" spans="1:19" x14ac:dyDescent="0.25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VLOOKUP(F134,'Customer Info'!A126:I625,2,0)</f>
        <v>Paul</v>
      </c>
      <c r="H134" s="6" t="str">
        <f>VLOOKUP(F134,'Customer Info'!A126:I625,3,0)</f>
        <v>Gonzalez</v>
      </c>
      <c r="I134" s="6" t="str">
        <f>VLOOKUP(F134,'Customer Info'!A126:I625,5,0)</f>
        <v>Durgapur</v>
      </c>
      <c r="J134" s="2">
        <v>1882</v>
      </c>
      <c r="K134" s="2">
        <v>1792</v>
      </c>
      <c r="L134" s="2">
        <v>4</v>
      </c>
      <c r="M134" s="7">
        <f t="shared" si="4"/>
        <v>7168</v>
      </c>
      <c r="N134" s="7">
        <f t="shared" si="5"/>
        <v>7528</v>
      </c>
      <c r="O134" s="2">
        <v>44</v>
      </c>
      <c r="P134" s="8">
        <f t="shared" si="6"/>
        <v>7572</v>
      </c>
      <c r="Q134" s="8">
        <f t="shared" si="7"/>
        <v>7484</v>
      </c>
      <c r="R134" s="2" t="s">
        <v>50</v>
      </c>
      <c r="S134" s="9">
        <f>VLOOKUP(P134,$T$2:U131,2,1)</f>
        <v>0.05</v>
      </c>
    </row>
    <row r="135" spans="1:19" x14ac:dyDescent="0.25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VLOOKUP(F135,'Customer Info'!A127:I626,2,0)</f>
        <v>Ryan</v>
      </c>
      <c r="H135" s="6" t="str">
        <f>VLOOKUP(F135,'Customer Info'!A127:I626,3,0)</f>
        <v>Crowe</v>
      </c>
      <c r="I135" s="6" t="str">
        <f>VLOOKUP(F135,'Customer Info'!A127:I626,5,0)</f>
        <v>Kanpur</v>
      </c>
      <c r="J135" s="2">
        <v>526</v>
      </c>
      <c r="K135" s="2">
        <v>487</v>
      </c>
      <c r="L135" s="2">
        <v>3</v>
      </c>
      <c r="M135" s="7">
        <f t="shared" si="4"/>
        <v>1461</v>
      </c>
      <c r="N135" s="7">
        <f t="shared" si="5"/>
        <v>1578</v>
      </c>
      <c r="O135" s="2">
        <v>36</v>
      </c>
      <c r="P135" s="8">
        <f t="shared" si="6"/>
        <v>1614</v>
      </c>
      <c r="Q135" s="8">
        <f t="shared" si="7"/>
        <v>1542</v>
      </c>
      <c r="R135" s="2" t="s">
        <v>28</v>
      </c>
      <c r="S135" s="9">
        <f>VLOOKUP(P135,$T$2:U132,2,1)</f>
        <v>0.02</v>
      </c>
    </row>
    <row r="136" spans="1:19" x14ac:dyDescent="0.25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e">
        <f>VLOOKUP(F136,'Customer Info'!A128:I627,2,0)</f>
        <v>#N/A</v>
      </c>
      <c r="H136" s="6" t="e">
        <f>VLOOKUP(F136,'Customer Info'!A128:I627,3,0)</f>
        <v>#N/A</v>
      </c>
      <c r="I136" s="6" t="e">
        <f>VLOOKUP(F136,'Customer Info'!A128:I627,5,0)</f>
        <v>#N/A</v>
      </c>
      <c r="J136" s="2">
        <v>3192</v>
      </c>
      <c r="K136" s="2">
        <v>3011</v>
      </c>
      <c r="L136" s="2">
        <v>2</v>
      </c>
      <c r="M136" s="7">
        <f t="shared" si="4"/>
        <v>6022</v>
      </c>
      <c r="N136" s="7">
        <f t="shared" si="5"/>
        <v>6384</v>
      </c>
      <c r="O136" s="2">
        <v>73</v>
      </c>
      <c r="P136" s="8">
        <f t="shared" si="6"/>
        <v>6457</v>
      </c>
      <c r="Q136" s="8">
        <f t="shared" si="7"/>
        <v>6311</v>
      </c>
      <c r="R136" s="2" t="s">
        <v>28</v>
      </c>
      <c r="S136" s="9">
        <f>VLOOKUP(P136,$T$2:U133,2,1)</f>
        <v>0.05</v>
      </c>
    </row>
    <row r="137" spans="1:19" x14ac:dyDescent="0.25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VLOOKUP(F137,'Customer Info'!A129:I628,2,0)</f>
        <v>Justin</v>
      </c>
      <c r="H137" s="6" t="str">
        <f>VLOOKUP(F137,'Customer Info'!A129:I628,3,0)</f>
        <v>Hirsh</v>
      </c>
      <c r="I137" s="6" t="str">
        <f>VLOOKUP(F137,'Customer Info'!A129:I628,5,0)</f>
        <v>Surakarta</v>
      </c>
      <c r="J137" s="2">
        <v>445</v>
      </c>
      <c r="K137" s="2">
        <v>415</v>
      </c>
      <c r="L137" s="2">
        <v>5</v>
      </c>
      <c r="M137" s="7">
        <f t="shared" si="4"/>
        <v>2075</v>
      </c>
      <c r="N137" s="7">
        <f t="shared" si="5"/>
        <v>2225</v>
      </c>
      <c r="O137" s="2">
        <v>72</v>
      </c>
      <c r="P137" s="8">
        <f t="shared" si="6"/>
        <v>2297</v>
      </c>
      <c r="Q137" s="8">
        <f t="shared" si="7"/>
        <v>2153</v>
      </c>
      <c r="R137" s="2" t="s">
        <v>28</v>
      </c>
      <c r="S137" s="9">
        <f>VLOOKUP(P137,$T$2:U134,2,1)</f>
        <v>0.02</v>
      </c>
    </row>
    <row r="138" spans="1:19" x14ac:dyDescent="0.25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VLOOKUP(F138,'Customer Info'!A130:I629,2,0)</f>
        <v>Julia</v>
      </c>
      <c r="H138" s="6" t="str">
        <f>VLOOKUP(F138,'Customer Info'!A130:I629,3,0)</f>
        <v>Barnett</v>
      </c>
      <c r="I138" s="6" t="str">
        <f>VLOOKUP(F138,'Customer Info'!A130:I629,5,0)</f>
        <v>Zhuhai</v>
      </c>
      <c r="J138" s="2">
        <v>666</v>
      </c>
      <c r="K138" s="2">
        <v>641</v>
      </c>
      <c r="L138" s="2">
        <v>6</v>
      </c>
      <c r="M138" s="7">
        <f t="shared" si="4"/>
        <v>3846</v>
      </c>
      <c r="N138" s="7">
        <f t="shared" si="5"/>
        <v>3996</v>
      </c>
      <c r="O138" s="2">
        <v>23</v>
      </c>
      <c r="P138" s="8">
        <f t="shared" si="6"/>
        <v>4019</v>
      </c>
      <c r="Q138" s="8">
        <f t="shared" si="7"/>
        <v>3973</v>
      </c>
      <c r="R138" s="2" t="s">
        <v>50</v>
      </c>
      <c r="S138" s="9">
        <f>VLOOKUP(P138,$T$2:U135,2,1)</f>
        <v>0.02</v>
      </c>
    </row>
    <row r="139" spans="1:19" x14ac:dyDescent="0.25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e">
        <f>VLOOKUP(F139,'Customer Info'!A131:I630,2,0)</f>
        <v>#N/A</v>
      </c>
      <c r="H139" s="6" t="e">
        <f>VLOOKUP(F139,'Customer Info'!A131:I630,3,0)</f>
        <v>#N/A</v>
      </c>
      <c r="I139" s="6" t="e">
        <f>VLOOKUP(F139,'Customer Info'!A131:I630,5,0)</f>
        <v>#N/A</v>
      </c>
      <c r="J139" s="2">
        <v>877</v>
      </c>
      <c r="K139" s="2">
        <v>788</v>
      </c>
      <c r="L139" s="2">
        <v>3</v>
      </c>
      <c r="M139" s="7">
        <f t="shared" ref="M139:M202" si="8">K139*L139</f>
        <v>2364</v>
      </c>
      <c r="N139" s="7">
        <f t="shared" ref="N139:N202" si="9">J139*L139</f>
        <v>2631</v>
      </c>
      <c r="O139" s="2">
        <v>81</v>
      </c>
      <c r="P139" s="8">
        <f t="shared" ref="P139:P202" si="10">SUM(N139,O139)</f>
        <v>2712</v>
      </c>
      <c r="Q139" s="8">
        <f t="shared" ref="Q139:Q202" si="11">N139-O139</f>
        <v>2550</v>
      </c>
      <c r="R139" s="2" t="s">
        <v>28</v>
      </c>
      <c r="S139" s="9">
        <f>VLOOKUP(P139,$T$2:U136,2,1)</f>
        <v>0.02</v>
      </c>
    </row>
    <row r="140" spans="1:19" x14ac:dyDescent="0.25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VLOOKUP(F140,'Customer Info'!A132:I631,2,0)</f>
        <v>Randy</v>
      </c>
      <c r="H140" s="6" t="str">
        <f>VLOOKUP(F140,'Customer Info'!A132:I631,3,0)</f>
        <v>Ferguson</v>
      </c>
      <c r="I140" s="6" t="str">
        <f>VLOOKUP(F140,'Customer Info'!A132:I631,5,0)</f>
        <v>Adelaide</v>
      </c>
      <c r="J140" s="2">
        <v>8022</v>
      </c>
      <c r="K140" s="2">
        <v>7868</v>
      </c>
      <c r="L140" s="2">
        <v>2</v>
      </c>
      <c r="M140" s="7">
        <f t="shared" si="8"/>
        <v>15736</v>
      </c>
      <c r="N140" s="7">
        <f t="shared" si="9"/>
        <v>16044</v>
      </c>
      <c r="O140" s="2">
        <v>43</v>
      </c>
      <c r="P140" s="8">
        <f t="shared" si="10"/>
        <v>16087</v>
      </c>
      <c r="Q140" s="8">
        <f t="shared" si="11"/>
        <v>16001</v>
      </c>
      <c r="R140" s="2" t="s">
        <v>50</v>
      </c>
      <c r="S140" s="9">
        <f>VLOOKUP(P140,$T$2:U137,2,1)</f>
        <v>0.05</v>
      </c>
    </row>
    <row r="141" spans="1:19" x14ac:dyDescent="0.25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e">
        <f>VLOOKUP(F141,'Customer Info'!A133:I632,2,0)</f>
        <v>#N/A</v>
      </c>
      <c r="H141" s="6" t="e">
        <f>VLOOKUP(F141,'Customer Info'!A133:I632,3,0)</f>
        <v>#N/A</v>
      </c>
      <c r="I141" s="6" t="e">
        <f>VLOOKUP(F141,'Customer Info'!A133:I632,5,0)</f>
        <v>#N/A</v>
      </c>
      <c r="J141" s="2">
        <v>1718</v>
      </c>
      <c r="K141" s="2">
        <v>1545</v>
      </c>
      <c r="L141" s="2">
        <v>4</v>
      </c>
      <c r="M141" s="7">
        <f t="shared" si="8"/>
        <v>6180</v>
      </c>
      <c r="N141" s="7">
        <f t="shared" si="9"/>
        <v>6872</v>
      </c>
      <c r="O141" s="2">
        <v>54</v>
      </c>
      <c r="P141" s="8">
        <f t="shared" si="10"/>
        <v>6926</v>
      </c>
      <c r="Q141" s="8">
        <f t="shared" si="11"/>
        <v>6818</v>
      </c>
      <c r="R141" s="2" t="s">
        <v>28</v>
      </c>
      <c r="S141" s="9">
        <f>VLOOKUP(P141,$T$2:U138,2,1)</f>
        <v>0.05</v>
      </c>
    </row>
    <row r="142" spans="1:19" x14ac:dyDescent="0.25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VLOOKUP(F142,'Customer Info'!A134:I633,2,0)</f>
        <v>Duane</v>
      </c>
      <c r="H142" s="6" t="str">
        <f>VLOOKUP(F142,'Customer Info'!A134:I633,3,0)</f>
        <v>Huffman</v>
      </c>
      <c r="I142" s="6" t="str">
        <f>VLOOKUP(F142,'Customer Info'!A134:I633,5,0)</f>
        <v>Perth</v>
      </c>
      <c r="J142" s="2">
        <v>666</v>
      </c>
      <c r="K142" s="2">
        <v>641</v>
      </c>
      <c r="L142" s="2">
        <v>6</v>
      </c>
      <c r="M142" s="7">
        <f t="shared" si="8"/>
        <v>3846</v>
      </c>
      <c r="N142" s="7">
        <f t="shared" si="9"/>
        <v>3996</v>
      </c>
      <c r="O142" s="2">
        <v>24</v>
      </c>
      <c r="P142" s="8">
        <f t="shared" si="10"/>
        <v>4020</v>
      </c>
      <c r="Q142" s="8">
        <f t="shared" si="11"/>
        <v>3972</v>
      </c>
      <c r="R142" s="2" t="s">
        <v>50</v>
      </c>
      <c r="S142" s="9">
        <f>VLOOKUP(P142,$T$2:U139,2,1)</f>
        <v>0.02</v>
      </c>
    </row>
    <row r="143" spans="1:19" x14ac:dyDescent="0.25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VLOOKUP(F143,'Customer Info'!A135:I634,2,0)</f>
        <v>Joy</v>
      </c>
      <c r="H143" s="6" t="str">
        <f>VLOOKUP(F143,'Customer Info'!A135:I634,3,0)</f>
        <v>Daniels</v>
      </c>
      <c r="I143" s="6" t="str">
        <f>VLOOKUP(F143,'Customer Info'!A135:I634,5,0)</f>
        <v>Cairns</v>
      </c>
      <c r="J143" s="2">
        <v>8351</v>
      </c>
      <c r="K143" s="2">
        <v>8033</v>
      </c>
      <c r="L143" s="2">
        <v>3</v>
      </c>
      <c r="M143" s="7">
        <f t="shared" si="8"/>
        <v>24099</v>
      </c>
      <c r="N143" s="7">
        <f t="shared" si="9"/>
        <v>25053</v>
      </c>
      <c r="O143" s="2">
        <v>84</v>
      </c>
      <c r="P143" s="8">
        <f t="shared" si="10"/>
        <v>25137</v>
      </c>
      <c r="Q143" s="8">
        <f t="shared" si="11"/>
        <v>24969</v>
      </c>
      <c r="R143" s="2" t="s">
        <v>28</v>
      </c>
      <c r="S143" s="9">
        <f>VLOOKUP(P143,$T$2:U140,2,1)</f>
        <v>7.0000000000000007E-2</v>
      </c>
    </row>
    <row r="144" spans="1:19" x14ac:dyDescent="0.25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VLOOKUP(F144,'Customer Info'!A136:I635,2,0)</f>
        <v>Stuart</v>
      </c>
      <c r="H144" s="6" t="str">
        <f>VLOOKUP(F144,'Customer Info'!A136:I635,3,0)</f>
        <v>Calhoun</v>
      </c>
      <c r="I144" s="6" t="str">
        <f>VLOOKUP(F144,'Customer Info'!A136:I635,5,0)</f>
        <v>Pforzheim</v>
      </c>
      <c r="J144" s="2">
        <v>8026</v>
      </c>
      <c r="K144" s="2">
        <v>7572</v>
      </c>
      <c r="L144" s="2">
        <v>4</v>
      </c>
      <c r="M144" s="7">
        <f t="shared" si="8"/>
        <v>30288</v>
      </c>
      <c r="N144" s="7">
        <f t="shared" si="9"/>
        <v>32104</v>
      </c>
      <c r="O144" s="2">
        <v>87</v>
      </c>
      <c r="P144" s="8">
        <f t="shared" si="10"/>
        <v>32191</v>
      </c>
      <c r="Q144" s="8">
        <f t="shared" si="11"/>
        <v>32017</v>
      </c>
      <c r="R144" s="2" t="s">
        <v>26</v>
      </c>
      <c r="S144" s="9">
        <f>VLOOKUP(P144,$T$2:U141,2,1)</f>
        <v>7.0000000000000007E-2</v>
      </c>
    </row>
    <row r="145" spans="1:19" x14ac:dyDescent="0.25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e">
        <f>VLOOKUP(F145,'Customer Info'!A137:I636,2,0)</f>
        <v>#N/A</v>
      </c>
      <c r="H145" s="6" t="e">
        <f>VLOOKUP(F145,'Customer Info'!A137:I636,3,0)</f>
        <v>#N/A</v>
      </c>
      <c r="I145" s="6" t="e">
        <f>VLOOKUP(F145,'Customer Info'!A137:I636,5,0)</f>
        <v>#N/A</v>
      </c>
      <c r="J145" s="2">
        <v>1564</v>
      </c>
      <c r="K145" s="2">
        <v>1420</v>
      </c>
      <c r="L145" s="2">
        <v>5</v>
      </c>
      <c r="M145" s="7">
        <f t="shared" si="8"/>
        <v>7100</v>
      </c>
      <c r="N145" s="7">
        <f t="shared" si="9"/>
        <v>7820</v>
      </c>
      <c r="O145" s="2">
        <v>41</v>
      </c>
      <c r="P145" s="8">
        <f t="shared" si="10"/>
        <v>7861</v>
      </c>
      <c r="Q145" s="8">
        <f t="shared" si="11"/>
        <v>7779</v>
      </c>
      <c r="R145" s="2" t="s">
        <v>28</v>
      </c>
      <c r="S145" s="9">
        <f>VLOOKUP(P145,$T$2:U142,2,1)</f>
        <v>0.05</v>
      </c>
    </row>
    <row r="146" spans="1:19" x14ac:dyDescent="0.25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VLOOKUP(F146,'Customer Info'!A138:I637,2,0)</f>
        <v>Jack</v>
      </c>
      <c r="H146" s="6" t="str">
        <f>VLOOKUP(F146,'Customer Info'!A138:I637,3,0)</f>
        <v>Lebron</v>
      </c>
      <c r="I146" s="6" t="str">
        <f>VLOOKUP(F146,'Customer Info'!A138:I637,5,0)</f>
        <v>Erftstadt</v>
      </c>
      <c r="J146" s="2">
        <v>511</v>
      </c>
      <c r="K146" s="2">
        <v>468</v>
      </c>
      <c r="L146" s="2">
        <v>5</v>
      </c>
      <c r="M146" s="7">
        <f t="shared" si="8"/>
        <v>2340</v>
      </c>
      <c r="N146" s="7">
        <f t="shared" si="9"/>
        <v>2555</v>
      </c>
      <c r="O146" s="2">
        <v>52</v>
      </c>
      <c r="P146" s="8">
        <f t="shared" si="10"/>
        <v>2607</v>
      </c>
      <c r="Q146" s="8">
        <f t="shared" si="11"/>
        <v>2503</v>
      </c>
      <c r="R146" s="2" t="s">
        <v>28</v>
      </c>
      <c r="S146" s="9">
        <f>VLOOKUP(P146,$T$2:U143,2,1)</f>
        <v>0.02</v>
      </c>
    </row>
    <row r="147" spans="1:19" x14ac:dyDescent="0.25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e">
        <f>VLOOKUP(F147,'Customer Info'!A139:I638,2,0)</f>
        <v>#N/A</v>
      </c>
      <c r="H147" s="6" t="e">
        <f>VLOOKUP(F147,'Customer Info'!A139:I638,3,0)</f>
        <v>#N/A</v>
      </c>
      <c r="I147" s="6" t="e">
        <f>VLOOKUP(F147,'Customer Info'!A139:I638,5,0)</f>
        <v>#N/A</v>
      </c>
      <c r="J147" s="2">
        <v>2042</v>
      </c>
      <c r="K147" s="2">
        <v>1965</v>
      </c>
      <c r="L147" s="2">
        <v>3</v>
      </c>
      <c r="M147" s="7">
        <f t="shared" si="8"/>
        <v>5895</v>
      </c>
      <c r="N147" s="7">
        <f t="shared" si="9"/>
        <v>6126</v>
      </c>
      <c r="O147" s="2">
        <v>66</v>
      </c>
      <c r="P147" s="8">
        <f t="shared" si="10"/>
        <v>6192</v>
      </c>
      <c r="Q147" s="8">
        <f t="shared" si="11"/>
        <v>6060</v>
      </c>
      <c r="R147" s="2" t="s">
        <v>50</v>
      </c>
      <c r="S147" s="9">
        <f>VLOOKUP(P147,$T$2:U144,2,1)</f>
        <v>0.05</v>
      </c>
    </row>
    <row r="148" spans="1:19" x14ac:dyDescent="0.25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VLOOKUP(F148,'Customer Info'!A140:I639,2,0)</f>
        <v>Victor</v>
      </c>
      <c r="H148" s="6" t="str">
        <f>VLOOKUP(F148,'Customer Info'!A140:I639,3,0)</f>
        <v>Preis</v>
      </c>
      <c r="I148" s="6" t="str">
        <f>VLOOKUP(F148,'Customer Info'!A140:I639,5,0)</f>
        <v>Melbourne</v>
      </c>
      <c r="J148" s="2">
        <v>8738</v>
      </c>
      <c r="K148" s="2">
        <v>8162</v>
      </c>
      <c r="L148" s="2">
        <v>3</v>
      </c>
      <c r="M148" s="7">
        <f t="shared" si="8"/>
        <v>24486</v>
      </c>
      <c r="N148" s="7">
        <f t="shared" si="9"/>
        <v>26214</v>
      </c>
      <c r="O148" s="2">
        <v>97</v>
      </c>
      <c r="P148" s="8">
        <f t="shared" si="10"/>
        <v>26311</v>
      </c>
      <c r="Q148" s="8">
        <f t="shared" si="11"/>
        <v>26117</v>
      </c>
      <c r="R148" s="2" t="s">
        <v>26</v>
      </c>
      <c r="S148" s="9">
        <f>VLOOKUP(P148,$T$2:U145,2,1)</f>
        <v>7.0000000000000007E-2</v>
      </c>
    </row>
    <row r="149" spans="1:19" x14ac:dyDescent="0.25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e">
        <f>VLOOKUP(F149,'Customer Info'!A141:I640,2,0)</f>
        <v>#N/A</v>
      </c>
      <c r="H149" s="6" t="e">
        <f>VLOOKUP(F149,'Customer Info'!A141:I640,3,0)</f>
        <v>#N/A</v>
      </c>
      <c r="I149" s="6" t="e">
        <f>VLOOKUP(F149,'Customer Info'!A141:I640,5,0)</f>
        <v>#N/A</v>
      </c>
      <c r="J149" s="2">
        <v>6337</v>
      </c>
      <c r="K149" s="2">
        <v>6215</v>
      </c>
      <c r="L149" s="2">
        <v>1</v>
      </c>
      <c r="M149" s="7">
        <f t="shared" si="8"/>
        <v>6215</v>
      </c>
      <c r="N149" s="7">
        <f t="shared" si="9"/>
        <v>6337</v>
      </c>
      <c r="O149" s="2">
        <v>75</v>
      </c>
      <c r="P149" s="8">
        <f t="shared" si="10"/>
        <v>6412</v>
      </c>
      <c r="Q149" s="8">
        <f t="shared" si="11"/>
        <v>6262</v>
      </c>
      <c r="R149" s="2" t="s">
        <v>28</v>
      </c>
      <c r="S149" s="9">
        <f>VLOOKUP(P149,$T$2:U146,2,1)</f>
        <v>0.05</v>
      </c>
    </row>
    <row r="150" spans="1:19" x14ac:dyDescent="0.25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e">
        <f>VLOOKUP(F150,'Customer Info'!A142:I641,2,0)</f>
        <v>#N/A</v>
      </c>
      <c r="H150" s="6" t="e">
        <f>VLOOKUP(F150,'Customer Info'!A142:I641,3,0)</f>
        <v>#N/A</v>
      </c>
      <c r="I150" s="6" t="e">
        <f>VLOOKUP(F150,'Customer Info'!A142:I641,5,0)</f>
        <v>#N/A</v>
      </c>
      <c r="J150" s="2">
        <v>1605</v>
      </c>
      <c r="K150" s="2">
        <v>1530</v>
      </c>
      <c r="L150" s="2">
        <v>7</v>
      </c>
      <c r="M150" s="7">
        <f t="shared" si="8"/>
        <v>10710</v>
      </c>
      <c r="N150" s="7">
        <f t="shared" si="9"/>
        <v>11235</v>
      </c>
      <c r="O150" s="2">
        <v>47</v>
      </c>
      <c r="P150" s="8">
        <f t="shared" si="10"/>
        <v>11282</v>
      </c>
      <c r="Q150" s="8">
        <f t="shared" si="11"/>
        <v>11188</v>
      </c>
      <c r="R150" s="2" t="s">
        <v>28</v>
      </c>
      <c r="S150" s="9">
        <f>VLOOKUP(P150,$T$2:U147,2,1)</f>
        <v>0.05</v>
      </c>
    </row>
    <row r="151" spans="1:19" x14ac:dyDescent="0.25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VLOOKUP(F151,'Customer Info'!A143:I642,2,0)</f>
        <v>Sally</v>
      </c>
      <c r="H151" s="6" t="str">
        <f>VLOOKUP(F151,'Customer Info'!A143:I642,3,0)</f>
        <v>Knutson</v>
      </c>
      <c r="I151" s="6" t="str">
        <f>VLOOKUP(F151,'Customer Info'!A143:I642,5,0)</f>
        <v>CastropRauxel</v>
      </c>
      <c r="J151" s="2">
        <v>2706</v>
      </c>
      <c r="K151" s="2">
        <v>2553</v>
      </c>
      <c r="L151" s="2">
        <v>5</v>
      </c>
      <c r="M151" s="7">
        <f t="shared" si="8"/>
        <v>12765</v>
      </c>
      <c r="N151" s="7">
        <f t="shared" si="9"/>
        <v>13530</v>
      </c>
      <c r="O151" s="2">
        <v>39</v>
      </c>
      <c r="P151" s="8">
        <f t="shared" si="10"/>
        <v>13569</v>
      </c>
      <c r="Q151" s="8">
        <f t="shared" si="11"/>
        <v>13491</v>
      </c>
      <c r="R151" s="2" t="s">
        <v>50</v>
      </c>
      <c r="S151" s="9">
        <f>VLOOKUP(P151,$T$2:U148,2,1)</f>
        <v>0.05</v>
      </c>
    </row>
    <row r="152" spans="1:19" x14ac:dyDescent="0.25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VLOOKUP(F152,'Customer Info'!A144:I643,2,0)</f>
        <v>Sylvia</v>
      </c>
      <c r="H152" s="6" t="str">
        <f>VLOOKUP(F152,'Customer Info'!A144:I643,3,0)</f>
        <v>Foulston</v>
      </c>
      <c r="I152" s="6" t="str">
        <f>VLOOKUP(F152,'Customer Info'!A144:I643,5,0)</f>
        <v>Ludwigsburg</v>
      </c>
      <c r="J152" s="2">
        <v>3017</v>
      </c>
      <c r="K152" s="2">
        <v>2825</v>
      </c>
      <c r="L152" s="2">
        <v>1</v>
      </c>
      <c r="M152" s="7">
        <f t="shared" si="8"/>
        <v>2825</v>
      </c>
      <c r="N152" s="7">
        <f t="shared" si="9"/>
        <v>3017</v>
      </c>
      <c r="O152" s="2">
        <v>93</v>
      </c>
      <c r="P152" s="8">
        <f t="shared" si="10"/>
        <v>3110</v>
      </c>
      <c r="Q152" s="8">
        <f t="shared" si="11"/>
        <v>2924</v>
      </c>
      <c r="R152" s="2" t="s">
        <v>28</v>
      </c>
      <c r="S152" s="9">
        <f>VLOOKUP(P152,$T$2:U149,2,1)</f>
        <v>0.02</v>
      </c>
    </row>
    <row r="153" spans="1:19" x14ac:dyDescent="0.25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VLOOKUP(F153,'Customer Info'!A145:I644,2,0)</f>
        <v>Lynn</v>
      </c>
      <c r="H153" s="6" t="str">
        <f>VLOOKUP(F153,'Customer Info'!A145:I644,3,0)</f>
        <v>Smith</v>
      </c>
      <c r="I153" s="6" t="str">
        <f>VLOOKUP(F153,'Customer Info'!A145:I644,5,0)</f>
        <v>Guiping</v>
      </c>
      <c r="J153" s="2">
        <v>2829</v>
      </c>
      <c r="K153" s="2">
        <v>2596</v>
      </c>
      <c r="L153" s="2">
        <v>2</v>
      </c>
      <c r="M153" s="7">
        <f t="shared" si="8"/>
        <v>5192</v>
      </c>
      <c r="N153" s="7">
        <f t="shared" si="9"/>
        <v>5658</v>
      </c>
      <c r="O153" s="2">
        <v>26</v>
      </c>
      <c r="P153" s="8">
        <f t="shared" si="10"/>
        <v>5684</v>
      </c>
      <c r="Q153" s="8">
        <f t="shared" si="11"/>
        <v>5632</v>
      </c>
      <c r="R153" s="2" t="s">
        <v>28</v>
      </c>
      <c r="S153" s="9">
        <f>VLOOKUP(P153,$T$2:U150,2,1)</f>
        <v>0.05</v>
      </c>
    </row>
    <row r="154" spans="1:19" x14ac:dyDescent="0.25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e">
        <f>VLOOKUP(F154,'Customer Info'!A146:I645,2,0)</f>
        <v>#N/A</v>
      </c>
      <c r="H154" s="6" t="e">
        <f>VLOOKUP(F154,'Customer Info'!A146:I645,3,0)</f>
        <v>#N/A</v>
      </c>
      <c r="I154" s="6" t="e">
        <f>VLOOKUP(F154,'Customer Info'!A146:I645,5,0)</f>
        <v>#N/A</v>
      </c>
      <c r="J154" s="2">
        <v>886</v>
      </c>
      <c r="K154" s="2">
        <v>796</v>
      </c>
      <c r="L154" s="2">
        <v>2</v>
      </c>
      <c r="M154" s="7">
        <f t="shared" si="8"/>
        <v>1592</v>
      </c>
      <c r="N154" s="7">
        <f t="shared" si="9"/>
        <v>1772</v>
      </c>
      <c r="O154" s="2">
        <v>72</v>
      </c>
      <c r="P154" s="8">
        <f t="shared" si="10"/>
        <v>1844</v>
      </c>
      <c r="Q154" s="8">
        <f t="shared" si="11"/>
        <v>1700</v>
      </c>
      <c r="R154" s="2" t="s">
        <v>28</v>
      </c>
      <c r="S154" s="9">
        <f>VLOOKUP(P154,$T$2:U151,2,1)</f>
        <v>0.02</v>
      </c>
    </row>
    <row r="155" spans="1:19" x14ac:dyDescent="0.25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VLOOKUP(F155,'Customer Info'!A147:I646,2,0)</f>
        <v>Roger</v>
      </c>
      <c r="H155" s="6" t="str">
        <f>VLOOKUP(F155,'Customer Info'!A147:I646,3,0)</f>
        <v>Barcio</v>
      </c>
      <c r="I155" s="6" t="str">
        <f>VLOOKUP(F155,'Customer Info'!A147:I646,5,0)</f>
        <v>Celle</v>
      </c>
      <c r="J155" s="2">
        <v>2249</v>
      </c>
      <c r="K155" s="2">
        <v>2102</v>
      </c>
      <c r="L155" s="2">
        <v>4</v>
      </c>
      <c r="M155" s="7">
        <f t="shared" si="8"/>
        <v>8408</v>
      </c>
      <c r="N155" s="7">
        <f t="shared" si="9"/>
        <v>8996</v>
      </c>
      <c r="O155" s="2">
        <v>32</v>
      </c>
      <c r="P155" s="8">
        <f t="shared" si="10"/>
        <v>9028</v>
      </c>
      <c r="Q155" s="8">
        <f t="shared" si="11"/>
        <v>8964</v>
      </c>
      <c r="R155" s="2" t="s">
        <v>28</v>
      </c>
      <c r="S155" s="9">
        <f>VLOOKUP(P155,$T$2:U152,2,1)</f>
        <v>0.05</v>
      </c>
    </row>
    <row r="156" spans="1:19" x14ac:dyDescent="0.25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VLOOKUP(F156,'Customer Info'!A148:I647,2,0)</f>
        <v>Erica</v>
      </c>
      <c r="H156" s="6" t="str">
        <f>VLOOKUP(F156,'Customer Info'!A148:I647,3,0)</f>
        <v>Hernandez</v>
      </c>
      <c r="I156" s="6" t="str">
        <f>VLOOKUP(F156,'Customer Info'!A148:I647,5,0)</f>
        <v>Gold Coast</v>
      </c>
      <c r="J156" s="2">
        <v>3321</v>
      </c>
      <c r="K156" s="2">
        <v>2989</v>
      </c>
      <c r="L156" s="2">
        <v>4</v>
      </c>
      <c r="M156" s="7">
        <f t="shared" si="8"/>
        <v>11956</v>
      </c>
      <c r="N156" s="7">
        <f t="shared" si="9"/>
        <v>13284</v>
      </c>
      <c r="O156" s="2">
        <v>99</v>
      </c>
      <c r="P156" s="8">
        <f t="shared" si="10"/>
        <v>13383</v>
      </c>
      <c r="Q156" s="8">
        <f t="shared" si="11"/>
        <v>13185</v>
      </c>
      <c r="R156" s="2" t="s">
        <v>50</v>
      </c>
      <c r="S156" s="9">
        <f>VLOOKUP(P156,$T$2:U153,2,1)</f>
        <v>0.05</v>
      </c>
    </row>
    <row r="157" spans="1:19" x14ac:dyDescent="0.25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VLOOKUP(F157,'Customer Info'!A149:I648,2,0)</f>
        <v>Logan</v>
      </c>
      <c r="H157" s="6" t="str">
        <f>VLOOKUP(F157,'Customer Info'!A149:I648,3,0)</f>
        <v>Currie</v>
      </c>
      <c r="I157" s="6" t="str">
        <f>VLOOKUP(F157,'Customer Info'!A149:I648,5,0)</f>
        <v>Amravati</v>
      </c>
      <c r="J157" s="2">
        <v>7212</v>
      </c>
      <c r="K157" s="2">
        <v>6737</v>
      </c>
      <c r="L157" s="2">
        <v>6</v>
      </c>
      <c r="M157" s="7">
        <f t="shared" si="8"/>
        <v>40422</v>
      </c>
      <c r="N157" s="7">
        <f t="shared" si="9"/>
        <v>43272</v>
      </c>
      <c r="O157" s="2">
        <v>42</v>
      </c>
      <c r="P157" s="8">
        <f t="shared" si="10"/>
        <v>43314</v>
      </c>
      <c r="Q157" s="8">
        <f t="shared" si="11"/>
        <v>43230</v>
      </c>
      <c r="R157" s="2" t="s">
        <v>28</v>
      </c>
      <c r="S157" s="9">
        <f>VLOOKUP(P157,$T$2:U154,2,1)</f>
        <v>7.0000000000000007E-2</v>
      </c>
    </row>
    <row r="158" spans="1:19" x14ac:dyDescent="0.25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VLOOKUP(F158,'Customer Info'!A150:I649,2,0)</f>
        <v>Jennifer</v>
      </c>
      <c r="H158" s="6" t="str">
        <f>VLOOKUP(F158,'Customer Info'!A150:I649,3,0)</f>
        <v>Jackson</v>
      </c>
      <c r="I158" s="6" t="str">
        <f>VLOOKUP(F158,'Customer Info'!A150:I649,5,0)</f>
        <v>Queanbeyan</v>
      </c>
      <c r="J158" s="2">
        <v>2244</v>
      </c>
      <c r="K158" s="2">
        <v>2143</v>
      </c>
      <c r="L158" s="2">
        <v>3</v>
      </c>
      <c r="M158" s="7">
        <f t="shared" si="8"/>
        <v>6429</v>
      </c>
      <c r="N158" s="7">
        <f t="shared" si="9"/>
        <v>6732</v>
      </c>
      <c r="O158" s="2">
        <v>23</v>
      </c>
      <c r="P158" s="8">
        <f t="shared" si="10"/>
        <v>6755</v>
      </c>
      <c r="Q158" s="8">
        <f t="shared" si="11"/>
        <v>6709</v>
      </c>
      <c r="R158" s="2" t="s">
        <v>50</v>
      </c>
      <c r="S158" s="9">
        <f>VLOOKUP(P158,$T$2:U155,2,1)</f>
        <v>0.05</v>
      </c>
    </row>
    <row r="159" spans="1:19" x14ac:dyDescent="0.25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e">
        <f>VLOOKUP(F159,'Customer Info'!A151:I650,2,0)</f>
        <v>#N/A</v>
      </c>
      <c r="H159" s="6" t="e">
        <f>VLOOKUP(F159,'Customer Info'!A151:I650,3,0)</f>
        <v>#N/A</v>
      </c>
      <c r="I159" s="6" t="e">
        <f>VLOOKUP(F159,'Customer Info'!A151:I650,5,0)</f>
        <v>#N/A</v>
      </c>
      <c r="J159" s="2">
        <v>68</v>
      </c>
      <c r="K159" s="2">
        <v>63</v>
      </c>
      <c r="L159" s="2">
        <v>3</v>
      </c>
      <c r="M159" s="7">
        <f t="shared" si="8"/>
        <v>189</v>
      </c>
      <c r="N159" s="7">
        <f t="shared" si="9"/>
        <v>204</v>
      </c>
      <c r="O159" s="2">
        <v>10</v>
      </c>
      <c r="P159" s="8">
        <f t="shared" si="10"/>
        <v>214</v>
      </c>
      <c r="Q159" s="8">
        <f t="shared" si="11"/>
        <v>194</v>
      </c>
      <c r="R159" s="2" t="s">
        <v>28</v>
      </c>
      <c r="S159" s="9">
        <f>VLOOKUP(P159,$T$2:U156,2,1)</f>
        <v>0.02</v>
      </c>
    </row>
    <row r="160" spans="1:19" x14ac:dyDescent="0.25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VLOOKUP(F160,'Customer Info'!A152:I651,2,0)</f>
        <v>Tamara</v>
      </c>
      <c r="H160" s="6" t="str">
        <f>VLOOKUP(F160,'Customer Info'!A152:I651,3,0)</f>
        <v>Willingham</v>
      </c>
      <c r="I160" s="6" t="str">
        <f>VLOOKUP(F160,'Customer Info'!A152:I651,5,0)</f>
        <v>Sindelfingen</v>
      </c>
      <c r="J160" s="2">
        <v>1983</v>
      </c>
      <c r="K160" s="2">
        <v>1908</v>
      </c>
      <c r="L160" s="2">
        <v>6</v>
      </c>
      <c r="M160" s="7">
        <f t="shared" si="8"/>
        <v>11448</v>
      </c>
      <c r="N160" s="7">
        <f t="shared" si="9"/>
        <v>11898</v>
      </c>
      <c r="O160" s="2">
        <v>53</v>
      </c>
      <c r="P160" s="8">
        <f t="shared" si="10"/>
        <v>11951</v>
      </c>
      <c r="Q160" s="8">
        <f t="shared" si="11"/>
        <v>11845</v>
      </c>
      <c r="R160" s="2" t="s">
        <v>50</v>
      </c>
      <c r="S160" s="9">
        <f>VLOOKUP(P160,$T$2:U157,2,1)</f>
        <v>0.05</v>
      </c>
    </row>
    <row r="161" spans="1:19" x14ac:dyDescent="0.25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e">
        <f>VLOOKUP(F161,'Customer Info'!A153:I652,2,0)</f>
        <v>#N/A</v>
      </c>
      <c r="H161" s="6" t="e">
        <f>VLOOKUP(F161,'Customer Info'!A153:I652,3,0)</f>
        <v>#N/A</v>
      </c>
      <c r="I161" s="6" t="e">
        <f>VLOOKUP(F161,'Customer Info'!A153:I652,5,0)</f>
        <v>#N/A</v>
      </c>
      <c r="J161" s="2">
        <v>1518</v>
      </c>
      <c r="K161" s="2">
        <v>1392</v>
      </c>
      <c r="L161" s="2">
        <v>1</v>
      </c>
      <c r="M161" s="7">
        <f t="shared" si="8"/>
        <v>1392</v>
      </c>
      <c r="N161" s="7">
        <f t="shared" si="9"/>
        <v>1518</v>
      </c>
      <c r="O161" s="2">
        <v>74</v>
      </c>
      <c r="P161" s="8">
        <f t="shared" si="10"/>
        <v>1592</v>
      </c>
      <c r="Q161" s="8">
        <f t="shared" si="11"/>
        <v>1444</v>
      </c>
      <c r="R161" s="2" t="s">
        <v>28</v>
      </c>
      <c r="S161" s="9">
        <f>VLOOKUP(P161,$T$2:U158,2,1)</f>
        <v>0.02</v>
      </c>
    </row>
    <row r="162" spans="1:19" x14ac:dyDescent="0.25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e">
        <f>VLOOKUP(F162,'Customer Info'!A154:I653,2,0)</f>
        <v>#N/A</v>
      </c>
      <c r="H162" s="6" t="e">
        <f>VLOOKUP(F162,'Customer Info'!A154:I653,3,0)</f>
        <v>#N/A</v>
      </c>
      <c r="I162" s="6" t="e">
        <f>VLOOKUP(F162,'Customer Info'!A154:I653,5,0)</f>
        <v>#N/A</v>
      </c>
      <c r="J162" s="2">
        <v>626</v>
      </c>
      <c r="K162" s="2">
        <v>559</v>
      </c>
      <c r="L162" s="2">
        <v>3</v>
      </c>
      <c r="M162" s="7">
        <f t="shared" si="8"/>
        <v>1677</v>
      </c>
      <c r="N162" s="7">
        <f t="shared" si="9"/>
        <v>1878</v>
      </c>
      <c r="O162" s="2">
        <v>62</v>
      </c>
      <c r="P162" s="8">
        <f t="shared" si="10"/>
        <v>1940</v>
      </c>
      <c r="Q162" s="8">
        <f t="shared" si="11"/>
        <v>1816</v>
      </c>
      <c r="R162" s="2" t="s">
        <v>50</v>
      </c>
      <c r="S162" s="9">
        <f>VLOOKUP(P162,$T$2:U159,2,1)</f>
        <v>0.02</v>
      </c>
    </row>
    <row r="163" spans="1:19" x14ac:dyDescent="0.25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e">
        <f>VLOOKUP(F163,'Customer Info'!A155:I654,2,0)</f>
        <v>#N/A</v>
      </c>
      <c r="H163" s="6" t="e">
        <f>VLOOKUP(F163,'Customer Info'!A155:I654,3,0)</f>
        <v>#N/A</v>
      </c>
      <c r="I163" s="6" t="e">
        <f>VLOOKUP(F163,'Customer Info'!A155:I654,5,0)</f>
        <v>#N/A</v>
      </c>
      <c r="J163" s="2">
        <v>77</v>
      </c>
      <c r="K163" s="2">
        <v>73</v>
      </c>
      <c r="L163" s="2">
        <v>4</v>
      </c>
      <c r="M163" s="7">
        <f t="shared" si="8"/>
        <v>292</v>
      </c>
      <c r="N163" s="7">
        <f t="shared" si="9"/>
        <v>308</v>
      </c>
      <c r="O163" s="2">
        <v>10</v>
      </c>
      <c r="P163" s="8">
        <f t="shared" si="10"/>
        <v>318</v>
      </c>
      <c r="Q163" s="8">
        <f t="shared" si="11"/>
        <v>298</v>
      </c>
      <c r="R163" s="2" t="s">
        <v>28</v>
      </c>
      <c r="S163" s="9">
        <f>VLOOKUP(P163,$T$2:U160,2,1)</f>
        <v>0.02</v>
      </c>
    </row>
    <row r="164" spans="1:19" x14ac:dyDescent="0.25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VLOOKUP(F164,'Customer Info'!A156:I655,2,0)</f>
        <v>Tony</v>
      </c>
      <c r="H164" s="6" t="str">
        <f>VLOOKUP(F164,'Customer Info'!A156:I655,3,0)</f>
        <v>Sayre</v>
      </c>
      <c r="I164" s="6" t="str">
        <f>VLOOKUP(F164,'Customer Info'!A156:I655,5,0)</f>
        <v>Jakarta</v>
      </c>
      <c r="J164" s="2">
        <v>142</v>
      </c>
      <c r="K164" s="2">
        <v>134</v>
      </c>
      <c r="L164" s="2">
        <v>1</v>
      </c>
      <c r="M164" s="7">
        <f t="shared" si="8"/>
        <v>134</v>
      </c>
      <c r="N164" s="7">
        <f t="shared" si="9"/>
        <v>142</v>
      </c>
      <c r="O164" s="2">
        <v>30</v>
      </c>
      <c r="P164" s="8">
        <f t="shared" si="10"/>
        <v>172</v>
      </c>
      <c r="Q164" s="8">
        <f t="shared" si="11"/>
        <v>112</v>
      </c>
      <c r="R164" s="2" t="s">
        <v>28</v>
      </c>
      <c r="S164" s="9">
        <f>VLOOKUP(P164,$T$2:U161,2,1)</f>
        <v>0.02</v>
      </c>
    </row>
    <row r="165" spans="1:19" x14ac:dyDescent="0.25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VLOOKUP(F165,'Customer Info'!A157:I656,2,0)</f>
        <v>Sarah</v>
      </c>
      <c r="H165" s="6" t="str">
        <f>VLOOKUP(F165,'Customer Info'!A157:I656,3,0)</f>
        <v>Bern</v>
      </c>
      <c r="I165" s="6" t="str">
        <f>VLOOKUP(F165,'Customer Info'!A157:I656,5,0)</f>
        <v>Wollongong</v>
      </c>
      <c r="J165" s="2">
        <v>4904</v>
      </c>
      <c r="K165" s="2">
        <v>4499</v>
      </c>
      <c r="L165" s="2">
        <v>4</v>
      </c>
      <c r="M165" s="7">
        <f t="shared" si="8"/>
        <v>17996</v>
      </c>
      <c r="N165" s="7">
        <f t="shared" si="9"/>
        <v>19616</v>
      </c>
      <c r="O165" s="2">
        <v>28</v>
      </c>
      <c r="P165" s="8">
        <f t="shared" si="10"/>
        <v>19644</v>
      </c>
      <c r="Q165" s="8">
        <f t="shared" si="11"/>
        <v>19588</v>
      </c>
      <c r="R165" s="2" t="s">
        <v>28</v>
      </c>
      <c r="S165" s="9">
        <f>VLOOKUP(P165,$T$2:U162,2,1)</f>
        <v>0.05</v>
      </c>
    </row>
    <row r="166" spans="1:19" x14ac:dyDescent="0.25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e">
        <f>VLOOKUP(F166,'Customer Info'!A158:I657,2,0)</f>
        <v>#N/A</v>
      </c>
      <c r="H166" s="6" t="e">
        <f>VLOOKUP(F166,'Customer Info'!A158:I657,3,0)</f>
        <v>#N/A</v>
      </c>
      <c r="I166" s="6" t="e">
        <f>VLOOKUP(F166,'Customer Info'!A158:I657,5,0)</f>
        <v>#N/A</v>
      </c>
      <c r="J166" s="2">
        <v>7534</v>
      </c>
      <c r="K166" s="2">
        <v>7106</v>
      </c>
      <c r="L166" s="2">
        <v>7</v>
      </c>
      <c r="M166" s="7">
        <f t="shared" si="8"/>
        <v>49742</v>
      </c>
      <c r="N166" s="7">
        <f t="shared" si="9"/>
        <v>52738</v>
      </c>
      <c r="O166" s="2">
        <v>54</v>
      </c>
      <c r="P166" s="8">
        <f t="shared" si="10"/>
        <v>52792</v>
      </c>
      <c r="Q166" s="8">
        <f t="shared" si="11"/>
        <v>52684</v>
      </c>
      <c r="R166" s="2" t="s">
        <v>28</v>
      </c>
      <c r="S166" s="9">
        <f>VLOOKUP(P166,$T$2:U163,2,1)</f>
        <v>0.09</v>
      </c>
    </row>
    <row r="167" spans="1:19" x14ac:dyDescent="0.25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VLOOKUP(F167,'Customer Info'!A159:I658,2,0)</f>
        <v>Rachel</v>
      </c>
      <c r="H167" s="6" t="str">
        <f>VLOOKUP(F167,'Customer Info'!A159:I658,3,0)</f>
        <v>Payne</v>
      </c>
      <c r="I167" s="6" t="str">
        <f>VLOOKUP(F167,'Customer Info'!A159:I658,5,0)</f>
        <v>Raipur</v>
      </c>
      <c r="J167" s="2">
        <v>2627</v>
      </c>
      <c r="K167" s="2">
        <v>2528</v>
      </c>
      <c r="L167" s="2">
        <v>6</v>
      </c>
      <c r="M167" s="7">
        <f t="shared" si="8"/>
        <v>15168</v>
      </c>
      <c r="N167" s="7">
        <f t="shared" si="9"/>
        <v>15762</v>
      </c>
      <c r="O167" s="2">
        <v>41</v>
      </c>
      <c r="P167" s="8">
        <f t="shared" si="10"/>
        <v>15803</v>
      </c>
      <c r="Q167" s="8">
        <f t="shared" si="11"/>
        <v>15721</v>
      </c>
      <c r="R167" s="2" t="s">
        <v>26</v>
      </c>
      <c r="S167" s="9">
        <f>VLOOKUP(P167,$T$2:U164,2,1)</f>
        <v>0.05</v>
      </c>
    </row>
    <row r="168" spans="1:19" x14ac:dyDescent="0.25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VLOOKUP(F168,'Customer Info'!A160:I659,2,0)</f>
        <v>Lisa</v>
      </c>
      <c r="H168" s="6" t="str">
        <f>VLOOKUP(F168,'Customer Info'!A160:I659,3,0)</f>
        <v>DeCherney</v>
      </c>
      <c r="I168" s="6" t="str">
        <f>VLOOKUP(F168,'Customer Info'!A160:I659,5,0)</f>
        <v>Sydney</v>
      </c>
      <c r="J168" s="2">
        <v>2747</v>
      </c>
      <c r="K168" s="2">
        <v>2545</v>
      </c>
      <c r="L168" s="2">
        <v>9</v>
      </c>
      <c r="M168" s="7">
        <f t="shared" si="8"/>
        <v>22905</v>
      </c>
      <c r="N168" s="7">
        <f t="shared" si="9"/>
        <v>24723</v>
      </c>
      <c r="O168" s="2">
        <v>76</v>
      </c>
      <c r="P168" s="8">
        <f t="shared" si="10"/>
        <v>24799</v>
      </c>
      <c r="Q168" s="8">
        <f t="shared" si="11"/>
        <v>24647</v>
      </c>
      <c r="R168" s="2" t="s">
        <v>28</v>
      </c>
      <c r="S168" s="9">
        <f>VLOOKUP(P168,$T$2:U165,2,1)</f>
        <v>0.05</v>
      </c>
    </row>
    <row r="169" spans="1:19" x14ac:dyDescent="0.25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VLOOKUP(F169,'Customer Info'!A161:I660,2,0)</f>
        <v>Guy</v>
      </c>
      <c r="H169" s="6" t="str">
        <f>VLOOKUP(F169,'Customer Info'!A161:I660,3,0)</f>
        <v>Phonely</v>
      </c>
      <c r="I169" s="6" t="str">
        <f>VLOOKUP(F169,'Customer Info'!A161:I660,5,0)</f>
        <v>Jodhpur</v>
      </c>
      <c r="J169" s="2">
        <v>914</v>
      </c>
      <c r="K169" s="2">
        <v>830</v>
      </c>
      <c r="L169" s="2">
        <v>4</v>
      </c>
      <c r="M169" s="7">
        <f t="shared" si="8"/>
        <v>3320</v>
      </c>
      <c r="N169" s="7">
        <f t="shared" si="9"/>
        <v>3656</v>
      </c>
      <c r="O169" s="2">
        <v>36</v>
      </c>
      <c r="P169" s="8">
        <f t="shared" si="10"/>
        <v>3692</v>
      </c>
      <c r="Q169" s="8">
        <f t="shared" si="11"/>
        <v>3620</v>
      </c>
      <c r="R169" s="2" t="s">
        <v>28</v>
      </c>
      <c r="S169" s="9">
        <f>VLOOKUP(P169,$T$2:U166,2,1)</f>
        <v>0.02</v>
      </c>
    </row>
    <row r="170" spans="1:19" x14ac:dyDescent="0.25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e">
        <f>VLOOKUP(F170,'Customer Info'!A162:I661,2,0)</f>
        <v>#N/A</v>
      </c>
      <c r="H170" s="6" t="e">
        <f>VLOOKUP(F170,'Customer Info'!A162:I661,3,0)</f>
        <v>#N/A</v>
      </c>
      <c r="I170" s="6" t="e">
        <f>VLOOKUP(F170,'Customer Info'!A162:I661,5,0)</f>
        <v>#N/A</v>
      </c>
      <c r="J170" s="2">
        <v>825</v>
      </c>
      <c r="K170" s="2">
        <v>793</v>
      </c>
      <c r="L170" s="2">
        <v>1</v>
      </c>
      <c r="M170" s="7">
        <f t="shared" si="8"/>
        <v>793</v>
      </c>
      <c r="N170" s="7">
        <f t="shared" si="9"/>
        <v>825</v>
      </c>
      <c r="O170" s="2">
        <v>36</v>
      </c>
      <c r="P170" s="8">
        <f t="shared" si="10"/>
        <v>861</v>
      </c>
      <c r="Q170" s="8">
        <f t="shared" si="11"/>
        <v>789</v>
      </c>
      <c r="R170" s="2" t="s">
        <v>50</v>
      </c>
      <c r="S170" s="9">
        <f>VLOOKUP(P170,$T$2:U167,2,1)</f>
        <v>0.02</v>
      </c>
    </row>
    <row r="171" spans="1:19" x14ac:dyDescent="0.25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e">
        <f>VLOOKUP(F171,'Customer Info'!A163:I662,2,0)</f>
        <v>#N/A</v>
      </c>
      <c r="H171" s="6" t="e">
        <f>VLOOKUP(F171,'Customer Info'!A163:I662,3,0)</f>
        <v>#N/A</v>
      </c>
      <c r="I171" s="6" t="e">
        <f>VLOOKUP(F171,'Customer Info'!A163:I662,5,0)</f>
        <v>#N/A</v>
      </c>
      <c r="J171" s="2">
        <v>8752</v>
      </c>
      <c r="K171" s="2">
        <v>7877</v>
      </c>
      <c r="L171" s="2">
        <v>2</v>
      </c>
      <c r="M171" s="7">
        <f t="shared" si="8"/>
        <v>15754</v>
      </c>
      <c r="N171" s="7">
        <f t="shared" si="9"/>
        <v>17504</v>
      </c>
      <c r="O171" s="2">
        <v>69</v>
      </c>
      <c r="P171" s="8">
        <f t="shared" si="10"/>
        <v>17573</v>
      </c>
      <c r="Q171" s="8">
        <f t="shared" si="11"/>
        <v>17435</v>
      </c>
      <c r="R171" s="2" t="s">
        <v>28</v>
      </c>
      <c r="S171" s="9">
        <f>VLOOKUP(P171,$T$2:U168,2,1)</f>
        <v>0.05</v>
      </c>
    </row>
    <row r="172" spans="1:19" x14ac:dyDescent="0.25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VLOOKUP(F172,'Customer Info'!A164:I663,2,0)</f>
        <v>Kristina</v>
      </c>
      <c r="H172" s="6" t="str">
        <f>VLOOKUP(F172,'Customer Info'!A164:I663,3,0)</f>
        <v>Nunn</v>
      </c>
      <c r="I172" s="6" t="str">
        <f>VLOOKUP(F172,'Customer Info'!A164:I663,5,0)</f>
        <v>Jakarta</v>
      </c>
      <c r="J172" s="2">
        <v>1081</v>
      </c>
      <c r="K172" s="2">
        <v>983</v>
      </c>
      <c r="L172" s="2">
        <v>1</v>
      </c>
      <c r="M172" s="7">
        <f t="shared" si="8"/>
        <v>983</v>
      </c>
      <c r="N172" s="7">
        <f t="shared" si="9"/>
        <v>1081</v>
      </c>
      <c r="O172" s="2">
        <v>67</v>
      </c>
      <c r="P172" s="8">
        <f t="shared" si="10"/>
        <v>1148</v>
      </c>
      <c r="Q172" s="8">
        <f t="shared" si="11"/>
        <v>1014</v>
      </c>
      <c r="R172" s="2" t="s">
        <v>50</v>
      </c>
      <c r="S172" s="9">
        <f>VLOOKUP(P172,$T$2:U169,2,1)</f>
        <v>0.02</v>
      </c>
    </row>
    <row r="173" spans="1:19" x14ac:dyDescent="0.25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e">
        <f>VLOOKUP(F173,'Customer Info'!A165:I664,2,0)</f>
        <v>#N/A</v>
      </c>
      <c r="H173" s="6" t="e">
        <f>VLOOKUP(F173,'Customer Info'!A165:I664,3,0)</f>
        <v>#N/A</v>
      </c>
      <c r="I173" s="6" t="e">
        <f>VLOOKUP(F173,'Customer Info'!A165:I664,5,0)</f>
        <v>#N/A</v>
      </c>
      <c r="J173" s="2">
        <v>2540</v>
      </c>
      <c r="K173" s="2">
        <v>2397</v>
      </c>
      <c r="L173" s="2">
        <v>4</v>
      </c>
      <c r="M173" s="7">
        <f t="shared" si="8"/>
        <v>9588</v>
      </c>
      <c r="N173" s="7">
        <f t="shared" si="9"/>
        <v>10160</v>
      </c>
      <c r="O173" s="2">
        <v>92</v>
      </c>
      <c r="P173" s="8">
        <f t="shared" si="10"/>
        <v>10252</v>
      </c>
      <c r="Q173" s="8">
        <f t="shared" si="11"/>
        <v>10068</v>
      </c>
      <c r="R173" s="2" t="s">
        <v>28</v>
      </c>
      <c r="S173" s="9">
        <f>VLOOKUP(P173,$T$2:U170,2,1)</f>
        <v>0.05</v>
      </c>
    </row>
    <row r="174" spans="1:19" x14ac:dyDescent="0.25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VLOOKUP(F174,'Customer Info'!A166:I665,2,0)</f>
        <v>Lisa</v>
      </c>
      <c r="H174" s="6" t="str">
        <f>VLOOKUP(F174,'Customer Info'!A166:I665,3,0)</f>
        <v>DeCherney</v>
      </c>
      <c r="I174" s="6" t="str">
        <f>VLOOKUP(F174,'Customer Info'!A166:I665,5,0)</f>
        <v>Ningbo</v>
      </c>
      <c r="J174" s="2">
        <v>37949</v>
      </c>
      <c r="K174" s="2">
        <v>34816</v>
      </c>
      <c r="L174" s="2">
        <v>2</v>
      </c>
      <c r="M174" s="7">
        <f t="shared" si="8"/>
        <v>69632</v>
      </c>
      <c r="N174" s="7">
        <f t="shared" si="9"/>
        <v>75898</v>
      </c>
      <c r="O174" s="2">
        <v>92</v>
      </c>
      <c r="P174" s="8">
        <f t="shared" si="10"/>
        <v>75990</v>
      </c>
      <c r="Q174" s="8">
        <f t="shared" si="11"/>
        <v>75806</v>
      </c>
      <c r="R174" s="2" t="s">
        <v>28</v>
      </c>
      <c r="S174" s="9">
        <f>VLOOKUP(P174,$T$2:U171,2,1)</f>
        <v>0.09</v>
      </c>
    </row>
    <row r="175" spans="1:19" x14ac:dyDescent="0.25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VLOOKUP(F175,'Customer Info'!A167:I666,2,0)</f>
        <v>Jim</v>
      </c>
      <c r="H175" s="6" t="str">
        <f>VLOOKUP(F175,'Customer Info'!A167:I666,3,0)</f>
        <v>Epp</v>
      </c>
      <c r="I175" s="6" t="str">
        <f>VLOOKUP(F175,'Customer Info'!A167:I666,5,0)</f>
        <v>Jingmen</v>
      </c>
      <c r="J175" s="2">
        <v>194</v>
      </c>
      <c r="K175" s="2">
        <v>176</v>
      </c>
      <c r="L175" s="2">
        <v>4</v>
      </c>
      <c r="M175" s="7">
        <f t="shared" si="8"/>
        <v>704</v>
      </c>
      <c r="N175" s="7">
        <f t="shared" si="9"/>
        <v>776</v>
      </c>
      <c r="O175" s="2">
        <v>30</v>
      </c>
      <c r="P175" s="8">
        <f t="shared" si="10"/>
        <v>806</v>
      </c>
      <c r="Q175" s="8">
        <f t="shared" si="11"/>
        <v>746</v>
      </c>
      <c r="R175" s="2" t="s">
        <v>50</v>
      </c>
      <c r="S175" s="9">
        <f>VLOOKUP(P175,$T$2:U172,2,1)</f>
        <v>0.02</v>
      </c>
    </row>
    <row r="176" spans="1:19" x14ac:dyDescent="0.25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e">
        <f>VLOOKUP(F176,'Customer Info'!A168:I667,2,0)</f>
        <v>#N/A</v>
      </c>
      <c r="H176" s="6" t="e">
        <f>VLOOKUP(F176,'Customer Info'!A168:I667,3,0)</f>
        <v>#N/A</v>
      </c>
      <c r="I176" s="6" t="e">
        <f>VLOOKUP(F176,'Customer Info'!A168:I667,5,0)</f>
        <v>#N/A</v>
      </c>
      <c r="J176" s="2">
        <v>2271</v>
      </c>
      <c r="K176" s="2">
        <v>2144</v>
      </c>
      <c r="L176" s="2">
        <v>1</v>
      </c>
      <c r="M176" s="7">
        <f t="shared" si="8"/>
        <v>2144</v>
      </c>
      <c r="N176" s="7">
        <f t="shared" si="9"/>
        <v>2271</v>
      </c>
      <c r="O176" s="2">
        <v>50</v>
      </c>
      <c r="P176" s="8">
        <f t="shared" si="10"/>
        <v>2321</v>
      </c>
      <c r="Q176" s="8">
        <f t="shared" si="11"/>
        <v>2221</v>
      </c>
      <c r="R176" s="2" t="s">
        <v>28</v>
      </c>
      <c r="S176" s="9">
        <f>VLOOKUP(P176,$T$2:U173,2,1)</f>
        <v>0.02</v>
      </c>
    </row>
    <row r="177" spans="1:19" x14ac:dyDescent="0.25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e">
        <f>VLOOKUP(F177,'Customer Info'!A169:I668,2,0)</f>
        <v>#N/A</v>
      </c>
      <c r="H177" s="6" t="e">
        <f>VLOOKUP(F177,'Customer Info'!A169:I668,3,0)</f>
        <v>#N/A</v>
      </c>
      <c r="I177" s="6" t="e">
        <f>VLOOKUP(F177,'Customer Info'!A169:I668,5,0)</f>
        <v>#N/A</v>
      </c>
      <c r="J177" s="2">
        <v>285</v>
      </c>
      <c r="K177" s="2">
        <v>259</v>
      </c>
      <c r="L177" s="2">
        <v>2</v>
      </c>
      <c r="M177" s="7">
        <f t="shared" si="8"/>
        <v>518</v>
      </c>
      <c r="N177" s="7">
        <f t="shared" si="9"/>
        <v>570</v>
      </c>
      <c r="O177" s="2">
        <v>25</v>
      </c>
      <c r="P177" s="8">
        <f t="shared" si="10"/>
        <v>595</v>
      </c>
      <c r="Q177" s="8">
        <f t="shared" si="11"/>
        <v>545</v>
      </c>
      <c r="R177" s="2" t="s">
        <v>50</v>
      </c>
      <c r="S177" s="9">
        <f>VLOOKUP(P177,$T$2:U174,2,1)</f>
        <v>0.02</v>
      </c>
    </row>
    <row r="178" spans="1:19" x14ac:dyDescent="0.25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VLOOKUP(F178,'Customer Info'!A170:I669,2,0)</f>
        <v>Eugene</v>
      </c>
      <c r="H178" s="6" t="str">
        <f>VLOOKUP(F178,'Customer Info'!A170:I669,3,0)</f>
        <v>Moren</v>
      </c>
      <c r="I178" s="6" t="str">
        <f>VLOOKUP(F178,'Customer Info'!A170:I669,5,0)</f>
        <v>Patiala</v>
      </c>
      <c r="J178" s="2">
        <v>1113</v>
      </c>
      <c r="K178" s="2">
        <v>1040</v>
      </c>
      <c r="L178" s="2">
        <v>3</v>
      </c>
      <c r="M178" s="7">
        <f t="shared" si="8"/>
        <v>3120</v>
      </c>
      <c r="N178" s="7">
        <f t="shared" si="9"/>
        <v>3339</v>
      </c>
      <c r="O178" s="2">
        <v>92</v>
      </c>
      <c r="P178" s="8">
        <f t="shared" si="10"/>
        <v>3431</v>
      </c>
      <c r="Q178" s="8">
        <f t="shared" si="11"/>
        <v>3247</v>
      </c>
      <c r="R178" s="2" t="s">
        <v>26</v>
      </c>
      <c r="S178" s="9">
        <f>VLOOKUP(P178,$T$2:U175,2,1)</f>
        <v>0.02</v>
      </c>
    </row>
    <row r="179" spans="1:19" x14ac:dyDescent="0.25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e">
        <f>VLOOKUP(F179,'Customer Info'!A171:I670,2,0)</f>
        <v>#N/A</v>
      </c>
      <c r="H179" s="6" t="e">
        <f>VLOOKUP(F179,'Customer Info'!A171:I670,3,0)</f>
        <v>#N/A</v>
      </c>
      <c r="I179" s="6" t="e">
        <f>VLOOKUP(F179,'Customer Info'!A171:I670,5,0)</f>
        <v>#N/A</v>
      </c>
      <c r="J179" s="2">
        <v>1859</v>
      </c>
      <c r="K179" s="2">
        <v>1755</v>
      </c>
      <c r="L179" s="2">
        <v>3</v>
      </c>
      <c r="M179" s="7">
        <f t="shared" si="8"/>
        <v>5265</v>
      </c>
      <c r="N179" s="7">
        <f t="shared" si="9"/>
        <v>5577</v>
      </c>
      <c r="O179" s="2">
        <v>66</v>
      </c>
      <c r="P179" s="8">
        <f t="shared" si="10"/>
        <v>5643</v>
      </c>
      <c r="Q179" s="8">
        <f t="shared" si="11"/>
        <v>5511</v>
      </c>
      <c r="R179" s="2" t="s">
        <v>28</v>
      </c>
      <c r="S179" s="9">
        <f>VLOOKUP(P179,$T$2:U176,2,1)</f>
        <v>0.05</v>
      </c>
    </row>
    <row r="180" spans="1:19" x14ac:dyDescent="0.25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VLOOKUP(F180,'Customer Info'!A172:I671,2,0)</f>
        <v>Roger</v>
      </c>
      <c r="H180" s="6" t="str">
        <f>VLOOKUP(F180,'Customer Info'!A172:I671,3,0)</f>
        <v>Barcio</v>
      </c>
      <c r="I180" s="6" t="str">
        <f>VLOOKUP(F180,'Customer Info'!A172:I671,5,0)</f>
        <v>Bremen</v>
      </c>
      <c r="J180" s="2">
        <v>177</v>
      </c>
      <c r="K180" s="2">
        <v>169</v>
      </c>
      <c r="L180" s="2">
        <v>4</v>
      </c>
      <c r="M180" s="7">
        <f t="shared" si="8"/>
        <v>676</v>
      </c>
      <c r="N180" s="7">
        <f t="shared" si="9"/>
        <v>708</v>
      </c>
      <c r="O180" s="2">
        <v>30</v>
      </c>
      <c r="P180" s="8">
        <f t="shared" si="10"/>
        <v>738</v>
      </c>
      <c r="Q180" s="8">
        <f t="shared" si="11"/>
        <v>678</v>
      </c>
      <c r="R180" s="2" t="s">
        <v>28</v>
      </c>
      <c r="S180" s="9">
        <f>VLOOKUP(P180,$T$2:U177,2,1)</f>
        <v>0.02</v>
      </c>
    </row>
    <row r="181" spans="1:19" x14ac:dyDescent="0.25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e">
        <f>VLOOKUP(F181,'Customer Info'!A173:I672,2,0)</f>
        <v>#N/A</v>
      </c>
      <c r="H181" s="6" t="e">
        <f>VLOOKUP(F181,'Customer Info'!A173:I672,3,0)</f>
        <v>#N/A</v>
      </c>
      <c r="I181" s="6" t="e">
        <f>VLOOKUP(F181,'Customer Info'!A173:I672,5,0)</f>
        <v>#N/A</v>
      </c>
      <c r="J181" s="2">
        <v>6768</v>
      </c>
      <c r="K181" s="2">
        <v>6512</v>
      </c>
      <c r="L181" s="2">
        <v>3</v>
      </c>
      <c r="M181" s="7">
        <f t="shared" si="8"/>
        <v>19536</v>
      </c>
      <c r="N181" s="7">
        <f t="shared" si="9"/>
        <v>20304</v>
      </c>
      <c r="O181" s="2">
        <v>20</v>
      </c>
      <c r="P181" s="8">
        <f t="shared" si="10"/>
        <v>20324</v>
      </c>
      <c r="Q181" s="8">
        <f t="shared" si="11"/>
        <v>20284</v>
      </c>
      <c r="R181" s="2" t="s">
        <v>50</v>
      </c>
      <c r="S181" s="9">
        <f>VLOOKUP(P181,$T$2:U178,2,1)</f>
        <v>0.05</v>
      </c>
    </row>
    <row r="182" spans="1:19" x14ac:dyDescent="0.25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VLOOKUP(F182,'Customer Info'!A174:I673,2,0)</f>
        <v>Kean</v>
      </c>
      <c r="H182" s="6" t="str">
        <f>VLOOKUP(F182,'Customer Info'!A174:I673,3,0)</f>
        <v>Takahito</v>
      </c>
      <c r="I182" s="6" t="str">
        <f>VLOOKUP(F182,'Customer Info'!A174:I673,5,0)</f>
        <v>Jakarta</v>
      </c>
      <c r="J182" s="2">
        <v>139</v>
      </c>
      <c r="K182" s="2">
        <v>130</v>
      </c>
      <c r="L182" s="2">
        <v>5</v>
      </c>
      <c r="M182" s="7">
        <f t="shared" si="8"/>
        <v>650</v>
      </c>
      <c r="N182" s="7">
        <f t="shared" si="9"/>
        <v>695</v>
      </c>
      <c r="O182" s="2">
        <v>30</v>
      </c>
      <c r="P182" s="8">
        <f t="shared" si="10"/>
        <v>725</v>
      </c>
      <c r="Q182" s="8">
        <f t="shared" si="11"/>
        <v>665</v>
      </c>
      <c r="R182" s="2" t="s">
        <v>50</v>
      </c>
      <c r="S182" s="9">
        <f>VLOOKUP(P182,$T$2:U179,2,1)</f>
        <v>0.02</v>
      </c>
    </row>
    <row r="183" spans="1:19" x14ac:dyDescent="0.25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VLOOKUP(F183,'Customer Info'!A175:I674,2,0)</f>
        <v>Michelle</v>
      </c>
      <c r="H183" s="6" t="str">
        <f>VLOOKUP(F183,'Customer Info'!A175:I674,3,0)</f>
        <v>Arnett</v>
      </c>
      <c r="I183" s="6" t="str">
        <f>VLOOKUP(F183,'Customer Info'!A175:I674,5,0)</f>
        <v>Yancheng</v>
      </c>
      <c r="J183" s="2">
        <v>1605</v>
      </c>
      <c r="K183" s="2">
        <v>1487</v>
      </c>
      <c r="L183" s="2">
        <v>1</v>
      </c>
      <c r="M183" s="7">
        <f t="shared" si="8"/>
        <v>1487</v>
      </c>
      <c r="N183" s="7">
        <f t="shared" si="9"/>
        <v>1605</v>
      </c>
      <c r="O183" s="2">
        <v>91</v>
      </c>
      <c r="P183" s="8">
        <f t="shared" si="10"/>
        <v>1696</v>
      </c>
      <c r="Q183" s="8">
        <f t="shared" si="11"/>
        <v>1514</v>
      </c>
      <c r="R183" s="2" t="s">
        <v>28</v>
      </c>
      <c r="S183" s="9">
        <f>VLOOKUP(P183,$T$2:U180,2,1)</f>
        <v>0.02</v>
      </c>
    </row>
    <row r="184" spans="1:19" x14ac:dyDescent="0.25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e">
        <f>VLOOKUP(F184,'Customer Info'!A176:I675,2,0)</f>
        <v>#N/A</v>
      </c>
      <c r="H184" s="6" t="e">
        <f>VLOOKUP(F184,'Customer Info'!A176:I675,3,0)</f>
        <v>#N/A</v>
      </c>
      <c r="I184" s="6" t="e">
        <f>VLOOKUP(F184,'Customer Info'!A176:I675,5,0)</f>
        <v>#N/A</v>
      </c>
      <c r="J184" s="2">
        <v>1901</v>
      </c>
      <c r="K184" s="2">
        <v>1810</v>
      </c>
      <c r="L184" s="2">
        <v>3</v>
      </c>
      <c r="M184" s="7">
        <f t="shared" si="8"/>
        <v>5430</v>
      </c>
      <c r="N184" s="7">
        <f t="shared" si="9"/>
        <v>5703</v>
      </c>
      <c r="O184" s="2">
        <v>68</v>
      </c>
      <c r="P184" s="8">
        <f t="shared" si="10"/>
        <v>5771</v>
      </c>
      <c r="Q184" s="8">
        <f t="shared" si="11"/>
        <v>5635</v>
      </c>
      <c r="R184" s="2" t="s">
        <v>50</v>
      </c>
      <c r="S184" s="9">
        <f>VLOOKUP(P184,$T$2:U181,2,1)</f>
        <v>0.05</v>
      </c>
    </row>
    <row r="185" spans="1:19" x14ac:dyDescent="0.25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VLOOKUP(F185,'Customer Info'!A177:I676,2,0)</f>
        <v>Harold</v>
      </c>
      <c r="H185" s="6" t="str">
        <f>VLOOKUP(F185,'Customer Info'!A177:I676,3,0)</f>
        <v>Dahlen</v>
      </c>
      <c r="I185" s="6" t="str">
        <f>VLOOKUP(F185,'Customer Info'!A177:I676,5,0)</f>
        <v>Melbourne</v>
      </c>
      <c r="J185" s="2">
        <v>978</v>
      </c>
      <c r="K185" s="2">
        <v>922</v>
      </c>
      <c r="L185" s="2">
        <v>3</v>
      </c>
      <c r="M185" s="7">
        <f t="shared" si="8"/>
        <v>2766</v>
      </c>
      <c r="N185" s="7">
        <f t="shared" si="9"/>
        <v>2934</v>
      </c>
      <c r="O185" s="2">
        <v>75</v>
      </c>
      <c r="P185" s="8">
        <f t="shared" si="10"/>
        <v>3009</v>
      </c>
      <c r="Q185" s="8">
        <f t="shared" si="11"/>
        <v>2859</v>
      </c>
      <c r="R185" s="2" t="s">
        <v>28</v>
      </c>
      <c r="S185" s="9">
        <f>VLOOKUP(P185,$T$2:U182,2,1)</f>
        <v>0.02</v>
      </c>
    </row>
    <row r="186" spans="1:19" x14ac:dyDescent="0.25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e">
        <f>VLOOKUP(F186,'Customer Info'!A178:I677,2,0)</f>
        <v>#N/A</v>
      </c>
      <c r="H186" s="6" t="e">
        <f>VLOOKUP(F186,'Customer Info'!A178:I677,3,0)</f>
        <v>#N/A</v>
      </c>
      <c r="I186" s="6" t="e">
        <f>VLOOKUP(F186,'Customer Info'!A178:I677,5,0)</f>
        <v>#N/A</v>
      </c>
      <c r="J186" s="2">
        <v>6768</v>
      </c>
      <c r="K186" s="2">
        <v>6512</v>
      </c>
      <c r="L186" s="2">
        <v>2</v>
      </c>
      <c r="M186" s="7">
        <f t="shared" si="8"/>
        <v>13024</v>
      </c>
      <c r="N186" s="7">
        <f t="shared" si="9"/>
        <v>13536</v>
      </c>
      <c r="O186" s="2">
        <v>69</v>
      </c>
      <c r="P186" s="8">
        <f t="shared" si="10"/>
        <v>13605</v>
      </c>
      <c r="Q186" s="8">
        <f t="shared" si="11"/>
        <v>13467</v>
      </c>
      <c r="R186" s="2" t="s">
        <v>26</v>
      </c>
      <c r="S186" s="9">
        <f>VLOOKUP(P186,$T$2:U183,2,1)</f>
        <v>0.05</v>
      </c>
    </row>
    <row r="187" spans="1:19" x14ac:dyDescent="0.25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e">
        <f>VLOOKUP(F187,'Customer Info'!A179:I678,2,0)</f>
        <v>#N/A</v>
      </c>
      <c r="H187" s="6" t="e">
        <f>VLOOKUP(F187,'Customer Info'!A179:I678,3,0)</f>
        <v>#N/A</v>
      </c>
      <c r="I187" s="6" t="e">
        <f>VLOOKUP(F187,'Customer Info'!A179:I678,5,0)</f>
        <v>#N/A</v>
      </c>
      <c r="J187" s="2">
        <v>220</v>
      </c>
      <c r="K187" s="2">
        <v>206</v>
      </c>
      <c r="L187" s="2">
        <v>5</v>
      </c>
      <c r="M187" s="7">
        <f t="shared" si="8"/>
        <v>1030</v>
      </c>
      <c r="N187" s="7">
        <f t="shared" si="9"/>
        <v>1100</v>
      </c>
      <c r="O187" s="2">
        <v>68</v>
      </c>
      <c r="P187" s="8">
        <f t="shared" si="10"/>
        <v>1168</v>
      </c>
      <c r="Q187" s="8">
        <f t="shared" si="11"/>
        <v>1032</v>
      </c>
      <c r="R187" s="2" t="s">
        <v>56</v>
      </c>
      <c r="S187" s="9">
        <f>VLOOKUP(P187,$T$2:U184,2,1)</f>
        <v>0.02</v>
      </c>
    </row>
    <row r="188" spans="1:19" x14ac:dyDescent="0.25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VLOOKUP(F188,'Customer Info'!A180:I679,2,0)</f>
        <v>Philip</v>
      </c>
      <c r="H188" s="6" t="str">
        <f>VLOOKUP(F188,'Customer Info'!A180:I679,3,0)</f>
        <v>Brown</v>
      </c>
      <c r="I188" s="6" t="str">
        <f>VLOOKUP(F188,'Customer Info'!A180:I679,5,0)</f>
        <v>Binjai</v>
      </c>
      <c r="J188" s="2">
        <v>7232</v>
      </c>
      <c r="K188" s="2">
        <v>6753</v>
      </c>
      <c r="L188" s="2">
        <v>3</v>
      </c>
      <c r="M188" s="7">
        <f t="shared" si="8"/>
        <v>20259</v>
      </c>
      <c r="N188" s="7">
        <f t="shared" si="9"/>
        <v>21696</v>
      </c>
      <c r="O188" s="2">
        <v>90</v>
      </c>
      <c r="P188" s="8">
        <f t="shared" si="10"/>
        <v>21786</v>
      </c>
      <c r="Q188" s="8">
        <f t="shared" si="11"/>
        <v>21606</v>
      </c>
      <c r="R188" s="2" t="s">
        <v>28</v>
      </c>
      <c r="S188" s="9">
        <f>VLOOKUP(P188,$T$2:U185,2,1)</f>
        <v>0.05</v>
      </c>
    </row>
    <row r="189" spans="1:19" x14ac:dyDescent="0.25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e">
        <f>VLOOKUP(F189,'Customer Info'!A181:I680,2,0)</f>
        <v>#N/A</v>
      </c>
      <c r="H189" s="6" t="e">
        <f>VLOOKUP(F189,'Customer Info'!A181:I680,3,0)</f>
        <v>#N/A</v>
      </c>
      <c r="I189" s="6" t="e">
        <f>VLOOKUP(F189,'Customer Info'!A181:I680,5,0)</f>
        <v>#N/A</v>
      </c>
      <c r="J189" s="2">
        <v>131</v>
      </c>
      <c r="K189" s="2">
        <v>124</v>
      </c>
      <c r="L189" s="2">
        <v>1</v>
      </c>
      <c r="M189" s="7">
        <f t="shared" si="8"/>
        <v>124</v>
      </c>
      <c r="N189" s="7">
        <f t="shared" si="9"/>
        <v>131</v>
      </c>
      <c r="O189" s="2">
        <v>30</v>
      </c>
      <c r="P189" s="8">
        <f t="shared" si="10"/>
        <v>161</v>
      </c>
      <c r="Q189" s="8">
        <f t="shared" si="11"/>
        <v>101</v>
      </c>
      <c r="R189" s="2" t="s">
        <v>50</v>
      </c>
      <c r="S189" s="9">
        <f>VLOOKUP(P189,$T$2:U186,2,1)</f>
        <v>0.02</v>
      </c>
    </row>
    <row r="190" spans="1:19" x14ac:dyDescent="0.25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VLOOKUP(F190,'Customer Info'!A182:I681,2,0)</f>
        <v>Toby</v>
      </c>
      <c r="H190" s="6" t="str">
        <f>VLOOKUP(F190,'Customer Info'!A182:I681,3,0)</f>
        <v>Braunhardt</v>
      </c>
      <c r="I190" s="6" t="str">
        <f>VLOOKUP(F190,'Customer Info'!A182:I681,5,0)</f>
        <v>Jiangyan</v>
      </c>
      <c r="J190" s="2">
        <v>2526</v>
      </c>
      <c r="K190" s="2">
        <v>2408</v>
      </c>
      <c r="L190" s="2">
        <v>4</v>
      </c>
      <c r="M190" s="7">
        <f t="shared" si="8"/>
        <v>9632</v>
      </c>
      <c r="N190" s="7">
        <f t="shared" si="9"/>
        <v>10104</v>
      </c>
      <c r="O190" s="2">
        <v>50</v>
      </c>
      <c r="P190" s="8">
        <f t="shared" si="10"/>
        <v>10154</v>
      </c>
      <c r="Q190" s="8">
        <f t="shared" si="11"/>
        <v>10054</v>
      </c>
      <c r="R190" s="2" t="s">
        <v>28</v>
      </c>
      <c r="S190" s="9">
        <f>VLOOKUP(P190,$T$2:U187,2,1)</f>
        <v>0.05</v>
      </c>
    </row>
    <row r="191" spans="1:19" x14ac:dyDescent="0.25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VLOOKUP(F191,'Customer Info'!A183:I682,2,0)</f>
        <v>MaryBeth</v>
      </c>
      <c r="H191" s="6" t="str">
        <f>VLOOKUP(F191,'Customer Info'!A183:I682,3,0)</f>
        <v>Skach</v>
      </c>
      <c r="I191" s="6" t="str">
        <f>VLOOKUP(F191,'Customer Info'!A183:I682,5,0)</f>
        <v>Licheng</v>
      </c>
      <c r="J191" s="2">
        <v>4002</v>
      </c>
      <c r="K191" s="2">
        <v>3744</v>
      </c>
      <c r="L191" s="2">
        <v>6</v>
      </c>
      <c r="M191" s="7">
        <f t="shared" si="8"/>
        <v>22464</v>
      </c>
      <c r="N191" s="7">
        <f t="shared" si="9"/>
        <v>24012</v>
      </c>
      <c r="O191" s="2">
        <v>58</v>
      </c>
      <c r="P191" s="8">
        <f t="shared" si="10"/>
        <v>24070</v>
      </c>
      <c r="Q191" s="8">
        <f t="shared" si="11"/>
        <v>23954</v>
      </c>
      <c r="R191" s="2" t="s">
        <v>26</v>
      </c>
      <c r="S191" s="9">
        <f>VLOOKUP(P191,$T$2:U188,2,1)</f>
        <v>0.05</v>
      </c>
    </row>
    <row r="192" spans="1:19" x14ac:dyDescent="0.25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e">
        <f>VLOOKUP(F192,'Customer Info'!A184:I683,2,0)</f>
        <v>#N/A</v>
      </c>
      <c r="H192" s="6" t="e">
        <f>VLOOKUP(F192,'Customer Info'!A184:I683,3,0)</f>
        <v>#N/A</v>
      </c>
      <c r="I192" s="6" t="e">
        <f>VLOOKUP(F192,'Customer Info'!A184:I683,5,0)</f>
        <v>#N/A</v>
      </c>
      <c r="J192" s="2">
        <v>2787</v>
      </c>
      <c r="K192" s="2">
        <v>2681</v>
      </c>
      <c r="L192" s="2">
        <v>7</v>
      </c>
      <c r="M192" s="7">
        <f t="shared" si="8"/>
        <v>18767</v>
      </c>
      <c r="N192" s="7">
        <f t="shared" si="9"/>
        <v>19509</v>
      </c>
      <c r="O192" s="2">
        <v>78</v>
      </c>
      <c r="P192" s="8">
        <f t="shared" si="10"/>
        <v>19587</v>
      </c>
      <c r="Q192" s="8">
        <f t="shared" si="11"/>
        <v>19431</v>
      </c>
      <c r="R192" s="2" t="s">
        <v>28</v>
      </c>
      <c r="S192" s="9">
        <f>VLOOKUP(P192,$T$2:U189,2,1)</f>
        <v>0.05</v>
      </c>
    </row>
    <row r="193" spans="1:19" x14ac:dyDescent="0.25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VLOOKUP(F193,'Customer Info'!A185:I684,2,0)</f>
        <v>Rick</v>
      </c>
      <c r="H193" s="6" t="str">
        <f>VLOOKUP(F193,'Customer Info'!A185:I684,3,0)</f>
        <v>Duston</v>
      </c>
      <c r="I193" s="6" t="str">
        <f>VLOOKUP(F193,'Customer Info'!A185:I684,5,0)</f>
        <v>Bhiwandi</v>
      </c>
      <c r="J193" s="2">
        <v>1809</v>
      </c>
      <c r="K193" s="2">
        <v>1691</v>
      </c>
      <c r="L193" s="2">
        <v>4</v>
      </c>
      <c r="M193" s="7">
        <f t="shared" si="8"/>
        <v>6764</v>
      </c>
      <c r="N193" s="7">
        <f t="shared" si="9"/>
        <v>7236</v>
      </c>
      <c r="O193" s="2">
        <v>63</v>
      </c>
      <c r="P193" s="8">
        <f t="shared" si="10"/>
        <v>7299</v>
      </c>
      <c r="Q193" s="8">
        <f t="shared" si="11"/>
        <v>7173</v>
      </c>
      <c r="R193" s="2" t="s">
        <v>28</v>
      </c>
      <c r="S193" s="9">
        <f>VLOOKUP(P193,$T$2:U190,2,1)</f>
        <v>0.05</v>
      </c>
    </row>
    <row r="194" spans="1:19" x14ac:dyDescent="0.25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e">
        <f>VLOOKUP(F194,'Customer Info'!A186:I685,2,0)</f>
        <v>#N/A</v>
      </c>
      <c r="H194" s="6" t="e">
        <f>VLOOKUP(F194,'Customer Info'!A186:I685,3,0)</f>
        <v>#N/A</v>
      </c>
      <c r="I194" s="6" t="e">
        <f>VLOOKUP(F194,'Customer Info'!A186:I685,5,0)</f>
        <v>#N/A</v>
      </c>
      <c r="J194" s="2">
        <v>4904</v>
      </c>
      <c r="K194" s="2">
        <v>4499</v>
      </c>
      <c r="L194" s="2">
        <v>4</v>
      </c>
      <c r="M194" s="7">
        <f t="shared" si="8"/>
        <v>17996</v>
      </c>
      <c r="N194" s="7">
        <f t="shared" si="9"/>
        <v>19616</v>
      </c>
      <c r="O194" s="2">
        <v>81</v>
      </c>
      <c r="P194" s="8">
        <f t="shared" si="10"/>
        <v>19697</v>
      </c>
      <c r="Q194" s="8">
        <f t="shared" si="11"/>
        <v>19535</v>
      </c>
      <c r="R194" s="2" t="s">
        <v>28</v>
      </c>
      <c r="S194" s="9">
        <f>VLOOKUP(P194,$T$2:U191,2,1)</f>
        <v>0.05</v>
      </c>
    </row>
    <row r="195" spans="1:19" x14ac:dyDescent="0.25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VLOOKUP(F195,'Customer Info'!A187:I686,2,0)</f>
        <v>Victoria</v>
      </c>
      <c r="H195" s="6" t="str">
        <f>VLOOKUP(F195,'Customer Info'!A187:I686,3,0)</f>
        <v>Pisteka</v>
      </c>
      <c r="I195" s="6" t="str">
        <f>VLOOKUP(F195,'Customer Info'!A187:I686,5,0)</f>
        <v>Bokaro</v>
      </c>
      <c r="J195" s="2">
        <v>992</v>
      </c>
      <c r="K195" s="2">
        <v>928</v>
      </c>
      <c r="L195" s="2">
        <v>8</v>
      </c>
      <c r="M195" s="7">
        <f t="shared" si="8"/>
        <v>7424</v>
      </c>
      <c r="N195" s="7">
        <f t="shared" si="9"/>
        <v>7936</v>
      </c>
      <c r="O195" s="2">
        <v>33</v>
      </c>
      <c r="P195" s="8">
        <f t="shared" si="10"/>
        <v>7969</v>
      </c>
      <c r="Q195" s="8">
        <f t="shared" si="11"/>
        <v>7903</v>
      </c>
      <c r="R195" s="2" t="s">
        <v>50</v>
      </c>
      <c r="S195" s="9">
        <f>VLOOKUP(P195,$T$2:U192,2,1)</f>
        <v>0.05</v>
      </c>
    </row>
    <row r="196" spans="1:19" x14ac:dyDescent="0.25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VLOOKUP(F196,'Customer Info'!A188:I687,2,0)</f>
        <v>Jim</v>
      </c>
      <c r="H196" s="6" t="str">
        <f>VLOOKUP(F196,'Customer Info'!A188:I687,3,0)</f>
        <v>Karlsson</v>
      </c>
      <c r="I196" s="6" t="str">
        <f>VLOOKUP(F196,'Customer Info'!A188:I687,5,0)</f>
        <v>Geelong</v>
      </c>
      <c r="J196" s="2">
        <v>288</v>
      </c>
      <c r="K196" s="2">
        <v>264</v>
      </c>
      <c r="L196" s="2">
        <v>3</v>
      </c>
      <c r="M196" s="7">
        <f t="shared" si="8"/>
        <v>792</v>
      </c>
      <c r="N196" s="7">
        <f t="shared" si="9"/>
        <v>864</v>
      </c>
      <c r="O196" s="2">
        <v>30</v>
      </c>
      <c r="P196" s="8">
        <f t="shared" si="10"/>
        <v>894</v>
      </c>
      <c r="Q196" s="8">
        <f t="shared" si="11"/>
        <v>834</v>
      </c>
      <c r="R196" s="2" t="s">
        <v>28</v>
      </c>
      <c r="S196" s="9">
        <f>VLOOKUP(P196,$T$2:U193,2,1)</f>
        <v>0.02</v>
      </c>
    </row>
    <row r="197" spans="1:19" x14ac:dyDescent="0.25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VLOOKUP(F197,'Customer Info'!A189:I688,2,0)</f>
        <v>Victoria</v>
      </c>
      <c r="H197" s="6" t="str">
        <f>VLOOKUP(F197,'Customer Info'!A189:I688,3,0)</f>
        <v>Pisteka</v>
      </c>
      <c r="I197" s="6" t="str">
        <f>VLOOKUP(F197,'Customer Info'!A189:I688,5,0)</f>
        <v>Bokaro</v>
      </c>
      <c r="J197" s="2">
        <v>5836</v>
      </c>
      <c r="K197" s="2">
        <v>5457</v>
      </c>
      <c r="L197" s="2">
        <v>5</v>
      </c>
      <c r="M197" s="7">
        <f t="shared" si="8"/>
        <v>27285</v>
      </c>
      <c r="N197" s="7">
        <f t="shared" si="9"/>
        <v>29180</v>
      </c>
      <c r="O197" s="2">
        <v>74</v>
      </c>
      <c r="P197" s="8">
        <f t="shared" si="10"/>
        <v>29254</v>
      </c>
      <c r="Q197" s="8">
        <f t="shared" si="11"/>
        <v>29106</v>
      </c>
      <c r="R197" s="2" t="s">
        <v>50</v>
      </c>
      <c r="S197" s="9">
        <f>VLOOKUP(P197,$T$2:U194,2,1)</f>
        <v>7.0000000000000007E-2</v>
      </c>
    </row>
    <row r="198" spans="1:19" x14ac:dyDescent="0.25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e">
        <f>VLOOKUP(F198,'Customer Info'!A190:I689,2,0)</f>
        <v>#N/A</v>
      </c>
      <c r="H198" s="6" t="e">
        <f>VLOOKUP(F198,'Customer Info'!A190:I689,3,0)</f>
        <v>#N/A</v>
      </c>
      <c r="I198" s="6" t="e">
        <f>VLOOKUP(F198,'Customer Info'!A190:I689,5,0)</f>
        <v>#N/A</v>
      </c>
      <c r="J198" s="2">
        <v>2078</v>
      </c>
      <c r="K198" s="2">
        <v>1871</v>
      </c>
      <c r="L198" s="2">
        <v>3</v>
      </c>
      <c r="M198" s="7">
        <f t="shared" si="8"/>
        <v>5613</v>
      </c>
      <c r="N198" s="7">
        <f t="shared" si="9"/>
        <v>6234</v>
      </c>
      <c r="O198" s="2">
        <v>77</v>
      </c>
      <c r="P198" s="8">
        <f t="shared" si="10"/>
        <v>6311</v>
      </c>
      <c r="Q198" s="8">
        <f t="shared" si="11"/>
        <v>6157</v>
      </c>
      <c r="R198" s="2" t="s">
        <v>50</v>
      </c>
      <c r="S198" s="9">
        <f>VLOOKUP(P198,$T$2:U195,2,1)</f>
        <v>0.05</v>
      </c>
    </row>
    <row r="199" spans="1:19" x14ac:dyDescent="0.25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VLOOKUP(F199,'Customer Info'!A191:I690,2,0)</f>
        <v>Tony</v>
      </c>
      <c r="H199" s="6" t="str">
        <f>VLOOKUP(F199,'Customer Info'!A191:I690,3,0)</f>
        <v>Sayre</v>
      </c>
      <c r="I199" s="6" t="str">
        <f>VLOOKUP(F199,'Customer Info'!A191:I690,5,0)</f>
        <v>Bharatpur</v>
      </c>
      <c r="J199" s="2">
        <v>61</v>
      </c>
      <c r="K199" s="2">
        <v>57</v>
      </c>
      <c r="L199" s="2">
        <v>2</v>
      </c>
      <c r="M199" s="7">
        <f t="shared" si="8"/>
        <v>114</v>
      </c>
      <c r="N199" s="7">
        <f t="shared" si="9"/>
        <v>122</v>
      </c>
      <c r="O199" s="2">
        <v>10</v>
      </c>
      <c r="P199" s="8">
        <f t="shared" si="10"/>
        <v>132</v>
      </c>
      <c r="Q199" s="8">
        <f t="shared" si="11"/>
        <v>112</v>
      </c>
      <c r="R199" s="2" t="s">
        <v>28</v>
      </c>
      <c r="S199" s="9">
        <f>VLOOKUP(P199,$T$2:U196,2,1)</f>
        <v>0.02</v>
      </c>
    </row>
    <row r="200" spans="1:19" x14ac:dyDescent="0.25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VLOOKUP(F200,'Customer Info'!A192:I691,2,0)</f>
        <v>Julie</v>
      </c>
      <c r="H200" s="6" t="str">
        <f>VLOOKUP(F200,'Customer Info'!A192:I691,3,0)</f>
        <v>Creighton</v>
      </c>
      <c r="I200" s="6" t="str">
        <f>VLOOKUP(F200,'Customer Info'!A192:I691,5,0)</f>
        <v>Bandung</v>
      </c>
      <c r="J200" s="2">
        <v>63</v>
      </c>
      <c r="K200" s="2">
        <v>58</v>
      </c>
      <c r="L200" s="2">
        <v>6</v>
      </c>
      <c r="M200" s="7">
        <f t="shared" si="8"/>
        <v>348</v>
      </c>
      <c r="N200" s="7">
        <f t="shared" si="9"/>
        <v>378</v>
      </c>
      <c r="O200" s="2">
        <v>10</v>
      </c>
      <c r="P200" s="8">
        <f t="shared" si="10"/>
        <v>388</v>
      </c>
      <c r="Q200" s="8">
        <f t="shared" si="11"/>
        <v>368</v>
      </c>
      <c r="R200" s="2" t="s">
        <v>26</v>
      </c>
      <c r="S200" s="9">
        <f>VLOOKUP(P200,$T$2:U197,2,1)</f>
        <v>0.02</v>
      </c>
    </row>
    <row r="201" spans="1:19" x14ac:dyDescent="0.25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e">
        <f>VLOOKUP(F201,'Customer Info'!A193:I692,2,0)</f>
        <v>#N/A</v>
      </c>
      <c r="H201" s="6" t="e">
        <f>VLOOKUP(F201,'Customer Info'!A193:I692,3,0)</f>
        <v>#N/A</v>
      </c>
      <c r="I201" s="6" t="e">
        <f>VLOOKUP(F201,'Customer Info'!A193:I692,5,0)</f>
        <v>#N/A</v>
      </c>
      <c r="J201" s="2">
        <v>2857</v>
      </c>
      <c r="K201" s="2">
        <v>2622</v>
      </c>
      <c r="L201" s="2">
        <v>2</v>
      </c>
      <c r="M201" s="7">
        <f t="shared" si="8"/>
        <v>5244</v>
      </c>
      <c r="N201" s="7">
        <f t="shared" si="9"/>
        <v>5714</v>
      </c>
      <c r="O201" s="2">
        <v>76</v>
      </c>
      <c r="P201" s="8">
        <f t="shared" si="10"/>
        <v>5790</v>
      </c>
      <c r="Q201" s="8">
        <f t="shared" si="11"/>
        <v>5638</v>
      </c>
      <c r="R201" s="2" t="s">
        <v>28</v>
      </c>
      <c r="S201" s="9">
        <f>VLOOKUP(P201,$T$2:U198,2,1)</f>
        <v>0.05</v>
      </c>
    </row>
    <row r="202" spans="1:19" x14ac:dyDescent="0.25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VLOOKUP(F202,'Customer Info'!A194:I693,2,0)</f>
        <v>Ryan</v>
      </c>
      <c r="H202" s="6" t="str">
        <f>VLOOKUP(F202,'Customer Info'!A194:I693,3,0)</f>
        <v>Akin</v>
      </c>
      <c r="I202" s="6" t="str">
        <f>VLOOKUP(F202,'Customer Info'!A194:I693,5,0)</f>
        <v>Bayreuth</v>
      </c>
      <c r="J202" s="2">
        <v>1734</v>
      </c>
      <c r="K202" s="2">
        <v>1702</v>
      </c>
      <c r="L202" s="2">
        <v>7</v>
      </c>
      <c r="M202" s="7">
        <f t="shared" si="8"/>
        <v>11914</v>
      </c>
      <c r="N202" s="7">
        <f t="shared" si="9"/>
        <v>12138</v>
      </c>
      <c r="O202" s="2">
        <v>31</v>
      </c>
      <c r="P202" s="8">
        <f t="shared" si="10"/>
        <v>12169</v>
      </c>
      <c r="Q202" s="8">
        <f t="shared" si="11"/>
        <v>12107</v>
      </c>
      <c r="R202" s="2" t="s">
        <v>28</v>
      </c>
      <c r="S202" s="9">
        <f>VLOOKUP(P202,$T$2:U199,2,1)</f>
        <v>0.05</v>
      </c>
    </row>
    <row r="203" spans="1:19" x14ac:dyDescent="0.25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e">
        <f>VLOOKUP(F203,'Customer Info'!A195:I694,2,0)</f>
        <v>#N/A</v>
      </c>
      <c r="H203" s="6" t="e">
        <f>VLOOKUP(F203,'Customer Info'!A195:I694,3,0)</f>
        <v>#N/A</v>
      </c>
      <c r="I203" s="6" t="e">
        <f>VLOOKUP(F203,'Customer Info'!A195:I694,5,0)</f>
        <v>#N/A</v>
      </c>
      <c r="J203" s="2">
        <v>2242</v>
      </c>
      <c r="K203" s="2">
        <v>2075</v>
      </c>
      <c r="L203" s="2">
        <v>4</v>
      </c>
      <c r="M203" s="7">
        <f t="shared" ref="M203:M266" si="12">K203*L203</f>
        <v>8300</v>
      </c>
      <c r="N203" s="7">
        <f t="shared" ref="N203:N266" si="13">J203*L203</f>
        <v>8968</v>
      </c>
      <c r="O203" s="2">
        <v>94</v>
      </c>
      <c r="P203" s="8">
        <f t="shared" ref="P203:P266" si="14">SUM(N203,O203)</f>
        <v>9062</v>
      </c>
      <c r="Q203" s="8">
        <f t="shared" ref="Q203:Q266" si="15">N203-O203</f>
        <v>8874</v>
      </c>
      <c r="R203" s="2" t="s">
        <v>28</v>
      </c>
      <c r="S203" s="9">
        <f>VLOOKUP(P203,$T$2:U200,2,1)</f>
        <v>0.05</v>
      </c>
    </row>
    <row r="204" spans="1:19" x14ac:dyDescent="0.25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VLOOKUP(F204,'Customer Info'!A196:I695,2,0)</f>
        <v>Tony</v>
      </c>
      <c r="H204" s="6" t="str">
        <f>VLOOKUP(F204,'Customer Info'!A196:I695,3,0)</f>
        <v>Sayre</v>
      </c>
      <c r="I204" s="6" t="str">
        <f>VLOOKUP(F204,'Customer Info'!A196:I695,5,0)</f>
        <v>Bharatpur</v>
      </c>
      <c r="J204" s="2">
        <v>1321</v>
      </c>
      <c r="K204" s="2">
        <v>1211</v>
      </c>
      <c r="L204" s="2">
        <v>9</v>
      </c>
      <c r="M204" s="7">
        <f t="shared" si="12"/>
        <v>10899</v>
      </c>
      <c r="N204" s="7">
        <f t="shared" si="13"/>
        <v>11889</v>
      </c>
      <c r="O204" s="2">
        <v>82</v>
      </c>
      <c r="P204" s="8">
        <f t="shared" si="14"/>
        <v>11971</v>
      </c>
      <c r="Q204" s="8">
        <f t="shared" si="15"/>
        <v>11807</v>
      </c>
      <c r="R204" s="2" t="s">
        <v>28</v>
      </c>
      <c r="S204" s="9">
        <f>VLOOKUP(P204,$T$2:U201,2,1)</f>
        <v>0.05</v>
      </c>
    </row>
    <row r="205" spans="1:19" x14ac:dyDescent="0.25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e">
        <f>VLOOKUP(F205,'Customer Info'!A197:I696,2,0)</f>
        <v>#N/A</v>
      </c>
      <c r="H205" s="6" t="e">
        <f>VLOOKUP(F205,'Customer Info'!A197:I696,3,0)</f>
        <v>#N/A</v>
      </c>
      <c r="I205" s="6" t="e">
        <f>VLOOKUP(F205,'Customer Info'!A197:I696,5,0)</f>
        <v>#N/A</v>
      </c>
      <c r="J205" s="2">
        <v>8889</v>
      </c>
      <c r="K205" s="2">
        <v>8469</v>
      </c>
      <c r="L205" s="2">
        <v>2</v>
      </c>
      <c r="M205" s="7">
        <f t="shared" si="12"/>
        <v>16938</v>
      </c>
      <c r="N205" s="7">
        <f t="shared" si="13"/>
        <v>17778</v>
      </c>
      <c r="O205" s="2">
        <v>22</v>
      </c>
      <c r="P205" s="8">
        <f t="shared" si="14"/>
        <v>17800</v>
      </c>
      <c r="Q205" s="8">
        <f t="shared" si="15"/>
        <v>17756</v>
      </c>
      <c r="R205" s="2" t="s">
        <v>26</v>
      </c>
      <c r="S205" s="9">
        <f>VLOOKUP(P205,$T$2:U202,2,1)</f>
        <v>0.05</v>
      </c>
    </row>
    <row r="206" spans="1:19" x14ac:dyDescent="0.25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VLOOKUP(F206,'Customer Info'!A198:I697,2,0)</f>
        <v>Julie</v>
      </c>
      <c r="H206" s="6" t="str">
        <f>VLOOKUP(F206,'Customer Info'!A198:I697,3,0)</f>
        <v>Creighton</v>
      </c>
      <c r="I206" s="6" t="str">
        <f>VLOOKUP(F206,'Customer Info'!A198:I697,5,0)</f>
        <v>Ballarat</v>
      </c>
      <c r="J206" s="2">
        <v>726</v>
      </c>
      <c r="K206" s="2">
        <v>646</v>
      </c>
      <c r="L206" s="2">
        <v>6</v>
      </c>
      <c r="M206" s="7">
        <f t="shared" si="12"/>
        <v>3876</v>
      </c>
      <c r="N206" s="7">
        <f t="shared" si="13"/>
        <v>4356</v>
      </c>
      <c r="O206" s="2">
        <v>99</v>
      </c>
      <c r="P206" s="8">
        <f t="shared" si="14"/>
        <v>4455</v>
      </c>
      <c r="Q206" s="8">
        <f t="shared" si="15"/>
        <v>4257</v>
      </c>
      <c r="R206" s="2" t="s">
        <v>50</v>
      </c>
      <c r="S206" s="9">
        <f>VLOOKUP(P206,$T$2:U203,2,1)</f>
        <v>0.02</v>
      </c>
    </row>
    <row r="207" spans="1:19" x14ac:dyDescent="0.25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VLOOKUP(F207,'Customer Info'!A199:I698,2,0)</f>
        <v>Keith</v>
      </c>
      <c r="H207" s="6" t="str">
        <f>VLOOKUP(F207,'Customer Info'!A199:I698,3,0)</f>
        <v>Herrera</v>
      </c>
      <c r="I207" s="6" t="str">
        <f>VLOOKUP(F207,'Customer Info'!A199:I698,5,0)</f>
        <v>Jakarta</v>
      </c>
      <c r="J207" s="2">
        <v>8738</v>
      </c>
      <c r="K207" s="2">
        <v>8162</v>
      </c>
      <c r="L207" s="2">
        <v>2</v>
      </c>
      <c r="M207" s="7">
        <f t="shared" si="12"/>
        <v>16324</v>
      </c>
      <c r="N207" s="7">
        <f t="shared" si="13"/>
        <v>17476</v>
      </c>
      <c r="O207" s="2">
        <v>91</v>
      </c>
      <c r="P207" s="8">
        <f t="shared" si="14"/>
        <v>17567</v>
      </c>
      <c r="Q207" s="8">
        <f t="shared" si="15"/>
        <v>17385</v>
      </c>
      <c r="R207" s="2" t="s">
        <v>50</v>
      </c>
      <c r="S207" s="9">
        <f>VLOOKUP(P207,$T$2:U204,2,1)</f>
        <v>0.05</v>
      </c>
    </row>
    <row r="208" spans="1:19" x14ac:dyDescent="0.25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e">
        <f>VLOOKUP(F208,'Customer Info'!A200:I699,2,0)</f>
        <v>#N/A</v>
      </c>
      <c r="H208" s="6" t="e">
        <f>VLOOKUP(F208,'Customer Info'!A200:I699,3,0)</f>
        <v>#N/A</v>
      </c>
      <c r="I208" s="6" t="e">
        <f>VLOOKUP(F208,'Customer Info'!A200:I699,5,0)</f>
        <v>#N/A</v>
      </c>
      <c r="J208" s="2">
        <v>531</v>
      </c>
      <c r="K208" s="2">
        <v>487</v>
      </c>
      <c r="L208" s="2">
        <v>7</v>
      </c>
      <c r="M208" s="7">
        <f t="shared" si="12"/>
        <v>3409</v>
      </c>
      <c r="N208" s="7">
        <f t="shared" si="13"/>
        <v>3717</v>
      </c>
      <c r="O208" s="2">
        <v>85</v>
      </c>
      <c r="P208" s="8">
        <f t="shared" si="14"/>
        <v>3802</v>
      </c>
      <c r="Q208" s="8">
        <f t="shared" si="15"/>
        <v>3632</v>
      </c>
      <c r="R208" s="2" t="s">
        <v>50</v>
      </c>
      <c r="S208" s="9">
        <f>VLOOKUP(P208,$T$2:U205,2,1)</f>
        <v>0.02</v>
      </c>
    </row>
    <row r="209" spans="1:19" x14ac:dyDescent="0.25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VLOOKUP(F209,'Customer Info'!A201:I700,2,0)</f>
        <v>Lisa</v>
      </c>
      <c r="H209" s="6" t="str">
        <f>VLOOKUP(F209,'Customer Info'!A201:I700,3,0)</f>
        <v>DeCherney</v>
      </c>
      <c r="I209" s="6" t="str">
        <f>VLOOKUP(F209,'Customer Info'!A201:I700,5,0)</f>
        <v>Ningbo</v>
      </c>
      <c r="J209" s="2">
        <v>2155</v>
      </c>
      <c r="K209" s="2">
        <v>2014</v>
      </c>
      <c r="L209" s="2">
        <v>9</v>
      </c>
      <c r="M209" s="7">
        <f t="shared" si="12"/>
        <v>18126</v>
      </c>
      <c r="N209" s="7">
        <f t="shared" si="13"/>
        <v>19395</v>
      </c>
      <c r="O209" s="2">
        <v>91</v>
      </c>
      <c r="P209" s="8">
        <f t="shared" si="14"/>
        <v>19486</v>
      </c>
      <c r="Q209" s="8">
        <f t="shared" si="15"/>
        <v>19304</v>
      </c>
      <c r="R209" s="2" t="s">
        <v>28</v>
      </c>
      <c r="S209" s="9">
        <f>VLOOKUP(P209,$T$2:U206,2,1)</f>
        <v>0.05</v>
      </c>
    </row>
    <row r="210" spans="1:19" x14ac:dyDescent="0.25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VLOOKUP(F210,'Customer Info'!A202:I701,2,0)</f>
        <v>Laurel</v>
      </c>
      <c r="H210" s="6" t="str">
        <f>VLOOKUP(F210,'Customer Info'!A202:I701,3,0)</f>
        <v>Beltran</v>
      </c>
      <c r="I210" s="6" t="str">
        <f>VLOOKUP(F210,'Customer Info'!A202:I701,5,0)</f>
        <v>Bonn</v>
      </c>
      <c r="J210" s="2">
        <v>9033</v>
      </c>
      <c r="K210" s="2">
        <v>8132</v>
      </c>
      <c r="L210" s="2">
        <v>2</v>
      </c>
      <c r="M210" s="7">
        <f t="shared" si="12"/>
        <v>16264</v>
      </c>
      <c r="N210" s="7">
        <f t="shared" si="13"/>
        <v>18066</v>
      </c>
      <c r="O210" s="2">
        <v>98</v>
      </c>
      <c r="P210" s="8">
        <f t="shared" si="14"/>
        <v>18164</v>
      </c>
      <c r="Q210" s="8">
        <f t="shared" si="15"/>
        <v>17968</v>
      </c>
      <c r="R210" s="2" t="s">
        <v>28</v>
      </c>
      <c r="S210" s="9">
        <f>VLOOKUP(P210,$T$2:U207,2,1)</f>
        <v>0.05</v>
      </c>
    </row>
    <row r="211" spans="1:19" x14ac:dyDescent="0.25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VLOOKUP(F211,'Customer Info'!A203:I702,2,0)</f>
        <v>Roger</v>
      </c>
      <c r="H211" s="6" t="str">
        <f>VLOOKUP(F211,'Customer Info'!A203:I702,3,0)</f>
        <v>Demir</v>
      </c>
      <c r="I211" s="6" t="str">
        <f>VLOOKUP(F211,'Customer Info'!A203:I702,5,0)</f>
        <v>Wollongong</v>
      </c>
      <c r="J211" s="2">
        <v>495</v>
      </c>
      <c r="K211" s="2">
        <v>458</v>
      </c>
      <c r="L211" s="2">
        <v>2</v>
      </c>
      <c r="M211" s="7">
        <f t="shared" si="12"/>
        <v>916</v>
      </c>
      <c r="N211" s="7">
        <f t="shared" si="13"/>
        <v>990</v>
      </c>
      <c r="O211" s="2">
        <v>40</v>
      </c>
      <c r="P211" s="8">
        <f t="shared" si="14"/>
        <v>1030</v>
      </c>
      <c r="Q211" s="8">
        <f t="shared" si="15"/>
        <v>950</v>
      </c>
      <c r="R211" s="2" t="s">
        <v>26</v>
      </c>
      <c r="S211" s="9">
        <f>VLOOKUP(P211,$T$2:U208,2,1)</f>
        <v>0.02</v>
      </c>
    </row>
    <row r="212" spans="1:19" x14ac:dyDescent="0.25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VLOOKUP(F212,'Customer Info'!A204:I703,2,0)</f>
        <v>Ruben</v>
      </c>
      <c r="H212" s="6" t="str">
        <f>VLOOKUP(F212,'Customer Info'!A204:I703,3,0)</f>
        <v>Ausman</v>
      </c>
      <c r="I212" s="6" t="str">
        <f>VLOOKUP(F212,'Customer Info'!A204:I703,5,0)</f>
        <v>Sonneberg</v>
      </c>
      <c r="J212" s="2">
        <v>765</v>
      </c>
      <c r="K212" s="2">
        <v>701</v>
      </c>
      <c r="L212" s="2">
        <v>2</v>
      </c>
      <c r="M212" s="7">
        <f t="shared" si="12"/>
        <v>1402</v>
      </c>
      <c r="N212" s="7">
        <f t="shared" si="13"/>
        <v>1530</v>
      </c>
      <c r="O212" s="2">
        <v>83</v>
      </c>
      <c r="P212" s="8">
        <f t="shared" si="14"/>
        <v>1613</v>
      </c>
      <c r="Q212" s="8">
        <f t="shared" si="15"/>
        <v>1447</v>
      </c>
      <c r="R212" s="2" t="s">
        <v>28</v>
      </c>
      <c r="S212" s="9">
        <f>VLOOKUP(P212,$T$2:U209,2,1)</f>
        <v>0.02</v>
      </c>
    </row>
    <row r="213" spans="1:19" x14ac:dyDescent="0.25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VLOOKUP(F213,'Customer Info'!A205:I704,2,0)</f>
        <v>Lisa</v>
      </c>
      <c r="H213" s="6" t="str">
        <f>VLOOKUP(F213,'Customer Info'!A205:I704,3,0)</f>
        <v>Ryan</v>
      </c>
      <c r="I213" s="6" t="str">
        <f>VLOOKUP(F213,'Customer Info'!A205:I704,5,0)</f>
        <v>Berlin</v>
      </c>
      <c r="J213" s="2">
        <v>68</v>
      </c>
      <c r="K213" s="2">
        <v>63</v>
      </c>
      <c r="L213" s="2">
        <v>2</v>
      </c>
      <c r="M213" s="7">
        <f t="shared" si="12"/>
        <v>126</v>
      </c>
      <c r="N213" s="7">
        <f t="shared" si="13"/>
        <v>136</v>
      </c>
      <c r="O213" s="2">
        <v>10</v>
      </c>
      <c r="P213" s="8">
        <f t="shared" si="14"/>
        <v>146</v>
      </c>
      <c r="Q213" s="8">
        <f t="shared" si="15"/>
        <v>126</v>
      </c>
      <c r="R213" s="2" t="s">
        <v>50</v>
      </c>
      <c r="S213" s="9">
        <f>VLOOKUP(P213,$T$2:U210,2,1)</f>
        <v>0.02</v>
      </c>
    </row>
    <row r="214" spans="1:19" x14ac:dyDescent="0.25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VLOOKUP(F214,'Customer Info'!A206:I705,2,0)</f>
        <v>Troy</v>
      </c>
      <c r="H214" s="6" t="str">
        <f>VLOOKUP(F214,'Customer Info'!A206:I705,3,0)</f>
        <v>Staebel</v>
      </c>
      <c r="I214" s="6" t="str">
        <f>VLOOKUP(F214,'Customer Info'!A206:I705,5,0)</f>
        <v>Canberra</v>
      </c>
      <c r="J214" s="2">
        <v>7534</v>
      </c>
      <c r="K214" s="2">
        <v>7106</v>
      </c>
      <c r="L214" s="2">
        <v>4</v>
      </c>
      <c r="M214" s="7">
        <f t="shared" si="12"/>
        <v>28424</v>
      </c>
      <c r="N214" s="7">
        <f t="shared" si="13"/>
        <v>30136</v>
      </c>
      <c r="O214" s="2">
        <v>48</v>
      </c>
      <c r="P214" s="8">
        <f t="shared" si="14"/>
        <v>30184</v>
      </c>
      <c r="Q214" s="8">
        <f t="shared" si="15"/>
        <v>30088</v>
      </c>
      <c r="R214" s="2" t="s">
        <v>50</v>
      </c>
      <c r="S214" s="9">
        <f>VLOOKUP(P214,$T$2:U211,2,1)</f>
        <v>7.0000000000000007E-2</v>
      </c>
    </row>
    <row r="215" spans="1:19" x14ac:dyDescent="0.25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VLOOKUP(F215,'Customer Info'!A207:I706,2,0)</f>
        <v>Nicole</v>
      </c>
      <c r="H215" s="6" t="str">
        <f>VLOOKUP(F215,'Customer Info'!A207:I706,3,0)</f>
        <v>Fjeld</v>
      </c>
      <c r="I215" s="6" t="str">
        <f>VLOOKUP(F215,'Customer Info'!A207:I706,5,0)</f>
        <v>Berlin</v>
      </c>
      <c r="J215" s="2">
        <v>3341</v>
      </c>
      <c r="K215" s="2">
        <v>3152</v>
      </c>
      <c r="L215" s="2">
        <v>2</v>
      </c>
      <c r="M215" s="7">
        <f t="shared" si="12"/>
        <v>6304</v>
      </c>
      <c r="N215" s="7">
        <f t="shared" si="13"/>
        <v>6682</v>
      </c>
      <c r="O215" s="2">
        <v>92</v>
      </c>
      <c r="P215" s="8">
        <f t="shared" si="14"/>
        <v>6774</v>
      </c>
      <c r="Q215" s="8">
        <f t="shared" si="15"/>
        <v>6590</v>
      </c>
      <c r="R215" s="2" t="s">
        <v>28</v>
      </c>
      <c r="S215" s="9">
        <f>VLOOKUP(P215,$T$2:U212,2,1)</f>
        <v>0.05</v>
      </c>
    </row>
    <row r="216" spans="1:19" x14ac:dyDescent="0.25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e">
        <f>VLOOKUP(F216,'Customer Info'!A208:I707,2,0)</f>
        <v>#N/A</v>
      </c>
      <c r="H216" s="6" t="e">
        <f>VLOOKUP(F216,'Customer Info'!A208:I707,3,0)</f>
        <v>#N/A</v>
      </c>
      <c r="I216" s="6" t="e">
        <f>VLOOKUP(F216,'Customer Info'!A208:I707,5,0)</f>
        <v>#N/A</v>
      </c>
      <c r="J216" s="2">
        <v>914</v>
      </c>
      <c r="K216" s="2">
        <v>830</v>
      </c>
      <c r="L216" s="2">
        <v>8</v>
      </c>
      <c r="M216" s="7">
        <f t="shared" si="12"/>
        <v>6640</v>
      </c>
      <c r="N216" s="7">
        <f t="shared" si="13"/>
        <v>7312</v>
      </c>
      <c r="O216" s="2">
        <v>88</v>
      </c>
      <c r="P216" s="8">
        <f t="shared" si="14"/>
        <v>7400</v>
      </c>
      <c r="Q216" s="8">
        <f t="shared" si="15"/>
        <v>7224</v>
      </c>
      <c r="R216" s="2" t="s">
        <v>28</v>
      </c>
      <c r="S216" s="9">
        <f>VLOOKUP(P216,$T$2:U213,2,1)</f>
        <v>0.05</v>
      </c>
    </row>
    <row r="217" spans="1:19" x14ac:dyDescent="0.25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VLOOKUP(F217,'Customer Info'!A209:I708,2,0)</f>
        <v>Peter</v>
      </c>
      <c r="H217" s="6" t="str">
        <f>VLOOKUP(F217,'Customer Info'!A209:I708,3,0)</f>
        <v>McVee</v>
      </c>
      <c r="I217" s="6" t="str">
        <f>VLOOKUP(F217,'Customer Info'!A209:I708,5,0)</f>
        <v>Hamburg</v>
      </c>
      <c r="J217" s="2">
        <v>666</v>
      </c>
      <c r="K217" s="2">
        <v>641</v>
      </c>
      <c r="L217" s="2">
        <v>2</v>
      </c>
      <c r="M217" s="7">
        <f t="shared" si="12"/>
        <v>1282</v>
      </c>
      <c r="N217" s="7">
        <f t="shared" si="13"/>
        <v>1332</v>
      </c>
      <c r="O217" s="2">
        <v>45</v>
      </c>
      <c r="P217" s="8">
        <f t="shared" si="14"/>
        <v>1377</v>
      </c>
      <c r="Q217" s="8">
        <f t="shared" si="15"/>
        <v>1287</v>
      </c>
      <c r="R217" s="2" t="s">
        <v>28</v>
      </c>
      <c r="S217" s="9">
        <f>VLOOKUP(P217,$T$2:U214,2,1)</f>
        <v>0.02</v>
      </c>
    </row>
    <row r="218" spans="1:19" x14ac:dyDescent="0.25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e">
        <f>VLOOKUP(F218,'Customer Info'!A210:I709,2,0)</f>
        <v>#N/A</v>
      </c>
      <c r="H218" s="6" t="e">
        <f>VLOOKUP(F218,'Customer Info'!A210:I709,3,0)</f>
        <v>#N/A</v>
      </c>
      <c r="I218" s="6" t="e">
        <f>VLOOKUP(F218,'Customer Info'!A210:I709,5,0)</f>
        <v>#N/A</v>
      </c>
      <c r="J218" s="2">
        <v>445</v>
      </c>
      <c r="K218" s="2">
        <v>415</v>
      </c>
      <c r="L218" s="2">
        <v>2</v>
      </c>
      <c r="M218" s="7">
        <f t="shared" si="12"/>
        <v>830</v>
      </c>
      <c r="N218" s="7">
        <f t="shared" si="13"/>
        <v>890</v>
      </c>
      <c r="O218" s="2">
        <v>92</v>
      </c>
      <c r="P218" s="8">
        <f t="shared" si="14"/>
        <v>982</v>
      </c>
      <c r="Q218" s="8">
        <f t="shared" si="15"/>
        <v>798</v>
      </c>
      <c r="R218" s="2" t="s">
        <v>28</v>
      </c>
      <c r="S218" s="9">
        <f>VLOOKUP(P218,$T$2:U215,2,1)</f>
        <v>0.02</v>
      </c>
    </row>
    <row r="219" spans="1:19" x14ac:dyDescent="0.25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VLOOKUP(F219,'Customer Info'!A211:I710,2,0)</f>
        <v>Lisa</v>
      </c>
      <c r="H219" s="6" t="str">
        <f>VLOOKUP(F219,'Customer Info'!A211:I710,3,0)</f>
        <v>DeCherney</v>
      </c>
      <c r="I219" s="6" t="str">
        <f>VLOOKUP(F219,'Customer Info'!A211:I710,5,0)</f>
        <v>Sydney</v>
      </c>
      <c r="J219" s="2">
        <v>1113</v>
      </c>
      <c r="K219" s="2">
        <v>1040</v>
      </c>
      <c r="L219" s="2">
        <v>2</v>
      </c>
      <c r="M219" s="7">
        <f t="shared" si="12"/>
        <v>2080</v>
      </c>
      <c r="N219" s="7">
        <f t="shared" si="13"/>
        <v>2226</v>
      </c>
      <c r="O219" s="2">
        <v>93</v>
      </c>
      <c r="P219" s="8">
        <f t="shared" si="14"/>
        <v>2319</v>
      </c>
      <c r="Q219" s="8">
        <f t="shared" si="15"/>
        <v>2133</v>
      </c>
      <c r="R219" s="2" t="s">
        <v>28</v>
      </c>
      <c r="S219" s="9">
        <f>VLOOKUP(P219,$T$2:U216,2,1)</f>
        <v>0.02</v>
      </c>
    </row>
    <row r="220" spans="1:19" x14ac:dyDescent="0.25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VLOOKUP(F220,'Customer Info'!A212:I711,2,0)</f>
        <v>Valerie</v>
      </c>
      <c r="H220" s="6" t="str">
        <f>VLOOKUP(F220,'Customer Info'!A212:I711,3,0)</f>
        <v>Mitchum</v>
      </c>
      <c r="I220" s="6" t="str">
        <f>VLOOKUP(F220,'Customer Info'!A212:I711,5,0)</f>
        <v>Chengdu</v>
      </c>
      <c r="J220" s="2">
        <v>2296</v>
      </c>
      <c r="K220" s="2">
        <v>2146</v>
      </c>
      <c r="L220" s="2">
        <v>3</v>
      </c>
      <c r="M220" s="7">
        <f t="shared" si="12"/>
        <v>6438</v>
      </c>
      <c r="N220" s="7">
        <f t="shared" si="13"/>
        <v>6888</v>
      </c>
      <c r="O220" s="2">
        <v>23</v>
      </c>
      <c r="P220" s="8">
        <f t="shared" si="14"/>
        <v>6911</v>
      </c>
      <c r="Q220" s="8">
        <f t="shared" si="15"/>
        <v>6865</v>
      </c>
      <c r="R220" s="2" t="s">
        <v>50</v>
      </c>
      <c r="S220" s="9">
        <f>VLOOKUP(P220,$T$2:U217,2,1)</f>
        <v>0.05</v>
      </c>
    </row>
    <row r="221" spans="1:19" x14ac:dyDescent="0.25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VLOOKUP(F221,'Customer Info'!A213:I712,2,0)</f>
        <v>Jessica</v>
      </c>
      <c r="H221" s="6" t="str">
        <f>VLOOKUP(F221,'Customer Info'!A213:I712,3,0)</f>
        <v>Myrick</v>
      </c>
      <c r="I221" s="6" t="str">
        <f>VLOOKUP(F221,'Customer Info'!A213:I712,5,0)</f>
        <v>Krefeld</v>
      </c>
      <c r="J221" s="2">
        <v>2088</v>
      </c>
      <c r="K221" s="2">
        <v>1970</v>
      </c>
      <c r="L221" s="2">
        <v>3</v>
      </c>
      <c r="M221" s="7">
        <f t="shared" si="12"/>
        <v>5910</v>
      </c>
      <c r="N221" s="7">
        <f t="shared" si="13"/>
        <v>6264</v>
      </c>
      <c r="O221" s="2">
        <v>74</v>
      </c>
      <c r="P221" s="8">
        <f t="shared" si="14"/>
        <v>6338</v>
      </c>
      <c r="Q221" s="8">
        <f t="shared" si="15"/>
        <v>6190</v>
      </c>
      <c r="R221" s="2" t="s">
        <v>50</v>
      </c>
      <c r="S221" s="9">
        <f>VLOOKUP(P221,$T$2:U218,2,1)</f>
        <v>0.05</v>
      </c>
    </row>
    <row r="222" spans="1:19" x14ac:dyDescent="0.25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VLOOKUP(F222,'Customer Info'!A214:I713,2,0)</f>
        <v>Joy</v>
      </c>
      <c r="H222" s="6" t="str">
        <f>VLOOKUP(F222,'Customer Info'!A214:I713,3,0)</f>
        <v>Bell</v>
      </c>
      <c r="I222" s="6" t="str">
        <f>VLOOKUP(F222,'Customer Info'!A214:I713,5,0)</f>
        <v>Tongchuan</v>
      </c>
      <c r="J222" s="2">
        <v>140</v>
      </c>
      <c r="K222" s="2">
        <v>137</v>
      </c>
      <c r="L222" s="2">
        <v>6</v>
      </c>
      <c r="M222" s="7">
        <f t="shared" si="12"/>
        <v>822</v>
      </c>
      <c r="N222" s="7">
        <f t="shared" si="13"/>
        <v>840</v>
      </c>
      <c r="O222" s="2">
        <v>30</v>
      </c>
      <c r="P222" s="8">
        <f t="shared" si="14"/>
        <v>870</v>
      </c>
      <c r="Q222" s="8">
        <f t="shared" si="15"/>
        <v>810</v>
      </c>
      <c r="R222" s="2" t="s">
        <v>50</v>
      </c>
      <c r="S222" s="9">
        <f>VLOOKUP(P222,$T$2:U219,2,1)</f>
        <v>0.02</v>
      </c>
    </row>
    <row r="223" spans="1:19" x14ac:dyDescent="0.25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VLOOKUP(F223,'Customer Info'!A215:I714,2,0)</f>
        <v>Rob</v>
      </c>
      <c r="H223" s="6" t="str">
        <f>VLOOKUP(F223,'Customer Info'!A215:I714,3,0)</f>
        <v>Williams</v>
      </c>
      <c r="I223" s="6" t="str">
        <f>VLOOKUP(F223,'Customer Info'!A215:I714,5,0)</f>
        <v>Wodonga</v>
      </c>
      <c r="J223" s="2">
        <v>1518</v>
      </c>
      <c r="K223" s="2">
        <v>1392</v>
      </c>
      <c r="L223" s="2">
        <v>2</v>
      </c>
      <c r="M223" s="7">
        <f t="shared" si="12"/>
        <v>2784</v>
      </c>
      <c r="N223" s="7">
        <f t="shared" si="13"/>
        <v>3036</v>
      </c>
      <c r="O223" s="2">
        <v>100</v>
      </c>
      <c r="P223" s="8">
        <f t="shared" si="14"/>
        <v>3136</v>
      </c>
      <c r="Q223" s="8">
        <f t="shared" si="15"/>
        <v>2936</v>
      </c>
      <c r="R223" s="2" t="s">
        <v>28</v>
      </c>
      <c r="S223" s="9">
        <f>VLOOKUP(P223,$T$2:U220,2,1)</f>
        <v>0.02</v>
      </c>
    </row>
    <row r="224" spans="1:19" x14ac:dyDescent="0.25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VLOOKUP(F224,'Customer Info'!A216:I715,2,0)</f>
        <v>Troy</v>
      </c>
      <c r="H224" s="6" t="str">
        <f>VLOOKUP(F224,'Customer Info'!A216:I715,3,0)</f>
        <v>Blackwell</v>
      </c>
      <c r="I224" s="6" t="str">
        <f>VLOOKUP(F224,'Customer Info'!A216:I715,5,0)</f>
        <v>Akola</v>
      </c>
      <c r="J224" s="2">
        <v>2627</v>
      </c>
      <c r="K224" s="2">
        <v>2528</v>
      </c>
      <c r="L224" s="2">
        <v>4</v>
      </c>
      <c r="M224" s="7">
        <f t="shared" si="12"/>
        <v>10112</v>
      </c>
      <c r="N224" s="7">
        <f t="shared" si="13"/>
        <v>10508</v>
      </c>
      <c r="O224" s="2">
        <v>100</v>
      </c>
      <c r="P224" s="8">
        <f t="shared" si="14"/>
        <v>10608</v>
      </c>
      <c r="Q224" s="8">
        <f t="shared" si="15"/>
        <v>10408</v>
      </c>
      <c r="R224" s="2" t="s">
        <v>28</v>
      </c>
      <c r="S224" s="9">
        <f>VLOOKUP(P224,$T$2:U221,2,1)</f>
        <v>0.05</v>
      </c>
    </row>
    <row r="225" spans="1:19" x14ac:dyDescent="0.25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e">
        <f>VLOOKUP(F225,'Customer Info'!A217:I716,2,0)</f>
        <v>#N/A</v>
      </c>
      <c r="H225" s="6" t="e">
        <f>VLOOKUP(F225,'Customer Info'!A217:I716,3,0)</f>
        <v>#N/A</v>
      </c>
      <c r="I225" s="6" t="e">
        <f>VLOOKUP(F225,'Customer Info'!A217:I716,5,0)</f>
        <v>#N/A</v>
      </c>
      <c r="J225" s="2">
        <v>128</v>
      </c>
      <c r="K225" s="2">
        <v>115</v>
      </c>
      <c r="L225" s="2">
        <v>2</v>
      </c>
      <c r="M225" s="7">
        <f t="shared" si="12"/>
        <v>230</v>
      </c>
      <c r="N225" s="7">
        <f t="shared" si="13"/>
        <v>256</v>
      </c>
      <c r="O225" s="2">
        <v>30</v>
      </c>
      <c r="P225" s="8">
        <f t="shared" si="14"/>
        <v>286</v>
      </c>
      <c r="Q225" s="8">
        <f t="shared" si="15"/>
        <v>226</v>
      </c>
      <c r="R225" s="2" t="s">
        <v>28</v>
      </c>
      <c r="S225" s="9">
        <f>VLOOKUP(P225,$T$2:U222,2,1)</f>
        <v>0.02</v>
      </c>
    </row>
    <row r="226" spans="1:19" x14ac:dyDescent="0.25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VLOOKUP(F226,'Customer Info'!A218:I717,2,0)</f>
        <v>Troy</v>
      </c>
      <c r="H226" s="6" t="str">
        <f>VLOOKUP(F226,'Customer Info'!A218:I717,3,0)</f>
        <v>Staebel</v>
      </c>
      <c r="I226" s="6" t="str">
        <f>VLOOKUP(F226,'Customer Info'!A218:I717,5,0)</f>
        <v>Canberra</v>
      </c>
      <c r="J226" s="2">
        <v>3192</v>
      </c>
      <c r="K226" s="2">
        <v>3011</v>
      </c>
      <c r="L226" s="2">
        <v>7</v>
      </c>
      <c r="M226" s="7">
        <f t="shared" si="12"/>
        <v>21077</v>
      </c>
      <c r="N226" s="7">
        <f t="shared" si="13"/>
        <v>22344</v>
      </c>
      <c r="O226" s="2">
        <v>24</v>
      </c>
      <c r="P226" s="8">
        <f t="shared" si="14"/>
        <v>22368</v>
      </c>
      <c r="Q226" s="8">
        <f t="shared" si="15"/>
        <v>22320</v>
      </c>
      <c r="R226" s="2" t="s">
        <v>28</v>
      </c>
      <c r="S226" s="9">
        <f>VLOOKUP(P226,$T$2:U223,2,1)</f>
        <v>0.05</v>
      </c>
    </row>
    <row r="227" spans="1:19" x14ac:dyDescent="0.25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VLOOKUP(F227,'Customer Info'!A219:I718,2,0)</f>
        <v>Pauline</v>
      </c>
      <c r="H227" s="6" t="str">
        <f>VLOOKUP(F227,'Customer Info'!A219:I718,3,0)</f>
        <v>Chand</v>
      </c>
      <c r="I227" s="6" t="str">
        <f>VLOOKUP(F227,'Customer Info'!A219:I718,5,0)</f>
        <v>Perth</v>
      </c>
      <c r="J227" s="2">
        <v>119</v>
      </c>
      <c r="K227" s="2">
        <v>112</v>
      </c>
      <c r="L227" s="2">
        <v>2</v>
      </c>
      <c r="M227" s="7">
        <f t="shared" si="12"/>
        <v>224</v>
      </c>
      <c r="N227" s="7">
        <f t="shared" si="13"/>
        <v>238</v>
      </c>
      <c r="O227" s="2">
        <v>30</v>
      </c>
      <c r="P227" s="8">
        <f t="shared" si="14"/>
        <v>268</v>
      </c>
      <c r="Q227" s="8">
        <f t="shared" si="15"/>
        <v>208</v>
      </c>
      <c r="R227" s="2" t="s">
        <v>28</v>
      </c>
      <c r="S227" s="9">
        <f>VLOOKUP(P227,$T$2:U224,2,1)</f>
        <v>0.02</v>
      </c>
    </row>
    <row r="228" spans="1:19" x14ac:dyDescent="0.25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VLOOKUP(F228,'Customer Info'!A220:I719,2,0)</f>
        <v>Ritsa</v>
      </c>
      <c r="H228" s="6" t="str">
        <f>VLOOKUP(F228,'Customer Info'!A220:I719,3,0)</f>
        <v>Hightower</v>
      </c>
      <c r="I228" s="6" t="str">
        <f>VLOOKUP(F228,'Customer Info'!A220:I719,5,0)</f>
        <v>Hamburg</v>
      </c>
      <c r="J228" s="2">
        <v>2644</v>
      </c>
      <c r="K228" s="2">
        <v>2425</v>
      </c>
      <c r="L228" s="2">
        <v>3</v>
      </c>
      <c r="M228" s="7">
        <f t="shared" si="12"/>
        <v>7275</v>
      </c>
      <c r="N228" s="7">
        <f t="shared" si="13"/>
        <v>7932</v>
      </c>
      <c r="O228" s="2">
        <v>84</v>
      </c>
      <c r="P228" s="8">
        <f t="shared" si="14"/>
        <v>8016</v>
      </c>
      <c r="Q228" s="8">
        <f t="shared" si="15"/>
        <v>7848</v>
      </c>
      <c r="R228" s="2" t="s">
        <v>28</v>
      </c>
      <c r="S228" s="9">
        <f>VLOOKUP(P228,$T$2:U225,2,1)</f>
        <v>0.05</v>
      </c>
    </row>
    <row r="229" spans="1:19" x14ac:dyDescent="0.25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VLOOKUP(F229,'Customer Info'!A221:I720,2,0)</f>
        <v>Peter</v>
      </c>
      <c r="H229" s="6" t="str">
        <f>VLOOKUP(F229,'Customer Info'!A221:I720,3,0)</f>
        <v>McVee</v>
      </c>
      <c r="I229" s="6" t="str">
        <f>VLOOKUP(F229,'Customer Info'!A221:I720,5,0)</f>
        <v>Hamburg</v>
      </c>
      <c r="J229" s="2">
        <v>142</v>
      </c>
      <c r="K229" s="2">
        <v>134</v>
      </c>
      <c r="L229" s="2">
        <v>6</v>
      </c>
      <c r="M229" s="7">
        <f t="shared" si="12"/>
        <v>804</v>
      </c>
      <c r="N229" s="7">
        <f t="shared" si="13"/>
        <v>852</v>
      </c>
      <c r="O229" s="2">
        <v>30</v>
      </c>
      <c r="P229" s="8">
        <f t="shared" si="14"/>
        <v>882</v>
      </c>
      <c r="Q229" s="8">
        <f t="shared" si="15"/>
        <v>822</v>
      </c>
      <c r="R229" s="2" t="s">
        <v>28</v>
      </c>
      <c r="S229" s="9">
        <f>VLOOKUP(P229,$T$2:U226,2,1)</f>
        <v>0.02</v>
      </c>
    </row>
    <row r="230" spans="1:19" x14ac:dyDescent="0.25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e">
        <f>VLOOKUP(F230,'Customer Info'!A222:I721,2,0)</f>
        <v>#N/A</v>
      </c>
      <c r="H230" s="6" t="e">
        <f>VLOOKUP(F230,'Customer Info'!A222:I721,3,0)</f>
        <v>#N/A</v>
      </c>
      <c r="I230" s="6" t="e">
        <f>VLOOKUP(F230,'Customer Info'!A222:I721,5,0)</f>
        <v>#N/A</v>
      </c>
      <c r="J230" s="2">
        <v>3108</v>
      </c>
      <c r="K230" s="2">
        <v>2882</v>
      </c>
      <c r="L230" s="2">
        <v>6</v>
      </c>
      <c r="M230" s="7">
        <f t="shared" si="12"/>
        <v>17292</v>
      </c>
      <c r="N230" s="7">
        <f t="shared" si="13"/>
        <v>18648</v>
      </c>
      <c r="O230" s="2">
        <v>74</v>
      </c>
      <c r="P230" s="8">
        <f t="shared" si="14"/>
        <v>18722</v>
      </c>
      <c r="Q230" s="8">
        <f t="shared" si="15"/>
        <v>18574</v>
      </c>
      <c r="R230" s="2" t="s">
        <v>28</v>
      </c>
      <c r="S230" s="9">
        <f>VLOOKUP(P230,$T$2:U227,2,1)</f>
        <v>0.05</v>
      </c>
    </row>
    <row r="231" spans="1:19" x14ac:dyDescent="0.25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e">
        <f>VLOOKUP(F231,'Customer Info'!A223:I722,2,0)</f>
        <v>#N/A</v>
      </c>
      <c r="H231" s="6" t="e">
        <f>VLOOKUP(F231,'Customer Info'!A223:I722,3,0)</f>
        <v>#N/A</v>
      </c>
      <c r="I231" s="6" t="e">
        <f>VLOOKUP(F231,'Customer Info'!A223:I722,5,0)</f>
        <v>#N/A</v>
      </c>
      <c r="J231" s="2">
        <v>2627</v>
      </c>
      <c r="K231" s="2">
        <v>2528</v>
      </c>
      <c r="L231" s="2">
        <v>2</v>
      </c>
      <c r="M231" s="7">
        <f t="shared" si="12"/>
        <v>5056</v>
      </c>
      <c r="N231" s="7">
        <f t="shared" si="13"/>
        <v>5254</v>
      </c>
      <c r="O231" s="2">
        <v>67</v>
      </c>
      <c r="P231" s="8">
        <f t="shared" si="14"/>
        <v>5321</v>
      </c>
      <c r="Q231" s="8">
        <f t="shared" si="15"/>
        <v>5187</v>
      </c>
      <c r="R231" s="2" t="s">
        <v>28</v>
      </c>
      <c r="S231" s="9">
        <f>VLOOKUP(P231,$T$2:U228,2,1)</f>
        <v>0.05</v>
      </c>
    </row>
    <row r="232" spans="1:19" x14ac:dyDescent="0.25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e">
        <f>VLOOKUP(F232,'Customer Info'!A224:I723,2,0)</f>
        <v>#N/A</v>
      </c>
      <c r="H232" s="6" t="e">
        <f>VLOOKUP(F232,'Customer Info'!A224:I723,3,0)</f>
        <v>#N/A</v>
      </c>
      <c r="I232" s="6" t="e">
        <f>VLOOKUP(F232,'Customer Info'!A224:I723,5,0)</f>
        <v>#N/A</v>
      </c>
      <c r="J232" s="2">
        <v>1809</v>
      </c>
      <c r="K232" s="2">
        <v>1691</v>
      </c>
      <c r="L232" s="2">
        <v>2</v>
      </c>
      <c r="M232" s="7">
        <f t="shared" si="12"/>
        <v>3382</v>
      </c>
      <c r="N232" s="7">
        <f t="shared" si="13"/>
        <v>3618</v>
      </c>
      <c r="O232" s="2">
        <v>70</v>
      </c>
      <c r="P232" s="8">
        <f t="shared" si="14"/>
        <v>3688</v>
      </c>
      <c r="Q232" s="8">
        <f t="shared" si="15"/>
        <v>3548</v>
      </c>
      <c r="R232" s="2" t="s">
        <v>56</v>
      </c>
      <c r="S232" s="9">
        <f>VLOOKUP(P232,$T$2:U229,2,1)</f>
        <v>0.02</v>
      </c>
    </row>
    <row r="233" spans="1:19" x14ac:dyDescent="0.25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VLOOKUP(F233,'Customer Info'!A225:I724,2,0)</f>
        <v>Toby</v>
      </c>
      <c r="H233" s="6" t="str">
        <f>VLOOKUP(F233,'Customer Info'!A225:I724,3,0)</f>
        <v>Braunhardt</v>
      </c>
      <c r="I233" s="6" t="str">
        <f>VLOOKUP(F233,'Customer Info'!A225:I724,5,0)</f>
        <v>Perth</v>
      </c>
      <c r="J233" s="2">
        <v>1916</v>
      </c>
      <c r="K233" s="2">
        <v>1844</v>
      </c>
      <c r="L233" s="2">
        <v>8</v>
      </c>
      <c r="M233" s="7">
        <f t="shared" si="12"/>
        <v>14752</v>
      </c>
      <c r="N233" s="7">
        <f t="shared" si="13"/>
        <v>15328</v>
      </c>
      <c r="O233" s="2">
        <v>24</v>
      </c>
      <c r="P233" s="8">
        <f t="shared" si="14"/>
        <v>15352</v>
      </c>
      <c r="Q233" s="8">
        <f t="shared" si="15"/>
        <v>15304</v>
      </c>
      <c r="R233" s="2" t="s">
        <v>28</v>
      </c>
      <c r="S233" s="9">
        <f>VLOOKUP(P233,$T$2:U230,2,1)</f>
        <v>0.05</v>
      </c>
    </row>
    <row r="234" spans="1:19" x14ac:dyDescent="0.25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e">
        <f>VLOOKUP(F234,'Customer Info'!A226:I725,2,0)</f>
        <v>#N/A</v>
      </c>
      <c r="H234" s="6" t="e">
        <f>VLOOKUP(F234,'Customer Info'!A226:I725,3,0)</f>
        <v>#N/A</v>
      </c>
      <c r="I234" s="6" t="e">
        <f>VLOOKUP(F234,'Customer Info'!A226:I725,5,0)</f>
        <v>#N/A</v>
      </c>
      <c r="J234" s="2">
        <v>142</v>
      </c>
      <c r="K234" s="2">
        <v>134</v>
      </c>
      <c r="L234" s="2">
        <v>2</v>
      </c>
      <c r="M234" s="7">
        <f t="shared" si="12"/>
        <v>268</v>
      </c>
      <c r="N234" s="7">
        <f t="shared" si="13"/>
        <v>284</v>
      </c>
      <c r="O234" s="2">
        <v>30</v>
      </c>
      <c r="P234" s="8">
        <f t="shared" si="14"/>
        <v>314</v>
      </c>
      <c r="Q234" s="8">
        <f t="shared" si="15"/>
        <v>254</v>
      </c>
      <c r="R234" s="2" t="s">
        <v>28</v>
      </c>
      <c r="S234" s="9">
        <f>VLOOKUP(P234,$T$2:U231,2,1)</f>
        <v>0.02</v>
      </c>
    </row>
    <row r="235" spans="1:19" x14ac:dyDescent="0.25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VLOOKUP(F235,'Customer Info'!A227:I726,2,0)</f>
        <v>Sheri</v>
      </c>
      <c r="H235" s="6" t="str">
        <f>VLOOKUP(F235,'Customer Info'!A227:I726,3,0)</f>
        <v>Gordon</v>
      </c>
      <c r="I235" s="6" t="str">
        <f>VLOOKUP(F235,'Customer Info'!A227:I726,5,0)</f>
        <v>Bogor</v>
      </c>
      <c r="J235" s="2">
        <v>1703</v>
      </c>
      <c r="K235" s="2">
        <v>1639</v>
      </c>
      <c r="L235" s="2">
        <v>1</v>
      </c>
      <c r="M235" s="7">
        <f t="shared" si="12"/>
        <v>1639</v>
      </c>
      <c r="N235" s="7">
        <f t="shared" si="13"/>
        <v>1703</v>
      </c>
      <c r="O235" s="2">
        <v>41</v>
      </c>
      <c r="P235" s="8">
        <f t="shared" si="14"/>
        <v>1744</v>
      </c>
      <c r="Q235" s="8">
        <f t="shared" si="15"/>
        <v>1662</v>
      </c>
      <c r="R235" s="2" t="s">
        <v>28</v>
      </c>
      <c r="S235" s="9">
        <f>VLOOKUP(P235,$T$2:U232,2,1)</f>
        <v>0.02</v>
      </c>
    </row>
    <row r="236" spans="1:19" x14ac:dyDescent="0.25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VLOOKUP(F236,'Customer Info'!A228:I727,2,0)</f>
        <v>Mike</v>
      </c>
      <c r="H236" s="6" t="str">
        <f>VLOOKUP(F236,'Customer Info'!A228:I727,3,0)</f>
        <v>Pelletier</v>
      </c>
      <c r="I236" s="6" t="str">
        <f>VLOOKUP(F236,'Customer Info'!A228:I727,5,0)</f>
        <v>Gorakhpur</v>
      </c>
      <c r="J236" s="2">
        <v>2310</v>
      </c>
      <c r="K236" s="2">
        <v>2040</v>
      </c>
      <c r="L236" s="2">
        <v>2</v>
      </c>
      <c r="M236" s="7">
        <f t="shared" si="12"/>
        <v>4080</v>
      </c>
      <c r="N236" s="7">
        <f t="shared" si="13"/>
        <v>4620</v>
      </c>
      <c r="O236" s="2">
        <v>78</v>
      </c>
      <c r="P236" s="8">
        <f t="shared" si="14"/>
        <v>4698</v>
      </c>
      <c r="Q236" s="8">
        <f t="shared" si="15"/>
        <v>4542</v>
      </c>
      <c r="R236" s="2" t="s">
        <v>50</v>
      </c>
      <c r="S236" s="9">
        <f>VLOOKUP(P236,$T$2:U233,2,1)</f>
        <v>0.02</v>
      </c>
    </row>
    <row r="237" spans="1:19" x14ac:dyDescent="0.25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e">
        <f>VLOOKUP(F237,'Customer Info'!A229:I728,2,0)</f>
        <v>#N/A</v>
      </c>
      <c r="H237" s="6" t="e">
        <f>VLOOKUP(F237,'Customer Info'!A229:I728,3,0)</f>
        <v>#N/A</v>
      </c>
      <c r="I237" s="6" t="e">
        <f>VLOOKUP(F237,'Customer Info'!A229:I728,5,0)</f>
        <v>#N/A</v>
      </c>
      <c r="J237" s="2">
        <v>2874</v>
      </c>
      <c r="K237" s="2">
        <v>2583</v>
      </c>
      <c r="L237" s="2">
        <v>2</v>
      </c>
      <c r="M237" s="7">
        <f t="shared" si="12"/>
        <v>5166</v>
      </c>
      <c r="N237" s="7">
        <f t="shared" si="13"/>
        <v>5748</v>
      </c>
      <c r="O237" s="2">
        <v>64</v>
      </c>
      <c r="P237" s="8">
        <f t="shared" si="14"/>
        <v>5812</v>
      </c>
      <c r="Q237" s="8">
        <f t="shared" si="15"/>
        <v>5684</v>
      </c>
      <c r="R237" s="2" t="s">
        <v>28</v>
      </c>
      <c r="S237" s="9">
        <f>VLOOKUP(P237,$T$2:U234,2,1)</f>
        <v>0.05</v>
      </c>
    </row>
    <row r="238" spans="1:19" x14ac:dyDescent="0.25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e">
        <f>VLOOKUP(F238,'Customer Info'!A230:I729,2,0)</f>
        <v>#N/A</v>
      </c>
      <c r="H238" s="6" t="e">
        <f>VLOOKUP(F238,'Customer Info'!A230:I729,3,0)</f>
        <v>#N/A</v>
      </c>
      <c r="I238" s="6" t="e">
        <f>VLOOKUP(F238,'Customer Info'!A230:I729,5,0)</f>
        <v>#N/A</v>
      </c>
      <c r="J238" s="2">
        <v>1246</v>
      </c>
      <c r="K238" s="2">
        <v>1164</v>
      </c>
      <c r="L238" s="2">
        <v>2</v>
      </c>
      <c r="M238" s="7">
        <f t="shared" si="12"/>
        <v>2328</v>
      </c>
      <c r="N238" s="7">
        <f t="shared" si="13"/>
        <v>2492</v>
      </c>
      <c r="O238" s="2">
        <v>27</v>
      </c>
      <c r="P238" s="8">
        <f t="shared" si="14"/>
        <v>2519</v>
      </c>
      <c r="Q238" s="8">
        <f t="shared" si="15"/>
        <v>2465</v>
      </c>
      <c r="R238" s="2" t="s">
        <v>26</v>
      </c>
      <c r="S238" s="9">
        <f>VLOOKUP(P238,$T$2:U235,2,1)</f>
        <v>0.02</v>
      </c>
    </row>
    <row r="239" spans="1:19" x14ac:dyDescent="0.25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VLOOKUP(F239,'Customer Info'!A231:I730,2,0)</f>
        <v>Julie</v>
      </c>
      <c r="H239" s="6" t="str">
        <f>VLOOKUP(F239,'Customer Info'!A231:I730,3,0)</f>
        <v>Creighton</v>
      </c>
      <c r="I239" s="6" t="str">
        <f>VLOOKUP(F239,'Customer Info'!A231:I730,5,0)</f>
        <v>Ballarat</v>
      </c>
      <c r="J239" s="2">
        <v>62</v>
      </c>
      <c r="K239" s="2">
        <v>58</v>
      </c>
      <c r="L239" s="2">
        <v>5</v>
      </c>
      <c r="M239" s="7">
        <f t="shared" si="12"/>
        <v>290</v>
      </c>
      <c r="N239" s="7">
        <f t="shared" si="13"/>
        <v>310</v>
      </c>
      <c r="O239" s="2">
        <v>10</v>
      </c>
      <c r="P239" s="8">
        <f t="shared" si="14"/>
        <v>320</v>
      </c>
      <c r="Q239" s="8">
        <f t="shared" si="15"/>
        <v>300</v>
      </c>
      <c r="R239" s="2" t="s">
        <v>50</v>
      </c>
      <c r="S239" s="9">
        <f>VLOOKUP(P239,$T$2:U236,2,1)</f>
        <v>0.02</v>
      </c>
    </row>
    <row r="240" spans="1:19" x14ac:dyDescent="0.25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e">
        <f>VLOOKUP(F240,'Customer Info'!A232:I731,2,0)</f>
        <v>#N/A</v>
      </c>
      <c r="H240" s="6" t="e">
        <f>VLOOKUP(F240,'Customer Info'!A232:I731,3,0)</f>
        <v>#N/A</v>
      </c>
      <c r="I240" s="6" t="e">
        <f>VLOOKUP(F240,'Customer Info'!A232:I731,5,0)</f>
        <v>#N/A</v>
      </c>
      <c r="J240" s="2">
        <v>1447</v>
      </c>
      <c r="K240" s="2">
        <v>1326</v>
      </c>
      <c r="L240" s="2">
        <v>5</v>
      </c>
      <c r="M240" s="7">
        <f t="shared" si="12"/>
        <v>6630</v>
      </c>
      <c r="N240" s="7">
        <f t="shared" si="13"/>
        <v>7235</v>
      </c>
      <c r="O240" s="2">
        <v>94</v>
      </c>
      <c r="P240" s="8">
        <f t="shared" si="14"/>
        <v>7329</v>
      </c>
      <c r="Q240" s="8">
        <f t="shared" si="15"/>
        <v>7141</v>
      </c>
      <c r="R240" s="2" t="s">
        <v>28</v>
      </c>
      <c r="S240" s="9">
        <f>VLOOKUP(P240,$T$2:U237,2,1)</f>
        <v>0.05</v>
      </c>
    </row>
    <row r="241" spans="1:19" x14ac:dyDescent="0.25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VLOOKUP(F241,'Customer Info'!A233:I732,2,0)</f>
        <v>Steven</v>
      </c>
      <c r="H241" s="6" t="str">
        <f>VLOOKUP(F241,'Customer Info'!A233:I732,3,0)</f>
        <v>Cartwright</v>
      </c>
      <c r="I241" s="6" t="str">
        <f>VLOOKUP(F241,'Customer Info'!A233:I732,5,0)</f>
        <v>Newcastle</v>
      </c>
      <c r="J241" s="2">
        <v>185</v>
      </c>
      <c r="K241" s="2">
        <v>174</v>
      </c>
      <c r="L241" s="2">
        <v>7</v>
      </c>
      <c r="M241" s="7">
        <f t="shared" si="12"/>
        <v>1218</v>
      </c>
      <c r="N241" s="7">
        <f t="shared" si="13"/>
        <v>1295</v>
      </c>
      <c r="O241" s="2">
        <v>30</v>
      </c>
      <c r="P241" s="8">
        <f t="shared" si="14"/>
        <v>1325</v>
      </c>
      <c r="Q241" s="8">
        <f t="shared" si="15"/>
        <v>1265</v>
      </c>
      <c r="R241" s="2" t="s">
        <v>50</v>
      </c>
      <c r="S241" s="9">
        <f>VLOOKUP(P241,$T$2:U238,2,1)</f>
        <v>0.02</v>
      </c>
    </row>
    <row r="242" spans="1:19" x14ac:dyDescent="0.25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VLOOKUP(F242,'Customer Info'!A234:I733,2,0)</f>
        <v>Steven</v>
      </c>
      <c r="H242" s="6" t="str">
        <f>VLOOKUP(F242,'Customer Info'!A234:I733,3,0)</f>
        <v>Cartwright</v>
      </c>
      <c r="I242" s="6" t="str">
        <f>VLOOKUP(F242,'Customer Info'!A234:I733,5,0)</f>
        <v>Newcastle</v>
      </c>
      <c r="J242" s="2">
        <v>3192</v>
      </c>
      <c r="K242" s="2">
        <v>3011</v>
      </c>
      <c r="L242" s="2">
        <v>4</v>
      </c>
      <c r="M242" s="7">
        <f t="shared" si="12"/>
        <v>12044</v>
      </c>
      <c r="N242" s="7">
        <f t="shared" si="13"/>
        <v>12768</v>
      </c>
      <c r="O242" s="2">
        <v>72</v>
      </c>
      <c r="P242" s="8">
        <f t="shared" si="14"/>
        <v>12840</v>
      </c>
      <c r="Q242" s="8">
        <f t="shared" si="15"/>
        <v>12696</v>
      </c>
      <c r="R242" s="2" t="s">
        <v>28</v>
      </c>
      <c r="S242" s="9">
        <f>VLOOKUP(P242,$T$2:U239,2,1)</f>
        <v>0.05</v>
      </c>
    </row>
    <row r="243" spans="1:19" x14ac:dyDescent="0.25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e">
        <f>VLOOKUP(F243,'Customer Info'!A235:I734,2,0)</f>
        <v>#N/A</v>
      </c>
      <c r="H243" s="6" t="e">
        <f>VLOOKUP(F243,'Customer Info'!A235:I734,3,0)</f>
        <v>#N/A</v>
      </c>
      <c r="I243" s="6" t="e">
        <f>VLOOKUP(F243,'Customer Info'!A235:I734,5,0)</f>
        <v>#N/A</v>
      </c>
      <c r="J243" s="2">
        <v>8738</v>
      </c>
      <c r="K243" s="2">
        <v>8162</v>
      </c>
      <c r="L243" s="2">
        <v>1</v>
      </c>
      <c r="M243" s="7">
        <f t="shared" si="12"/>
        <v>8162</v>
      </c>
      <c r="N243" s="7">
        <f t="shared" si="13"/>
        <v>8738</v>
      </c>
      <c r="O243" s="2">
        <v>28</v>
      </c>
      <c r="P243" s="8">
        <f t="shared" si="14"/>
        <v>8766</v>
      </c>
      <c r="Q243" s="8">
        <f t="shared" si="15"/>
        <v>8710</v>
      </c>
      <c r="R243" s="2" t="s">
        <v>28</v>
      </c>
      <c r="S243" s="9">
        <f>VLOOKUP(P243,$T$2:U240,2,1)</f>
        <v>0.05</v>
      </c>
    </row>
    <row r="244" spans="1:19" x14ac:dyDescent="0.25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e">
        <f>VLOOKUP(F244,'Customer Info'!A236:I735,2,0)</f>
        <v>#N/A</v>
      </c>
      <c r="H244" s="6" t="e">
        <f>VLOOKUP(F244,'Customer Info'!A236:I735,3,0)</f>
        <v>#N/A</v>
      </c>
      <c r="I244" s="6" t="e">
        <f>VLOOKUP(F244,'Customer Info'!A236:I735,5,0)</f>
        <v>#N/A</v>
      </c>
      <c r="J244" s="2">
        <v>674</v>
      </c>
      <c r="K244" s="2">
        <v>629</v>
      </c>
      <c r="L244" s="2">
        <v>5</v>
      </c>
      <c r="M244" s="7">
        <f t="shared" si="12"/>
        <v>3145</v>
      </c>
      <c r="N244" s="7">
        <f t="shared" si="13"/>
        <v>3370</v>
      </c>
      <c r="O244" s="2">
        <v>29</v>
      </c>
      <c r="P244" s="8">
        <f t="shared" si="14"/>
        <v>3399</v>
      </c>
      <c r="Q244" s="8">
        <f t="shared" si="15"/>
        <v>3341</v>
      </c>
      <c r="R244" s="2" t="s">
        <v>28</v>
      </c>
      <c r="S244" s="9">
        <f>VLOOKUP(P244,$T$2:U241,2,1)</f>
        <v>0.02</v>
      </c>
    </row>
    <row r="245" spans="1:19" x14ac:dyDescent="0.25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VLOOKUP(F245,'Customer Info'!A237:I736,2,0)</f>
        <v>Laurel</v>
      </c>
      <c r="H245" s="6" t="str">
        <f>VLOOKUP(F245,'Customer Info'!A237:I736,3,0)</f>
        <v>Elliston</v>
      </c>
      <c r="I245" s="6" t="str">
        <f>VLOOKUP(F245,'Customer Info'!A237:I736,5,0)</f>
        <v>Tasikmalaya</v>
      </c>
      <c r="J245" s="2">
        <v>2478</v>
      </c>
      <c r="K245" s="2">
        <v>2406</v>
      </c>
      <c r="L245" s="2">
        <v>2</v>
      </c>
      <c r="M245" s="7">
        <f t="shared" si="12"/>
        <v>4812</v>
      </c>
      <c r="N245" s="7">
        <f t="shared" si="13"/>
        <v>4956</v>
      </c>
      <c r="O245" s="2">
        <v>98</v>
      </c>
      <c r="P245" s="8">
        <f t="shared" si="14"/>
        <v>5054</v>
      </c>
      <c r="Q245" s="8">
        <f t="shared" si="15"/>
        <v>4858</v>
      </c>
      <c r="R245" s="2" t="s">
        <v>28</v>
      </c>
      <c r="S245" s="9">
        <f>VLOOKUP(P245,$T$2:U242,2,1)</f>
        <v>0.05</v>
      </c>
    </row>
    <row r="246" spans="1:19" x14ac:dyDescent="0.25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e">
        <f>VLOOKUP(F246,'Customer Info'!A238:I737,2,0)</f>
        <v>#N/A</v>
      </c>
      <c r="H246" s="6" t="e">
        <f>VLOOKUP(F246,'Customer Info'!A238:I737,3,0)</f>
        <v>#N/A</v>
      </c>
      <c r="I246" s="6" t="e">
        <f>VLOOKUP(F246,'Customer Info'!A238:I737,5,0)</f>
        <v>#N/A</v>
      </c>
      <c r="J246" s="2">
        <v>8619</v>
      </c>
      <c r="K246" s="2">
        <v>7759</v>
      </c>
      <c r="L246" s="2">
        <v>2</v>
      </c>
      <c r="M246" s="7">
        <f t="shared" si="12"/>
        <v>15518</v>
      </c>
      <c r="N246" s="7">
        <f t="shared" si="13"/>
        <v>17238</v>
      </c>
      <c r="O246" s="2">
        <v>58</v>
      </c>
      <c r="P246" s="8">
        <f t="shared" si="14"/>
        <v>17296</v>
      </c>
      <c r="Q246" s="8">
        <f t="shared" si="15"/>
        <v>17180</v>
      </c>
      <c r="R246" s="2" t="s">
        <v>28</v>
      </c>
      <c r="S246" s="9">
        <f>VLOOKUP(P246,$T$2:U243,2,1)</f>
        <v>0.05</v>
      </c>
    </row>
    <row r="247" spans="1:19" x14ac:dyDescent="0.25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e">
        <f>VLOOKUP(F247,'Customer Info'!A239:I738,2,0)</f>
        <v>#N/A</v>
      </c>
      <c r="H247" s="6" t="e">
        <f>VLOOKUP(F247,'Customer Info'!A239:I738,3,0)</f>
        <v>#N/A</v>
      </c>
      <c r="I247" s="6" t="e">
        <f>VLOOKUP(F247,'Customer Info'!A239:I738,5,0)</f>
        <v>#N/A</v>
      </c>
      <c r="J247" s="2">
        <v>8738</v>
      </c>
      <c r="K247" s="2">
        <v>8162</v>
      </c>
      <c r="L247" s="2">
        <v>4</v>
      </c>
      <c r="M247" s="7">
        <f t="shared" si="12"/>
        <v>32648</v>
      </c>
      <c r="N247" s="7">
        <f t="shared" si="13"/>
        <v>34952</v>
      </c>
      <c r="O247" s="2">
        <v>66</v>
      </c>
      <c r="P247" s="8">
        <f t="shared" si="14"/>
        <v>35018</v>
      </c>
      <c r="Q247" s="8">
        <f t="shared" si="15"/>
        <v>34886</v>
      </c>
      <c r="R247" s="2" t="s">
        <v>28</v>
      </c>
      <c r="S247" s="9">
        <f>VLOOKUP(P247,$T$2:U244,2,1)</f>
        <v>7.0000000000000007E-2</v>
      </c>
    </row>
    <row r="248" spans="1:19" x14ac:dyDescent="0.25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e">
        <f>VLOOKUP(F248,'Customer Info'!A240:I739,2,0)</f>
        <v>#N/A</v>
      </c>
      <c r="H248" s="6" t="e">
        <f>VLOOKUP(F248,'Customer Info'!A240:I739,3,0)</f>
        <v>#N/A</v>
      </c>
      <c r="I248" s="6" t="e">
        <f>VLOOKUP(F248,'Customer Info'!A240:I739,5,0)</f>
        <v>#N/A</v>
      </c>
      <c r="J248" s="2">
        <v>142</v>
      </c>
      <c r="K248" s="2">
        <v>134</v>
      </c>
      <c r="L248" s="2">
        <v>2</v>
      </c>
      <c r="M248" s="7">
        <f t="shared" si="12"/>
        <v>268</v>
      </c>
      <c r="N248" s="7">
        <f t="shared" si="13"/>
        <v>284</v>
      </c>
      <c r="O248" s="2">
        <v>30</v>
      </c>
      <c r="P248" s="8">
        <f t="shared" si="14"/>
        <v>314</v>
      </c>
      <c r="Q248" s="8">
        <f t="shared" si="15"/>
        <v>254</v>
      </c>
      <c r="R248" s="2" t="s">
        <v>50</v>
      </c>
      <c r="S248" s="9">
        <f>VLOOKUP(P248,$T$2:U245,2,1)</f>
        <v>0.02</v>
      </c>
    </row>
    <row r="249" spans="1:19" x14ac:dyDescent="0.25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e">
        <f>VLOOKUP(F249,'Customer Info'!A241:I740,2,0)</f>
        <v>#N/A</v>
      </c>
      <c r="H249" s="6" t="e">
        <f>VLOOKUP(F249,'Customer Info'!A241:I740,3,0)</f>
        <v>#N/A</v>
      </c>
      <c r="I249" s="6" t="e">
        <f>VLOOKUP(F249,'Customer Info'!A241:I740,5,0)</f>
        <v>#N/A</v>
      </c>
      <c r="J249" s="2">
        <v>516</v>
      </c>
      <c r="K249" s="2">
        <v>473</v>
      </c>
      <c r="L249" s="2">
        <v>2</v>
      </c>
      <c r="M249" s="7">
        <f t="shared" si="12"/>
        <v>946</v>
      </c>
      <c r="N249" s="7">
        <f t="shared" si="13"/>
        <v>1032</v>
      </c>
      <c r="O249" s="2">
        <v>59</v>
      </c>
      <c r="P249" s="8">
        <f t="shared" si="14"/>
        <v>1091</v>
      </c>
      <c r="Q249" s="8">
        <f t="shared" si="15"/>
        <v>973</v>
      </c>
      <c r="R249" s="2" t="s">
        <v>28</v>
      </c>
      <c r="S249" s="9">
        <f>VLOOKUP(P249,$T$2:U246,2,1)</f>
        <v>0.02</v>
      </c>
    </row>
    <row r="250" spans="1:19" x14ac:dyDescent="0.25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e">
        <f>VLOOKUP(F250,'Customer Info'!A242:I741,2,0)</f>
        <v>#N/A</v>
      </c>
      <c r="H250" s="6" t="e">
        <f>VLOOKUP(F250,'Customer Info'!A242:I741,3,0)</f>
        <v>#N/A</v>
      </c>
      <c r="I250" s="6" t="e">
        <f>VLOOKUP(F250,'Customer Info'!A242:I741,5,0)</f>
        <v>#N/A</v>
      </c>
      <c r="J250" s="2">
        <v>2155</v>
      </c>
      <c r="K250" s="2">
        <v>2014</v>
      </c>
      <c r="L250" s="2">
        <v>3</v>
      </c>
      <c r="M250" s="7">
        <f t="shared" si="12"/>
        <v>6042</v>
      </c>
      <c r="N250" s="7">
        <f t="shared" si="13"/>
        <v>6465</v>
      </c>
      <c r="O250" s="2">
        <v>44</v>
      </c>
      <c r="P250" s="8">
        <f t="shared" si="14"/>
        <v>6509</v>
      </c>
      <c r="Q250" s="8">
        <f t="shared" si="15"/>
        <v>6421</v>
      </c>
      <c r="R250" s="2" t="s">
        <v>28</v>
      </c>
      <c r="S250" s="9">
        <f>VLOOKUP(P250,$T$2:U247,2,1)</f>
        <v>0.05</v>
      </c>
    </row>
    <row r="251" spans="1:19" x14ac:dyDescent="0.25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VLOOKUP(F251,'Customer Info'!A243:I742,2,0)</f>
        <v>Shui</v>
      </c>
      <c r="H251" s="6" t="str">
        <f>VLOOKUP(F251,'Customer Info'!A243:I742,3,0)</f>
        <v>Tom</v>
      </c>
      <c r="I251" s="6" t="str">
        <f>VLOOKUP(F251,'Customer Info'!A243:I742,5,0)</f>
        <v>Melbourne</v>
      </c>
      <c r="J251" s="2">
        <v>187</v>
      </c>
      <c r="K251" s="2">
        <v>176</v>
      </c>
      <c r="L251" s="2">
        <v>3</v>
      </c>
      <c r="M251" s="7">
        <f t="shared" si="12"/>
        <v>528</v>
      </c>
      <c r="N251" s="7">
        <f t="shared" si="13"/>
        <v>561</v>
      </c>
      <c r="O251" s="2">
        <v>30</v>
      </c>
      <c r="P251" s="8">
        <f t="shared" si="14"/>
        <v>591</v>
      </c>
      <c r="Q251" s="8">
        <f t="shared" si="15"/>
        <v>531</v>
      </c>
      <c r="R251" s="2" t="s">
        <v>28</v>
      </c>
      <c r="S251" s="9">
        <f>VLOOKUP(P251,$T$2:U248,2,1)</f>
        <v>0.02</v>
      </c>
    </row>
    <row r="252" spans="1:19" x14ac:dyDescent="0.25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VLOOKUP(F252,'Customer Info'!A244:I743,2,0)</f>
        <v>Rachel</v>
      </c>
      <c r="H252" s="6" t="str">
        <f>VLOOKUP(F252,'Customer Info'!A244:I743,3,0)</f>
        <v>Payne</v>
      </c>
      <c r="I252" s="6" t="str">
        <f>VLOOKUP(F252,'Customer Info'!A244:I743,5,0)</f>
        <v>Nagercoil</v>
      </c>
      <c r="J252" s="2">
        <v>1968</v>
      </c>
      <c r="K252" s="2">
        <v>1821</v>
      </c>
      <c r="L252" s="2">
        <v>6</v>
      </c>
      <c r="M252" s="7">
        <f t="shared" si="12"/>
        <v>10926</v>
      </c>
      <c r="N252" s="7">
        <f t="shared" si="13"/>
        <v>11808</v>
      </c>
      <c r="O252" s="2">
        <v>79</v>
      </c>
      <c r="P252" s="8">
        <f t="shared" si="14"/>
        <v>11887</v>
      </c>
      <c r="Q252" s="8">
        <f t="shared" si="15"/>
        <v>11729</v>
      </c>
      <c r="R252" s="2" t="s">
        <v>28</v>
      </c>
      <c r="S252" s="9">
        <f>VLOOKUP(P252,$T$2:U249,2,1)</f>
        <v>0.05</v>
      </c>
    </row>
    <row r="253" spans="1:19" x14ac:dyDescent="0.25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e">
        <f>VLOOKUP(F253,'Customer Info'!A245:I744,2,0)</f>
        <v>#N/A</v>
      </c>
      <c r="H253" s="6" t="e">
        <f>VLOOKUP(F253,'Customer Info'!A245:I744,3,0)</f>
        <v>#N/A</v>
      </c>
      <c r="I253" s="6" t="e">
        <f>VLOOKUP(F253,'Customer Info'!A245:I744,5,0)</f>
        <v>#N/A</v>
      </c>
      <c r="J253" s="2">
        <v>71</v>
      </c>
      <c r="K253" s="2">
        <v>64</v>
      </c>
      <c r="L253" s="2">
        <v>5</v>
      </c>
      <c r="M253" s="7">
        <f t="shared" si="12"/>
        <v>320</v>
      </c>
      <c r="N253" s="7">
        <f t="shared" si="13"/>
        <v>355</v>
      </c>
      <c r="O253" s="2">
        <v>10</v>
      </c>
      <c r="P253" s="8">
        <f t="shared" si="14"/>
        <v>365</v>
      </c>
      <c r="Q253" s="8">
        <f t="shared" si="15"/>
        <v>345</v>
      </c>
      <c r="R253" s="2" t="s">
        <v>28</v>
      </c>
      <c r="S253" s="9">
        <f>VLOOKUP(P253,$T$2:U250,2,1)</f>
        <v>0.02</v>
      </c>
    </row>
    <row r="254" spans="1:19" x14ac:dyDescent="0.25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VLOOKUP(F254,'Customer Info'!A246:I745,2,0)</f>
        <v>Michelle</v>
      </c>
      <c r="H254" s="6" t="str">
        <f>VLOOKUP(F254,'Customer Info'!A246:I745,3,0)</f>
        <v>Arnett</v>
      </c>
      <c r="I254" s="6" t="str">
        <f>VLOOKUP(F254,'Customer Info'!A246:I745,5,0)</f>
        <v>Palembang</v>
      </c>
      <c r="J254" s="2">
        <v>210</v>
      </c>
      <c r="K254" s="2">
        <v>193</v>
      </c>
      <c r="L254" s="2">
        <v>3</v>
      </c>
      <c r="M254" s="7">
        <f t="shared" si="12"/>
        <v>579</v>
      </c>
      <c r="N254" s="7">
        <f t="shared" si="13"/>
        <v>630</v>
      </c>
      <c r="O254" s="2">
        <v>49</v>
      </c>
      <c r="P254" s="8">
        <f t="shared" si="14"/>
        <v>679</v>
      </c>
      <c r="Q254" s="8">
        <f t="shared" si="15"/>
        <v>581</v>
      </c>
      <c r="R254" s="2" t="s">
        <v>56</v>
      </c>
      <c r="S254" s="9">
        <f>VLOOKUP(P254,$T$2:U251,2,1)</f>
        <v>0.02</v>
      </c>
    </row>
    <row r="255" spans="1:19" x14ac:dyDescent="0.25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VLOOKUP(F255,'Customer Info'!A247:I746,2,0)</f>
        <v>Nick</v>
      </c>
      <c r="H255" s="6" t="str">
        <f>VLOOKUP(F255,'Customer Info'!A247:I746,3,0)</f>
        <v>Zandusky</v>
      </c>
      <c r="I255" s="6" t="str">
        <f>VLOOKUP(F255,'Customer Info'!A247:I746,5,0)</f>
        <v>Surabaya</v>
      </c>
      <c r="J255" s="2">
        <v>214</v>
      </c>
      <c r="K255" s="2">
        <v>200</v>
      </c>
      <c r="L255" s="2">
        <v>3</v>
      </c>
      <c r="M255" s="7">
        <f t="shared" si="12"/>
        <v>600</v>
      </c>
      <c r="N255" s="7">
        <f t="shared" si="13"/>
        <v>642</v>
      </c>
      <c r="O255" s="2">
        <v>90</v>
      </c>
      <c r="P255" s="8">
        <f t="shared" si="14"/>
        <v>732</v>
      </c>
      <c r="Q255" s="8">
        <f t="shared" si="15"/>
        <v>552</v>
      </c>
      <c r="R255" s="2" t="s">
        <v>28</v>
      </c>
      <c r="S255" s="9">
        <f>VLOOKUP(P255,$T$2:U252,2,1)</f>
        <v>0.02</v>
      </c>
    </row>
    <row r="256" spans="1:19" x14ac:dyDescent="0.25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VLOOKUP(F256,'Customer Info'!A248:I747,2,0)</f>
        <v>Maureen</v>
      </c>
      <c r="H256" s="6" t="str">
        <f>VLOOKUP(F256,'Customer Info'!A248:I747,3,0)</f>
        <v>Gastineau</v>
      </c>
      <c r="I256" s="6" t="str">
        <f>VLOOKUP(F256,'Customer Info'!A248:I747,5,0)</f>
        <v>Melton</v>
      </c>
      <c r="J256" s="2">
        <v>210</v>
      </c>
      <c r="K256" s="2">
        <v>193</v>
      </c>
      <c r="L256" s="2">
        <v>6</v>
      </c>
      <c r="M256" s="7">
        <f t="shared" si="12"/>
        <v>1158</v>
      </c>
      <c r="N256" s="7">
        <f t="shared" si="13"/>
        <v>1260</v>
      </c>
      <c r="O256" s="2">
        <v>32</v>
      </c>
      <c r="P256" s="8">
        <f t="shared" si="14"/>
        <v>1292</v>
      </c>
      <c r="Q256" s="8">
        <f t="shared" si="15"/>
        <v>1228</v>
      </c>
      <c r="R256" s="2" t="s">
        <v>50</v>
      </c>
      <c r="S256" s="9">
        <f>VLOOKUP(P256,$T$2:U253,2,1)</f>
        <v>0.02</v>
      </c>
    </row>
    <row r="257" spans="1:19" x14ac:dyDescent="0.25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VLOOKUP(F257,'Customer Info'!A249:I748,2,0)</f>
        <v>Shahid</v>
      </c>
      <c r="H257" s="6" t="str">
        <f>VLOOKUP(F257,'Customer Info'!A249:I748,3,0)</f>
        <v>Collister</v>
      </c>
      <c r="I257" s="6" t="str">
        <f>VLOOKUP(F257,'Customer Info'!A249:I748,5,0)</f>
        <v>Solapur</v>
      </c>
      <c r="J257" s="2">
        <v>2960</v>
      </c>
      <c r="K257" s="2">
        <v>2635</v>
      </c>
      <c r="L257" s="2">
        <v>3</v>
      </c>
      <c r="M257" s="7">
        <f t="shared" si="12"/>
        <v>7905</v>
      </c>
      <c r="N257" s="7">
        <f t="shared" si="13"/>
        <v>8880</v>
      </c>
      <c r="O257" s="2">
        <v>83</v>
      </c>
      <c r="P257" s="8">
        <f t="shared" si="14"/>
        <v>8963</v>
      </c>
      <c r="Q257" s="8">
        <f t="shared" si="15"/>
        <v>8797</v>
      </c>
      <c r="R257" s="2" t="s">
        <v>50</v>
      </c>
      <c r="S257" s="9">
        <f>VLOOKUP(P257,$T$2:U254,2,1)</f>
        <v>0.05</v>
      </c>
    </row>
    <row r="258" spans="1:19" x14ac:dyDescent="0.25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VLOOKUP(F258,'Customer Info'!A250:I749,2,0)</f>
        <v>Nat</v>
      </c>
      <c r="H258" s="6" t="str">
        <f>VLOOKUP(F258,'Customer Info'!A250:I749,3,0)</f>
        <v>Carroll</v>
      </c>
      <c r="I258" s="6" t="str">
        <f>VLOOKUP(F258,'Customer Info'!A250:I749,5,0)</f>
        <v>Shanghai</v>
      </c>
      <c r="J258" s="2">
        <v>3108</v>
      </c>
      <c r="K258" s="2">
        <v>2882</v>
      </c>
      <c r="L258" s="2">
        <v>7</v>
      </c>
      <c r="M258" s="7">
        <f t="shared" si="12"/>
        <v>20174</v>
      </c>
      <c r="N258" s="7">
        <f t="shared" si="13"/>
        <v>21756</v>
      </c>
      <c r="O258" s="2">
        <v>74</v>
      </c>
      <c r="P258" s="8">
        <f t="shared" si="14"/>
        <v>21830</v>
      </c>
      <c r="Q258" s="8">
        <f t="shared" si="15"/>
        <v>21682</v>
      </c>
      <c r="R258" s="2" t="s">
        <v>28</v>
      </c>
      <c r="S258" s="9">
        <f>VLOOKUP(P258,$T$2:U255,2,1)</f>
        <v>0.05</v>
      </c>
    </row>
    <row r="259" spans="1:19" x14ac:dyDescent="0.25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VLOOKUP(F259,'Customer Info'!A251:I750,2,0)</f>
        <v>Scott</v>
      </c>
      <c r="H259" s="6" t="str">
        <f>VLOOKUP(F259,'Customer Info'!A251:I750,3,0)</f>
        <v>Cohen</v>
      </c>
      <c r="I259" s="6" t="str">
        <f>VLOOKUP(F259,'Customer Info'!A251:I750,5,0)</f>
        <v>Freiburg</v>
      </c>
      <c r="J259" s="2">
        <v>2921</v>
      </c>
      <c r="K259" s="2">
        <v>2809</v>
      </c>
      <c r="L259" s="2">
        <v>2</v>
      </c>
      <c r="M259" s="7">
        <f t="shared" si="12"/>
        <v>5618</v>
      </c>
      <c r="N259" s="7">
        <f t="shared" si="13"/>
        <v>5842</v>
      </c>
      <c r="O259" s="2">
        <v>25</v>
      </c>
      <c r="P259" s="8">
        <f t="shared" si="14"/>
        <v>5867</v>
      </c>
      <c r="Q259" s="8">
        <f t="shared" si="15"/>
        <v>5817</v>
      </c>
      <c r="R259" s="2" t="s">
        <v>28</v>
      </c>
      <c r="S259" s="9">
        <f>VLOOKUP(P259,$T$2:U256,2,1)</f>
        <v>0.05</v>
      </c>
    </row>
    <row r="260" spans="1:19" x14ac:dyDescent="0.25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VLOOKUP(F260,'Customer Info'!A252:I751,2,0)</f>
        <v>Lisa</v>
      </c>
      <c r="H260" s="6" t="str">
        <f>VLOOKUP(F260,'Customer Info'!A252:I751,3,0)</f>
        <v>DeCherney</v>
      </c>
      <c r="I260" s="6" t="str">
        <f>VLOOKUP(F260,'Customer Info'!A252:I751,5,0)</f>
        <v>Ningbo</v>
      </c>
      <c r="J260" s="2">
        <v>6611</v>
      </c>
      <c r="K260" s="2">
        <v>5943</v>
      </c>
      <c r="L260" s="2">
        <v>2</v>
      </c>
      <c r="M260" s="7">
        <f t="shared" si="12"/>
        <v>11886</v>
      </c>
      <c r="N260" s="7">
        <f t="shared" si="13"/>
        <v>13222</v>
      </c>
      <c r="O260" s="2">
        <v>38</v>
      </c>
      <c r="P260" s="8">
        <f t="shared" si="14"/>
        <v>13260</v>
      </c>
      <c r="Q260" s="8">
        <f t="shared" si="15"/>
        <v>13184</v>
      </c>
      <c r="R260" s="2" t="s">
        <v>28</v>
      </c>
      <c r="S260" s="9">
        <f>VLOOKUP(P260,$T$2:U257,2,1)</f>
        <v>0.05</v>
      </c>
    </row>
    <row r="261" spans="1:19" x14ac:dyDescent="0.25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VLOOKUP(F261,'Customer Info'!A253:I752,2,0)</f>
        <v>Nancy</v>
      </c>
      <c r="H261" s="6" t="str">
        <f>VLOOKUP(F261,'Customer Info'!A253:I752,3,0)</f>
        <v>Lomonaco</v>
      </c>
      <c r="I261" s="6" t="str">
        <f>VLOOKUP(F261,'Customer Info'!A253:I752,5,0)</f>
        <v>Tengzhou</v>
      </c>
      <c r="J261" s="2">
        <v>809</v>
      </c>
      <c r="K261" s="2">
        <v>770</v>
      </c>
      <c r="L261" s="2">
        <v>1</v>
      </c>
      <c r="M261" s="7">
        <f t="shared" si="12"/>
        <v>770</v>
      </c>
      <c r="N261" s="7">
        <f t="shared" si="13"/>
        <v>809</v>
      </c>
      <c r="O261" s="2">
        <v>35</v>
      </c>
      <c r="P261" s="8">
        <f t="shared" si="14"/>
        <v>844</v>
      </c>
      <c r="Q261" s="8">
        <f t="shared" si="15"/>
        <v>774</v>
      </c>
      <c r="R261" s="2" t="s">
        <v>26</v>
      </c>
      <c r="S261" s="9">
        <f>VLOOKUP(P261,$T$2:U258,2,1)</f>
        <v>0.02</v>
      </c>
    </row>
    <row r="262" spans="1:19" x14ac:dyDescent="0.25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VLOOKUP(F262,'Customer Info'!A254:I753,2,0)</f>
        <v>Kristina</v>
      </c>
      <c r="H262" s="6" t="str">
        <f>VLOOKUP(F262,'Customer Info'!A254:I753,3,0)</f>
        <v>Nunn</v>
      </c>
      <c r="I262" s="6" t="str">
        <f>VLOOKUP(F262,'Customer Info'!A254:I753,5,0)</f>
        <v>Sydney</v>
      </c>
      <c r="J262" s="2">
        <v>21143</v>
      </c>
      <c r="K262" s="2">
        <v>18848</v>
      </c>
      <c r="L262" s="2">
        <v>2</v>
      </c>
      <c r="M262" s="7">
        <f t="shared" si="12"/>
        <v>37696</v>
      </c>
      <c r="N262" s="7">
        <f t="shared" si="13"/>
        <v>42286</v>
      </c>
      <c r="O262" s="2">
        <v>35</v>
      </c>
      <c r="P262" s="8">
        <f t="shared" si="14"/>
        <v>42321</v>
      </c>
      <c r="Q262" s="8">
        <f t="shared" si="15"/>
        <v>42251</v>
      </c>
      <c r="R262" s="2" t="s">
        <v>28</v>
      </c>
      <c r="S262" s="9">
        <f>VLOOKUP(P262,$T$2:U259,2,1)</f>
        <v>7.0000000000000007E-2</v>
      </c>
    </row>
    <row r="263" spans="1:19" x14ac:dyDescent="0.25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e">
        <f>VLOOKUP(F263,'Customer Info'!A255:I754,2,0)</f>
        <v>#N/A</v>
      </c>
      <c r="H263" s="6" t="e">
        <f>VLOOKUP(F263,'Customer Info'!A255:I754,3,0)</f>
        <v>#N/A</v>
      </c>
      <c r="I263" s="6" t="e">
        <f>VLOOKUP(F263,'Customer Info'!A255:I754,5,0)</f>
        <v>#N/A</v>
      </c>
      <c r="J263" s="2">
        <v>2958</v>
      </c>
      <c r="K263" s="2">
        <v>2743</v>
      </c>
      <c r="L263" s="2">
        <v>2</v>
      </c>
      <c r="M263" s="7">
        <f t="shared" si="12"/>
        <v>5486</v>
      </c>
      <c r="N263" s="7">
        <f t="shared" si="13"/>
        <v>5916</v>
      </c>
      <c r="O263" s="2">
        <v>89</v>
      </c>
      <c r="P263" s="8">
        <f t="shared" si="14"/>
        <v>6005</v>
      </c>
      <c r="Q263" s="8">
        <f t="shared" si="15"/>
        <v>5827</v>
      </c>
      <c r="R263" s="2" t="s">
        <v>28</v>
      </c>
      <c r="S263" s="9">
        <f>VLOOKUP(P263,$T$2:U260,2,1)</f>
        <v>0.05</v>
      </c>
    </row>
    <row r="264" spans="1:19" x14ac:dyDescent="0.25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e">
        <f>VLOOKUP(F264,'Customer Info'!A256:I755,2,0)</f>
        <v>#N/A</v>
      </c>
      <c r="H264" s="6" t="e">
        <f>VLOOKUP(F264,'Customer Info'!A256:I755,3,0)</f>
        <v>#N/A</v>
      </c>
      <c r="I264" s="6" t="e">
        <f>VLOOKUP(F264,'Customer Info'!A256:I755,5,0)</f>
        <v>#N/A</v>
      </c>
      <c r="J264" s="2">
        <v>1983</v>
      </c>
      <c r="K264" s="2">
        <v>1908</v>
      </c>
      <c r="L264" s="2">
        <v>1</v>
      </c>
      <c r="M264" s="7">
        <f t="shared" si="12"/>
        <v>1908</v>
      </c>
      <c r="N264" s="7">
        <f t="shared" si="13"/>
        <v>1983</v>
      </c>
      <c r="O264" s="2">
        <v>63</v>
      </c>
      <c r="P264" s="8">
        <f t="shared" si="14"/>
        <v>2046</v>
      </c>
      <c r="Q264" s="8">
        <f t="shared" si="15"/>
        <v>1920</v>
      </c>
      <c r="R264" s="2" t="s">
        <v>26</v>
      </c>
      <c r="S264" s="9">
        <f>VLOOKUP(P264,$T$2:U261,2,1)</f>
        <v>0.02</v>
      </c>
    </row>
    <row r="265" spans="1:19" x14ac:dyDescent="0.25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e">
        <f>VLOOKUP(F265,'Customer Info'!A257:I756,2,0)</f>
        <v>#N/A</v>
      </c>
      <c r="H265" s="6" t="e">
        <f>VLOOKUP(F265,'Customer Info'!A257:I756,3,0)</f>
        <v>#N/A</v>
      </c>
      <c r="I265" s="6" t="e">
        <f>VLOOKUP(F265,'Customer Info'!A257:I756,5,0)</f>
        <v>#N/A</v>
      </c>
      <c r="J265" s="2">
        <v>1845</v>
      </c>
      <c r="K265" s="2">
        <v>1742</v>
      </c>
      <c r="L265" s="2">
        <v>8</v>
      </c>
      <c r="M265" s="7">
        <f t="shared" si="12"/>
        <v>13936</v>
      </c>
      <c r="N265" s="7">
        <f t="shared" si="13"/>
        <v>14760</v>
      </c>
      <c r="O265" s="2">
        <v>99</v>
      </c>
      <c r="P265" s="8">
        <f t="shared" si="14"/>
        <v>14859</v>
      </c>
      <c r="Q265" s="8">
        <f t="shared" si="15"/>
        <v>14661</v>
      </c>
      <c r="R265" s="2" t="s">
        <v>28</v>
      </c>
      <c r="S265" s="9">
        <f>VLOOKUP(P265,$T$2:U262,2,1)</f>
        <v>0.05</v>
      </c>
    </row>
    <row r="266" spans="1:19" x14ac:dyDescent="0.25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e">
        <f>VLOOKUP(F266,'Customer Info'!A258:I757,2,0)</f>
        <v>#N/A</v>
      </c>
      <c r="H266" s="6" t="e">
        <f>VLOOKUP(F266,'Customer Info'!A258:I757,3,0)</f>
        <v>#N/A</v>
      </c>
      <c r="I266" s="6" t="e">
        <f>VLOOKUP(F266,'Customer Info'!A258:I757,5,0)</f>
        <v>#N/A</v>
      </c>
      <c r="J266" s="2">
        <v>119</v>
      </c>
      <c r="K266" s="2">
        <v>112</v>
      </c>
      <c r="L266" s="2">
        <v>2</v>
      </c>
      <c r="M266" s="7">
        <f t="shared" si="12"/>
        <v>224</v>
      </c>
      <c r="N266" s="7">
        <f t="shared" si="13"/>
        <v>238</v>
      </c>
      <c r="O266" s="2">
        <v>30</v>
      </c>
      <c r="P266" s="8">
        <f t="shared" si="14"/>
        <v>268</v>
      </c>
      <c r="Q266" s="8">
        <f t="shared" si="15"/>
        <v>208</v>
      </c>
      <c r="R266" s="2" t="s">
        <v>28</v>
      </c>
      <c r="S266" s="9">
        <f>VLOOKUP(P266,$T$2:U263,2,1)</f>
        <v>0.02</v>
      </c>
    </row>
    <row r="267" spans="1:19" x14ac:dyDescent="0.25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VLOOKUP(F267,'Customer Info'!A259:I758,2,0)</f>
        <v>Logan</v>
      </c>
      <c r="H267" s="6" t="str">
        <f>VLOOKUP(F267,'Customer Info'!A259:I758,3,0)</f>
        <v>Haushalter</v>
      </c>
      <c r="I267" s="6" t="str">
        <f>VLOOKUP(F267,'Customer Info'!A259:I758,5,0)</f>
        <v>Canberra</v>
      </c>
      <c r="J267" s="2">
        <v>9214</v>
      </c>
      <c r="K267" s="2">
        <v>8295</v>
      </c>
      <c r="L267" s="2">
        <v>4</v>
      </c>
      <c r="M267" s="7">
        <f t="shared" ref="M267:M330" si="16">K267*L267</f>
        <v>33180</v>
      </c>
      <c r="N267" s="7">
        <f t="shared" ref="N267:N330" si="17">J267*L267</f>
        <v>36856</v>
      </c>
      <c r="O267" s="2">
        <v>97</v>
      </c>
      <c r="P267" s="8">
        <f t="shared" ref="P267:P330" si="18">SUM(N267,O267)</f>
        <v>36953</v>
      </c>
      <c r="Q267" s="8">
        <f t="shared" ref="Q267:Q330" si="19">N267-O267</f>
        <v>36759</v>
      </c>
      <c r="R267" s="2" t="s">
        <v>28</v>
      </c>
      <c r="S267" s="9">
        <f>VLOOKUP(P267,$T$2:U264,2,1)</f>
        <v>7.0000000000000007E-2</v>
      </c>
    </row>
    <row r="268" spans="1:19" x14ac:dyDescent="0.25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VLOOKUP(F268,'Customer Info'!A260:I759,2,0)</f>
        <v>Rick</v>
      </c>
      <c r="H268" s="6" t="str">
        <f>VLOOKUP(F268,'Customer Info'!A260:I759,3,0)</f>
        <v>Duston</v>
      </c>
      <c r="I268" s="6" t="str">
        <f>VLOOKUP(F268,'Customer Info'!A260:I759,5,0)</f>
        <v>Surakarta</v>
      </c>
      <c r="J268" s="2">
        <v>1528</v>
      </c>
      <c r="K268" s="2">
        <v>1348</v>
      </c>
      <c r="L268" s="2">
        <v>3</v>
      </c>
      <c r="M268" s="7">
        <f t="shared" si="16"/>
        <v>4044</v>
      </c>
      <c r="N268" s="7">
        <f t="shared" si="17"/>
        <v>4584</v>
      </c>
      <c r="O268" s="2">
        <v>44</v>
      </c>
      <c r="P268" s="8">
        <f t="shared" si="18"/>
        <v>4628</v>
      </c>
      <c r="Q268" s="8">
        <f t="shared" si="19"/>
        <v>4540</v>
      </c>
      <c r="R268" s="2" t="s">
        <v>28</v>
      </c>
      <c r="S268" s="9">
        <f>VLOOKUP(P268,$T$2:U265,2,1)</f>
        <v>0.02</v>
      </c>
    </row>
    <row r="269" spans="1:19" x14ac:dyDescent="0.25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e">
        <f>VLOOKUP(F269,'Customer Info'!A261:I760,2,0)</f>
        <v>#N/A</v>
      </c>
      <c r="H269" s="6" t="e">
        <f>VLOOKUP(F269,'Customer Info'!A261:I760,3,0)</f>
        <v>#N/A</v>
      </c>
      <c r="I269" s="6" t="e">
        <f>VLOOKUP(F269,'Customer Info'!A261:I760,5,0)</f>
        <v>#N/A</v>
      </c>
      <c r="J269" s="2">
        <v>4737</v>
      </c>
      <c r="K269" s="2">
        <v>4473</v>
      </c>
      <c r="L269" s="2">
        <v>1</v>
      </c>
      <c r="M269" s="7">
        <f t="shared" si="16"/>
        <v>4473</v>
      </c>
      <c r="N269" s="7">
        <f t="shared" si="17"/>
        <v>4737</v>
      </c>
      <c r="O269" s="2">
        <v>41</v>
      </c>
      <c r="P269" s="8">
        <f t="shared" si="18"/>
        <v>4778</v>
      </c>
      <c r="Q269" s="8">
        <f t="shared" si="19"/>
        <v>4696</v>
      </c>
      <c r="R269" s="2" t="s">
        <v>28</v>
      </c>
      <c r="S269" s="9">
        <f>VLOOKUP(P269,$T$2:U266,2,1)</f>
        <v>0.02</v>
      </c>
    </row>
    <row r="270" spans="1:19" x14ac:dyDescent="0.25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VLOOKUP(F270,'Customer Info'!A262:I761,2,0)</f>
        <v>Rob</v>
      </c>
      <c r="H270" s="6" t="str">
        <f>VLOOKUP(F270,'Customer Info'!A262:I761,3,0)</f>
        <v>Haberlin</v>
      </c>
      <c r="I270" s="6" t="str">
        <f>VLOOKUP(F270,'Customer Info'!A262:I761,5,0)</f>
        <v>Harbin</v>
      </c>
      <c r="J270" s="2">
        <v>4577</v>
      </c>
      <c r="K270" s="2">
        <v>4285</v>
      </c>
      <c r="L270" s="2">
        <v>7</v>
      </c>
      <c r="M270" s="7">
        <f t="shared" si="16"/>
        <v>29995</v>
      </c>
      <c r="N270" s="7">
        <f t="shared" si="17"/>
        <v>32039</v>
      </c>
      <c r="O270" s="2">
        <v>24</v>
      </c>
      <c r="P270" s="8">
        <f t="shared" si="18"/>
        <v>32063</v>
      </c>
      <c r="Q270" s="8">
        <f t="shared" si="19"/>
        <v>32015</v>
      </c>
      <c r="R270" s="2" t="s">
        <v>50</v>
      </c>
      <c r="S270" s="9">
        <f>VLOOKUP(P270,$T$2:U267,2,1)</f>
        <v>7.0000000000000007E-2</v>
      </c>
    </row>
    <row r="271" spans="1:19" x14ac:dyDescent="0.25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e">
        <f>VLOOKUP(F271,'Customer Info'!A263:I762,2,0)</f>
        <v>#N/A</v>
      </c>
      <c r="H271" s="6" t="e">
        <f>VLOOKUP(F271,'Customer Info'!A263:I762,3,0)</f>
        <v>#N/A</v>
      </c>
      <c r="I271" s="6" t="e">
        <f>VLOOKUP(F271,'Customer Info'!A263:I762,5,0)</f>
        <v>#N/A</v>
      </c>
      <c r="J271" s="2">
        <v>6864</v>
      </c>
      <c r="K271" s="2">
        <v>6667</v>
      </c>
      <c r="L271" s="2">
        <v>3</v>
      </c>
      <c r="M271" s="7">
        <f t="shared" si="16"/>
        <v>20001</v>
      </c>
      <c r="N271" s="7">
        <f t="shared" si="17"/>
        <v>20592</v>
      </c>
      <c r="O271" s="2">
        <v>21</v>
      </c>
      <c r="P271" s="8">
        <f t="shared" si="18"/>
        <v>20613</v>
      </c>
      <c r="Q271" s="8">
        <f t="shared" si="19"/>
        <v>20571</v>
      </c>
      <c r="R271" s="2" t="s">
        <v>56</v>
      </c>
      <c r="S271" s="9">
        <f>VLOOKUP(P271,$T$2:U268,2,1)</f>
        <v>0.05</v>
      </c>
    </row>
    <row r="272" spans="1:19" x14ac:dyDescent="0.25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VLOOKUP(F272,'Customer Info'!A264:I763,2,0)</f>
        <v>Ted</v>
      </c>
      <c r="H272" s="6" t="str">
        <f>VLOOKUP(F272,'Customer Info'!A264:I763,3,0)</f>
        <v>Trevino</v>
      </c>
      <c r="I272" s="6" t="str">
        <f>VLOOKUP(F272,'Customer Info'!A264:I763,5,0)</f>
        <v>Bendigo</v>
      </c>
      <c r="J272" s="2">
        <v>8026</v>
      </c>
      <c r="K272" s="2">
        <v>7572</v>
      </c>
      <c r="L272" s="2">
        <v>5</v>
      </c>
      <c r="M272" s="7">
        <f t="shared" si="16"/>
        <v>37860</v>
      </c>
      <c r="N272" s="7">
        <f t="shared" si="17"/>
        <v>40130</v>
      </c>
      <c r="O272" s="2">
        <v>86</v>
      </c>
      <c r="P272" s="8">
        <f t="shared" si="18"/>
        <v>40216</v>
      </c>
      <c r="Q272" s="8">
        <f t="shared" si="19"/>
        <v>40044</v>
      </c>
      <c r="R272" s="2" t="s">
        <v>50</v>
      </c>
      <c r="S272" s="9">
        <f>VLOOKUP(P272,$T$2:U269,2,1)</f>
        <v>7.0000000000000007E-2</v>
      </c>
    </row>
    <row r="273" spans="1:19" x14ac:dyDescent="0.25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VLOOKUP(F273,'Customer Info'!A265:I764,2,0)</f>
        <v>Steven</v>
      </c>
      <c r="H273" s="6" t="str">
        <f>VLOOKUP(F273,'Customer Info'!A265:I764,3,0)</f>
        <v>Cartwright</v>
      </c>
      <c r="I273" s="6" t="str">
        <f>VLOOKUP(F273,'Customer Info'!A265:I764,5,0)</f>
        <v>Newcastle</v>
      </c>
      <c r="J273" s="2">
        <v>1048</v>
      </c>
      <c r="K273" s="2">
        <v>979</v>
      </c>
      <c r="L273" s="2">
        <v>7</v>
      </c>
      <c r="M273" s="7">
        <f t="shared" si="16"/>
        <v>6853</v>
      </c>
      <c r="N273" s="7">
        <f t="shared" si="17"/>
        <v>7336</v>
      </c>
      <c r="O273" s="2">
        <v>33</v>
      </c>
      <c r="P273" s="8">
        <f t="shared" si="18"/>
        <v>7369</v>
      </c>
      <c r="Q273" s="8">
        <f t="shared" si="19"/>
        <v>7303</v>
      </c>
      <c r="R273" s="2" t="s">
        <v>56</v>
      </c>
      <c r="S273" s="9">
        <f>VLOOKUP(P273,$T$2:U270,2,1)</f>
        <v>0.05</v>
      </c>
    </row>
    <row r="274" spans="1:19" x14ac:dyDescent="0.25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e">
        <f>VLOOKUP(F274,'Customer Info'!A266:I765,2,0)</f>
        <v>#N/A</v>
      </c>
      <c r="H274" s="6" t="e">
        <f>VLOOKUP(F274,'Customer Info'!A266:I765,3,0)</f>
        <v>#N/A</v>
      </c>
      <c r="I274" s="6" t="e">
        <f>VLOOKUP(F274,'Customer Info'!A266:I765,5,0)</f>
        <v>#N/A</v>
      </c>
      <c r="J274" s="2">
        <v>8351</v>
      </c>
      <c r="K274" s="2">
        <v>8033</v>
      </c>
      <c r="L274" s="2">
        <v>4</v>
      </c>
      <c r="M274" s="7">
        <f t="shared" si="16"/>
        <v>32132</v>
      </c>
      <c r="N274" s="7">
        <f t="shared" si="17"/>
        <v>33404</v>
      </c>
      <c r="O274" s="2">
        <v>27</v>
      </c>
      <c r="P274" s="8">
        <f t="shared" si="18"/>
        <v>33431</v>
      </c>
      <c r="Q274" s="8">
        <f t="shared" si="19"/>
        <v>33377</v>
      </c>
      <c r="R274" s="2" t="s">
        <v>28</v>
      </c>
      <c r="S274" s="9">
        <f>VLOOKUP(P274,$T$2:U271,2,1)</f>
        <v>7.0000000000000007E-2</v>
      </c>
    </row>
    <row r="275" spans="1:19" x14ac:dyDescent="0.25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e">
        <f>VLOOKUP(F275,'Customer Info'!A267:I766,2,0)</f>
        <v>#N/A</v>
      </c>
      <c r="H275" s="6" t="e">
        <f>VLOOKUP(F275,'Customer Info'!A267:I766,3,0)</f>
        <v>#N/A</v>
      </c>
      <c r="I275" s="6" t="e">
        <f>VLOOKUP(F275,'Customer Info'!A267:I766,5,0)</f>
        <v>#N/A</v>
      </c>
      <c r="J275" s="2">
        <v>8665</v>
      </c>
      <c r="K275" s="2">
        <v>7723</v>
      </c>
      <c r="L275" s="2">
        <v>1</v>
      </c>
      <c r="M275" s="7">
        <f t="shared" si="16"/>
        <v>7723</v>
      </c>
      <c r="N275" s="7">
        <f t="shared" si="17"/>
        <v>8665</v>
      </c>
      <c r="O275" s="2">
        <v>60</v>
      </c>
      <c r="P275" s="8">
        <f t="shared" si="18"/>
        <v>8725</v>
      </c>
      <c r="Q275" s="8">
        <f t="shared" si="19"/>
        <v>8605</v>
      </c>
      <c r="R275" s="2" t="s">
        <v>50</v>
      </c>
      <c r="S275" s="9">
        <f>VLOOKUP(P275,$T$2:U272,2,1)</f>
        <v>0.05</v>
      </c>
    </row>
    <row r="276" spans="1:19" x14ac:dyDescent="0.25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VLOOKUP(F276,'Customer Info'!A268:I767,2,0)</f>
        <v>Randy</v>
      </c>
      <c r="H276" s="6" t="str">
        <f>VLOOKUP(F276,'Customer Info'!A268:I767,3,0)</f>
        <v>Bradley</v>
      </c>
      <c r="I276" s="6" t="str">
        <f>VLOOKUP(F276,'Customer Info'!A268:I767,5,0)</f>
        <v>Wollongong</v>
      </c>
      <c r="J276" s="2">
        <v>170</v>
      </c>
      <c r="K276" s="2">
        <v>160</v>
      </c>
      <c r="L276" s="2">
        <v>4</v>
      </c>
      <c r="M276" s="7">
        <f t="shared" si="16"/>
        <v>640</v>
      </c>
      <c r="N276" s="7">
        <f t="shared" si="17"/>
        <v>680</v>
      </c>
      <c r="O276" s="2">
        <v>30</v>
      </c>
      <c r="P276" s="8">
        <f t="shared" si="18"/>
        <v>710</v>
      </c>
      <c r="Q276" s="8">
        <f t="shared" si="19"/>
        <v>650</v>
      </c>
      <c r="R276" s="2" t="s">
        <v>50</v>
      </c>
      <c r="S276" s="9">
        <f>VLOOKUP(P276,$T$2:U273,2,1)</f>
        <v>0.02</v>
      </c>
    </row>
    <row r="277" spans="1:19" x14ac:dyDescent="0.25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e">
        <f>VLOOKUP(F277,'Customer Info'!A269:I768,2,0)</f>
        <v>#N/A</v>
      </c>
      <c r="H277" s="6" t="e">
        <f>VLOOKUP(F277,'Customer Info'!A269:I768,3,0)</f>
        <v>#N/A</v>
      </c>
      <c r="I277" s="6" t="e">
        <f>VLOOKUP(F277,'Customer Info'!A269:I768,5,0)</f>
        <v>#N/A</v>
      </c>
      <c r="J277" s="2">
        <v>3256</v>
      </c>
      <c r="K277" s="2">
        <v>2959</v>
      </c>
      <c r="L277" s="2">
        <v>5</v>
      </c>
      <c r="M277" s="7">
        <f t="shared" si="16"/>
        <v>14795</v>
      </c>
      <c r="N277" s="7">
        <f t="shared" si="17"/>
        <v>16280</v>
      </c>
      <c r="O277" s="2">
        <v>70</v>
      </c>
      <c r="P277" s="8">
        <f t="shared" si="18"/>
        <v>16350</v>
      </c>
      <c r="Q277" s="8">
        <f t="shared" si="19"/>
        <v>16210</v>
      </c>
      <c r="R277" s="2" t="s">
        <v>50</v>
      </c>
      <c r="S277" s="9">
        <f>VLOOKUP(P277,$T$2:U274,2,1)</f>
        <v>0.05</v>
      </c>
    </row>
    <row r="278" spans="1:19" x14ac:dyDescent="0.25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e">
        <f>VLOOKUP(F278,'Customer Info'!A270:I769,2,0)</f>
        <v>#N/A</v>
      </c>
      <c r="H278" s="6" t="e">
        <f>VLOOKUP(F278,'Customer Info'!A270:I769,3,0)</f>
        <v>#N/A</v>
      </c>
      <c r="I278" s="6" t="e">
        <f>VLOOKUP(F278,'Customer Info'!A270:I769,5,0)</f>
        <v>#N/A</v>
      </c>
      <c r="J278" s="2">
        <v>131</v>
      </c>
      <c r="K278" s="2">
        <v>124</v>
      </c>
      <c r="L278" s="2">
        <v>3</v>
      </c>
      <c r="M278" s="7">
        <f t="shared" si="16"/>
        <v>372</v>
      </c>
      <c r="N278" s="7">
        <f t="shared" si="17"/>
        <v>393</v>
      </c>
      <c r="O278" s="2">
        <v>30</v>
      </c>
      <c r="P278" s="8">
        <f t="shared" si="18"/>
        <v>423</v>
      </c>
      <c r="Q278" s="8">
        <f t="shared" si="19"/>
        <v>363</v>
      </c>
      <c r="R278" s="2" t="s">
        <v>50</v>
      </c>
      <c r="S278" s="9">
        <f>VLOOKUP(P278,$T$2:U275,2,1)</f>
        <v>0.02</v>
      </c>
    </row>
    <row r="279" spans="1:19" x14ac:dyDescent="0.25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e">
        <f>VLOOKUP(F279,'Customer Info'!A271:I770,2,0)</f>
        <v>#N/A</v>
      </c>
      <c r="H279" s="6" t="e">
        <f>VLOOKUP(F279,'Customer Info'!A271:I770,3,0)</f>
        <v>#N/A</v>
      </c>
      <c r="I279" s="6" t="e">
        <f>VLOOKUP(F279,'Customer Info'!A271:I770,5,0)</f>
        <v>#N/A</v>
      </c>
      <c r="J279" s="2">
        <v>2466</v>
      </c>
      <c r="K279" s="2">
        <v>2350</v>
      </c>
      <c r="L279" s="2">
        <v>3</v>
      </c>
      <c r="M279" s="7">
        <f t="shared" si="16"/>
        <v>7050</v>
      </c>
      <c r="N279" s="7">
        <f t="shared" si="17"/>
        <v>7398</v>
      </c>
      <c r="O279" s="2">
        <v>81</v>
      </c>
      <c r="P279" s="8">
        <f t="shared" si="18"/>
        <v>7479</v>
      </c>
      <c r="Q279" s="8">
        <f t="shared" si="19"/>
        <v>7317</v>
      </c>
      <c r="R279" s="2" t="s">
        <v>50</v>
      </c>
      <c r="S279" s="9">
        <f>VLOOKUP(P279,$T$2:U276,2,1)</f>
        <v>0.05</v>
      </c>
    </row>
    <row r="280" spans="1:19" x14ac:dyDescent="0.25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e">
        <f>VLOOKUP(F280,'Customer Info'!A272:I771,2,0)</f>
        <v>#N/A</v>
      </c>
      <c r="H280" s="6" t="e">
        <f>VLOOKUP(F280,'Customer Info'!A272:I771,3,0)</f>
        <v>#N/A</v>
      </c>
      <c r="I280" s="6" t="e">
        <f>VLOOKUP(F280,'Customer Info'!A272:I771,5,0)</f>
        <v>#N/A</v>
      </c>
      <c r="J280" s="2">
        <v>1058</v>
      </c>
      <c r="K280" s="2">
        <v>989</v>
      </c>
      <c r="L280" s="2">
        <v>5</v>
      </c>
      <c r="M280" s="7">
        <f t="shared" si="16"/>
        <v>4945</v>
      </c>
      <c r="N280" s="7">
        <f t="shared" si="17"/>
        <v>5290</v>
      </c>
      <c r="O280" s="2">
        <v>83</v>
      </c>
      <c r="P280" s="8">
        <f t="shared" si="18"/>
        <v>5373</v>
      </c>
      <c r="Q280" s="8">
        <f t="shared" si="19"/>
        <v>5207</v>
      </c>
      <c r="R280" s="2" t="s">
        <v>26</v>
      </c>
      <c r="S280" s="9">
        <f>VLOOKUP(P280,$T$2:U277,2,1)</f>
        <v>0.05</v>
      </c>
    </row>
    <row r="281" spans="1:19" x14ac:dyDescent="0.25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e">
        <f>VLOOKUP(F281,'Customer Info'!A273:I772,2,0)</f>
        <v>#N/A</v>
      </c>
      <c r="H281" s="6" t="e">
        <f>VLOOKUP(F281,'Customer Info'!A273:I772,3,0)</f>
        <v>#N/A</v>
      </c>
      <c r="I281" s="6" t="e">
        <f>VLOOKUP(F281,'Customer Info'!A273:I772,5,0)</f>
        <v>#N/A</v>
      </c>
      <c r="J281" s="2">
        <v>81</v>
      </c>
      <c r="K281" s="2">
        <v>77</v>
      </c>
      <c r="L281" s="2">
        <v>2</v>
      </c>
      <c r="M281" s="7">
        <f t="shared" si="16"/>
        <v>154</v>
      </c>
      <c r="N281" s="7">
        <f t="shared" si="17"/>
        <v>162</v>
      </c>
      <c r="O281" s="2">
        <v>10</v>
      </c>
      <c r="P281" s="8">
        <f t="shared" si="18"/>
        <v>172</v>
      </c>
      <c r="Q281" s="8">
        <f t="shared" si="19"/>
        <v>152</v>
      </c>
      <c r="R281" s="2" t="s">
        <v>26</v>
      </c>
      <c r="S281" s="9">
        <f>VLOOKUP(P281,$T$2:U278,2,1)</f>
        <v>0.02</v>
      </c>
    </row>
    <row r="282" spans="1:19" x14ac:dyDescent="0.25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e">
        <f>VLOOKUP(F282,'Customer Info'!A274:I773,2,0)</f>
        <v>#N/A</v>
      </c>
      <c r="H282" s="6" t="e">
        <f>VLOOKUP(F282,'Customer Info'!A274:I773,3,0)</f>
        <v>#N/A</v>
      </c>
      <c r="I282" s="6" t="e">
        <f>VLOOKUP(F282,'Customer Info'!A274:I773,5,0)</f>
        <v>#N/A</v>
      </c>
      <c r="J282" s="2">
        <v>2200</v>
      </c>
      <c r="K282" s="2">
        <v>2020</v>
      </c>
      <c r="L282" s="2">
        <v>4</v>
      </c>
      <c r="M282" s="7">
        <f t="shared" si="16"/>
        <v>8080</v>
      </c>
      <c r="N282" s="7">
        <f t="shared" si="17"/>
        <v>8800</v>
      </c>
      <c r="O282" s="2">
        <v>72</v>
      </c>
      <c r="P282" s="8">
        <f t="shared" si="18"/>
        <v>8872</v>
      </c>
      <c r="Q282" s="8">
        <f t="shared" si="19"/>
        <v>8728</v>
      </c>
      <c r="R282" s="2" t="s">
        <v>50</v>
      </c>
      <c r="S282" s="9">
        <f>VLOOKUP(P282,$T$2:U279,2,1)</f>
        <v>0.05</v>
      </c>
    </row>
    <row r="283" spans="1:19" x14ac:dyDescent="0.25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VLOOKUP(F283,'Customer Info'!A275:I774,2,0)</f>
        <v>Rachel</v>
      </c>
      <c r="H283" s="6" t="str">
        <f>VLOOKUP(F283,'Customer Info'!A275:I774,3,0)</f>
        <v>Payne</v>
      </c>
      <c r="I283" s="6" t="str">
        <f>VLOOKUP(F283,'Customer Info'!A275:I774,5,0)</f>
        <v>Mianyang</v>
      </c>
      <c r="J283" s="2">
        <v>1447</v>
      </c>
      <c r="K283" s="2">
        <v>1326</v>
      </c>
      <c r="L283" s="2">
        <v>3</v>
      </c>
      <c r="M283" s="7">
        <f t="shared" si="16"/>
        <v>3978</v>
      </c>
      <c r="N283" s="7">
        <f t="shared" si="17"/>
        <v>4341</v>
      </c>
      <c r="O283" s="2">
        <v>79</v>
      </c>
      <c r="P283" s="8">
        <f t="shared" si="18"/>
        <v>4420</v>
      </c>
      <c r="Q283" s="8">
        <f t="shared" si="19"/>
        <v>4262</v>
      </c>
      <c r="R283" s="2" t="s">
        <v>50</v>
      </c>
      <c r="S283" s="9">
        <f>VLOOKUP(P283,$T$2:U280,2,1)</f>
        <v>0.02</v>
      </c>
    </row>
    <row r="284" spans="1:19" x14ac:dyDescent="0.25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VLOOKUP(F284,'Customer Info'!A276:I775,2,0)</f>
        <v>Magdelene</v>
      </c>
      <c r="H284" s="6" t="str">
        <f>VLOOKUP(F284,'Customer Info'!A276:I775,3,0)</f>
        <v>Morse</v>
      </c>
      <c r="I284" s="6" t="str">
        <f>VLOOKUP(F284,'Customer Info'!A276:I775,5,0)</f>
        <v>Berlin</v>
      </c>
      <c r="J284" s="2">
        <v>7315</v>
      </c>
      <c r="K284" s="2">
        <v>6967</v>
      </c>
      <c r="L284" s="2">
        <v>1</v>
      </c>
      <c r="M284" s="7">
        <f t="shared" si="16"/>
        <v>6967</v>
      </c>
      <c r="N284" s="7">
        <f t="shared" si="17"/>
        <v>7315</v>
      </c>
      <c r="O284" s="2">
        <v>84</v>
      </c>
      <c r="P284" s="8">
        <f t="shared" si="18"/>
        <v>7399</v>
      </c>
      <c r="Q284" s="8">
        <f t="shared" si="19"/>
        <v>7231</v>
      </c>
      <c r="R284" s="2" t="s">
        <v>50</v>
      </c>
      <c r="S284" s="9">
        <f>VLOOKUP(P284,$T$2:U281,2,1)</f>
        <v>0.05</v>
      </c>
    </row>
    <row r="285" spans="1:19" x14ac:dyDescent="0.25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VLOOKUP(F285,'Customer Info'!A277:I776,2,0)</f>
        <v>Pamela</v>
      </c>
      <c r="H285" s="6" t="str">
        <f>VLOOKUP(F285,'Customer Info'!A277:I776,3,0)</f>
        <v>Coakley</v>
      </c>
      <c r="I285" s="6" t="str">
        <f>VLOOKUP(F285,'Customer Info'!A277:I776,5,0)</f>
        <v>Jakarta</v>
      </c>
      <c r="J285" s="2">
        <v>400</v>
      </c>
      <c r="K285" s="2">
        <v>360</v>
      </c>
      <c r="L285" s="2">
        <v>6</v>
      </c>
      <c r="M285" s="7">
        <f t="shared" si="16"/>
        <v>2160</v>
      </c>
      <c r="N285" s="7">
        <f t="shared" si="17"/>
        <v>2400</v>
      </c>
      <c r="O285" s="2">
        <v>79</v>
      </c>
      <c r="P285" s="8">
        <f t="shared" si="18"/>
        <v>2479</v>
      </c>
      <c r="Q285" s="8">
        <f t="shared" si="19"/>
        <v>2321</v>
      </c>
      <c r="R285" s="2" t="s">
        <v>26</v>
      </c>
      <c r="S285" s="9">
        <f>VLOOKUP(P285,$T$2:U282,2,1)</f>
        <v>0.02</v>
      </c>
    </row>
    <row r="286" spans="1:19" x14ac:dyDescent="0.25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VLOOKUP(F286,'Customer Info'!A278:I777,2,0)</f>
        <v>Victoria</v>
      </c>
      <c r="H286" s="6" t="str">
        <f>VLOOKUP(F286,'Customer Info'!A278:I777,3,0)</f>
        <v>Brennan</v>
      </c>
      <c r="I286" s="6" t="str">
        <f>VLOOKUP(F286,'Customer Info'!A278:I777,5,0)</f>
        <v>Canberra</v>
      </c>
      <c r="J286" s="2">
        <v>2250</v>
      </c>
      <c r="K286" s="2">
        <v>2207</v>
      </c>
      <c r="L286" s="2">
        <v>2</v>
      </c>
      <c r="M286" s="7">
        <f t="shared" si="16"/>
        <v>4414</v>
      </c>
      <c r="N286" s="7">
        <f t="shared" si="17"/>
        <v>4500</v>
      </c>
      <c r="O286" s="2">
        <v>85</v>
      </c>
      <c r="P286" s="8">
        <f t="shared" si="18"/>
        <v>4585</v>
      </c>
      <c r="Q286" s="8">
        <f t="shared" si="19"/>
        <v>4415</v>
      </c>
      <c r="R286" s="2" t="s">
        <v>28</v>
      </c>
      <c r="S286" s="9">
        <f>VLOOKUP(P286,$T$2:U283,2,1)</f>
        <v>0.02</v>
      </c>
    </row>
    <row r="287" spans="1:19" x14ac:dyDescent="0.25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e">
        <f>VLOOKUP(F287,'Customer Info'!A279:I778,2,0)</f>
        <v>#N/A</v>
      </c>
      <c r="H287" s="6" t="e">
        <f>VLOOKUP(F287,'Customer Info'!A279:I778,3,0)</f>
        <v>#N/A</v>
      </c>
      <c r="I287" s="6" t="e">
        <f>VLOOKUP(F287,'Customer Info'!A279:I778,5,0)</f>
        <v>#N/A</v>
      </c>
      <c r="J287" s="2">
        <v>135</v>
      </c>
      <c r="K287" s="2">
        <v>129</v>
      </c>
      <c r="L287" s="2">
        <v>2</v>
      </c>
      <c r="M287" s="7">
        <f t="shared" si="16"/>
        <v>258</v>
      </c>
      <c r="N287" s="7">
        <f t="shared" si="17"/>
        <v>270</v>
      </c>
      <c r="O287" s="2">
        <v>30</v>
      </c>
      <c r="P287" s="8">
        <f t="shared" si="18"/>
        <v>300</v>
      </c>
      <c r="Q287" s="8">
        <f t="shared" si="19"/>
        <v>240</v>
      </c>
      <c r="R287" s="2" t="s">
        <v>50</v>
      </c>
      <c r="S287" s="9">
        <f>VLOOKUP(P287,$T$2:U284,2,1)</f>
        <v>0.02</v>
      </c>
    </row>
    <row r="288" spans="1:19" x14ac:dyDescent="0.25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VLOOKUP(F288,'Customer Info'!A280:I779,2,0)</f>
        <v>Nat</v>
      </c>
      <c r="H288" s="6" t="str">
        <f>VLOOKUP(F288,'Customer Info'!A280:I779,3,0)</f>
        <v>Carroll</v>
      </c>
      <c r="I288" s="6" t="str">
        <f>VLOOKUP(F288,'Customer Info'!A280:I779,5,0)</f>
        <v>Shanghai</v>
      </c>
      <c r="J288" s="2">
        <v>6481</v>
      </c>
      <c r="K288" s="2">
        <v>5884</v>
      </c>
      <c r="L288" s="2">
        <v>1</v>
      </c>
      <c r="M288" s="7">
        <f t="shared" si="16"/>
        <v>5884</v>
      </c>
      <c r="N288" s="7">
        <f t="shared" si="17"/>
        <v>6481</v>
      </c>
      <c r="O288" s="2">
        <v>93</v>
      </c>
      <c r="P288" s="8">
        <f t="shared" si="18"/>
        <v>6574</v>
      </c>
      <c r="Q288" s="8">
        <f t="shared" si="19"/>
        <v>6388</v>
      </c>
      <c r="R288" s="2" t="s">
        <v>28</v>
      </c>
      <c r="S288" s="9">
        <f>VLOOKUP(P288,$T$2:U285,2,1)</f>
        <v>0.05</v>
      </c>
    </row>
    <row r="289" spans="1:19" x14ac:dyDescent="0.25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e">
        <f>VLOOKUP(F289,'Customer Info'!A281:I780,2,0)</f>
        <v>#N/A</v>
      </c>
      <c r="H289" s="6" t="e">
        <f>VLOOKUP(F289,'Customer Info'!A281:I780,3,0)</f>
        <v>#N/A</v>
      </c>
      <c r="I289" s="6" t="e">
        <f>VLOOKUP(F289,'Customer Info'!A281:I780,5,0)</f>
        <v>#N/A</v>
      </c>
      <c r="J289" s="2">
        <v>992</v>
      </c>
      <c r="K289" s="2">
        <v>928</v>
      </c>
      <c r="L289" s="2">
        <v>14</v>
      </c>
      <c r="M289" s="7">
        <f t="shared" si="16"/>
        <v>12992</v>
      </c>
      <c r="N289" s="7">
        <f t="shared" si="17"/>
        <v>13888</v>
      </c>
      <c r="O289" s="2">
        <v>99</v>
      </c>
      <c r="P289" s="8">
        <f t="shared" si="18"/>
        <v>13987</v>
      </c>
      <c r="Q289" s="8">
        <f t="shared" si="19"/>
        <v>13789</v>
      </c>
      <c r="R289" s="2" t="s">
        <v>28</v>
      </c>
      <c r="S289" s="9">
        <f>VLOOKUP(P289,$T$2:U286,2,1)</f>
        <v>0.05</v>
      </c>
    </row>
    <row r="290" spans="1:19" x14ac:dyDescent="0.25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e">
        <f>VLOOKUP(F290,'Customer Info'!A282:I781,2,0)</f>
        <v>#N/A</v>
      </c>
      <c r="H290" s="6" t="e">
        <f>VLOOKUP(F290,'Customer Info'!A282:I781,3,0)</f>
        <v>#N/A</v>
      </c>
      <c r="I290" s="6" t="e">
        <f>VLOOKUP(F290,'Customer Info'!A282:I781,5,0)</f>
        <v>#N/A</v>
      </c>
      <c r="J290" s="2">
        <v>2965</v>
      </c>
      <c r="K290" s="2">
        <v>2694</v>
      </c>
      <c r="L290" s="2">
        <v>3</v>
      </c>
      <c r="M290" s="7">
        <f t="shared" si="16"/>
        <v>8082</v>
      </c>
      <c r="N290" s="7">
        <f t="shared" si="17"/>
        <v>8895</v>
      </c>
      <c r="O290" s="2">
        <v>89</v>
      </c>
      <c r="P290" s="8">
        <f t="shared" si="18"/>
        <v>8984</v>
      </c>
      <c r="Q290" s="8">
        <f t="shared" si="19"/>
        <v>8806</v>
      </c>
      <c r="R290" s="2" t="s">
        <v>28</v>
      </c>
      <c r="S290" s="9">
        <f>VLOOKUP(P290,$T$2:U287,2,1)</f>
        <v>0.05</v>
      </c>
    </row>
    <row r="291" spans="1:19" x14ac:dyDescent="0.25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e">
        <f>VLOOKUP(F291,'Customer Info'!A283:I782,2,0)</f>
        <v>#N/A</v>
      </c>
      <c r="H291" s="6" t="e">
        <f>VLOOKUP(F291,'Customer Info'!A283:I782,3,0)</f>
        <v>#N/A</v>
      </c>
      <c r="I291" s="6" t="e">
        <f>VLOOKUP(F291,'Customer Info'!A283:I782,5,0)</f>
        <v>#N/A</v>
      </c>
      <c r="J291" s="2">
        <v>1878</v>
      </c>
      <c r="K291" s="2">
        <v>1790</v>
      </c>
      <c r="L291" s="2">
        <v>9</v>
      </c>
      <c r="M291" s="7">
        <f t="shared" si="16"/>
        <v>16110</v>
      </c>
      <c r="N291" s="7">
        <f t="shared" si="17"/>
        <v>16902</v>
      </c>
      <c r="O291" s="2">
        <v>24</v>
      </c>
      <c r="P291" s="8">
        <f t="shared" si="18"/>
        <v>16926</v>
      </c>
      <c r="Q291" s="8">
        <f t="shared" si="19"/>
        <v>16878</v>
      </c>
      <c r="R291" s="2" t="s">
        <v>50</v>
      </c>
      <c r="S291" s="9">
        <f>VLOOKUP(P291,$T$2:U288,2,1)</f>
        <v>0.05</v>
      </c>
    </row>
    <row r="292" spans="1:19" x14ac:dyDescent="0.25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e">
        <f>VLOOKUP(F292,'Customer Info'!A284:I783,2,0)</f>
        <v>#N/A</v>
      </c>
      <c r="H292" s="6" t="e">
        <f>VLOOKUP(F292,'Customer Info'!A284:I783,3,0)</f>
        <v>#N/A</v>
      </c>
      <c r="I292" s="6" t="e">
        <f>VLOOKUP(F292,'Customer Info'!A284:I783,5,0)</f>
        <v>#N/A</v>
      </c>
      <c r="J292" s="2">
        <v>2790</v>
      </c>
      <c r="K292" s="2">
        <v>2557</v>
      </c>
      <c r="L292" s="2">
        <v>1</v>
      </c>
      <c r="M292" s="7">
        <f t="shared" si="16"/>
        <v>2557</v>
      </c>
      <c r="N292" s="7">
        <f t="shared" si="17"/>
        <v>2790</v>
      </c>
      <c r="O292" s="2">
        <v>80</v>
      </c>
      <c r="P292" s="8">
        <f t="shared" si="18"/>
        <v>2870</v>
      </c>
      <c r="Q292" s="8">
        <f t="shared" si="19"/>
        <v>2710</v>
      </c>
      <c r="R292" s="2" t="s">
        <v>28</v>
      </c>
      <c r="S292" s="9">
        <f>VLOOKUP(P292,$T$2:U289,2,1)</f>
        <v>0.02</v>
      </c>
    </row>
    <row r="293" spans="1:19" x14ac:dyDescent="0.25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VLOOKUP(F293,'Customer Info'!A285:I784,2,0)</f>
        <v>Stuart</v>
      </c>
      <c r="H293" s="6" t="str">
        <f>VLOOKUP(F293,'Customer Info'!A285:I784,3,0)</f>
        <v>Calhoun</v>
      </c>
      <c r="I293" s="6" t="str">
        <f>VLOOKUP(F293,'Customer Info'!A285:I784,5,0)</f>
        <v>Bochum</v>
      </c>
      <c r="J293" s="2">
        <v>2466</v>
      </c>
      <c r="K293" s="2">
        <v>2327</v>
      </c>
      <c r="L293" s="2">
        <v>4</v>
      </c>
      <c r="M293" s="7">
        <f t="shared" si="16"/>
        <v>9308</v>
      </c>
      <c r="N293" s="7">
        <f t="shared" si="17"/>
        <v>9864</v>
      </c>
      <c r="O293" s="2">
        <v>34</v>
      </c>
      <c r="P293" s="8">
        <f t="shared" si="18"/>
        <v>9898</v>
      </c>
      <c r="Q293" s="8">
        <f t="shared" si="19"/>
        <v>9830</v>
      </c>
      <c r="R293" s="2" t="s">
        <v>28</v>
      </c>
      <c r="S293" s="9">
        <f>VLOOKUP(P293,$T$2:U290,2,1)</f>
        <v>0.05</v>
      </c>
    </row>
    <row r="294" spans="1:19" x14ac:dyDescent="0.25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VLOOKUP(F294,'Customer Info'!A286:I785,2,0)</f>
        <v>Thea</v>
      </c>
      <c r="H294" s="6" t="str">
        <f>VLOOKUP(F294,'Customer Info'!A286:I785,3,0)</f>
        <v>Hudgings</v>
      </c>
      <c r="I294" s="6" t="str">
        <f>VLOOKUP(F294,'Customer Info'!A286:I785,5,0)</f>
        <v>Anshan</v>
      </c>
      <c r="J294" s="2">
        <v>139</v>
      </c>
      <c r="K294" s="2">
        <v>130</v>
      </c>
      <c r="L294" s="2">
        <v>2</v>
      </c>
      <c r="M294" s="7">
        <f t="shared" si="16"/>
        <v>260</v>
      </c>
      <c r="N294" s="7">
        <f t="shared" si="17"/>
        <v>278</v>
      </c>
      <c r="O294" s="2">
        <v>30</v>
      </c>
      <c r="P294" s="8">
        <f t="shared" si="18"/>
        <v>308</v>
      </c>
      <c r="Q294" s="8">
        <f t="shared" si="19"/>
        <v>248</v>
      </c>
      <c r="R294" s="2" t="s">
        <v>28</v>
      </c>
      <c r="S294" s="9">
        <f>VLOOKUP(P294,$T$2:U291,2,1)</f>
        <v>0.02</v>
      </c>
    </row>
    <row r="295" spans="1:19" x14ac:dyDescent="0.25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VLOOKUP(F295,'Customer Info'!A287:I786,2,0)</f>
        <v>Vivek</v>
      </c>
      <c r="H295" s="6" t="str">
        <f>VLOOKUP(F295,'Customer Info'!A287:I786,3,0)</f>
        <v>Sundaresam</v>
      </c>
      <c r="I295" s="6" t="str">
        <f>VLOOKUP(F295,'Customer Info'!A287:I786,5,0)</f>
        <v>Hamburg</v>
      </c>
      <c r="J295" s="2">
        <v>2960</v>
      </c>
      <c r="K295" s="2">
        <v>2635</v>
      </c>
      <c r="L295" s="2">
        <v>2</v>
      </c>
      <c r="M295" s="7">
        <f t="shared" si="16"/>
        <v>5270</v>
      </c>
      <c r="N295" s="7">
        <f t="shared" si="17"/>
        <v>5920</v>
      </c>
      <c r="O295" s="2">
        <v>73</v>
      </c>
      <c r="P295" s="8">
        <f t="shared" si="18"/>
        <v>5993</v>
      </c>
      <c r="Q295" s="8">
        <f t="shared" si="19"/>
        <v>5847</v>
      </c>
      <c r="R295" s="2" t="s">
        <v>28</v>
      </c>
      <c r="S295" s="9">
        <f>VLOOKUP(P295,$T$2:U292,2,1)</f>
        <v>0.05</v>
      </c>
    </row>
    <row r="296" spans="1:19" x14ac:dyDescent="0.25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e">
        <f>VLOOKUP(F296,'Customer Info'!A288:I787,2,0)</f>
        <v>#N/A</v>
      </c>
      <c r="H296" s="6" t="e">
        <f>VLOOKUP(F296,'Customer Info'!A288:I787,3,0)</f>
        <v>#N/A</v>
      </c>
      <c r="I296" s="6" t="e">
        <f>VLOOKUP(F296,'Customer Info'!A288:I787,5,0)</f>
        <v>#N/A</v>
      </c>
      <c r="J296" s="2">
        <v>1621</v>
      </c>
      <c r="K296" s="2">
        <v>1545</v>
      </c>
      <c r="L296" s="2">
        <v>6</v>
      </c>
      <c r="M296" s="7">
        <f t="shared" si="16"/>
        <v>9270</v>
      </c>
      <c r="N296" s="7">
        <f t="shared" si="17"/>
        <v>9726</v>
      </c>
      <c r="O296" s="2">
        <v>74</v>
      </c>
      <c r="P296" s="8">
        <f t="shared" si="18"/>
        <v>9800</v>
      </c>
      <c r="Q296" s="8">
        <f t="shared" si="19"/>
        <v>9652</v>
      </c>
      <c r="R296" s="2" t="s">
        <v>28</v>
      </c>
      <c r="S296" s="9">
        <f>VLOOKUP(P296,$T$2:U293,2,1)</f>
        <v>0.05</v>
      </c>
    </row>
    <row r="297" spans="1:19" x14ac:dyDescent="0.25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VLOOKUP(F297,'Customer Info'!A289:I788,2,0)</f>
        <v>Sarah</v>
      </c>
      <c r="H297" s="6" t="str">
        <f>VLOOKUP(F297,'Customer Info'!A289:I788,3,0)</f>
        <v>Bern</v>
      </c>
      <c r="I297" s="6" t="str">
        <f>VLOOKUP(F297,'Customer Info'!A289:I788,5,0)</f>
        <v>Wollongong</v>
      </c>
      <c r="J297" s="2">
        <v>2540</v>
      </c>
      <c r="K297" s="2">
        <v>2397</v>
      </c>
      <c r="L297" s="2">
        <v>3</v>
      </c>
      <c r="M297" s="7">
        <f t="shared" si="16"/>
        <v>7191</v>
      </c>
      <c r="N297" s="7">
        <f t="shared" si="17"/>
        <v>7620</v>
      </c>
      <c r="O297" s="2">
        <v>56</v>
      </c>
      <c r="P297" s="8">
        <f t="shared" si="18"/>
        <v>7676</v>
      </c>
      <c r="Q297" s="8">
        <f t="shared" si="19"/>
        <v>7564</v>
      </c>
      <c r="R297" s="2" t="s">
        <v>28</v>
      </c>
      <c r="S297" s="9">
        <f>VLOOKUP(P297,$T$2:U294,2,1)</f>
        <v>0.05</v>
      </c>
    </row>
    <row r="298" spans="1:19" x14ac:dyDescent="0.25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VLOOKUP(F298,'Customer Info'!A290:I789,2,0)</f>
        <v>Paul</v>
      </c>
      <c r="H298" s="6" t="str">
        <f>VLOOKUP(F298,'Customer Info'!A290:I789,3,0)</f>
        <v>Knutson</v>
      </c>
      <c r="I298" s="6" t="str">
        <f>VLOOKUP(F298,'Customer Info'!A290:I789,5,0)</f>
        <v>Gold Coast</v>
      </c>
      <c r="J298" s="2">
        <v>542</v>
      </c>
      <c r="K298" s="2">
        <v>492</v>
      </c>
      <c r="L298" s="2">
        <v>3</v>
      </c>
      <c r="M298" s="7">
        <f t="shared" si="16"/>
        <v>1476</v>
      </c>
      <c r="N298" s="7">
        <f t="shared" si="17"/>
        <v>1626</v>
      </c>
      <c r="O298" s="2">
        <v>45</v>
      </c>
      <c r="P298" s="8">
        <f t="shared" si="18"/>
        <v>1671</v>
      </c>
      <c r="Q298" s="8">
        <f t="shared" si="19"/>
        <v>1581</v>
      </c>
      <c r="R298" s="2" t="s">
        <v>28</v>
      </c>
      <c r="S298" s="9">
        <f>VLOOKUP(P298,$T$2:U295,2,1)</f>
        <v>0.02</v>
      </c>
    </row>
    <row r="299" spans="1:19" x14ac:dyDescent="0.25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VLOOKUP(F299,'Customer Info'!A291:I790,2,0)</f>
        <v>Paul</v>
      </c>
      <c r="H299" s="6" t="str">
        <f>VLOOKUP(F299,'Customer Info'!A291:I790,3,0)</f>
        <v>Gonzalez</v>
      </c>
      <c r="I299" s="6" t="str">
        <f>VLOOKUP(F299,'Customer Info'!A291:I790,5,0)</f>
        <v>Durgapur</v>
      </c>
      <c r="J299" s="2">
        <v>140</v>
      </c>
      <c r="K299" s="2">
        <v>137</v>
      </c>
      <c r="L299" s="2">
        <v>1</v>
      </c>
      <c r="M299" s="7">
        <f t="shared" si="16"/>
        <v>137</v>
      </c>
      <c r="N299" s="7">
        <f t="shared" si="17"/>
        <v>140</v>
      </c>
      <c r="O299" s="2">
        <v>30</v>
      </c>
      <c r="P299" s="8">
        <f t="shared" si="18"/>
        <v>170</v>
      </c>
      <c r="Q299" s="8">
        <f t="shared" si="19"/>
        <v>110</v>
      </c>
      <c r="R299" s="2" t="s">
        <v>28</v>
      </c>
      <c r="S299" s="9">
        <f>VLOOKUP(P299,$T$2:U296,2,1)</f>
        <v>0.02</v>
      </c>
    </row>
    <row r="300" spans="1:19" x14ac:dyDescent="0.25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e">
        <f>VLOOKUP(F300,'Customer Info'!A292:I791,2,0)</f>
        <v>#N/A</v>
      </c>
      <c r="H300" s="6" t="e">
        <f>VLOOKUP(F300,'Customer Info'!A292:I791,3,0)</f>
        <v>#N/A</v>
      </c>
      <c r="I300" s="6" t="e">
        <f>VLOOKUP(F300,'Customer Info'!A292:I791,5,0)</f>
        <v>#N/A</v>
      </c>
      <c r="J300" s="2">
        <v>2747</v>
      </c>
      <c r="K300" s="2">
        <v>2545</v>
      </c>
      <c r="L300" s="2">
        <v>1</v>
      </c>
      <c r="M300" s="7">
        <f t="shared" si="16"/>
        <v>2545</v>
      </c>
      <c r="N300" s="7">
        <f t="shared" si="17"/>
        <v>2747</v>
      </c>
      <c r="O300" s="2">
        <v>83</v>
      </c>
      <c r="P300" s="8">
        <f t="shared" si="18"/>
        <v>2830</v>
      </c>
      <c r="Q300" s="8">
        <f t="shared" si="19"/>
        <v>2664</v>
      </c>
      <c r="R300" s="2" t="s">
        <v>28</v>
      </c>
      <c r="S300" s="9">
        <f>VLOOKUP(P300,$T$2:U297,2,1)</f>
        <v>0.02</v>
      </c>
    </row>
    <row r="301" spans="1:19" x14ac:dyDescent="0.25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VLOOKUP(F301,'Customer Info'!A293:I792,2,0)</f>
        <v>Tamara</v>
      </c>
      <c r="H301" s="6" t="str">
        <f>VLOOKUP(F301,'Customer Info'!A293:I792,3,0)</f>
        <v>Willingham</v>
      </c>
      <c r="I301" s="6" t="str">
        <f>VLOOKUP(F301,'Customer Info'!A293:I792,5,0)</f>
        <v>Perth</v>
      </c>
      <c r="J301" s="2">
        <v>5848</v>
      </c>
      <c r="K301" s="2">
        <v>5214</v>
      </c>
      <c r="L301" s="2">
        <v>4</v>
      </c>
      <c r="M301" s="7">
        <f t="shared" si="16"/>
        <v>20856</v>
      </c>
      <c r="N301" s="7">
        <f t="shared" si="17"/>
        <v>23392</v>
      </c>
      <c r="O301" s="2">
        <v>35</v>
      </c>
      <c r="P301" s="8">
        <f t="shared" si="18"/>
        <v>23427</v>
      </c>
      <c r="Q301" s="8">
        <f t="shared" si="19"/>
        <v>23357</v>
      </c>
      <c r="R301" s="2" t="s">
        <v>28</v>
      </c>
      <c r="S301" s="9">
        <f>VLOOKUP(P301,$T$2:U298,2,1)</f>
        <v>0.05</v>
      </c>
    </row>
    <row r="302" spans="1:19" x14ac:dyDescent="0.25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e">
        <f>VLOOKUP(F302,'Customer Info'!A294:I793,2,0)</f>
        <v>#N/A</v>
      </c>
      <c r="H302" s="6" t="e">
        <f>VLOOKUP(F302,'Customer Info'!A294:I793,3,0)</f>
        <v>#N/A</v>
      </c>
      <c r="I302" s="6" t="e">
        <f>VLOOKUP(F302,'Customer Info'!A294:I793,5,0)</f>
        <v>#N/A</v>
      </c>
      <c r="J302" s="2">
        <v>8967</v>
      </c>
      <c r="K302" s="2">
        <v>8151</v>
      </c>
      <c r="L302" s="2">
        <v>2</v>
      </c>
      <c r="M302" s="7">
        <f t="shared" si="16"/>
        <v>16302</v>
      </c>
      <c r="N302" s="7">
        <f t="shared" si="17"/>
        <v>17934</v>
      </c>
      <c r="O302" s="2">
        <v>51</v>
      </c>
      <c r="P302" s="8">
        <f t="shared" si="18"/>
        <v>17985</v>
      </c>
      <c r="Q302" s="8">
        <f t="shared" si="19"/>
        <v>17883</v>
      </c>
      <c r="R302" s="2" t="s">
        <v>28</v>
      </c>
      <c r="S302" s="9">
        <f>VLOOKUP(P302,$T$2:U299,2,1)</f>
        <v>0.05</v>
      </c>
    </row>
    <row r="303" spans="1:19" x14ac:dyDescent="0.25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e">
        <f>VLOOKUP(F303,'Customer Info'!A295:I794,2,0)</f>
        <v>#N/A</v>
      </c>
      <c r="H303" s="6" t="e">
        <f>VLOOKUP(F303,'Customer Info'!A295:I794,3,0)</f>
        <v>#N/A</v>
      </c>
      <c r="I303" s="6" t="e">
        <f>VLOOKUP(F303,'Customer Info'!A295:I794,5,0)</f>
        <v>#N/A</v>
      </c>
      <c r="J303" s="2">
        <v>1364</v>
      </c>
      <c r="K303" s="2">
        <v>1274</v>
      </c>
      <c r="L303" s="2">
        <v>2</v>
      </c>
      <c r="M303" s="7">
        <f t="shared" si="16"/>
        <v>2548</v>
      </c>
      <c r="N303" s="7">
        <f t="shared" si="17"/>
        <v>2728</v>
      </c>
      <c r="O303" s="2">
        <v>48</v>
      </c>
      <c r="P303" s="8">
        <f t="shared" si="18"/>
        <v>2776</v>
      </c>
      <c r="Q303" s="8">
        <f t="shared" si="19"/>
        <v>2680</v>
      </c>
      <c r="R303" s="2" t="s">
        <v>28</v>
      </c>
      <c r="S303" s="9">
        <f>VLOOKUP(P303,$T$2:U300,2,1)</f>
        <v>0.02</v>
      </c>
    </row>
    <row r="304" spans="1:19" x14ac:dyDescent="0.25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e">
        <f>VLOOKUP(F304,'Customer Info'!A296:I795,2,0)</f>
        <v>#N/A</v>
      </c>
      <c r="H304" s="6" t="e">
        <f>VLOOKUP(F304,'Customer Info'!A296:I795,3,0)</f>
        <v>#N/A</v>
      </c>
      <c r="I304" s="6" t="e">
        <f>VLOOKUP(F304,'Customer Info'!A296:I795,5,0)</f>
        <v>#N/A</v>
      </c>
      <c r="J304" s="2">
        <v>2951</v>
      </c>
      <c r="K304" s="2">
        <v>2786</v>
      </c>
      <c r="L304" s="2">
        <v>6</v>
      </c>
      <c r="M304" s="7">
        <f t="shared" si="16"/>
        <v>16716</v>
      </c>
      <c r="N304" s="7">
        <f t="shared" si="17"/>
        <v>17706</v>
      </c>
      <c r="O304" s="2">
        <v>85</v>
      </c>
      <c r="P304" s="8">
        <f t="shared" si="18"/>
        <v>17791</v>
      </c>
      <c r="Q304" s="8">
        <f t="shared" si="19"/>
        <v>17621</v>
      </c>
      <c r="R304" s="2" t="s">
        <v>50</v>
      </c>
      <c r="S304" s="9">
        <f>VLOOKUP(P304,$T$2:U301,2,1)</f>
        <v>0.05</v>
      </c>
    </row>
    <row r="305" spans="1:19" x14ac:dyDescent="0.25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e">
        <f>VLOOKUP(F305,'Customer Info'!A297:I796,2,0)</f>
        <v>#N/A</v>
      </c>
      <c r="H305" s="6" t="e">
        <f>VLOOKUP(F305,'Customer Info'!A297:I796,3,0)</f>
        <v>#N/A</v>
      </c>
      <c r="I305" s="6" t="e">
        <f>VLOOKUP(F305,'Customer Info'!A297:I796,5,0)</f>
        <v>#N/A</v>
      </c>
      <c r="J305" s="2">
        <v>1321</v>
      </c>
      <c r="K305" s="2">
        <v>1211</v>
      </c>
      <c r="L305" s="2">
        <v>4</v>
      </c>
      <c r="M305" s="7">
        <f t="shared" si="16"/>
        <v>4844</v>
      </c>
      <c r="N305" s="7">
        <f t="shared" si="17"/>
        <v>5284</v>
      </c>
      <c r="O305" s="2">
        <v>67</v>
      </c>
      <c r="P305" s="8">
        <f t="shared" si="18"/>
        <v>5351</v>
      </c>
      <c r="Q305" s="8">
        <f t="shared" si="19"/>
        <v>5217</v>
      </c>
      <c r="R305" s="2" t="s">
        <v>28</v>
      </c>
      <c r="S305" s="9">
        <f>VLOOKUP(P305,$T$2:U302,2,1)</f>
        <v>0.05</v>
      </c>
    </row>
    <row r="306" spans="1:19" x14ac:dyDescent="0.25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VLOOKUP(F306,'Customer Info'!A298:I797,2,0)</f>
        <v>Toby</v>
      </c>
      <c r="H306" s="6" t="str">
        <f>VLOOKUP(F306,'Customer Info'!A298:I797,3,0)</f>
        <v>Gnade</v>
      </c>
      <c r="I306" s="6" t="str">
        <f>VLOOKUP(F306,'Customer Info'!A298:I797,5,0)</f>
        <v>Wagga Wagga</v>
      </c>
      <c r="J306" s="2">
        <v>2271</v>
      </c>
      <c r="K306" s="2">
        <v>2144</v>
      </c>
      <c r="L306" s="2">
        <v>5</v>
      </c>
      <c r="M306" s="7">
        <f t="shared" si="16"/>
        <v>10720</v>
      </c>
      <c r="N306" s="7">
        <f t="shared" si="17"/>
        <v>11355</v>
      </c>
      <c r="O306" s="2">
        <v>85</v>
      </c>
      <c r="P306" s="8">
        <f t="shared" si="18"/>
        <v>11440</v>
      </c>
      <c r="Q306" s="8">
        <f t="shared" si="19"/>
        <v>11270</v>
      </c>
      <c r="R306" s="2" t="s">
        <v>28</v>
      </c>
      <c r="S306" s="9">
        <f>VLOOKUP(P306,$T$2:U303,2,1)</f>
        <v>0.05</v>
      </c>
    </row>
    <row r="307" spans="1:19" x14ac:dyDescent="0.25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VLOOKUP(F307,'Customer Info'!A299:I798,2,0)</f>
        <v>Nancy</v>
      </c>
      <c r="H307" s="6" t="str">
        <f>VLOOKUP(F307,'Customer Info'!A299:I798,3,0)</f>
        <v>Lomonaco</v>
      </c>
      <c r="I307" s="6" t="str">
        <f>VLOOKUP(F307,'Customer Info'!A299:I798,5,0)</f>
        <v>Tengzhou</v>
      </c>
      <c r="J307" s="2">
        <v>78</v>
      </c>
      <c r="K307" s="2">
        <v>74</v>
      </c>
      <c r="L307" s="2">
        <v>2</v>
      </c>
      <c r="M307" s="7">
        <f t="shared" si="16"/>
        <v>148</v>
      </c>
      <c r="N307" s="7">
        <f t="shared" si="17"/>
        <v>156</v>
      </c>
      <c r="O307" s="2">
        <v>10</v>
      </c>
      <c r="P307" s="8">
        <f t="shared" si="18"/>
        <v>166</v>
      </c>
      <c r="Q307" s="8">
        <f t="shared" si="19"/>
        <v>146</v>
      </c>
      <c r="R307" s="2" t="s">
        <v>50</v>
      </c>
      <c r="S307" s="9">
        <f>VLOOKUP(P307,$T$2:U304,2,1)</f>
        <v>0.02</v>
      </c>
    </row>
    <row r="308" spans="1:19" x14ac:dyDescent="0.25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e">
        <f>VLOOKUP(F308,'Customer Info'!A300:I799,2,0)</f>
        <v>#N/A</v>
      </c>
      <c r="H308" s="6" t="e">
        <f>VLOOKUP(F308,'Customer Info'!A300:I799,3,0)</f>
        <v>#N/A</v>
      </c>
      <c r="I308" s="6" t="e">
        <f>VLOOKUP(F308,'Customer Info'!A300:I799,5,0)</f>
        <v>#N/A</v>
      </c>
      <c r="J308" s="2">
        <v>1482</v>
      </c>
      <c r="K308" s="2">
        <v>1453</v>
      </c>
      <c r="L308" s="2">
        <v>5</v>
      </c>
      <c r="M308" s="7">
        <f t="shared" si="16"/>
        <v>7265</v>
      </c>
      <c r="N308" s="7">
        <f t="shared" si="17"/>
        <v>7410</v>
      </c>
      <c r="O308" s="2">
        <v>57</v>
      </c>
      <c r="P308" s="8">
        <f t="shared" si="18"/>
        <v>7467</v>
      </c>
      <c r="Q308" s="8">
        <f t="shared" si="19"/>
        <v>7353</v>
      </c>
      <c r="R308" s="2" t="s">
        <v>50</v>
      </c>
      <c r="S308" s="9">
        <f>VLOOKUP(P308,$T$2:U305,2,1)</f>
        <v>0.05</v>
      </c>
    </row>
    <row r="309" spans="1:19" x14ac:dyDescent="0.25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e">
        <f>VLOOKUP(F309,'Customer Info'!A301:I800,2,0)</f>
        <v>#N/A</v>
      </c>
      <c r="H309" s="6" t="e">
        <f>VLOOKUP(F309,'Customer Info'!A301:I800,3,0)</f>
        <v>#N/A</v>
      </c>
      <c r="I309" s="6" t="e">
        <f>VLOOKUP(F309,'Customer Info'!A301:I800,5,0)</f>
        <v>#N/A</v>
      </c>
      <c r="J309" s="2">
        <v>2228</v>
      </c>
      <c r="K309" s="2">
        <v>2143</v>
      </c>
      <c r="L309" s="2">
        <v>5</v>
      </c>
      <c r="M309" s="7">
        <f t="shared" si="16"/>
        <v>10715</v>
      </c>
      <c r="N309" s="7">
        <f t="shared" si="17"/>
        <v>11140</v>
      </c>
      <c r="O309" s="2">
        <v>67</v>
      </c>
      <c r="P309" s="8">
        <f t="shared" si="18"/>
        <v>11207</v>
      </c>
      <c r="Q309" s="8">
        <f t="shared" si="19"/>
        <v>11073</v>
      </c>
      <c r="R309" s="2" t="s">
        <v>26</v>
      </c>
      <c r="S309" s="9">
        <f>VLOOKUP(P309,$T$2:U306,2,1)</f>
        <v>0.05</v>
      </c>
    </row>
    <row r="310" spans="1:19" x14ac:dyDescent="0.25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VLOOKUP(F310,'Customer Info'!A302:I801,2,0)</f>
        <v>Valerie</v>
      </c>
      <c r="H310" s="6" t="str">
        <f>VLOOKUP(F310,'Customer Info'!A302:I801,3,0)</f>
        <v>Mitchum</v>
      </c>
      <c r="I310" s="6" t="str">
        <f>VLOOKUP(F310,'Customer Info'!A302:I801,5,0)</f>
        <v>Chengdu</v>
      </c>
      <c r="J310" s="2">
        <v>144</v>
      </c>
      <c r="K310" s="2">
        <v>132</v>
      </c>
      <c r="L310" s="2">
        <v>5</v>
      </c>
      <c r="M310" s="7">
        <f t="shared" si="16"/>
        <v>660</v>
      </c>
      <c r="N310" s="7">
        <f t="shared" si="17"/>
        <v>720</v>
      </c>
      <c r="O310" s="2">
        <v>30</v>
      </c>
      <c r="P310" s="8">
        <f t="shared" si="18"/>
        <v>750</v>
      </c>
      <c r="Q310" s="8">
        <f t="shared" si="19"/>
        <v>690</v>
      </c>
      <c r="R310" s="2" t="s">
        <v>26</v>
      </c>
      <c r="S310" s="9">
        <f>VLOOKUP(P310,$T$2:U307,2,1)</f>
        <v>0.02</v>
      </c>
    </row>
    <row r="311" spans="1:19" x14ac:dyDescent="0.25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VLOOKUP(F311,'Customer Info'!A303:I802,2,0)</f>
        <v>Nat</v>
      </c>
      <c r="H311" s="6" t="str">
        <f>VLOOKUP(F311,'Customer Info'!A303:I802,3,0)</f>
        <v>Carroll</v>
      </c>
      <c r="I311" s="6" t="str">
        <f>VLOOKUP(F311,'Customer Info'!A303:I802,5,0)</f>
        <v>Shanghai</v>
      </c>
      <c r="J311" s="2">
        <v>1210</v>
      </c>
      <c r="K311" s="2">
        <v>1164</v>
      </c>
      <c r="L311" s="2">
        <v>5</v>
      </c>
      <c r="M311" s="7">
        <f t="shared" si="16"/>
        <v>5820</v>
      </c>
      <c r="N311" s="7">
        <f t="shared" si="17"/>
        <v>6050</v>
      </c>
      <c r="O311" s="2">
        <v>64</v>
      </c>
      <c r="P311" s="8">
        <f t="shared" si="18"/>
        <v>6114</v>
      </c>
      <c r="Q311" s="8">
        <f t="shared" si="19"/>
        <v>5986</v>
      </c>
      <c r="R311" s="2" t="s">
        <v>50</v>
      </c>
      <c r="S311" s="9">
        <f>VLOOKUP(P311,$T$2:U308,2,1)</f>
        <v>0.05</v>
      </c>
    </row>
    <row r="312" spans="1:19" x14ac:dyDescent="0.25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VLOOKUP(F312,'Customer Info'!A304:I803,2,0)</f>
        <v>Stuart</v>
      </c>
      <c r="H312" s="6" t="str">
        <f>VLOOKUP(F312,'Customer Info'!A304:I803,3,0)</f>
        <v>Calhoun</v>
      </c>
      <c r="I312" s="6" t="str">
        <f>VLOOKUP(F312,'Customer Info'!A304:I803,5,0)</f>
        <v>Pforzheim</v>
      </c>
      <c r="J312" s="2">
        <v>531</v>
      </c>
      <c r="K312" s="2">
        <v>487</v>
      </c>
      <c r="L312" s="2">
        <v>3</v>
      </c>
      <c r="M312" s="7">
        <f t="shared" si="16"/>
        <v>1461</v>
      </c>
      <c r="N312" s="7">
        <f t="shared" si="17"/>
        <v>1593</v>
      </c>
      <c r="O312" s="2">
        <v>62</v>
      </c>
      <c r="P312" s="8">
        <f t="shared" si="18"/>
        <v>1655</v>
      </c>
      <c r="Q312" s="8">
        <f t="shared" si="19"/>
        <v>1531</v>
      </c>
      <c r="R312" s="2" t="s">
        <v>28</v>
      </c>
      <c r="S312" s="9">
        <f>VLOOKUP(P312,$T$2:U309,2,1)</f>
        <v>0.02</v>
      </c>
    </row>
    <row r="313" spans="1:19" x14ac:dyDescent="0.25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e">
        <f>VLOOKUP(F313,'Customer Info'!A305:I804,2,0)</f>
        <v>#N/A</v>
      </c>
      <c r="H313" s="6" t="e">
        <f>VLOOKUP(F313,'Customer Info'!A305:I804,3,0)</f>
        <v>#N/A</v>
      </c>
      <c r="I313" s="6" t="e">
        <f>VLOOKUP(F313,'Customer Info'!A305:I804,5,0)</f>
        <v>#N/A</v>
      </c>
      <c r="J313" s="2">
        <v>2250</v>
      </c>
      <c r="K313" s="2">
        <v>2207</v>
      </c>
      <c r="L313" s="2">
        <v>6</v>
      </c>
      <c r="M313" s="7">
        <f t="shared" si="16"/>
        <v>13242</v>
      </c>
      <c r="N313" s="7">
        <f t="shared" si="17"/>
        <v>13500</v>
      </c>
      <c r="O313" s="2">
        <v>75</v>
      </c>
      <c r="P313" s="8">
        <f t="shared" si="18"/>
        <v>13575</v>
      </c>
      <c r="Q313" s="8">
        <f t="shared" si="19"/>
        <v>13425</v>
      </c>
      <c r="R313" s="2" t="s">
        <v>28</v>
      </c>
      <c r="S313" s="9">
        <f>VLOOKUP(P313,$T$2:U310,2,1)</f>
        <v>0.05</v>
      </c>
    </row>
    <row r="314" spans="1:19" x14ac:dyDescent="0.25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e">
        <f>VLOOKUP(F314,'Customer Info'!A306:I805,2,0)</f>
        <v>#N/A</v>
      </c>
      <c r="H314" s="6" t="e">
        <f>VLOOKUP(F314,'Customer Info'!A306:I805,3,0)</f>
        <v>#N/A</v>
      </c>
      <c r="I314" s="6" t="e">
        <f>VLOOKUP(F314,'Customer Info'!A306:I805,5,0)</f>
        <v>#N/A</v>
      </c>
      <c r="J314" s="2">
        <v>2907</v>
      </c>
      <c r="K314" s="2">
        <v>2667</v>
      </c>
      <c r="L314" s="2">
        <v>1</v>
      </c>
      <c r="M314" s="7">
        <f t="shared" si="16"/>
        <v>2667</v>
      </c>
      <c r="N314" s="7">
        <f t="shared" si="17"/>
        <v>2907</v>
      </c>
      <c r="O314" s="2">
        <v>80</v>
      </c>
      <c r="P314" s="8">
        <f t="shared" si="18"/>
        <v>2987</v>
      </c>
      <c r="Q314" s="8">
        <f t="shared" si="19"/>
        <v>2827</v>
      </c>
      <c r="R314" s="2" t="s">
        <v>50</v>
      </c>
      <c r="S314" s="9">
        <f>VLOOKUP(P314,$T$2:U311,2,1)</f>
        <v>0.02</v>
      </c>
    </row>
    <row r="315" spans="1:19" x14ac:dyDescent="0.25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e">
        <f>VLOOKUP(F315,'Customer Info'!A307:I806,2,0)</f>
        <v>#N/A</v>
      </c>
      <c r="H315" s="6" t="e">
        <f>VLOOKUP(F315,'Customer Info'!A307:I806,3,0)</f>
        <v>#N/A</v>
      </c>
      <c r="I315" s="6" t="e">
        <f>VLOOKUP(F315,'Customer Info'!A307:I806,5,0)</f>
        <v>#N/A</v>
      </c>
      <c r="J315" s="2">
        <v>1146</v>
      </c>
      <c r="K315" s="2">
        <v>1061</v>
      </c>
      <c r="L315" s="2">
        <v>7</v>
      </c>
      <c r="M315" s="7">
        <f t="shared" si="16"/>
        <v>7427</v>
      </c>
      <c r="N315" s="7">
        <f t="shared" si="17"/>
        <v>8022</v>
      </c>
      <c r="O315" s="2">
        <v>65</v>
      </c>
      <c r="P315" s="8">
        <f t="shared" si="18"/>
        <v>8087</v>
      </c>
      <c r="Q315" s="8">
        <f t="shared" si="19"/>
        <v>7957</v>
      </c>
      <c r="R315" s="2" t="s">
        <v>28</v>
      </c>
      <c r="S315" s="9">
        <f>VLOOKUP(P315,$T$2:U312,2,1)</f>
        <v>0.05</v>
      </c>
    </row>
    <row r="316" spans="1:19" x14ac:dyDescent="0.25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e">
        <f>VLOOKUP(F316,'Customer Info'!A308:I807,2,0)</f>
        <v>#N/A</v>
      </c>
      <c r="H316" s="6" t="e">
        <f>VLOOKUP(F316,'Customer Info'!A308:I807,3,0)</f>
        <v>#N/A</v>
      </c>
      <c r="I316" s="6" t="e">
        <f>VLOOKUP(F316,'Customer Info'!A308:I807,5,0)</f>
        <v>#N/A</v>
      </c>
      <c r="J316" s="2">
        <v>2808</v>
      </c>
      <c r="K316" s="2">
        <v>2674</v>
      </c>
      <c r="L316" s="2">
        <v>3</v>
      </c>
      <c r="M316" s="7">
        <f t="shared" si="16"/>
        <v>8022</v>
      </c>
      <c r="N316" s="7">
        <f t="shared" si="17"/>
        <v>8424</v>
      </c>
      <c r="O316" s="2">
        <v>59</v>
      </c>
      <c r="P316" s="8">
        <f t="shared" si="18"/>
        <v>8483</v>
      </c>
      <c r="Q316" s="8">
        <f t="shared" si="19"/>
        <v>8365</v>
      </c>
      <c r="R316" s="2" t="s">
        <v>50</v>
      </c>
      <c r="S316" s="9">
        <f>VLOOKUP(P316,$T$2:U313,2,1)</f>
        <v>0.05</v>
      </c>
    </row>
    <row r="317" spans="1:19" x14ac:dyDescent="0.25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VLOOKUP(F317,'Customer Info'!A309:I808,2,0)</f>
        <v>Shahid</v>
      </c>
      <c r="H317" s="6" t="str">
        <f>VLOOKUP(F317,'Customer Info'!A309:I808,3,0)</f>
        <v>Collister</v>
      </c>
      <c r="I317" s="6" t="str">
        <f>VLOOKUP(F317,'Customer Info'!A309:I808,5,0)</f>
        <v>Solapur</v>
      </c>
      <c r="J317" s="2">
        <v>4832</v>
      </c>
      <c r="K317" s="2">
        <v>4563</v>
      </c>
      <c r="L317" s="2">
        <v>3</v>
      </c>
      <c r="M317" s="7">
        <f t="shared" si="16"/>
        <v>13689</v>
      </c>
      <c r="N317" s="7">
        <f t="shared" si="17"/>
        <v>14496</v>
      </c>
      <c r="O317" s="2">
        <v>98</v>
      </c>
      <c r="P317" s="8">
        <f t="shared" si="18"/>
        <v>14594</v>
      </c>
      <c r="Q317" s="8">
        <f t="shared" si="19"/>
        <v>14398</v>
      </c>
      <c r="R317" s="2" t="s">
        <v>50</v>
      </c>
      <c r="S317" s="9">
        <f>VLOOKUP(P317,$T$2:U314,2,1)</f>
        <v>0.05</v>
      </c>
    </row>
    <row r="318" spans="1:19" x14ac:dyDescent="0.25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VLOOKUP(F318,'Customer Info'!A310:I809,2,0)</f>
        <v>Tom</v>
      </c>
      <c r="H318" s="6" t="str">
        <f>VLOOKUP(F318,'Customer Info'!A310:I809,3,0)</f>
        <v>Boeckenhauer</v>
      </c>
      <c r="I318" s="6" t="str">
        <f>VLOOKUP(F318,'Customer Info'!A310:I809,5,0)</f>
        <v>Neunkirchen</v>
      </c>
      <c r="J318" s="2">
        <v>1718</v>
      </c>
      <c r="K318" s="2">
        <v>1545</v>
      </c>
      <c r="L318" s="2">
        <v>9</v>
      </c>
      <c r="M318" s="7">
        <f t="shared" si="16"/>
        <v>13905</v>
      </c>
      <c r="N318" s="7">
        <f t="shared" si="17"/>
        <v>15462</v>
      </c>
      <c r="O318" s="2">
        <v>90</v>
      </c>
      <c r="P318" s="8">
        <f t="shared" si="18"/>
        <v>15552</v>
      </c>
      <c r="Q318" s="8">
        <f t="shared" si="19"/>
        <v>15372</v>
      </c>
      <c r="R318" s="2" t="s">
        <v>50</v>
      </c>
      <c r="S318" s="9">
        <f>VLOOKUP(P318,$T$2:U315,2,1)</f>
        <v>0.05</v>
      </c>
    </row>
    <row r="319" spans="1:19" x14ac:dyDescent="0.25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VLOOKUP(F319,'Customer Info'!A311:I810,2,0)</f>
        <v>Patrick</v>
      </c>
      <c r="H319" s="6" t="str">
        <f>VLOOKUP(F319,'Customer Info'!A311:I810,3,0)</f>
        <v>Bzostek</v>
      </c>
      <c r="I319" s="6" t="str">
        <f>VLOOKUP(F319,'Customer Info'!A311:I810,5,0)</f>
        <v>Brisbane</v>
      </c>
      <c r="J319" s="2">
        <v>2155</v>
      </c>
      <c r="K319" s="2">
        <v>2014</v>
      </c>
      <c r="L319" s="2">
        <v>3</v>
      </c>
      <c r="M319" s="7">
        <f t="shared" si="16"/>
        <v>6042</v>
      </c>
      <c r="N319" s="7">
        <f t="shared" si="17"/>
        <v>6465</v>
      </c>
      <c r="O319" s="2">
        <v>50</v>
      </c>
      <c r="P319" s="8">
        <f t="shared" si="18"/>
        <v>6515</v>
      </c>
      <c r="Q319" s="8">
        <f t="shared" si="19"/>
        <v>6415</v>
      </c>
      <c r="R319" s="2" t="s">
        <v>28</v>
      </c>
      <c r="S319" s="9">
        <f>VLOOKUP(P319,$T$2:U316,2,1)</f>
        <v>0.05</v>
      </c>
    </row>
    <row r="320" spans="1:19" x14ac:dyDescent="0.25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VLOOKUP(F320,'Customer Info'!A312:I811,2,0)</f>
        <v>Meg</v>
      </c>
      <c r="H320" s="6" t="str">
        <f>VLOOKUP(F320,'Customer Info'!A312:I811,3,0)</f>
        <v>Tillman</v>
      </c>
      <c r="I320" s="6" t="str">
        <f>VLOOKUP(F320,'Customer Info'!A312:I811,5,0)</f>
        <v>Bangalore</v>
      </c>
      <c r="J320" s="2">
        <v>8187</v>
      </c>
      <c r="K320" s="2">
        <v>7799</v>
      </c>
      <c r="L320" s="2">
        <v>3</v>
      </c>
      <c r="M320" s="7">
        <f t="shared" si="16"/>
        <v>23397</v>
      </c>
      <c r="N320" s="7">
        <f t="shared" si="17"/>
        <v>24561</v>
      </c>
      <c r="O320" s="2">
        <v>74</v>
      </c>
      <c r="P320" s="8">
        <f t="shared" si="18"/>
        <v>24635</v>
      </c>
      <c r="Q320" s="8">
        <f t="shared" si="19"/>
        <v>24487</v>
      </c>
      <c r="R320" s="2" t="s">
        <v>50</v>
      </c>
      <c r="S320" s="9">
        <f>VLOOKUP(P320,$T$2:U317,2,1)</f>
        <v>0.05</v>
      </c>
    </row>
    <row r="321" spans="1:19" x14ac:dyDescent="0.25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VLOOKUP(F321,'Customer Info'!A313:I812,2,0)</f>
        <v>Muhammed</v>
      </c>
      <c r="H321" s="6" t="str">
        <f>VLOOKUP(F321,'Customer Info'!A313:I812,3,0)</f>
        <v>Lee</v>
      </c>
      <c r="I321" s="6" t="str">
        <f>VLOOKUP(F321,'Customer Info'!A313:I812,5,0)</f>
        <v>Nellore</v>
      </c>
      <c r="J321" s="2">
        <v>2843</v>
      </c>
      <c r="K321" s="2">
        <v>2735</v>
      </c>
      <c r="L321" s="2">
        <v>1</v>
      </c>
      <c r="M321" s="7">
        <f t="shared" si="16"/>
        <v>2735</v>
      </c>
      <c r="N321" s="7">
        <f t="shared" si="17"/>
        <v>2843</v>
      </c>
      <c r="O321" s="2">
        <v>23</v>
      </c>
      <c r="P321" s="8">
        <f t="shared" si="18"/>
        <v>2866</v>
      </c>
      <c r="Q321" s="8">
        <f t="shared" si="19"/>
        <v>2820</v>
      </c>
      <c r="R321" s="2" t="s">
        <v>28</v>
      </c>
      <c r="S321" s="9">
        <f>VLOOKUP(P321,$T$2:U318,2,1)</f>
        <v>0.02</v>
      </c>
    </row>
    <row r="322" spans="1:19" x14ac:dyDescent="0.25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VLOOKUP(F322,'Customer Info'!A314:I813,2,0)</f>
        <v>Toby</v>
      </c>
      <c r="H322" s="6" t="str">
        <f>VLOOKUP(F322,'Customer Info'!A314:I813,3,0)</f>
        <v>Braunhardt</v>
      </c>
      <c r="I322" s="6" t="str">
        <f>VLOOKUP(F322,'Customer Info'!A314:I813,5,0)</f>
        <v>Jiangyan</v>
      </c>
      <c r="J322" s="2">
        <v>2921</v>
      </c>
      <c r="K322" s="2">
        <v>2809</v>
      </c>
      <c r="L322" s="2">
        <v>7</v>
      </c>
      <c r="M322" s="7">
        <f t="shared" si="16"/>
        <v>19663</v>
      </c>
      <c r="N322" s="7">
        <f t="shared" si="17"/>
        <v>20447</v>
      </c>
      <c r="O322" s="2">
        <v>87</v>
      </c>
      <c r="P322" s="8">
        <f t="shared" si="18"/>
        <v>20534</v>
      </c>
      <c r="Q322" s="8">
        <f t="shared" si="19"/>
        <v>20360</v>
      </c>
      <c r="R322" s="2" t="s">
        <v>26</v>
      </c>
      <c r="S322" s="9">
        <f>VLOOKUP(P322,$T$2:U319,2,1)</f>
        <v>0.05</v>
      </c>
    </row>
    <row r="323" spans="1:19" x14ac:dyDescent="0.25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VLOOKUP(F323,'Customer Info'!A315:I814,2,0)</f>
        <v>Pauline</v>
      </c>
      <c r="H323" s="6" t="str">
        <f>VLOOKUP(F323,'Customer Info'!A315:I814,3,0)</f>
        <v>Chand</v>
      </c>
      <c r="I323" s="6" t="str">
        <f>VLOOKUP(F323,'Customer Info'!A315:I814,5,0)</f>
        <v>Perth</v>
      </c>
      <c r="J323" s="2">
        <v>61</v>
      </c>
      <c r="K323" s="2">
        <v>56</v>
      </c>
      <c r="L323" s="2">
        <v>2</v>
      </c>
      <c r="M323" s="7">
        <f t="shared" si="16"/>
        <v>112</v>
      </c>
      <c r="N323" s="7">
        <f t="shared" si="17"/>
        <v>122</v>
      </c>
      <c r="O323" s="2">
        <v>10</v>
      </c>
      <c r="P323" s="8">
        <f t="shared" si="18"/>
        <v>132</v>
      </c>
      <c r="Q323" s="8">
        <f t="shared" si="19"/>
        <v>112</v>
      </c>
      <c r="R323" s="2" t="s">
        <v>28</v>
      </c>
      <c r="S323" s="9">
        <f>VLOOKUP(P323,$T$2:U320,2,1)</f>
        <v>0.02</v>
      </c>
    </row>
    <row r="324" spans="1:19" x14ac:dyDescent="0.25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VLOOKUP(F324,'Customer Info'!A316:I815,2,0)</f>
        <v>Victor</v>
      </c>
      <c r="H324" s="6" t="str">
        <f>VLOOKUP(F324,'Customer Info'!A316:I815,3,0)</f>
        <v>Preis</v>
      </c>
      <c r="I324" s="6" t="str">
        <f>VLOOKUP(F324,'Customer Info'!A316:I815,5,0)</f>
        <v>Melbourne</v>
      </c>
      <c r="J324" s="2">
        <v>2958</v>
      </c>
      <c r="K324" s="2">
        <v>2743</v>
      </c>
      <c r="L324" s="2">
        <v>2</v>
      </c>
      <c r="M324" s="7">
        <f t="shared" si="16"/>
        <v>5486</v>
      </c>
      <c r="N324" s="7">
        <f t="shared" si="17"/>
        <v>5916</v>
      </c>
      <c r="O324" s="2">
        <v>91</v>
      </c>
      <c r="P324" s="8">
        <f t="shared" si="18"/>
        <v>6007</v>
      </c>
      <c r="Q324" s="8">
        <f t="shared" si="19"/>
        <v>5825</v>
      </c>
      <c r="R324" s="2" t="s">
        <v>50</v>
      </c>
      <c r="S324" s="9">
        <f>VLOOKUP(P324,$T$2:U321,2,1)</f>
        <v>0.05</v>
      </c>
    </row>
    <row r="325" spans="1:19" x14ac:dyDescent="0.25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VLOOKUP(F325,'Customer Info'!A317:I816,2,0)</f>
        <v>Sally</v>
      </c>
      <c r="H325" s="6" t="str">
        <f>VLOOKUP(F325,'Customer Info'!A317:I816,3,0)</f>
        <v>Hughsby</v>
      </c>
      <c r="I325" s="6" t="str">
        <f>VLOOKUP(F325,'Customer Info'!A317:I816,5,0)</f>
        <v>Depok</v>
      </c>
      <c r="J325" s="2">
        <v>3256</v>
      </c>
      <c r="K325" s="2">
        <v>2959</v>
      </c>
      <c r="L325" s="2">
        <v>3</v>
      </c>
      <c r="M325" s="7">
        <f t="shared" si="16"/>
        <v>8877</v>
      </c>
      <c r="N325" s="7">
        <f t="shared" si="17"/>
        <v>9768</v>
      </c>
      <c r="O325" s="2">
        <v>69</v>
      </c>
      <c r="P325" s="8">
        <f t="shared" si="18"/>
        <v>9837</v>
      </c>
      <c r="Q325" s="8">
        <f t="shared" si="19"/>
        <v>9699</v>
      </c>
      <c r="R325" s="2" t="s">
        <v>28</v>
      </c>
      <c r="S325" s="9">
        <f>VLOOKUP(P325,$T$2:U322,2,1)</f>
        <v>0.05</v>
      </c>
    </row>
    <row r="326" spans="1:19" x14ac:dyDescent="0.25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VLOOKUP(F326,'Customer Info'!A318:I817,2,0)</f>
        <v>Randy</v>
      </c>
      <c r="H326" s="6" t="str">
        <f>VLOOKUP(F326,'Customer Info'!A318:I817,3,0)</f>
        <v>Bradley</v>
      </c>
      <c r="I326" s="6" t="str">
        <f>VLOOKUP(F326,'Customer Info'!A318:I817,5,0)</f>
        <v>Wollongong</v>
      </c>
      <c r="J326" s="2">
        <v>2244</v>
      </c>
      <c r="K326" s="2">
        <v>2143</v>
      </c>
      <c r="L326" s="2">
        <v>3</v>
      </c>
      <c r="M326" s="7">
        <f t="shared" si="16"/>
        <v>6429</v>
      </c>
      <c r="N326" s="7">
        <f t="shared" si="17"/>
        <v>6732</v>
      </c>
      <c r="O326" s="2">
        <v>36</v>
      </c>
      <c r="P326" s="8">
        <f t="shared" si="18"/>
        <v>6768</v>
      </c>
      <c r="Q326" s="8">
        <f t="shared" si="19"/>
        <v>6696</v>
      </c>
      <c r="R326" s="2" t="s">
        <v>50</v>
      </c>
      <c r="S326" s="9">
        <f>VLOOKUP(P326,$T$2:U323,2,1)</f>
        <v>0.05</v>
      </c>
    </row>
    <row r="327" spans="1:19" x14ac:dyDescent="0.25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e">
        <f>VLOOKUP(F327,'Customer Info'!A319:I818,2,0)</f>
        <v>#N/A</v>
      </c>
      <c r="H327" s="6" t="e">
        <f>VLOOKUP(F327,'Customer Info'!A319:I818,3,0)</f>
        <v>#N/A</v>
      </c>
      <c r="I327" s="6" t="e">
        <f>VLOOKUP(F327,'Customer Info'!A319:I818,5,0)</f>
        <v>#N/A</v>
      </c>
      <c r="J327" s="2">
        <v>1605</v>
      </c>
      <c r="K327" s="2">
        <v>1530</v>
      </c>
      <c r="L327" s="2">
        <v>2</v>
      </c>
      <c r="M327" s="7">
        <f t="shared" si="16"/>
        <v>3060</v>
      </c>
      <c r="N327" s="7">
        <f t="shared" si="17"/>
        <v>3210</v>
      </c>
      <c r="O327" s="2">
        <v>36</v>
      </c>
      <c r="P327" s="8">
        <f t="shared" si="18"/>
        <v>3246</v>
      </c>
      <c r="Q327" s="8">
        <f t="shared" si="19"/>
        <v>3174</v>
      </c>
      <c r="R327" s="2" t="s">
        <v>28</v>
      </c>
      <c r="S327" s="9">
        <f>VLOOKUP(P327,$T$2:U324,2,1)</f>
        <v>0.02</v>
      </c>
    </row>
    <row r="328" spans="1:19" x14ac:dyDescent="0.25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VLOOKUP(F328,'Customer Info'!A320:I819,2,0)</f>
        <v>Roy</v>
      </c>
      <c r="H328" s="6" t="str">
        <f>VLOOKUP(F328,'Customer Info'!A320:I819,3,0)</f>
        <v>Phan</v>
      </c>
      <c r="I328" s="6" t="str">
        <f>VLOOKUP(F328,'Customer Info'!A320:I819,5,0)</f>
        <v>Melbourne</v>
      </c>
      <c r="J328" s="2">
        <v>674</v>
      </c>
      <c r="K328" s="2">
        <v>629</v>
      </c>
      <c r="L328" s="2">
        <v>2</v>
      </c>
      <c r="M328" s="7">
        <f t="shared" si="16"/>
        <v>1258</v>
      </c>
      <c r="N328" s="7">
        <f t="shared" si="17"/>
        <v>1348</v>
      </c>
      <c r="O328" s="2">
        <v>86</v>
      </c>
      <c r="P328" s="8">
        <f t="shared" si="18"/>
        <v>1434</v>
      </c>
      <c r="Q328" s="8">
        <f t="shared" si="19"/>
        <v>1262</v>
      </c>
      <c r="R328" s="2" t="s">
        <v>50</v>
      </c>
      <c r="S328" s="9">
        <f>VLOOKUP(P328,$T$2:U325,2,1)</f>
        <v>0.02</v>
      </c>
    </row>
    <row r="329" spans="1:19" x14ac:dyDescent="0.25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VLOOKUP(F329,'Customer Info'!A321:I820,2,0)</f>
        <v>Sanjit</v>
      </c>
      <c r="H329" s="6" t="str">
        <f>VLOOKUP(F329,'Customer Info'!A321:I820,3,0)</f>
        <v>Jacobs</v>
      </c>
      <c r="I329" s="6" t="str">
        <f>VLOOKUP(F329,'Customer Info'!A321:I820,5,0)</f>
        <v>Munich</v>
      </c>
      <c r="J329" s="2">
        <v>1651</v>
      </c>
      <c r="K329" s="2">
        <v>1604</v>
      </c>
      <c r="L329" s="2">
        <v>1</v>
      </c>
      <c r="M329" s="7">
        <f t="shared" si="16"/>
        <v>1604</v>
      </c>
      <c r="N329" s="7">
        <f t="shared" si="17"/>
        <v>1651</v>
      </c>
      <c r="O329" s="2">
        <v>65</v>
      </c>
      <c r="P329" s="8">
        <f t="shared" si="18"/>
        <v>1716</v>
      </c>
      <c r="Q329" s="8">
        <f t="shared" si="19"/>
        <v>1586</v>
      </c>
      <c r="R329" s="2" t="s">
        <v>26</v>
      </c>
      <c r="S329" s="9">
        <f>VLOOKUP(P329,$T$2:U326,2,1)</f>
        <v>0.02</v>
      </c>
    </row>
    <row r="330" spans="1:19" x14ac:dyDescent="0.25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VLOOKUP(F330,'Customer Info'!A322:I821,2,0)</f>
        <v>Victoria</v>
      </c>
      <c r="H330" s="6" t="str">
        <f>VLOOKUP(F330,'Customer Info'!A322:I821,3,0)</f>
        <v>Brennan</v>
      </c>
      <c r="I330" s="6" t="str">
        <f>VLOOKUP(F330,'Customer Info'!A322:I821,5,0)</f>
        <v>Adelaide</v>
      </c>
      <c r="J330" s="2">
        <v>1772</v>
      </c>
      <c r="K330" s="2">
        <v>1656</v>
      </c>
      <c r="L330" s="2">
        <v>4</v>
      </c>
      <c r="M330" s="7">
        <f t="shared" si="16"/>
        <v>6624</v>
      </c>
      <c r="N330" s="7">
        <f t="shared" si="17"/>
        <v>7088</v>
      </c>
      <c r="O330" s="2">
        <v>25</v>
      </c>
      <c r="P330" s="8">
        <f t="shared" si="18"/>
        <v>7113</v>
      </c>
      <c r="Q330" s="8">
        <f t="shared" si="19"/>
        <v>7063</v>
      </c>
      <c r="R330" s="2" t="s">
        <v>28</v>
      </c>
      <c r="S330" s="9">
        <f>VLOOKUP(P330,$T$2:U327,2,1)</f>
        <v>0.05</v>
      </c>
    </row>
    <row r="331" spans="1:19" x14ac:dyDescent="0.25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e">
        <f>VLOOKUP(F331,'Customer Info'!A323:I822,2,0)</f>
        <v>#N/A</v>
      </c>
      <c r="H331" s="6" t="e">
        <f>VLOOKUP(F331,'Customer Info'!A323:I822,3,0)</f>
        <v>#N/A</v>
      </c>
      <c r="I331" s="6" t="e">
        <f>VLOOKUP(F331,'Customer Info'!A323:I822,5,0)</f>
        <v>#N/A</v>
      </c>
      <c r="J331" s="2">
        <v>1332</v>
      </c>
      <c r="K331" s="2">
        <v>1209</v>
      </c>
      <c r="L331" s="2">
        <v>4</v>
      </c>
      <c r="M331" s="7">
        <f t="shared" ref="M331:M394" si="20">K331*L331</f>
        <v>4836</v>
      </c>
      <c r="N331" s="7">
        <f t="shared" ref="N331:N394" si="21">J331*L331</f>
        <v>5328</v>
      </c>
      <c r="O331" s="2">
        <v>62</v>
      </c>
      <c r="P331" s="8">
        <f t="shared" ref="P331:P394" si="22">SUM(N331,O331)</f>
        <v>5390</v>
      </c>
      <c r="Q331" s="8">
        <f t="shared" ref="Q331:Q394" si="23">N331-O331</f>
        <v>5266</v>
      </c>
      <c r="R331" s="2" t="s">
        <v>50</v>
      </c>
      <c r="S331" s="9">
        <f>VLOOKUP(P331,$T$2:U328,2,1)</f>
        <v>0.05</v>
      </c>
    </row>
    <row r="332" spans="1:19" x14ac:dyDescent="0.25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VLOOKUP(F332,'Customer Info'!A324:I823,2,0)</f>
        <v>Thomas</v>
      </c>
      <c r="H332" s="6" t="str">
        <f>VLOOKUP(F332,'Customer Info'!A324:I823,3,0)</f>
        <v>Seio</v>
      </c>
      <c r="I332" s="6" t="str">
        <f>VLOOKUP(F332,'Customer Info'!A324:I823,5,0)</f>
        <v>Melbourne</v>
      </c>
      <c r="J332" s="2">
        <v>2907</v>
      </c>
      <c r="K332" s="2">
        <v>2667</v>
      </c>
      <c r="L332" s="2">
        <v>4</v>
      </c>
      <c r="M332" s="7">
        <f t="shared" si="20"/>
        <v>10668</v>
      </c>
      <c r="N332" s="7">
        <f t="shared" si="21"/>
        <v>11628</v>
      </c>
      <c r="O332" s="2">
        <v>77</v>
      </c>
      <c r="P332" s="8">
        <f t="shared" si="22"/>
        <v>11705</v>
      </c>
      <c r="Q332" s="8">
        <f t="shared" si="23"/>
        <v>11551</v>
      </c>
      <c r="R332" s="2" t="s">
        <v>28</v>
      </c>
      <c r="S332" s="9">
        <f>VLOOKUP(P332,$T$2:U329,2,1)</f>
        <v>0.05</v>
      </c>
    </row>
    <row r="333" spans="1:19" x14ac:dyDescent="0.25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e">
        <f>VLOOKUP(F333,'Customer Info'!A325:I824,2,0)</f>
        <v>#N/A</v>
      </c>
      <c r="H333" s="6" t="e">
        <f>VLOOKUP(F333,'Customer Info'!A325:I824,3,0)</f>
        <v>#N/A</v>
      </c>
      <c r="I333" s="6" t="e">
        <f>VLOOKUP(F333,'Customer Info'!A325:I824,5,0)</f>
        <v>#N/A</v>
      </c>
      <c r="J333" s="2">
        <v>2418</v>
      </c>
      <c r="K333" s="2">
        <v>2282</v>
      </c>
      <c r="L333" s="2">
        <v>1</v>
      </c>
      <c r="M333" s="7">
        <f t="shared" si="20"/>
        <v>2282</v>
      </c>
      <c r="N333" s="7">
        <f t="shared" si="21"/>
        <v>2418</v>
      </c>
      <c r="O333" s="2">
        <v>48</v>
      </c>
      <c r="P333" s="8">
        <f t="shared" si="22"/>
        <v>2466</v>
      </c>
      <c r="Q333" s="8">
        <f t="shared" si="23"/>
        <v>2370</v>
      </c>
      <c r="R333" s="2" t="s">
        <v>50</v>
      </c>
      <c r="S333" s="9">
        <f>VLOOKUP(P333,$T$2:U330,2,1)</f>
        <v>0.02</v>
      </c>
    </row>
    <row r="334" spans="1:19" x14ac:dyDescent="0.25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VLOOKUP(F334,'Customer Info'!A326:I825,2,0)</f>
        <v>Thomas</v>
      </c>
      <c r="H334" s="6" t="str">
        <f>VLOOKUP(F334,'Customer Info'!A326:I825,3,0)</f>
        <v>Seio</v>
      </c>
      <c r="I334" s="6" t="str">
        <f>VLOOKUP(F334,'Customer Info'!A326:I825,5,0)</f>
        <v>Melbourne</v>
      </c>
      <c r="J334" s="2">
        <v>188</v>
      </c>
      <c r="K334" s="2">
        <v>173</v>
      </c>
      <c r="L334" s="2">
        <v>4</v>
      </c>
      <c r="M334" s="7">
        <f t="shared" si="20"/>
        <v>692</v>
      </c>
      <c r="N334" s="7">
        <f t="shared" si="21"/>
        <v>752</v>
      </c>
      <c r="O334" s="2">
        <v>30</v>
      </c>
      <c r="P334" s="8">
        <f t="shared" si="22"/>
        <v>782</v>
      </c>
      <c r="Q334" s="8">
        <f t="shared" si="23"/>
        <v>722</v>
      </c>
      <c r="R334" s="2" t="s">
        <v>56</v>
      </c>
      <c r="S334" s="9">
        <f>VLOOKUP(P334,$T$2:U331,2,1)</f>
        <v>0.02</v>
      </c>
    </row>
    <row r="335" spans="1:19" x14ac:dyDescent="0.25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e">
        <f>VLOOKUP(F335,'Customer Info'!A327:I826,2,0)</f>
        <v>#N/A</v>
      </c>
      <c r="H335" s="6" t="e">
        <f>VLOOKUP(F335,'Customer Info'!A327:I826,3,0)</f>
        <v>#N/A</v>
      </c>
      <c r="I335" s="6" t="e">
        <f>VLOOKUP(F335,'Customer Info'!A327:I826,5,0)</f>
        <v>#N/A</v>
      </c>
      <c r="J335" s="2">
        <v>1533</v>
      </c>
      <c r="K335" s="2">
        <v>1406</v>
      </c>
      <c r="L335" s="2">
        <v>3</v>
      </c>
      <c r="M335" s="7">
        <f t="shared" si="20"/>
        <v>4218</v>
      </c>
      <c r="N335" s="7">
        <f t="shared" si="21"/>
        <v>4599</v>
      </c>
      <c r="O335" s="2">
        <v>44</v>
      </c>
      <c r="P335" s="8">
        <f t="shared" si="22"/>
        <v>4643</v>
      </c>
      <c r="Q335" s="8">
        <f t="shared" si="23"/>
        <v>4555</v>
      </c>
      <c r="R335" s="2" t="s">
        <v>28</v>
      </c>
      <c r="S335" s="9">
        <f>VLOOKUP(P335,$T$2:U332,2,1)</f>
        <v>0.02</v>
      </c>
    </row>
    <row r="336" spans="1:19" x14ac:dyDescent="0.25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e">
        <f>VLOOKUP(F336,'Customer Info'!A328:I827,2,0)</f>
        <v>#N/A</v>
      </c>
      <c r="H336" s="6" t="e">
        <f>VLOOKUP(F336,'Customer Info'!A328:I827,3,0)</f>
        <v>#N/A</v>
      </c>
      <c r="I336" s="6" t="e">
        <f>VLOOKUP(F336,'Customer Info'!A328:I827,5,0)</f>
        <v>#N/A</v>
      </c>
      <c r="J336" s="2">
        <v>1358</v>
      </c>
      <c r="K336" s="2">
        <v>1257</v>
      </c>
      <c r="L336" s="2">
        <v>1</v>
      </c>
      <c r="M336" s="7">
        <f t="shared" si="20"/>
        <v>1257</v>
      </c>
      <c r="N336" s="7">
        <f t="shared" si="21"/>
        <v>1358</v>
      </c>
      <c r="O336" s="2">
        <v>83</v>
      </c>
      <c r="P336" s="8">
        <f t="shared" si="22"/>
        <v>1441</v>
      </c>
      <c r="Q336" s="8">
        <f t="shared" si="23"/>
        <v>1275</v>
      </c>
      <c r="R336" s="2" t="s">
        <v>28</v>
      </c>
      <c r="S336" s="9">
        <f>VLOOKUP(P336,$T$2:U333,2,1)</f>
        <v>0.02</v>
      </c>
    </row>
    <row r="337" spans="1:19" x14ac:dyDescent="0.25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VLOOKUP(F337,'Customer Info'!A329:I828,2,0)</f>
        <v>Rick</v>
      </c>
      <c r="H337" s="6" t="str">
        <f>VLOOKUP(F337,'Customer Info'!A329:I828,3,0)</f>
        <v>Reed</v>
      </c>
      <c r="I337" s="6" t="str">
        <f>VLOOKUP(F337,'Customer Info'!A329:I828,5,0)</f>
        <v>Lucknow</v>
      </c>
      <c r="J337" s="2">
        <v>626</v>
      </c>
      <c r="K337" s="2">
        <v>559</v>
      </c>
      <c r="L337" s="2">
        <v>2</v>
      </c>
      <c r="M337" s="7">
        <f t="shared" si="20"/>
        <v>1118</v>
      </c>
      <c r="N337" s="7">
        <f t="shared" si="21"/>
        <v>1252</v>
      </c>
      <c r="O337" s="2">
        <v>30</v>
      </c>
      <c r="P337" s="8">
        <f t="shared" si="22"/>
        <v>1282</v>
      </c>
      <c r="Q337" s="8">
        <f t="shared" si="23"/>
        <v>1222</v>
      </c>
      <c r="R337" s="2" t="s">
        <v>28</v>
      </c>
      <c r="S337" s="9">
        <f>VLOOKUP(P337,$T$2:U334,2,1)</f>
        <v>0.02</v>
      </c>
    </row>
    <row r="338" spans="1:19" x14ac:dyDescent="0.25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VLOOKUP(F338,'Customer Info'!A330:I829,2,0)</f>
        <v>Thomas</v>
      </c>
      <c r="H338" s="6" t="str">
        <f>VLOOKUP(F338,'Customer Info'!A330:I829,3,0)</f>
        <v>Brumley</v>
      </c>
      <c r="I338" s="6" t="str">
        <f>VLOOKUP(F338,'Customer Info'!A330:I829,5,0)</f>
        <v>Launceston</v>
      </c>
      <c r="J338" s="2">
        <v>2790</v>
      </c>
      <c r="K338" s="2">
        <v>2557</v>
      </c>
      <c r="L338" s="2">
        <v>2</v>
      </c>
      <c r="M338" s="7">
        <f t="shared" si="20"/>
        <v>5114</v>
      </c>
      <c r="N338" s="7">
        <f t="shared" si="21"/>
        <v>5580</v>
      </c>
      <c r="O338" s="2">
        <v>44</v>
      </c>
      <c r="P338" s="8">
        <f t="shared" si="22"/>
        <v>5624</v>
      </c>
      <c r="Q338" s="8">
        <f t="shared" si="23"/>
        <v>5536</v>
      </c>
      <c r="R338" s="2" t="s">
        <v>28</v>
      </c>
      <c r="S338" s="9">
        <f>VLOOKUP(P338,$T$2:U335,2,1)</f>
        <v>0.05</v>
      </c>
    </row>
    <row r="339" spans="1:19" x14ac:dyDescent="0.25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e">
        <f>VLOOKUP(F339,'Customer Info'!A331:I830,2,0)</f>
        <v>#N/A</v>
      </c>
      <c r="H339" s="6" t="e">
        <f>VLOOKUP(F339,'Customer Info'!A331:I830,3,0)</f>
        <v>#N/A</v>
      </c>
      <c r="I339" s="6" t="e">
        <f>VLOOKUP(F339,'Customer Info'!A331:I830,5,0)</f>
        <v>#N/A</v>
      </c>
      <c r="J339" s="2">
        <v>8617</v>
      </c>
      <c r="K339" s="2">
        <v>7900</v>
      </c>
      <c r="L339" s="2">
        <v>1</v>
      </c>
      <c r="M339" s="7">
        <f t="shared" si="20"/>
        <v>7900</v>
      </c>
      <c r="N339" s="7">
        <f t="shared" si="21"/>
        <v>8617</v>
      </c>
      <c r="O339" s="2">
        <v>74</v>
      </c>
      <c r="P339" s="8">
        <f t="shared" si="22"/>
        <v>8691</v>
      </c>
      <c r="Q339" s="8">
        <f t="shared" si="23"/>
        <v>8543</v>
      </c>
      <c r="R339" s="2" t="s">
        <v>56</v>
      </c>
      <c r="S339" s="9">
        <f>VLOOKUP(P339,$T$2:U336,2,1)</f>
        <v>0.05</v>
      </c>
    </row>
    <row r="340" spans="1:19" x14ac:dyDescent="0.25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VLOOKUP(F340,'Customer Info'!A332:I831,2,0)</f>
        <v>Steven</v>
      </c>
      <c r="H340" s="6" t="str">
        <f>VLOOKUP(F340,'Customer Info'!A332:I831,3,0)</f>
        <v>Cartwright</v>
      </c>
      <c r="I340" s="6" t="str">
        <f>VLOOKUP(F340,'Customer Info'!A332:I831,5,0)</f>
        <v>Newcastle</v>
      </c>
      <c r="J340" s="2">
        <v>666</v>
      </c>
      <c r="K340" s="2">
        <v>641</v>
      </c>
      <c r="L340" s="2">
        <v>7</v>
      </c>
      <c r="M340" s="7">
        <f t="shared" si="20"/>
        <v>4487</v>
      </c>
      <c r="N340" s="7">
        <f t="shared" si="21"/>
        <v>4662</v>
      </c>
      <c r="O340" s="2">
        <v>52</v>
      </c>
      <c r="P340" s="8">
        <f t="shared" si="22"/>
        <v>4714</v>
      </c>
      <c r="Q340" s="8">
        <f t="shared" si="23"/>
        <v>4610</v>
      </c>
      <c r="R340" s="2" t="s">
        <v>28</v>
      </c>
      <c r="S340" s="9">
        <f>VLOOKUP(P340,$T$2:U337,2,1)</f>
        <v>0.02</v>
      </c>
    </row>
    <row r="341" spans="1:19" x14ac:dyDescent="0.25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e">
        <f>VLOOKUP(F341,'Customer Info'!A333:I832,2,0)</f>
        <v>#N/A</v>
      </c>
      <c r="H341" s="6" t="e">
        <f>VLOOKUP(F341,'Customer Info'!A333:I832,3,0)</f>
        <v>#N/A</v>
      </c>
      <c r="I341" s="6" t="e">
        <f>VLOOKUP(F341,'Customer Info'!A333:I832,5,0)</f>
        <v>#N/A</v>
      </c>
      <c r="J341" s="2">
        <v>208</v>
      </c>
      <c r="K341" s="2">
        <v>187</v>
      </c>
      <c r="L341" s="2">
        <v>6</v>
      </c>
      <c r="M341" s="7">
        <f t="shared" si="20"/>
        <v>1122</v>
      </c>
      <c r="N341" s="7">
        <f t="shared" si="21"/>
        <v>1248</v>
      </c>
      <c r="O341" s="2">
        <v>76</v>
      </c>
      <c r="P341" s="8">
        <f t="shared" si="22"/>
        <v>1324</v>
      </c>
      <c r="Q341" s="8">
        <f t="shared" si="23"/>
        <v>1172</v>
      </c>
      <c r="R341" s="2" t="s">
        <v>50</v>
      </c>
      <c r="S341" s="9">
        <f>VLOOKUP(P341,$T$2:U338,2,1)</f>
        <v>0.02</v>
      </c>
    </row>
    <row r="342" spans="1:19" x14ac:dyDescent="0.25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e">
        <f>VLOOKUP(F342,'Customer Info'!A334:I833,2,0)</f>
        <v>#N/A</v>
      </c>
      <c r="H342" s="6" t="e">
        <f>VLOOKUP(F342,'Customer Info'!A334:I833,3,0)</f>
        <v>#N/A</v>
      </c>
      <c r="I342" s="6" t="e">
        <f>VLOOKUP(F342,'Customer Info'!A334:I833,5,0)</f>
        <v>#N/A</v>
      </c>
      <c r="J342" s="2">
        <v>2787</v>
      </c>
      <c r="K342" s="2">
        <v>2681</v>
      </c>
      <c r="L342" s="2">
        <v>2</v>
      </c>
      <c r="M342" s="7">
        <f t="shared" si="20"/>
        <v>5362</v>
      </c>
      <c r="N342" s="7">
        <f t="shared" si="21"/>
        <v>5574</v>
      </c>
      <c r="O342" s="2">
        <v>53</v>
      </c>
      <c r="P342" s="8">
        <f t="shared" si="22"/>
        <v>5627</v>
      </c>
      <c r="Q342" s="8">
        <f t="shared" si="23"/>
        <v>5521</v>
      </c>
      <c r="R342" s="2" t="s">
        <v>50</v>
      </c>
      <c r="S342" s="9">
        <f>VLOOKUP(P342,$T$2:U339,2,1)</f>
        <v>0.05</v>
      </c>
    </row>
    <row r="343" spans="1:19" x14ac:dyDescent="0.25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e">
        <f>VLOOKUP(F343,'Customer Info'!A335:I834,2,0)</f>
        <v>#N/A</v>
      </c>
      <c r="H343" s="6" t="e">
        <f>VLOOKUP(F343,'Customer Info'!A335:I834,3,0)</f>
        <v>#N/A</v>
      </c>
      <c r="I343" s="6" t="e">
        <f>VLOOKUP(F343,'Customer Info'!A335:I834,5,0)</f>
        <v>#N/A</v>
      </c>
      <c r="J343" s="2">
        <v>1113</v>
      </c>
      <c r="K343" s="2">
        <v>1040</v>
      </c>
      <c r="L343" s="2">
        <v>6</v>
      </c>
      <c r="M343" s="7">
        <f t="shared" si="20"/>
        <v>6240</v>
      </c>
      <c r="N343" s="7">
        <f t="shared" si="21"/>
        <v>6678</v>
      </c>
      <c r="O343" s="2">
        <v>77</v>
      </c>
      <c r="P343" s="8">
        <f t="shared" si="22"/>
        <v>6755</v>
      </c>
      <c r="Q343" s="8">
        <f t="shared" si="23"/>
        <v>6601</v>
      </c>
      <c r="R343" s="2" t="s">
        <v>50</v>
      </c>
      <c r="S343" s="9">
        <f>VLOOKUP(P343,$T$2:U340,2,1)</f>
        <v>0.05</v>
      </c>
    </row>
    <row r="344" spans="1:19" x14ac:dyDescent="0.25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e">
        <f>VLOOKUP(F344,'Customer Info'!A336:I835,2,0)</f>
        <v>#N/A</v>
      </c>
      <c r="H344" s="6" t="e">
        <f>VLOOKUP(F344,'Customer Info'!A336:I835,3,0)</f>
        <v>#N/A</v>
      </c>
      <c r="I344" s="6" t="e">
        <f>VLOOKUP(F344,'Customer Info'!A336:I835,5,0)</f>
        <v>#N/A</v>
      </c>
      <c r="J344" s="2">
        <v>4737</v>
      </c>
      <c r="K344" s="2">
        <v>4473</v>
      </c>
      <c r="L344" s="2">
        <v>3</v>
      </c>
      <c r="M344" s="7">
        <f t="shared" si="20"/>
        <v>13419</v>
      </c>
      <c r="N344" s="7">
        <f t="shared" si="21"/>
        <v>14211</v>
      </c>
      <c r="O344" s="2">
        <v>93</v>
      </c>
      <c r="P344" s="8">
        <f t="shared" si="22"/>
        <v>14304</v>
      </c>
      <c r="Q344" s="8">
        <f t="shared" si="23"/>
        <v>14118</v>
      </c>
      <c r="R344" s="2" t="s">
        <v>28</v>
      </c>
      <c r="S344" s="9">
        <f>VLOOKUP(P344,$T$2:U341,2,1)</f>
        <v>0.05</v>
      </c>
    </row>
    <row r="345" spans="1:19" x14ac:dyDescent="0.25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VLOOKUP(F345,'Customer Info'!A337:I836,2,0)</f>
        <v>Sarah</v>
      </c>
      <c r="H345" s="6" t="str">
        <f>VLOOKUP(F345,'Customer Info'!A337:I836,3,0)</f>
        <v>Bern</v>
      </c>
      <c r="I345" s="6" t="str">
        <f>VLOOKUP(F345,'Customer Info'!A337:I836,5,0)</f>
        <v>Wollongong</v>
      </c>
      <c r="J345" s="2">
        <v>1763</v>
      </c>
      <c r="K345" s="2">
        <v>1602</v>
      </c>
      <c r="L345" s="2">
        <v>4</v>
      </c>
      <c r="M345" s="7">
        <f t="shared" si="20"/>
        <v>6408</v>
      </c>
      <c r="N345" s="7">
        <f t="shared" si="21"/>
        <v>7052</v>
      </c>
      <c r="O345" s="2">
        <v>41</v>
      </c>
      <c r="P345" s="8">
        <f t="shared" si="22"/>
        <v>7093</v>
      </c>
      <c r="Q345" s="8">
        <f t="shared" si="23"/>
        <v>7011</v>
      </c>
      <c r="R345" s="2" t="s">
        <v>28</v>
      </c>
      <c r="S345" s="9">
        <f>VLOOKUP(P345,$T$2:U342,2,1)</f>
        <v>0.05</v>
      </c>
    </row>
    <row r="346" spans="1:19" x14ac:dyDescent="0.25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e">
        <f>VLOOKUP(F346,'Customer Info'!A338:I837,2,0)</f>
        <v>#N/A</v>
      </c>
      <c r="H346" s="6" t="e">
        <f>VLOOKUP(F346,'Customer Info'!A338:I837,3,0)</f>
        <v>#N/A</v>
      </c>
      <c r="I346" s="6" t="e">
        <f>VLOOKUP(F346,'Customer Info'!A338:I837,5,0)</f>
        <v>#N/A</v>
      </c>
      <c r="J346" s="2">
        <v>1983</v>
      </c>
      <c r="K346" s="2">
        <v>1908</v>
      </c>
      <c r="L346" s="2">
        <v>3</v>
      </c>
      <c r="M346" s="7">
        <f t="shared" si="20"/>
        <v>5724</v>
      </c>
      <c r="N346" s="7">
        <f t="shared" si="21"/>
        <v>5949</v>
      </c>
      <c r="O346" s="2">
        <v>99</v>
      </c>
      <c r="P346" s="8">
        <f t="shared" si="22"/>
        <v>6048</v>
      </c>
      <c r="Q346" s="8">
        <f t="shared" si="23"/>
        <v>5850</v>
      </c>
      <c r="R346" s="2" t="s">
        <v>28</v>
      </c>
      <c r="S346" s="9">
        <f>VLOOKUP(P346,$T$2:U343,2,1)</f>
        <v>0.05</v>
      </c>
    </row>
    <row r="347" spans="1:19" x14ac:dyDescent="0.25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e">
        <f>VLOOKUP(F347,'Customer Info'!A339:I838,2,0)</f>
        <v>#N/A</v>
      </c>
      <c r="H347" s="6" t="e">
        <f>VLOOKUP(F347,'Customer Info'!A339:I838,3,0)</f>
        <v>#N/A</v>
      </c>
      <c r="I347" s="6" t="e">
        <f>VLOOKUP(F347,'Customer Info'!A339:I838,5,0)</f>
        <v>#N/A</v>
      </c>
      <c r="J347" s="2">
        <v>1246</v>
      </c>
      <c r="K347" s="2">
        <v>1164</v>
      </c>
      <c r="L347" s="2">
        <v>1</v>
      </c>
      <c r="M347" s="7">
        <f t="shared" si="20"/>
        <v>1164</v>
      </c>
      <c r="N347" s="7">
        <f t="shared" si="21"/>
        <v>1246</v>
      </c>
      <c r="O347" s="2">
        <v>51</v>
      </c>
      <c r="P347" s="8">
        <f t="shared" si="22"/>
        <v>1297</v>
      </c>
      <c r="Q347" s="8">
        <f t="shared" si="23"/>
        <v>1195</v>
      </c>
      <c r="R347" s="2" t="s">
        <v>26</v>
      </c>
      <c r="S347" s="9">
        <f>VLOOKUP(P347,$T$2:U344,2,1)</f>
        <v>0.02</v>
      </c>
    </row>
    <row r="348" spans="1:19" x14ac:dyDescent="0.25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e">
        <f>VLOOKUP(F348,'Customer Info'!A340:I839,2,0)</f>
        <v>#N/A</v>
      </c>
      <c r="H348" s="6" t="e">
        <f>VLOOKUP(F348,'Customer Info'!A340:I839,3,0)</f>
        <v>#N/A</v>
      </c>
      <c r="I348" s="6" t="e">
        <f>VLOOKUP(F348,'Customer Info'!A340:I839,5,0)</f>
        <v>#N/A</v>
      </c>
      <c r="J348" s="2">
        <v>8379</v>
      </c>
      <c r="K348" s="2">
        <v>8061</v>
      </c>
      <c r="L348" s="2">
        <v>2</v>
      </c>
      <c r="M348" s="7">
        <f t="shared" si="20"/>
        <v>16122</v>
      </c>
      <c r="N348" s="7">
        <f t="shared" si="21"/>
        <v>16758</v>
      </c>
      <c r="O348" s="2">
        <v>25</v>
      </c>
      <c r="P348" s="8">
        <f t="shared" si="22"/>
        <v>16783</v>
      </c>
      <c r="Q348" s="8">
        <f t="shared" si="23"/>
        <v>16733</v>
      </c>
      <c r="R348" s="2" t="s">
        <v>28</v>
      </c>
      <c r="S348" s="9">
        <f>VLOOKUP(P348,$T$2:U345,2,1)</f>
        <v>0.05</v>
      </c>
    </row>
    <row r="349" spans="1:19" x14ac:dyDescent="0.25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e">
        <f>VLOOKUP(F349,'Customer Info'!A341:I840,2,0)</f>
        <v>#N/A</v>
      </c>
      <c r="H349" s="6" t="e">
        <f>VLOOKUP(F349,'Customer Info'!A341:I840,3,0)</f>
        <v>#N/A</v>
      </c>
      <c r="I349" s="6" t="e">
        <f>VLOOKUP(F349,'Customer Info'!A341:I840,5,0)</f>
        <v>#N/A</v>
      </c>
      <c r="J349" s="2">
        <v>1569</v>
      </c>
      <c r="K349" s="2">
        <v>1466</v>
      </c>
      <c r="L349" s="2">
        <v>1</v>
      </c>
      <c r="M349" s="7">
        <f t="shared" si="20"/>
        <v>1466</v>
      </c>
      <c r="N349" s="7">
        <f t="shared" si="21"/>
        <v>1569</v>
      </c>
      <c r="O349" s="2">
        <v>89</v>
      </c>
      <c r="P349" s="8">
        <f t="shared" si="22"/>
        <v>1658</v>
      </c>
      <c r="Q349" s="8">
        <f t="shared" si="23"/>
        <v>1480</v>
      </c>
      <c r="R349" s="2" t="s">
        <v>26</v>
      </c>
      <c r="S349" s="9">
        <f>VLOOKUP(P349,$T$2:U346,2,1)</f>
        <v>0.02</v>
      </c>
    </row>
    <row r="350" spans="1:19" x14ac:dyDescent="0.25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e">
        <f>VLOOKUP(F350,'Customer Info'!A342:I841,2,0)</f>
        <v>#N/A</v>
      </c>
      <c r="H350" s="6" t="e">
        <f>VLOOKUP(F350,'Customer Info'!A342:I841,3,0)</f>
        <v>#N/A</v>
      </c>
      <c r="I350" s="6" t="e">
        <f>VLOOKUP(F350,'Customer Info'!A342:I841,5,0)</f>
        <v>#N/A</v>
      </c>
      <c r="J350" s="2">
        <v>2228</v>
      </c>
      <c r="K350" s="2">
        <v>2143</v>
      </c>
      <c r="L350" s="2">
        <v>4</v>
      </c>
      <c r="M350" s="7">
        <f t="shared" si="20"/>
        <v>8572</v>
      </c>
      <c r="N350" s="7">
        <f t="shared" si="21"/>
        <v>8912</v>
      </c>
      <c r="O350" s="2">
        <v>30</v>
      </c>
      <c r="P350" s="8">
        <f t="shared" si="22"/>
        <v>8942</v>
      </c>
      <c r="Q350" s="8">
        <f t="shared" si="23"/>
        <v>8882</v>
      </c>
      <c r="R350" s="2" t="s">
        <v>50</v>
      </c>
      <c r="S350" s="9">
        <f>VLOOKUP(P350,$T$2:U347,2,1)</f>
        <v>0.05</v>
      </c>
    </row>
    <row r="351" spans="1:19" x14ac:dyDescent="0.25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VLOOKUP(F351,'Customer Info'!A343:I842,2,0)</f>
        <v>Paul</v>
      </c>
      <c r="H351" s="6" t="str">
        <f>VLOOKUP(F351,'Customer Info'!A343:I842,3,0)</f>
        <v>Gonzalez</v>
      </c>
      <c r="I351" s="6" t="str">
        <f>VLOOKUP(F351,'Customer Info'!A343:I842,5,0)</f>
        <v>Durgapur</v>
      </c>
      <c r="J351" s="2">
        <v>3017</v>
      </c>
      <c r="K351" s="2">
        <v>2825</v>
      </c>
      <c r="L351" s="2">
        <v>3</v>
      </c>
      <c r="M351" s="7">
        <f t="shared" si="20"/>
        <v>8475</v>
      </c>
      <c r="N351" s="7">
        <f t="shared" si="21"/>
        <v>9051</v>
      </c>
      <c r="O351" s="2">
        <v>36</v>
      </c>
      <c r="P351" s="8">
        <f t="shared" si="22"/>
        <v>9087</v>
      </c>
      <c r="Q351" s="8">
        <f t="shared" si="23"/>
        <v>9015</v>
      </c>
      <c r="R351" s="2" t="s">
        <v>50</v>
      </c>
      <c r="S351" s="9">
        <f>VLOOKUP(P351,$T$2:U348,2,1)</f>
        <v>0.05</v>
      </c>
    </row>
    <row r="352" spans="1:19" x14ac:dyDescent="0.25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e">
        <f>VLOOKUP(F352,'Customer Info'!A344:I843,2,0)</f>
        <v>#N/A</v>
      </c>
      <c r="H352" s="6" t="e">
        <f>VLOOKUP(F352,'Customer Info'!A344:I843,3,0)</f>
        <v>#N/A</v>
      </c>
      <c r="I352" s="6" t="e">
        <f>VLOOKUP(F352,'Customer Info'!A344:I843,5,0)</f>
        <v>#N/A</v>
      </c>
      <c r="J352" s="2">
        <v>2864</v>
      </c>
      <c r="K352" s="2">
        <v>2754</v>
      </c>
      <c r="L352" s="2">
        <v>3</v>
      </c>
      <c r="M352" s="7">
        <f t="shared" si="20"/>
        <v>8262</v>
      </c>
      <c r="N352" s="7">
        <f t="shared" si="21"/>
        <v>8592</v>
      </c>
      <c r="O352" s="2">
        <v>55</v>
      </c>
      <c r="P352" s="8">
        <f t="shared" si="22"/>
        <v>8647</v>
      </c>
      <c r="Q352" s="8">
        <f t="shared" si="23"/>
        <v>8537</v>
      </c>
      <c r="R352" s="2" t="s">
        <v>50</v>
      </c>
      <c r="S352" s="9">
        <f>VLOOKUP(P352,$T$2:U349,2,1)</f>
        <v>0.05</v>
      </c>
    </row>
    <row r="353" spans="1:19" x14ac:dyDescent="0.25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e">
        <f>VLOOKUP(F353,'Customer Info'!A345:I844,2,0)</f>
        <v>#N/A</v>
      </c>
      <c r="H353" s="6" t="e">
        <f>VLOOKUP(F353,'Customer Info'!A345:I844,3,0)</f>
        <v>#N/A</v>
      </c>
      <c r="I353" s="6" t="e">
        <f>VLOOKUP(F353,'Customer Info'!A345:I844,5,0)</f>
        <v>#N/A</v>
      </c>
      <c r="J353" s="2">
        <v>144</v>
      </c>
      <c r="K353" s="2">
        <v>132</v>
      </c>
      <c r="L353" s="2">
        <v>4</v>
      </c>
      <c r="M353" s="7">
        <f t="shared" si="20"/>
        <v>528</v>
      </c>
      <c r="N353" s="7">
        <f t="shared" si="21"/>
        <v>576</v>
      </c>
      <c r="O353" s="2">
        <v>30</v>
      </c>
      <c r="P353" s="8">
        <f t="shared" si="22"/>
        <v>606</v>
      </c>
      <c r="Q353" s="8">
        <f t="shared" si="23"/>
        <v>546</v>
      </c>
      <c r="R353" s="2" t="s">
        <v>28</v>
      </c>
      <c r="S353" s="9">
        <f>VLOOKUP(P353,$T$2:U350,2,1)</f>
        <v>0.02</v>
      </c>
    </row>
    <row r="354" spans="1:19" x14ac:dyDescent="0.25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VLOOKUP(F354,'Customer Info'!A346:I845,2,0)</f>
        <v>Tony</v>
      </c>
      <c r="H354" s="6" t="str">
        <f>VLOOKUP(F354,'Customer Info'!A346:I845,3,0)</f>
        <v>Sayre</v>
      </c>
      <c r="I354" s="6" t="str">
        <f>VLOOKUP(F354,'Customer Info'!A346:I845,5,0)</f>
        <v>Wafangdian</v>
      </c>
      <c r="J354" s="2">
        <v>25658</v>
      </c>
      <c r="K354" s="2">
        <v>24466</v>
      </c>
      <c r="L354" s="2">
        <v>3</v>
      </c>
      <c r="M354" s="7">
        <f t="shared" si="20"/>
        <v>73398</v>
      </c>
      <c r="N354" s="7">
        <f t="shared" si="21"/>
        <v>76974</v>
      </c>
      <c r="O354" s="2">
        <v>66</v>
      </c>
      <c r="P354" s="8">
        <f t="shared" si="22"/>
        <v>77040</v>
      </c>
      <c r="Q354" s="8">
        <f t="shared" si="23"/>
        <v>76908</v>
      </c>
      <c r="R354" s="2" t="s">
        <v>50</v>
      </c>
      <c r="S354" s="9">
        <f>VLOOKUP(P354,$T$2:U351,2,1)</f>
        <v>0.09</v>
      </c>
    </row>
    <row r="355" spans="1:19" x14ac:dyDescent="0.25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e">
        <f>VLOOKUP(F355,'Customer Info'!A347:I846,2,0)</f>
        <v>#N/A</v>
      </c>
      <c r="H355" s="6" t="e">
        <f>VLOOKUP(F355,'Customer Info'!A347:I846,3,0)</f>
        <v>#N/A</v>
      </c>
      <c r="I355" s="6" t="e">
        <f>VLOOKUP(F355,'Customer Info'!A347:I846,5,0)</f>
        <v>#N/A</v>
      </c>
      <c r="J355" s="2">
        <v>6951</v>
      </c>
      <c r="K355" s="2">
        <v>6620</v>
      </c>
      <c r="L355" s="2">
        <v>3</v>
      </c>
      <c r="M355" s="7">
        <f t="shared" si="20"/>
        <v>19860</v>
      </c>
      <c r="N355" s="7">
        <f t="shared" si="21"/>
        <v>20853</v>
      </c>
      <c r="O355" s="2">
        <v>77</v>
      </c>
      <c r="P355" s="8">
        <f t="shared" si="22"/>
        <v>20930</v>
      </c>
      <c r="Q355" s="8">
        <f t="shared" si="23"/>
        <v>20776</v>
      </c>
      <c r="R355" s="2" t="s">
        <v>28</v>
      </c>
      <c r="S355" s="9">
        <f>VLOOKUP(P355,$T$2:U352,2,1)</f>
        <v>0.05</v>
      </c>
    </row>
    <row r="356" spans="1:19" x14ac:dyDescent="0.25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e">
        <f>VLOOKUP(F356,'Customer Info'!A348:I847,2,0)</f>
        <v>#N/A</v>
      </c>
      <c r="H356" s="6" t="e">
        <f>VLOOKUP(F356,'Customer Info'!A348:I847,3,0)</f>
        <v>#N/A</v>
      </c>
      <c r="I356" s="6" t="e">
        <f>VLOOKUP(F356,'Customer Info'!A348:I847,5,0)</f>
        <v>#N/A</v>
      </c>
      <c r="J356" s="2">
        <v>8630</v>
      </c>
      <c r="K356" s="2">
        <v>8303</v>
      </c>
      <c r="L356" s="2">
        <v>3</v>
      </c>
      <c r="M356" s="7">
        <f t="shared" si="20"/>
        <v>24909</v>
      </c>
      <c r="N356" s="7">
        <f t="shared" si="21"/>
        <v>25890</v>
      </c>
      <c r="O356" s="2">
        <v>34</v>
      </c>
      <c r="P356" s="8">
        <f t="shared" si="22"/>
        <v>25924</v>
      </c>
      <c r="Q356" s="8">
        <f t="shared" si="23"/>
        <v>25856</v>
      </c>
      <c r="R356" s="2" t="s">
        <v>50</v>
      </c>
      <c r="S356" s="9">
        <f>VLOOKUP(P356,$T$2:U353,2,1)</f>
        <v>7.0000000000000007E-2</v>
      </c>
    </row>
    <row r="357" spans="1:19" x14ac:dyDescent="0.25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e">
        <f>VLOOKUP(F357,'Customer Info'!A349:I848,2,0)</f>
        <v>#N/A</v>
      </c>
      <c r="H357" s="6" t="e">
        <f>VLOOKUP(F357,'Customer Info'!A349:I848,3,0)</f>
        <v>#N/A</v>
      </c>
      <c r="I357" s="6" t="e">
        <f>VLOOKUP(F357,'Customer Info'!A349:I848,5,0)</f>
        <v>#N/A</v>
      </c>
      <c r="J357" s="2">
        <v>2273</v>
      </c>
      <c r="K357" s="2">
        <v>2229</v>
      </c>
      <c r="L357" s="2">
        <v>1</v>
      </c>
      <c r="M357" s="7">
        <f t="shared" si="20"/>
        <v>2229</v>
      </c>
      <c r="N357" s="7">
        <f t="shared" si="21"/>
        <v>2273</v>
      </c>
      <c r="O357" s="2">
        <v>55</v>
      </c>
      <c r="P357" s="8">
        <f t="shared" si="22"/>
        <v>2328</v>
      </c>
      <c r="Q357" s="8">
        <f t="shared" si="23"/>
        <v>2218</v>
      </c>
      <c r="R357" s="2" t="s">
        <v>28</v>
      </c>
      <c r="S357" s="9">
        <f>VLOOKUP(P357,$T$2:U354,2,1)</f>
        <v>0.02</v>
      </c>
    </row>
    <row r="358" spans="1:19" x14ac:dyDescent="0.25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e">
        <f>VLOOKUP(F358,'Customer Info'!A350:I849,2,0)</f>
        <v>#N/A</v>
      </c>
      <c r="H358" s="6" t="e">
        <f>VLOOKUP(F358,'Customer Info'!A350:I849,3,0)</f>
        <v>#N/A</v>
      </c>
      <c r="I358" s="6" t="e">
        <f>VLOOKUP(F358,'Customer Info'!A350:I849,5,0)</f>
        <v>#N/A</v>
      </c>
      <c r="J358" s="2">
        <v>1017</v>
      </c>
      <c r="K358" s="2">
        <v>950</v>
      </c>
      <c r="L358" s="2">
        <v>4</v>
      </c>
      <c r="M358" s="7">
        <f t="shared" si="20"/>
        <v>3800</v>
      </c>
      <c r="N358" s="7">
        <f t="shared" si="21"/>
        <v>4068</v>
      </c>
      <c r="O358" s="2">
        <v>30</v>
      </c>
      <c r="P358" s="8">
        <f t="shared" si="22"/>
        <v>4098</v>
      </c>
      <c r="Q358" s="8">
        <f t="shared" si="23"/>
        <v>4038</v>
      </c>
      <c r="R358" s="2" t="s">
        <v>50</v>
      </c>
      <c r="S358" s="9">
        <f>VLOOKUP(P358,$T$2:U355,2,1)</f>
        <v>0.02</v>
      </c>
    </row>
    <row r="359" spans="1:19" x14ac:dyDescent="0.25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e">
        <f>VLOOKUP(F359,'Customer Info'!A351:I850,2,0)</f>
        <v>#N/A</v>
      </c>
      <c r="H359" s="6" t="e">
        <f>VLOOKUP(F359,'Customer Info'!A351:I850,3,0)</f>
        <v>#N/A</v>
      </c>
      <c r="I359" s="6" t="e">
        <f>VLOOKUP(F359,'Customer Info'!A351:I850,5,0)</f>
        <v>#N/A</v>
      </c>
      <c r="J359" s="2">
        <v>218</v>
      </c>
      <c r="K359" s="2">
        <v>200</v>
      </c>
      <c r="L359" s="2">
        <v>2</v>
      </c>
      <c r="M359" s="7">
        <f t="shared" si="20"/>
        <v>400</v>
      </c>
      <c r="N359" s="7">
        <f t="shared" si="21"/>
        <v>436</v>
      </c>
      <c r="O359" s="2">
        <v>45</v>
      </c>
      <c r="P359" s="8">
        <f t="shared" si="22"/>
        <v>481</v>
      </c>
      <c r="Q359" s="8">
        <f t="shared" si="23"/>
        <v>391</v>
      </c>
      <c r="R359" s="2" t="s">
        <v>28</v>
      </c>
      <c r="S359" s="9">
        <f>VLOOKUP(P359,$T$2:U356,2,1)</f>
        <v>0.02</v>
      </c>
    </row>
    <row r="360" spans="1:19" x14ac:dyDescent="0.25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e">
        <f>VLOOKUP(F360,'Customer Info'!A352:I851,2,0)</f>
        <v>#N/A</v>
      </c>
      <c r="H360" s="6" t="e">
        <f>VLOOKUP(F360,'Customer Info'!A352:I851,3,0)</f>
        <v>#N/A</v>
      </c>
      <c r="I360" s="6" t="e">
        <f>VLOOKUP(F360,'Customer Info'!A352:I851,5,0)</f>
        <v>#N/A</v>
      </c>
      <c r="J360" s="2">
        <v>7960</v>
      </c>
      <c r="K360" s="2">
        <v>7375</v>
      </c>
      <c r="L360" s="2">
        <v>5</v>
      </c>
      <c r="M360" s="7">
        <f t="shared" si="20"/>
        <v>36875</v>
      </c>
      <c r="N360" s="7">
        <f t="shared" si="21"/>
        <v>39800</v>
      </c>
      <c r="O360" s="2">
        <v>28</v>
      </c>
      <c r="P360" s="8">
        <f t="shared" si="22"/>
        <v>39828</v>
      </c>
      <c r="Q360" s="8">
        <f t="shared" si="23"/>
        <v>39772</v>
      </c>
      <c r="R360" s="2" t="s">
        <v>28</v>
      </c>
      <c r="S360" s="9">
        <f>VLOOKUP(P360,$T$2:U357,2,1)</f>
        <v>7.0000000000000007E-2</v>
      </c>
    </row>
    <row r="361" spans="1:19" x14ac:dyDescent="0.25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VLOOKUP(F361,'Customer Info'!A353:I852,2,0)</f>
        <v>Stefanie</v>
      </c>
      <c r="H361" s="6" t="str">
        <f>VLOOKUP(F361,'Customer Info'!A353:I852,3,0)</f>
        <v>Holloman</v>
      </c>
      <c r="I361" s="6" t="str">
        <f>VLOOKUP(F361,'Customer Info'!A353:I852,5,0)</f>
        <v>Durgapur</v>
      </c>
      <c r="J361" s="2">
        <v>131</v>
      </c>
      <c r="K361" s="2">
        <v>124</v>
      </c>
      <c r="L361" s="2">
        <v>2</v>
      </c>
      <c r="M361" s="7">
        <f t="shared" si="20"/>
        <v>248</v>
      </c>
      <c r="N361" s="7">
        <f t="shared" si="21"/>
        <v>262</v>
      </c>
      <c r="O361" s="2">
        <v>30</v>
      </c>
      <c r="P361" s="8">
        <f t="shared" si="22"/>
        <v>292</v>
      </c>
      <c r="Q361" s="8">
        <f t="shared" si="23"/>
        <v>232</v>
      </c>
      <c r="R361" s="2" t="s">
        <v>50</v>
      </c>
      <c r="S361" s="9">
        <f>VLOOKUP(P361,$T$2:U358,2,1)</f>
        <v>0.02</v>
      </c>
    </row>
    <row r="362" spans="1:19" x14ac:dyDescent="0.25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e">
        <f>VLOOKUP(F362,'Customer Info'!A354:I853,2,0)</f>
        <v>#N/A</v>
      </c>
      <c r="H362" s="6" t="e">
        <f>VLOOKUP(F362,'Customer Info'!A354:I853,3,0)</f>
        <v>#N/A</v>
      </c>
      <c r="I362" s="6" t="e">
        <f>VLOOKUP(F362,'Customer Info'!A354:I853,5,0)</f>
        <v>#N/A</v>
      </c>
      <c r="J362" s="2">
        <v>193</v>
      </c>
      <c r="K362" s="2">
        <v>173</v>
      </c>
      <c r="L362" s="2">
        <v>1</v>
      </c>
      <c r="M362" s="7">
        <f t="shared" si="20"/>
        <v>173</v>
      </c>
      <c r="N362" s="7">
        <f t="shared" si="21"/>
        <v>193</v>
      </c>
      <c r="O362" s="2">
        <v>30</v>
      </c>
      <c r="P362" s="8">
        <f t="shared" si="22"/>
        <v>223</v>
      </c>
      <c r="Q362" s="8">
        <f t="shared" si="23"/>
        <v>163</v>
      </c>
      <c r="R362" s="2" t="s">
        <v>50</v>
      </c>
      <c r="S362" s="9">
        <f>VLOOKUP(P362,$T$2:U359,2,1)</f>
        <v>0.02</v>
      </c>
    </row>
    <row r="363" spans="1:19" x14ac:dyDescent="0.25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VLOOKUP(F363,'Customer Info'!A355:I854,2,0)</f>
        <v>Paul</v>
      </c>
      <c r="H363" s="6" t="str">
        <f>VLOOKUP(F363,'Customer Info'!A355:I854,3,0)</f>
        <v>Gonzalez</v>
      </c>
      <c r="I363" s="6" t="str">
        <f>VLOOKUP(F363,'Customer Info'!A355:I854,5,0)</f>
        <v>Durgapur</v>
      </c>
      <c r="J363" s="2">
        <v>81</v>
      </c>
      <c r="K363" s="2">
        <v>77</v>
      </c>
      <c r="L363" s="2">
        <v>6</v>
      </c>
      <c r="M363" s="7">
        <f t="shared" si="20"/>
        <v>462</v>
      </c>
      <c r="N363" s="7">
        <f t="shared" si="21"/>
        <v>486</v>
      </c>
      <c r="O363" s="2">
        <v>10</v>
      </c>
      <c r="P363" s="8">
        <f t="shared" si="22"/>
        <v>496</v>
      </c>
      <c r="Q363" s="8">
        <f t="shared" si="23"/>
        <v>476</v>
      </c>
      <c r="R363" s="2" t="s">
        <v>28</v>
      </c>
      <c r="S363" s="9">
        <f>VLOOKUP(P363,$T$2:U360,2,1)</f>
        <v>0.02</v>
      </c>
    </row>
    <row r="364" spans="1:19" x14ac:dyDescent="0.25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e">
        <f>VLOOKUP(F364,'Customer Info'!A356:I855,2,0)</f>
        <v>#N/A</v>
      </c>
      <c r="H364" s="6" t="e">
        <f>VLOOKUP(F364,'Customer Info'!A356:I855,3,0)</f>
        <v>#N/A</v>
      </c>
      <c r="I364" s="6" t="e">
        <f>VLOOKUP(F364,'Customer Info'!A356:I855,5,0)</f>
        <v>#N/A</v>
      </c>
      <c r="J364" s="2">
        <v>28522</v>
      </c>
      <c r="K364" s="2">
        <v>26384</v>
      </c>
      <c r="L364" s="2">
        <v>3</v>
      </c>
      <c r="M364" s="7">
        <f t="shared" si="20"/>
        <v>79152</v>
      </c>
      <c r="N364" s="7">
        <f t="shared" si="21"/>
        <v>85566</v>
      </c>
      <c r="O364" s="2">
        <v>55</v>
      </c>
      <c r="P364" s="8">
        <f t="shared" si="22"/>
        <v>85621</v>
      </c>
      <c r="Q364" s="8">
        <f t="shared" si="23"/>
        <v>85511</v>
      </c>
      <c r="R364" s="2" t="s">
        <v>50</v>
      </c>
      <c r="S364" s="9">
        <f>VLOOKUP(P364,$T$2:U361,2,1)</f>
        <v>0.09</v>
      </c>
    </row>
    <row r="365" spans="1:19" x14ac:dyDescent="0.25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e">
        <f>VLOOKUP(F365,'Customer Info'!A357:I856,2,0)</f>
        <v>#N/A</v>
      </c>
      <c r="H365" s="6" t="e">
        <f>VLOOKUP(F365,'Customer Info'!A357:I856,3,0)</f>
        <v>#N/A</v>
      </c>
      <c r="I365" s="6" t="e">
        <f>VLOOKUP(F365,'Customer Info'!A357:I856,5,0)</f>
        <v>#N/A</v>
      </c>
      <c r="J365" s="2">
        <v>992</v>
      </c>
      <c r="K365" s="2">
        <v>928</v>
      </c>
      <c r="L365" s="2">
        <v>5</v>
      </c>
      <c r="M365" s="7">
        <f t="shared" si="20"/>
        <v>4640</v>
      </c>
      <c r="N365" s="7">
        <f t="shared" si="21"/>
        <v>4960</v>
      </c>
      <c r="O365" s="2">
        <v>92</v>
      </c>
      <c r="P365" s="8">
        <f t="shared" si="22"/>
        <v>5052</v>
      </c>
      <c r="Q365" s="8">
        <f t="shared" si="23"/>
        <v>4868</v>
      </c>
      <c r="R365" s="2" t="s">
        <v>50</v>
      </c>
      <c r="S365" s="9">
        <f>VLOOKUP(P365,$T$2:U362,2,1)</f>
        <v>0.05</v>
      </c>
    </row>
    <row r="366" spans="1:19" x14ac:dyDescent="0.25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e">
        <f>VLOOKUP(F366,'Customer Info'!A358:I857,2,0)</f>
        <v>#N/A</v>
      </c>
      <c r="H366" s="6" t="e">
        <f>VLOOKUP(F366,'Customer Info'!A358:I857,3,0)</f>
        <v>#N/A</v>
      </c>
      <c r="I366" s="6" t="e">
        <f>VLOOKUP(F366,'Customer Info'!A358:I857,5,0)</f>
        <v>#N/A</v>
      </c>
      <c r="J366" s="2">
        <v>7943</v>
      </c>
      <c r="K366" s="2">
        <v>7790</v>
      </c>
      <c r="L366" s="2">
        <v>2</v>
      </c>
      <c r="M366" s="7">
        <f t="shared" si="20"/>
        <v>15580</v>
      </c>
      <c r="N366" s="7">
        <f t="shared" si="21"/>
        <v>15886</v>
      </c>
      <c r="O366" s="2">
        <v>63</v>
      </c>
      <c r="P366" s="8">
        <f t="shared" si="22"/>
        <v>15949</v>
      </c>
      <c r="Q366" s="8">
        <f t="shared" si="23"/>
        <v>15823</v>
      </c>
      <c r="R366" s="2" t="s">
        <v>28</v>
      </c>
      <c r="S366" s="9">
        <f>VLOOKUP(P366,$T$2:U363,2,1)</f>
        <v>0.05</v>
      </c>
    </row>
    <row r="367" spans="1:19" x14ac:dyDescent="0.25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e">
        <f>VLOOKUP(F367,'Customer Info'!A359:I858,2,0)</f>
        <v>#N/A</v>
      </c>
      <c r="H367" s="6" t="e">
        <f>VLOOKUP(F367,'Customer Info'!A359:I858,3,0)</f>
        <v>#N/A</v>
      </c>
      <c r="I367" s="6" t="e">
        <f>VLOOKUP(F367,'Customer Info'!A359:I858,5,0)</f>
        <v>#N/A</v>
      </c>
      <c r="J367" s="2">
        <v>1983</v>
      </c>
      <c r="K367" s="2">
        <v>1908</v>
      </c>
      <c r="L367" s="2">
        <v>4</v>
      </c>
      <c r="M367" s="7">
        <f t="shared" si="20"/>
        <v>7632</v>
      </c>
      <c r="N367" s="7">
        <f t="shared" si="21"/>
        <v>7932</v>
      </c>
      <c r="O367" s="2">
        <v>62</v>
      </c>
      <c r="P367" s="8">
        <f t="shared" si="22"/>
        <v>7994</v>
      </c>
      <c r="Q367" s="8">
        <f t="shared" si="23"/>
        <v>7870</v>
      </c>
      <c r="R367" s="2" t="s">
        <v>28</v>
      </c>
      <c r="S367" s="9">
        <f>VLOOKUP(P367,$T$2:U364,2,1)</f>
        <v>0.05</v>
      </c>
    </row>
    <row r="368" spans="1:19" x14ac:dyDescent="0.25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e">
        <f>VLOOKUP(F368,'Customer Info'!A360:I859,2,0)</f>
        <v>#N/A</v>
      </c>
      <c r="H368" s="6" t="e">
        <f>VLOOKUP(F368,'Customer Info'!A360:I859,3,0)</f>
        <v>#N/A</v>
      </c>
      <c r="I368" s="6" t="e">
        <f>VLOOKUP(F368,'Customer Info'!A360:I859,5,0)</f>
        <v>#N/A</v>
      </c>
      <c r="J368" s="2">
        <v>1916</v>
      </c>
      <c r="K368" s="2">
        <v>1844</v>
      </c>
      <c r="L368" s="2">
        <v>2</v>
      </c>
      <c r="M368" s="7">
        <f t="shared" si="20"/>
        <v>3688</v>
      </c>
      <c r="N368" s="7">
        <f t="shared" si="21"/>
        <v>3832</v>
      </c>
      <c r="O368" s="2">
        <v>96</v>
      </c>
      <c r="P368" s="8">
        <f t="shared" si="22"/>
        <v>3928</v>
      </c>
      <c r="Q368" s="8">
        <f t="shared" si="23"/>
        <v>3736</v>
      </c>
      <c r="R368" s="2" t="s">
        <v>28</v>
      </c>
      <c r="S368" s="9">
        <f>VLOOKUP(P368,$T$2:U365,2,1)</f>
        <v>0.02</v>
      </c>
    </row>
    <row r="369" spans="1:19" x14ac:dyDescent="0.25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VLOOKUP(F369,'Customer Info'!A361:I860,2,0)</f>
        <v>Tamara</v>
      </c>
      <c r="H369" s="6" t="str">
        <f>VLOOKUP(F369,'Customer Info'!A361:I860,3,0)</f>
        <v>Chand</v>
      </c>
      <c r="I369" s="6" t="str">
        <f>VLOOKUP(F369,'Customer Info'!A361:I860,5,0)</f>
        <v>Canberra</v>
      </c>
      <c r="J369" s="2">
        <v>1306</v>
      </c>
      <c r="K369" s="2">
        <v>1197</v>
      </c>
      <c r="L369" s="2">
        <v>2</v>
      </c>
      <c r="M369" s="7">
        <f t="shared" si="20"/>
        <v>2394</v>
      </c>
      <c r="N369" s="7">
        <f t="shared" si="21"/>
        <v>2612</v>
      </c>
      <c r="O369" s="2">
        <v>63</v>
      </c>
      <c r="P369" s="8">
        <f t="shared" si="22"/>
        <v>2675</v>
      </c>
      <c r="Q369" s="8">
        <f t="shared" si="23"/>
        <v>2549</v>
      </c>
      <c r="R369" s="2" t="s">
        <v>28</v>
      </c>
      <c r="S369" s="9">
        <f>VLOOKUP(P369,$T$2:U366,2,1)</f>
        <v>0.02</v>
      </c>
    </row>
    <row r="370" spans="1:19" x14ac:dyDescent="0.25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VLOOKUP(F370,'Customer Info'!A362:I861,2,0)</f>
        <v>Tim</v>
      </c>
      <c r="H370" s="6" t="str">
        <f>VLOOKUP(F370,'Customer Info'!A362:I861,3,0)</f>
        <v>Brockman</v>
      </c>
      <c r="I370" s="6" t="str">
        <f>VLOOKUP(F370,'Customer Info'!A362:I861,5,0)</f>
        <v>Toowoomba</v>
      </c>
      <c r="J370" s="2">
        <v>80</v>
      </c>
      <c r="K370" s="2">
        <v>75</v>
      </c>
      <c r="L370" s="2">
        <v>2</v>
      </c>
      <c r="M370" s="7">
        <f t="shared" si="20"/>
        <v>150</v>
      </c>
      <c r="N370" s="7">
        <f t="shared" si="21"/>
        <v>160</v>
      </c>
      <c r="O370" s="2">
        <v>10</v>
      </c>
      <c r="P370" s="8">
        <f t="shared" si="22"/>
        <v>170</v>
      </c>
      <c r="Q370" s="8">
        <f t="shared" si="23"/>
        <v>150</v>
      </c>
      <c r="R370" s="2" t="s">
        <v>50</v>
      </c>
      <c r="S370" s="9">
        <f>VLOOKUP(P370,$T$2:U367,2,1)</f>
        <v>0.02</v>
      </c>
    </row>
    <row r="371" spans="1:19" x14ac:dyDescent="0.25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e">
        <f>VLOOKUP(F371,'Customer Info'!A363:I862,2,0)</f>
        <v>#N/A</v>
      </c>
      <c r="H371" s="6" t="e">
        <f>VLOOKUP(F371,'Customer Info'!A363:I862,3,0)</f>
        <v>#N/A</v>
      </c>
      <c r="I371" s="6" t="e">
        <f>VLOOKUP(F371,'Customer Info'!A363:I862,5,0)</f>
        <v>#N/A</v>
      </c>
      <c r="J371" s="2">
        <v>941</v>
      </c>
      <c r="K371" s="2">
        <v>905</v>
      </c>
      <c r="L371" s="2">
        <v>3</v>
      </c>
      <c r="M371" s="7">
        <f t="shared" si="20"/>
        <v>2715</v>
      </c>
      <c r="N371" s="7">
        <f t="shared" si="21"/>
        <v>2823</v>
      </c>
      <c r="O371" s="2">
        <v>100</v>
      </c>
      <c r="P371" s="8">
        <f t="shared" si="22"/>
        <v>2923</v>
      </c>
      <c r="Q371" s="8">
        <f t="shared" si="23"/>
        <v>2723</v>
      </c>
      <c r="R371" s="2" t="s">
        <v>28</v>
      </c>
      <c r="S371" s="9">
        <f>VLOOKUP(P371,$T$2:U368,2,1)</f>
        <v>0.02</v>
      </c>
    </row>
    <row r="372" spans="1:19" x14ac:dyDescent="0.25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e">
        <f>VLOOKUP(F372,'Customer Info'!A364:I863,2,0)</f>
        <v>#N/A</v>
      </c>
      <c r="H372" s="6" t="e">
        <f>VLOOKUP(F372,'Customer Info'!A364:I863,3,0)</f>
        <v>#N/A</v>
      </c>
      <c r="I372" s="6" t="e">
        <f>VLOOKUP(F372,'Customer Info'!A364:I863,5,0)</f>
        <v>#N/A</v>
      </c>
      <c r="J372" s="2">
        <v>2706</v>
      </c>
      <c r="K372" s="2">
        <v>2553</v>
      </c>
      <c r="L372" s="2">
        <v>6</v>
      </c>
      <c r="M372" s="7">
        <f t="shared" si="20"/>
        <v>15318</v>
      </c>
      <c r="N372" s="7">
        <f t="shared" si="21"/>
        <v>16236</v>
      </c>
      <c r="O372" s="2">
        <v>48</v>
      </c>
      <c r="P372" s="8">
        <f t="shared" si="22"/>
        <v>16284</v>
      </c>
      <c r="Q372" s="8">
        <f t="shared" si="23"/>
        <v>16188</v>
      </c>
      <c r="R372" s="2" t="s">
        <v>28</v>
      </c>
      <c r="S372" s="9">
        <f>VLOOKUP(P372,$T$2:U369,2,1)</f>
        <v>0.05</v>
      </c>
    </row>
    <row r="373" spans="1:19" x14ac:dyDescent="0.25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e">
        <f>VLOOKUP(F373,'Customer Info'!A365:I864,2,0)</f>
        <v>#N/A</v>
      </c>
      <c r="H373" s="6" t="e">
        <f>VLOOKUP(F373,'Customer Info'!A365:I864,3,0)</f>
        <v>#N/A</v>
      </c>
      <c r="I373" s="6" t="e">
        <f>VLOOKUP(F373,'Customer Info'!A365:I864,5,0)</f>
        <v>#N/A</v>
      </c>
      <c r="J373" s="2">
        <v>887</v>
      </c>
      <c r="K373" s="2">
        <v>814</v>
      </c>
      <c r="L373" s="2">
        <v>3</v>
      </c>
      <c r="M373" s="7">
        <f t="shared" si="20"/>
        <v>2442</v>
      </c>
      <c r="N373" s="7">
        <f t="shared" si="21"/>
        <v>2661</v>
      </c>
      <c r="O373" s="2">
        <v>43</v>
      </c>
      <c r="P373" s="8">
        <f t="shared" si="22"/>
        <v>2704</v>
      </c>
      <c r="Q373" s="8">
        <f t="shared" si="23"/>
        <v>2618</v>
      </c>
      <c r="R373" s="2" t="s">
        <v>28</v>
      </c>
      <c r="S373" s="9">
        <f>VLOOKUP(P373,$T$2:U370,2,1)</f>
        <v>0.02</v>
      </c>
    </row>
    <row r="374" spans="1:19" x14ac:dyDescent="0.25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e">
        <f>VLOOKUP(F374,'Customer Info'!A366:I865,2,0)</f>
        <v>#N/A</v>
      </c>
      <c r="H374" s="6" t="e">
        <f>VLOOKUP(F374,'Customer Info'!A366:I865,3,0)</f>
        <v>#N/A</v>
      </c>
      <c r="I374" s="6" t="e">
        <f>VLOOKUP(F374,'Customer Info'!A366:I865,5,0)</f>
        <v>#N/A</v>
      </c>
      <c r="J374" s="2">
        <v>7922</v>
      </c>
      <c r="K374" s="2">
        <v>7328</v>
      </c>
      <c r="L374" s="2">
        <v>3</v>
      </c>
      <c r="M374" s="7">
        <f t="shared" si="20"/>
        <v>21984</v>
      </c>
      <c r="N374" s="7">
        <f t="shared" si="21"/>
        <v>23766</v>
      </c>
      <c r="O374" s="2">
        <v>54</v>
      </c>
      <c r="P374" s="8">
        <f t="shared" si="22"/>
        <v>23820</v>
      </c>
      <c r="Q374" s="8">
        <f t="shared" si="23"/>
        <v>23712</v>
      </c>
      <c r="R374" s="2" t="s">
        <v>56</v>
      </c>
      <c r="S374" s="9">
        <f>VLOOKUP(P374,$T$2:U371,2,1)</f>
        <v>0.05</v>
      </c>
    </row>
    <row r="375" spans="1:19" x14ac:dyDescent="0.25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e">
        <f>VLOOKUP(F375,'Customer Info'!A367:I866,2,0)</f>
        <v>#N/A</v>
      </c>
      <c r="H375" s="6" t="e">
        <f>VLOOKUP(F375,'Customer Info'!A367:I866,3,0)</f>
        <v>#N/A</v>
      </c>
      <c r="I375" s="6" t="e">
        <f>VLOOKUP(F375,'Customer Info'!A367:I866,5,0)</f>
        <v>#N/A</v>
      </c>
      <c r="J375" s="2">
        <v>5941</v>
      </c>
      <c r="K375" s="2">
        <v>5827</v>
      </c>
      <c r="L375" s="2">
        <v>5</v>
      </c>
      <c r="M375" s="7">
        <f t="shared" si="20"/>
        <v>29135</v>
      </c>
      <c r="N375" s="7">
        <f t="shared" si="21"/>
        <v>29705</v>
      </c>
      <c r="O375" s="2">
        <v>67</v>
      </c>
      <c r="P375" s="8">
        <f t="shared" si="22"/>
        <v>29772</v>
      </c>
      <c r="Q375" s="8">
        <f t="shared" si="23"/>
        <v>29638</v>
      </c>
      <c r="R375" s="2" t="s">
        <v>50</v>
      </c>
      <c r="S375" s="9">
        <f>VLOOKUP(P375,$T$2:U372,2,1)</f>
        <v>7.0000000000000007E-2</v>
      </c>
    </row>
    <row r="376" spans="1:19" x14ac:dyDescent="0.25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e">
        <f>VLOOKUP(F376,'Customer Info'!A368:I867,2,0)</f>
        <v>#N/A</v>
      </c>
      <c r="H376" s="6" t="e">
        <f>VLOOKUP(F376,'Customer Info'!A368:I867,3,0)</f>
        <v>#N/A</v>
      </c>
      <c r="I376" s="6" t="e">
        <f>VLOOKUP(F376,'Customer Info'!A368:I867,5,0)</f>
        <v>#N/A</v>
      </c>
      <c r="J376" s="2">
        <v>1039</v>
      </c>
      <c r="K376" s="2">
        <v>954</v>
      </c>
      <c r="L376" s="2">
        <v>4</v>
      </c>
      <c r="M376" s="7">
        <f t="shared" si="20"/>
        <v>3816</v>
      </c>
      <c r="N376" s="7">
        <f t="shared" si="21"/>
        <v>4156</v>
      </c>
      <c r="O376" s="2">
        <v>29</v>
      </c>
      <c r="P376" s="8">
        <f t="shared" si="22"/>
        <v>4185</v>
      </c>
      <c r="Q376" s="8">
        <f t="shared" si="23"/>
        <v>4127</v>
      </c>
      <c r="R376" s="2" t="s">
        <v>50</v>
      </c>
      <c r="S376" s="9">
        <f>VLOOKUP(P376,$T$2:U373,2,1)</f>
        <v>0.02</v>
      </c>
    </row>
    <row r="377" spans="1:19" x14ac:dyDescent="0.25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VLOOKUP(F377,'Customer Info'!A369:I868,2,0)</f>
        <v>Tom</v>
      </c>
      <c r="H377" s="6" t="str">
        <f>VLOOKUP(F377,'Customer Info'!A369:I868,3,0)</f>
        <v>Zandusky</v>
      </c>
      <c r="I377" s="6" t="str">
        <f>VLOOKUP(F377,'Customer Info'!A369:I868,5,0)</f>
        <v>Hobart</v>
      </c>
      <c r="J377" s="2">
        <v>4784</v>
      </c>
      <c r="K377" s="2">
        <v>4518</v>
      </c>
      <c r="L377" s="2">
        <v>2</v>
      </c>
      <c r="M377" s="7">
        <f t="shared" si="20"/>
        <v>9036</v>
      </c>
      <c r="N377" s="7">
        <f t="shared" si="21"/>
        <v>9568</v>
      </c>
      <c r="O377" s="2">
        <v>25</v>
      </c>
      <c r="P377" s="8">
        <f t="shared" si="22"/>
        <v>9593</v>
      </c>
      <c r="Q377" s="8">
        <f t="shared" si="23"/>
        <v>9543</v>
      </c>
      <c r="R377" s="2" t="s">
        <v>28</v>
      </c>
      <c r="S377" s="9">
        <f>VLOOKUP(P377,$T$2:U374,2,1)</f>
        <v>0.05</v>
      </c>
    </row>
    <row r="378" spans="1:19" x14ac:dyDescent="0.25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e">
        <f>VLOOKUP(F378,'Customer Info'!A370:I869,2,0)</f>
        <v>#N/A</v>
      </c>
      <c r="H378" s="6" t="e">
        <f>VLOOKUP(F378,'Customer Info'!A370:I869,3,0)</f>
        <v>#N/A</v>
      </c>
      <c r="I378" s="6" t="e">
        <f>VLOOKUP(F378,'Customer Info'!A370:I869,5,0)</f>
        <v>#N/A</v>
      </c>
      <c r="J378" s="2">
        <v>59</v>
      </c>
      <c r="K378" s="2">
        <v>55</v>
      </c>
      <c r="L378" s="2">
        <v>1</v>
      </c>
      <c r="M378" s="7">
        <f t="shared" si="20"/>
        <v>55</v>
      </c>
      <c r="N378" s="7">
        <f t="shared" si="21"/>
        <v>59</v>
      </c>
      <c r="O378" s="2">
        <v>10</v>
      </c>
      <c r="P378" s="8">
        <f t="shared" si="22"/>
        <v>69</v>
      </c>
      <c r="Q378" s="8">
        <f t="shared" si="23"/>
        <v>49</v>
      </c>
      <c r="R378" s="2" t="s">
        <v>28</v>
      </c>
      <c r="S378" s="9">
        <f>VLOOKUP(P378,$T$2:U375,2,1)</f>
        <v>0.02</v>
      </c>
    </row>
    <row r="379" spans="1:19" x14ac:dyDescent="0.25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e">
        <f>VLOOKUP(F379,'Customer Info'!A371:I870,2,0)</f>
        <v>#N/A</v>
      </c>
      <c r="H379" s="6" t="e">
        <f>VLOOKUP(F379,'Customer Info'!A371:I870,3,0)</f>
        <v>#N/A</v>
      </c>
      <c r="I379" s="6" t="e">
        <f>VLOOKUP(F379,'Customer Info'!A371:I870,5,0)</f>
        <v>#N/A</v>
      </c>
      <c r="J379" s="2">
        <v>1048</v>
      </c>
      <c r="K379" s="2">
        <v>979</v>
      </c>
      <c r="L379" s="2">
        <v>5</v>
      </c>
      <c r="M379" s="7">
        <f t="shared" si="20"/>
        <v>4895</v>
      </c>
      <c r="N379" s="7">
        <f t="shared" si="21"/>
        <v>5240</v>
      </c>
      <c r="O379" s="2">
        <v>82</v>
      </c>
      <c r="P379" s="8">
        <f t="shared" si="22"/>
        <v>5322</v>
      </c>
      <c r="Q379" s="8">
        <f t="shared" si="23"/>
        <v>5158</v>
      </c>
      <c r="R379" s="2" t="s">
        <v>50</v>
      </c>
      <c r="S379" s="9">
        <f>VLOOKUP(P379,$T$2:U376,2,1)</f>
        <v>0.05</v>
      </c>
    </row>
    <row r="380" spans="1:19" x14ac:dyDescent="0.25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e">
        <f>VLOOKUP(F380,'Customer Info'!A372:I871,2,0)</f>
        <v>#N/A</v>
      </c>
      <c r="H380" s="6" t="e">
        <f>VLOOKUP(F380,'Customer Info'!A372:I871,3,0)</f>
        <v>#N/A</v>
      </c>
      <c r="I380" s="6" t="e">
        <f>VLOOKUP(F380,'Customer Info'!A372:I871,5,0)</f>
        <v>#N/A</v>
      </c>
      <c r="J380" s="2">
        <v>1441</v>
      </c>
      <c r="K380" s="2">
        <v>1360</v>
      </c>
      <c r="L380" s="2">
        <v>5</v>
      </c>
      <c r="M380" s="7">
        <f t="shared" si="20"/>
        <v>6800</v>
      </c>
      <c r="N380" s="7">
        <f t="shared" si="21"/>
        <v>7205</v>
      </c>
      <c r="O380" s="2">
        <v>99</v>
      </c>
      <c r="P380" s="8">
        <f t="shared" si="22"/>
        <v>7304</v>
      </c>
      <c r="Q380" s="8">
        <f t="shared" si="23"/>
        <v>7106</v>
      </c>
      <c r="R380" s="2" t="s">
        <v>28</v>
      </c>
      <c r="S380" s="9">
        <f>VLOOKUP(P380,$T$2:U377,2,1)</f>
        <v>0.05</v>
      </c>
    </row>
    <row r="381" spans="1:19" x14ac:dyDescent="0.25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e">
        <f>VLOOKUP(F381,'Customer Info'!A373:I872,2,0)</f>
        <v>#N/A</v>
      </c>
      <c r="H381" s="6" t="e">
        <f>VLOOKUP(F381,'Customer Info'!A373:I872,3,0)</f>
        <v>#N/A</v>
      </c>
      <c r="I381" s="6" t="e">
        <f>VLOOKUP(F381,'Customer Info'!A373:I872,5,0)</f>
        <v>#N/A</v>
      </c>
      <c r="J381" s="2">
        <v>1181</v>
      </c>
      <c r="K381" s="2">
        <v>1136</v>
      </c>
      <c r="L381" s="2">
        <v>7</v>
      </c>
      <c r="M381" s="7">
        <f t="shared" si="20"/>
        <v>7952</v>
      </c>
      <c r="N381" s="7">
        <f t="shared" si="21"/>
        <v>8267</v>
      </c>
      <c r="O381" s="2">
        <v>84</v>
      </c>
      <c r="P381" s="8">
        <f t="shared" si="22"/>
        <v>8351</v>
      </c>
      <c r="Q381" s="8">
        <f t="shared" si="23"/>
        <v>8183</v>
      </c>
      <c r="R381" s="2" t="s">
        <v>50</v>
      </c>
      <c r="S381" s="9">
        <f>VLOOKUP(P381,$T$2:U378,2,1)</f>
        <v>0.05</v>
      </c>
    </row>
    <row r="382" spans="1:19" x14ac:dyDescent="0.25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e">
        <f>VLOOKUP(F382,'Customer Info'!A374:I873,2,0)</f>
        <v>#N/A</v>
      </c>
      <c r="H382" s="6" t="e">
        <f>VLOOKUP(F382,'Customer Info'!A374:I873,3,0)</f>
        <v>#N/A</v>
      </c>
      <c r="I382" s="6" t="e">
        <f>VLOOKUP(F382,'Customer Info'!A374:I873,5,0)</f>
        <v>#N/A</v>
      </c>
      <c r="J382" s="2">
        <v>2083</v>
      </c>
      <c r="K382" s="2">
        <v>2004</v>
      </c>
      <c r="L382" s="2">
        <v>9</v>
      </c>
      <c r="M382" s="7">
        <f t="shared" si="20"/>
        <v>18036</v>
      </c>
      <c r="N382" s="7">
        <f t="shared" si="21"/>
        <v>18747</v>
      </c>
      <c r="O382" s="2">
        <v>25</v>
      </c>
      <c r="P382" s="8">
        <f t="shared" si="22"/>
        <v>18772</v>
      </c>
      <c r="Q382" s="8">
        <f t="shared" si="23"/>
        <v>18722</v>
      </c>
      <c r="R382" s="2" t="s">
        <v>28</v>
      </c>
      <c r="S382" s="9">
        <f>VLOOKUP(P382,$T$2:U379,2,1)</f>
        <v>0.05</v>
      </c>
    </row>
    <row r="383" spans="1:19" x14ac:dyDescent="0.25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e">
        <f>VLOOKUP(F383,'Customer Info'!A375:I874,2,0)</f>
        <v>#N/A</v>
      </c>
      <c r="H383" s="6" t="e">
        <f>VLOOKUP(F383,'Customer Info'!A375:I874,3,0)</f>
        <v>#N/A</v>
      </c>
      <c r="I383" s="6" t="e">
        <f>VLOOKUP(F383,'Customer Info'!A375:I874,5,0)</f>
        <v>#N/A</v>
      </c>
      <c r="J383" s="2">
        <v>3289</v>
      </c>
      <c r="K383" s="2">
        <v>3105</v>
      </c>
      <c r="L383" s="2">
        <v>2</v>
      </c>
      <c r="M383" s="7">
        <f t="shared" si="20"/>
        <v>6210</v>
      </c>
      <c r="N383" s="7">
        <f t="shared" si="21"/>
        <v>6578</v>
      </c>
      <c r="O383" s="2">
        <v>23</v>
      </c>
      <c r="P383" s="8">
        <f t="shared" si="22"/>
        <v>6601</v>
      </c>
      <c r="Q383" s="8">
        <f t="shared" si="23"/>
        <v>6555</v>
      </c>
      <c r="R383" s="2" t="s">
        <v>50</v>
      </c>
      <c r="S383" s="9">
        <f>VLOOKUP(P383,$T$2:U380,2,1)</f>
        <v>0.05</v>
      </c>
    </row>
    <row r="384" spans="1:19" x14ac:dyDescent="0.25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e">
        <f>VLOOKUP(F384,'Customer Info'!A376:I875,2,0)</f>
        <v>#N/A</v>
      </c>
      <c r="H384" s="6" t="e">
        <f>VLOOKUP(F384,'Customer Info'!A376:I875,3,0)</f>
        <v>#N/A</v>
      </c>
      <c r="I384" s="6" t="e">
        <f>VLOOKUP(F384,'Customer Info'!A376:I875,5,0)</f>
        <v>#N/A</v>
      </c>
      <c r="J384" s="2">
        <v>2078</v>
      </c>
      <c r="K384" s="2">
        <v>1871</v>
      </c>
      <c r="L384" s="2">
        <v>6</v>
      </c>
      <c r="M384" s="7">
        <f t="shared" si="20"/>
        <v>11226</v>
      </c>
      <c r="N384" s="7">
        <f t="shared" si="21"/>
        <v>12468</v>
      </c>
      <c r="O384" s="2">
        <v>89</v>
      </c>
      <c r="P384" s="8">
        <f t="shared" si="22"/>
        <v>12557</v>
      </c>
      <c r="Q384" s="8">
        <f t="shared" si="23"/>
        <v>12379</v>
      </c>
      <c r="R384" s="2" t="s">
        <v>26</v>
      </c>
      <c r="S384" s="9">
        <f>VLOOKUP(P384,$T$2:U381,2,1)</f>
        <v>0.05</v>
      </c>
    </row>
    <row r="385" spans="1:19" x14ac:dyDescent="0.25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VLOOKUP(F385,'Customer Info'!A377:I876,2,0)</f>
        <v>Russell</v>
      </c>
      <c r="H385" s="6" t="str">
        <f>VLOOKUP(F385,'Customer Info'!A377:I876,3,0)</f>
        <v>Applegate</v>
      </c>
      <c r="I385" s="6" t="str">
        <f>VLOOKUP(F385,'Customer Info'!A377:I876,5,0)</f>
        <v>Gorakhpur</v>
      </c>
      <c r="J385" s="2">
        <v>4443</v>
      </c>
      <c r="K385" s="2">
        <v>4079</v>
      </c>
      <c r="L385" s="2">
        <v>8</v>
      </c>
      <c r="M385" s="7">
        <f t="shared" si="20"/>
        <v>32632</v>
      </c>
      <c r="N385" s="7">
        <f t="shared" si="21"/>
        <v>35544</v>
      </c>
      <c r="O385" s="2">
        <v>39</v>
      </c>
      <c r="P385" s="8">
        <f t="shared" si="22"/>
        <v>35583</v>
      </c>
      <c r="Q385" s="8">
        <f t="shared" si="23"/>
        <v>35505</v>
      </c>
      <c r="R385" s="2" t="s">
        <v>50</v>
      </c>
      <c r="S385" s="9">
        <f>VLOOKUP(P385,$T$2:U382,2,1)</f>
        <v>7.0000000000000007E-2</v>
      </c>
    </row>
    <row r="386" spans="1:19" x14ac:dyDescent="0.25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e">
        <f>VLOOKUP(F386,'Customer Info'!A378:I877,2,0)</f>
        <v>#N/A</v>
      </c>
      <c r="H386" s="6" t="e">
        <f>VLOOKUP(F386,'Customer Info'!A378:I877,3,0)</f>
        <v>#N/A</v>
      </c>
      <c r="I386" s="6" t="e">
        <f>VLOOKUP(F386,'Customer Info'!A378:I877,5,0)</f>
        <v>#N/A</v>
      </c>
      <c r="J386" s="2">
        <v>144</v>
      </c>
      <c r="K386" s="2">
        <v>132</v>
      </c>
      <c r="L386" s="2">
        <v>2</v>
      </c>
      <c r="M386" s="7">
        <f t="shared" si="20"/>
        <v>264</v>
      </c>
      <c r="N386" s="7">
        <f t="shared" si="21"/>
        <v>288</v>
      </c>
      <c r="O386" s="2">
        <v>30</v>
      </c>
      <c r="P386" s="8">
        <f t="shared" si="22"/>
        <v>318</v>
      </c>
      <c r="Q386" s="8">
        <f t="shared" si="23"/>
        <v>258</v>
      </c>
      <c r="R386" s="2" t="s">
        <v>26</v>
      </c>
      <c r="S386" s="9">
        <f>VLOOKUP(P386,$T$2:U383,2,1)</f>
        <v>0.02</v>
      </c>
    </row>
    <row r="387" spans="1:19" x14ac:dyDescent="0.25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e">
        <f>VLOOKUP(F387,'Customer Info'!A379:I878,2,0)</f>
        <v>#N/A</v>
      </c>
      <c r="H387" s="6" t="e">
        <f>VLOOKUP(F387,'Customer Info'!A379:I878,3,0)</f>
        <v>#N/A</v>
      </c>
      <c r="I387" s="6" t="e">
        <f>VLOOKUP(F387,'Customer Info'!A379:I878,5,0)</f>
        <v>#N/A</v>
      </c>
      <c r="J387" s="2">
        <v>681</v>
      </c>
      <c r="K387" s="2">
        <v>642</v>
      </c>
      <c r="L387" s="2">
        <v>2</v>
      </c>
      <c r="M387" s="7">
        <f t="shared" si="20"/>
        <v>1284</v>
      </c>
      <c r="N387" s="7">
        <f t="shared" si="21"/>
        <v>1362</v>
      </c>
      <c r="O387" s="2">
        <v>91</v>
      </c>
      <c r="P387" s="8">
        <f t="shared" si="22"/>
        <v>1453</v>
      </c>
      <c r="Q387" s="8">
        <f t="shared" si="23"/>
        <v>1271</v>
      </c>
      <c r="R387" s="2" t="s">
        <v>28</v>
      </c>
      <c r="S387" s="9">
        <f>VLOOKUP(P387,$T$2:U384,2,1)</f>
        <v>0.02</v>
      </c>
    </row>
    <row r="388" spans="1:19" x14ac:dyDescent="0.25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VLOOKUP(F388,'Customer Info'!A380:I879,2,0)</f>
        <v>Valerie</v>
      </c>
      <c r="H388" s="6" t="str">
        <f>VLOOKUP(F388,'Customer Info'!A380:I879,3,0)</f>
        <v>Mitchum</v>
      </c>
      <c r="I388" s="6" t="str">
        <f>VLOOKUP(F388,'Customer Info'!A380:I879,5,0)</f>
        <v>Chengdu</v>
      </c>
      <c r="J388" s="2">
        <v>87</v>
      </c>
      <c r="K388" s="2">
        <v>80</v>
      </c>
      <c r="L388" s="2">
        <v>4</v>
      </c>
      <c r="M388" s="7">
        <f t="shared" si="20"/>
        <v>320</v>
      </c>
      <c r="N388" s="7">
        <f t="shared" si="21"/>
        <v>348</v>
      </c>
      <c r="O388" s="2">
        <v>10</v>
      </c>
      <c r="P388" s="8">
        <f t="shared" si="22"/>
        <v>358</v>
      </c>
      <c r="Q388" s="8">
        <f t="shared" si="23"/>
        <v>338</v>
      </c>
      <c r="R388" s="2" t="s">
        <v>50</v>
      </c>
      <c r="S388" s="9">
        <f>VLOOKUP(P388,$T$2:U385,2,1)</f>
        <v>0.02</v>
      </c>
    </row>
    <row r="389" spans="1:19" x14ac:dyDescent="0.25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e">
        <f>VLOOKUP(F389,'Customer Info'!A381:I880,2,0)</f>
        <v>#N/A</v>
      </c>
      <c r="H389" s="6" t="e">
        <f>VLOOKUP(F389,'Customer Info'!A381:I880,3,0)</f>
        <v>#N/A</v>
      </c>
      <c r="I389" s="6" t="e">
        <f>VLOOKUP(F389,'Customer Info'!A381:I880,5,0)</f>
        <v>#N/A</v>
      </c>
      <c r="J389" s="2">
        <v>8738</v>
      </c>
      <c r="K389" s="2">
        <v>8162</v>
      </c>
      <c r="L389" s="2">
        <v>6</v>
      </c>
      <c r="M389" s="7">
        <f t="shared" si="20"/>
        <v>48972</v>
      </c>
      <c r="N389" s="7">
        <f t="shared" si="21"/>
        <v>52428</v>
      </c>
      <c r="O389" s="2">
        <v>66</v>
      </c>
      <c r="P389" s="8">
        <f t="shared" si="22"/>
        <v>52494</v>
      </c>
      <c r="Q389" s="8">
        <f t="shared" si="23"/>
        <v>52362</v>
      </c>
      <c r="R389" s="2" t="s">
        <v>28</v>
      </c>
      <c r="S389" s="9">
        <f>VLOOKUP(P389,$T$2:U386,2,1)</f>
        <v>0.09</v>
      </c>
    </row>
    <row r="390" spans="1:19" x14ac:dyDescent="0.25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e">
        <f>VLOOKUP(F390,'Customer Info'!A382:I881,2,0)</f>
        <v>#N/A</v>
      </c>
      <c r="H390" s="6" t="e">
        <f>VLOOKUP(F390,'Customer Info'!A382:I881,3,0)</f>
        <v>#N/A</v>
      </c>
      <c r="I390" s="6" t="e">
        <f>VLOOKUP(F390,'Customer Info'!A382:I881,5,0)</f>
        <v>#N/A</v>
      </c>
      <c r="J390" s="2">
        <v>2790</v>
      </c>
      <c r="K390" s="2">
        <v>2557</v>
      </c>
      <c r="L390" s="2">
        <v>1</v>
      </c>
      <c r="M390" s="7">
        <f t="shared" si="20"/>
        <v>2557</v>
      </c>
      <c r="N390" s="7">
        <f t="shared" si="21"/>
        <v>2790</v>
      </c>
      <c r="O390" s="2">
        <v>100</v>
      </c>
      <c r="P390" s="8">
        <f t="shared" si="22"/>
        <v>2890</v>
      </c>
      <c r="Q390" s="8">
        <f t="shared" si="23"/>
        <v>2690</v>
      </c>
      <c r="R390" s="2" t="s">
        <v>28</v>
      </c>
      <c r="S390" s="9">
        <f>VLOOKUP(P390,$T$2:U387,2,1)</f>
        <v>0.02</v>
      </c>
    </row>
    <row r="391" spans="1:19" x14ac:dyDescent="0.25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e">
        <f>VLOOKUP(F391,'Customer Info'!A383:I882,2,0)</f>
        <v>#N/A</v>
      </c>
      <c r="H391" s="6" t="e">
        <f>VLOOKUP(F391,'Customer Info'!A383:I882,3,0)</f>
        <v>#N/A</v>
      </c>
      <c r="I391" s="6" t="e">
        <f>VLOOKUP(F391,'Customer Info'!A383:I882,5,0)</f>
        <v>#N/A</v>
      </c>
      <c r="J391" s="2">
        <v>1916</v>
      </c>
      <c r="K391" s="2">
        <v>1844</v>
      </c>
      <c r="L391" s="2">
        <v>3</v>
      </c>
      <c r="M391" s="7">
        <f t="shared" si="20"/>
        <v>5532</v>
      </c>
      <c r="N391" s="7">
        <f t="shared" si="21"/>
        <v>5748</v>
      </c>
      <c r="O391" s="2">
        <v>39</v>
      </c>
      <c r="P391" s="8">
        <f t="shared" si="22"/>
        <v>5787</v>
      </c>
      <c r="Q391" s="8">
        <f t="shared" si="23"/>
        <v>5709</v>
      </c>
      <c r="R391" s="2" t="s">
        <v>28</v>
      </c>
      <c r="S391" s="9">
        <f>VLOOKUP(P391,$T$2:U388,2,1)</f>
        <v>0.05</v>
      </c>
    </row>
    <row r="392" spans="1:19" x14ac:dyDescent="0.25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e">
        <f>VLOOKUP(F392,'Customer Info'!A384:I883,2,0)</f>
        <v>#N/A</v>
      </c>
      <c r="H392" s="6" t="e">
        <f>VLOOKUP(F392,'Customer Info'!A384:I883,3,0)</f>
        <v>#N/A</v>
      </c>
      <c r="I392" s="6" t="e">
        <f>VLOOKUP(F392,'Customer Info'!A384:I883,5,0)</f>
        <v>#N/A</v>
      </c>
      <c r="J392" s="2">
        <v>3053</v>
      </c>
      <c r="K392" s="2">
        <v>2937</v>
      </c>
      <c r="L392" s="2">
        <v>2</v>
      </c>
      <c r="M392" s="7">
        <f t="shared" si="20"/>
        <v>5874</v>
      </c>
      <c r="N392" s="7">
        <f t="shared" si="21"/>
        <v>6106</v>
      </c>
      <c r="O392" s="2">
        <v>38</v>
      </c>
      <c r="P392" s="8">
        <f t="shared" si="22"/>
        <v>6144</v>
      </c>
      <c r="Q392" s="8">
        <f t="shared" si="23"/>
        <v>6068</v>
      </c>
      <c r="R392" s="2" t="s">
        <v>28</v>
      </c>
      <c r="S392" s="9">
        <f>VLOOKUP(P392,$T$2:U389,2,1)</f>
        <v>0.05</v>
      </c>
    </row>
    <row r="393" spans="1:19" x14ac:dyDescent="0.25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e">
        <f>VLOOKUP(F393,'Customer Info'!A385:I884,2,0)</f>
        <v>#N/A</v>
      </c>
      <c r="H393" s="6" t="e">
        <f>VLOOKUP(F393,'Customer Info'!A385:I884,3,0)</f>
        <v>#N/A</v>
      </c>
      <c r="I393" s="6" t="e">
        <f>VLOOKUP(F393,'Customer Info'!A385:I884,5,0)</f>
        <v>#N/A</v>
      </c>
      <c r="J393" s="2">
        <v>7922</v>
      </c>
      <c r="K393" s="2">
        <v>7328</v>
      </c>
      <c r="L393" s="2">
        <v>6</v>
      </c>
      <c r="M393" s="7">
        <f t="shared" si="20"/>
        <v>43968</v>
      </c>
      <c r="N393" s="7">
        <f t="shared" si="21"/>
        <v>47532</v>
      </c>
      <c r="O393" s="2">
        <v>26</v>
      </c>
      <c r="P393" s="8">
        <f t="shared" si="22"/>
        <v>47558</v>
      </c>
      <c r="Q393" s="8">
        <f t="shared" si="23"/>
        <v>47506</v>
      </c>
      <c r="R393" s="2" t="s">
        <v>28</v>
      </c>
      <c r="S393" s="9">
        <f>VLOOKUP(P393,$T$2:U390,2,1)</f>
        <v>7.0000000000000007E-2</v>
      </c>
    </row>
    <row r="394" spans="1:19" x14ac:dyDescent="0.25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e">
        <f>VLOOKUP(F394,'Customer Info'!A386:I885,2,0)</f>
        <v>#N/A</v>
      </c>
      <c r="H394" s="6" t="e">
        <f>VLOOKUP(F394,'Customer Info'!A386:I885,3,0)</f>
        <v>#N/A</v>
      </c>
      <c r="I394" s="6" t="e">
        <f>VLOOKUP(F394,'Customer Info'!A386:I885,5,0)</f>
        <v>#N/A</v>
      </c>
      <c r="J394" s="2">
        <v>4808</v>
      </c>
      <c r="K394" s="2">
        <v>4453</v>
      </c>
      <c r="L394" s="2">
        <v>3</v>
      </c>
      <c r="M394" s="7">
        <f t="shared" si="20"/>
        <v>13359</v>
      </c>
      <c r="N394" s="7">
        <f t="shared" si="21"/>
        <v>14424</v>
      </c>
      <c r="O394" s="2">
        <v>68</v>
      </c>
      <c r="P394" s="8">
        <f t="shared" si="22"/>
        <v>14492</v>
      </c>
      <c r="Q394" s="8">
        <f t="shared" si="23"/>
        <v>14356</v>
      </c>
      <c r="R394" s="2" t="s">
        <v>56</v>
      </c>
      <c r="S394" s="9">
        <f>VLOOKUP(P394,$T$2:U391,2,1)</f>
        <v>0.05</v>
      </c>
    </row>
    <row r="395" spans="1:19" x14ac:dyDescent="0.25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e">
        <f>VLOOKUP(F395,'Customer Info'!A387:I886,2,0)</f>
        <v>#N/A</v>
      </c>
      <c r="H395" s="6" t="e">
        <f>VLOOKUP(F395,'Customer Info'!A387:I886,3,0)</f>
        <v>#N/A</v>
      </c>
      <c r="I395" s="6" t="e">
        <f>VLOOKUP(F395,'Customer Info'!A387:I886,5,0)</f>
        <v>#N/A</v>
      </c>
      <c r="J395" s="2">
        <v>751</v>
      </c>
      <c r="K395" s="2">
        <v>696</v>
      </c>
      <c r="L395" s="2">
        <v>2</v>
      </c>
      <c r="M395" s="7">
        <f t="shared" ref="M395:M458" si="24">K395*L395</f>
        <v>1392</v>
      </c>
      <c r="N395" s="7">
        <f t="shared" ref="N395:N458" si="25">J395*L395</f>
        <v>1502</v>
      </c>
      <c r="O395" s="2">
        <v>98</v>
      </c>
      <c r="P395" s="8">
        <f t="shared" ref="P395:P458" si="26">SUM(N395,O395)</f>
        <v>1600</v>
      </c>
      <c r="Q395" s="8">
        <f t="shared" ref="Q395:Q458" si="27">N395-O395</f>
        <v>1404</v>
      </c>
      <c r="R395" s="2" t="s">
        <v>26</v>
      </c>
      <c r="S395" s="9">
        <f>VLOOKUP(P395,$T$2:U392,2,1)</f>
        <v>0.02</v>
      </c>
    </row>
    <row r="396" spans="1:19" x14ac:dyDescent="0.25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VLOOKUP(F396,'Customer Info'!A388:I887,2,0)</f>
        <v>Stewart</v>
      </c>
      <c r="H396" s="6" t="str">
        <f>VLOOKUP(F396,'Customer Info'!A388:I887,3,0)</f>
        <v>Visinsky</v>
      </c>
      <c r="I396" s="6" t="str">
        <f>VLOOKUP(F396,'Customer Info'!A388:I887,5,0)</f>
        <v>Shenyang</v>
      </c>
      <c r="J396" s="2">
        <v>4443</v>
      </c>
      <c r="K396" s="2">
        <v>4079</v>
      </c>
      <c r="L396" s="2">
        <v>4</v>
      </c>
      <c r="M396" s="7">
        <f t="shared" si="24"/>
        <v>16316</v>
      </c>
      <c r="N396" s="7">
        <f t="shared" si="25"/>
        <v>17772</v>
      </c>
      <c r="O396" s="2">
        <v>53</v>
      </c>
      <c r="P396" s="8">
        <f t="shared" si="26"/>
        <v>17825</v>
      </c>
      <c r="Q396" s="8">
        <f t="shared" si="27"/>
        <v>17719</v>
      </c>
      <c r="R396" s="2" t="s">
        <v>56</v>
      </c>
      <c r="S396" s="9">
        <f>VLOOKUP(P396,$T$2:U393,2,1)</f>
        <v>0.05</v>
      </c>
    </row>
    <row r="397" spans="1:19" x14ac:dyDescent="0.25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e">
        <f>VLOOKUP(F397,'Customer Info'!A389:I888,2,0)</f>
        <v>#N/A</v>
      </c>
      <c r="H397" s="6" t="e">
        <f>VLOOKUP(F397,'Customer Info'!A389:I888,3,0)</f>
        <v>#N/A</v>
      </c>
      <c r="I397" s="6" t="e">
        <f>VLOOKUP(F397,'Customer Info'!A389:I888,5,0)</f>
        <v>#N/A</v>
      </c>
      <c r="J397" s="2">
        <v>6864</v>
      </c>
      <c r="K397" s="2">
        <v>6667</v>
      </c>
      <c r="L397" s="2">
        <v>2</v>
      </c>
      <c r="M397" s="7">
        <f t="shared" si="24"/>
        <v>13334</v>
      </c>
      <c r="N397" s="7">
        <f t="shared" si="25"/>
        <v>13728</v>
      </c>
      <c r="O397" s="2">
        <v>43</v>
      </c>
      <c r="P397" s="8">
        <f t="shared" si="26"/>
        <v>13771</v>
      </c>
      <c r="Q397" s="8">
        <f t="shared" si="27"/>
        <v>13685</v>
      </c>
      <c r="R397" s="2" t="s">
        <v>28</v>
      </c>
      <c r="S397" s="9">
        <f>VLOOKUP(P397,$T$2:U394,2,1)</f>
        <v>0.05</v>
      </c>
    </row>
    <row r="398" spans="1:19" x14ac:dyDescent="0.25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e">
        <f>VLOOKUP(F398,'Customer Info'!A390:I889,2,0)</f>
        <v>#N/A</v>
      </c>
      <c r="H398" s="6" t="e">
        <f>VLOOKUP(F398,'Customer Info'!A390:I889,3,0)</f>
        <v>#N/A</v>
      </c>
      <c r="I398" s="6" t="e">
        <f>VLOOKUP(F398,'Customer Info'!A390:I889,5,0)</f>
        <v>#N/A</v>
      </c>
      <c r="J398" s="2">
        <v>60</v>
      </c>
      <c r="K398" s="2">
        <v>55</v>
      </c>
      <c r="L398" s="2">
        <v>6</v>
      </c>
      <c r="M398" s="7">
        <f t="shared" si="24"/>
        <v>330</v>
      </c>
      <c r="N398" s="7">
        <f t="shared" si="25"/>
        <v>360</v>
      </c>
      <c r="O398" s="2">
        <v>10</v>
      </c>
      <c r="P398" s="8">
        <f t="shared" si="26"/>
        <v>370</v>
      </c>
      <c r="Q398" s="8">
        <f t="shared" si="27"/>
        <v>350</v>
      </c>
      <c r="R398" s="2" t="s">
        <v>28</v>
      </c>
      <c r="S398" s="9">
        <f>VLOOKUP(P398,$T$2:U395,2,1)</f>
        <v>0.02</v>
      </c>
    </row>
    <row r="399" spans="1:19" x14ac:dyDescent="0.25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e">
        <f>VLOOKUP(F399,'Customer Info'!A391:I890,2,0)</f>
        <v>#N/A</v>
      </c>
      <c r="H399" s="6" t="e">
        <f>VLOOKUP(F399,'Customer Info'!A391:I890,3,0)</f>
        <v>#N/A</v>
      </c>
      <c r="I399" s="6" t="e">
        <f>VLOOKUP(F399,'Customer Info'!A391:I890,5,0)</f>
        <v>#N/A</v>
      </c>
      <c r="J399" s="2">
        <v>8619</v>
      </c>
      <c r="K399" s="2">
        <v>7759</v>
      </c>
      <c r="L399" s="2">
        <v>2</v>
      </c>
      <c r="M399" s="7">
        <f t="shared" si="24"/>
        <v>15518</v>
      </c>
      <c r="N399" s="7">
        <f t="shared" si="25"/>
        <v>17238</v>
      </c>
      <c r="O399" s="2">
        <v>65</v>
      </c>
      <c r="P399" s="8">
        <f t="shared" si="26"/>
        <v>17303</v>
      </c>
      <c r="Q399" s="8">
        <f t="shared" si="27"/>
        <v>17173</v>
      </c>
      <c r="R399" s="2" t="s">
        <v>26</v>
      </c>
      <c r="S399" s="9">
        <f>VLOOKUP(P399,$T$2:U396,2,1)</f>
        <v>0.05</v>
      </c>
    </row>
    <row r="400" spans="1:19" x14ac:dyDescent="0.25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e">
        <f>VLOOKUP(F400,'Customer Info'!A392:I891,2,0)</f>
        <v>#N/A</v>
      </c>
      <c r="H400" s="6" t="e">
        <f>VLOOKUP(F400,'Customer Info'!A392:I891,3,0)</f>
        <v>#N/A</v>
      </c>
      <c r="I400" s="6" t="e">
        <f>VLOOKUP(F400,'Customer Info'!A392:I891,5,0)</f>
        <v>#N/A</v>
      </c>
      <c r="J400" s="2">
        <v>7212</v>
      </c>
      <c r="K400" s="2">
        <v>6737</v>
      </c>
      <c r="L400" s="2">
        <v>3</v>
      </c>
      <c r="M400" s="7">
        <f t="shared" si="24"/>
        <v>20211</v>
      </c>
      <c r="N400" s="7">
        <f t="shared" si="25"/>
        <v>21636</v>
      </c>
      <c r="O400" s="2">
        <v>96</v>
      </c>
      <c r="P400" s="8">
        <f t="shared" si="26"/>
        <v>21732</v>
      </c>
      <c r="Q400" s="8">
        <f t="shared" si="27"/>
        <v>21540</v>
      </c>
      <c r="R400" s="2" t="s">
        <v>28</v>
      </c>
      <c r="S400" s="9">
        <f>VLOOKUP(P400,$T$2:U397,2,1)</f>
        <v>0.05</v>
      </c>
    </row>
    <row r="401" spans="1:19" x14ac:dyDescent="0.25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e">
        <f>VLOOKUP(F401,'Customer Info'!A393:I892,2,0)</f>
        <v>#N/A</v>
      </c>
      <c r="H401" s="6" t="e">
        <f>VLOOKUP(F401,'Customer Info'!A393:I892,3,0)</f>
        <v>#N/A</v>
      </c>
      <c r="I401" s="6" t="e">
        <f>VLOOKUP(F401,'Customer Info'!A393:I892,5,0)</f>
        <v>#N/A</v>
      </c>
      <c r="J401" s="2">
        <v>2042</v>
      </c>
      <c r="K401" s="2">
        <v>1965</v>
      </c>
      <c r="L401" s="2">
        <v>2</v>
      </c>
      <c r="M401" s="7">
        <f t="shared" si="24"/>
        <v>3930</v>
      </c>
      <c r="N401" s="7">
        <f t="shared" si="25"/>
        <v>4084</v>
      </c>
      <c r="O401" s="2">
        <v>97</v>
      </c>
      <c r="P401" s="8">
        <f t="shared" si="26"/>
        <v>4181</v>
      </c>
      <c r="Q401" s="8">
        <f t="shared" si="27"/>
        <v>3987</v>
      </c>
      <c r="R401" s="2" t="s">
        <v>28</v>
      </c>
      <c r="S401" s="9">
        <f>VLOOKUP(P401,$T$2:U398,2,1)</f>
        <v>0.02</v>
      </c>
    </row>
    <row r="402" spans="1:19" x14ac:dyDescent="0.25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e">
        <f>VLOOKUP(F402,'Customer Info'!A394:I893,2,0)</f>
        <v>#N/A</v>
      </c>
      <c r="H402" s="6" t="e">
        <f>VLOOKUP(F402,'Customer Info'!A394:I893,3,0)</f>
        <v>#N/A</v>
      </c>
      <c r="I402" s="6" t="e">
        <f>VLOOKUP(F402,'Customer Info'!A394:I893,5,0)</f>
        <v>#N/A</v>
      </c>
      <c r="J402" s="2">
        <v>2874</v>
      </c>
      <c r="K402" s="2">
        <v>2583</v>
      </c>
      <c r="L402" s="2">
        <v>4</v>
      </c>
      <c r="M402" s="7">
        <f t="shared" si="24"/>
        <v>10332</v>
      </c>
      <c r="N402" s="7">
        <f t="shared" si="25"/>
        <v>11496</v>
      </c>
      <c r="O402" s="2">
        <v>23</v>
      </c>
      <c r="P402" s="8">
        <f t="shared" si="26"/>
        <v>11519</v>
      </c>
      <c r="Q402" s="8">
        <f t="shared" si="27"/>
        <v>11473</v>
      </c>
      <c r="R402" s="2" t="s">
        <v>28</v>
      </c>
      <c r="S402" s="9">
        <f>VLOOKUP(P402,$T$2:U399,2,1)</f>
        <v>0.05</v>
      </c>
    </row>
    <row r="403" spans="1:19" x14ac:dyDescent="0.25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e">
        <f>VLOOKUP(F403,'Customer Info'!A395:I894,2,0)</f>
        <v>#N/A</v>
      </c>
      <c r="H403" s="6" t="e">
        <f>VLOOKUP(F403,'Customer Info'!A395:I894,3,0)</f>
        <v>#N/A</v>
      </c>
      <c r="I403" s="6" t="e">
        <f>VLOOKUP(F403,'Customer Info'!A395:I894,5,0)</f>
        <v>#N/A</v>
      </c>
      <c r="J403" s="2">
        <v>1103</v>
      </c>
      <c r="K403" s="2">
        <v>1030</v>
      </c>
      <c r="L403" s="2">
        <v>3</v>
      </c>
      <c r="M403" s="7">
        <f t="shared" si="24"/>
        <v>3090</v>
      </c>
      <c r="N403" s="7">
        <f t="shared" si="25"/>
        <v>3309</v>
      </c>
      <c r="O403" s="2">
        <v>29</v>
      </c>
      <c r="P403" s="8">
        <f t="shared" si="26"/>
        <v>3338</v>
      </c>
      <c r="Q403" s="8">
        <f t="shared" si="27"/>
        <v>3280</v>
      </c>
      <c r="R403" s="2" t="s">
        <v>28</v>
      </c>
      <c r="S403" s="9">
        <f>VLOOKUP(P403,$T$2:U400,2,1)</f>
        <v>0.02</v>
      </c>
    </row>
    <row r="404" spans="1:19" x14ac:dyDescent="0.25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VLOOKUP(F404,'Customer Info'!A396:I895,2,0)</f>
        <v>Tim</v>
      </c>
      <c r="H404" s="6" t="str">
        <f>VLOOKUP(F404,'Customer Info'!A396:I895,3,0)</f>
        <v>Brockman</v>
      </c>
      <c r="I404" s="6" t="str">
        <f>VLOOKUP(F404,'Customer Info'!A396:I895,5,0)</f>
        <v>Toowoomba</v>
      </c>
      <c r="J404" s="2">
        <v>170</v>
      </c>
      <c r="K404" s="2">
        <v>153</v>
      </c>
      <c r="L404" s="2">
        <v>1</v>
      </c>
      <c r="M404" s="7">
        <f t="shared" si="24"/>
        <v>153</v>
      </c>
      <c r="N404" s="7">
        <f t="shared" si="25"/>
        <v>170</v>
      </c>
      <c r="O404" s="2">
        <v>30</v>
      </c>
      <c r="P404" s="8">
        <f t="shared" si="26"/>
        <v>200</v>
      </c>
      <c r="Q404" s="8">
        <f t="shared" si="27"/>
        <v>140</v>
      </c>
      <c r="R404" s="2" t="s">
        <v>26</v>
      </c>
      <c r="S404" s="9">
        <f>VLOOKUP(P404,$T$2:U401,2,1)</f>
        <v>0.02</v>
      </c>
    </row>
    <row r="405" spans="1:19" x14ac:dyDescent="0.25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e">
        <f>VLOOKUP(F405,'Customer Info'!A397:I896,2,0)</f>
        <v>#N/A</v>
      </c>
      <c r="H405" s="6" t="e">
        <f>VLOOKUP(F405,'Customer Info'!A397:I896,3,0)</f>
        <v>#N/A</v>
      </c>
      <c r="I405" s="6" t="e">
        <f>VLOOKUP(F405,'Customer Info'!A397:I896,5,0)</f>
        <v>#N/A</v>
      </c>
      <c r="J405" s="2">
        <v>1619</v>
      </c>
      <c r="K405" s="2">
        <v>1442</v>
      </c>
      <c r="L405" s="2">
        <v>2</v>
      </c>
      <c r="M405" s="7">
        <f t="shared" si="24"/>
        <v>2884</v>
      </c>
      <c r="N405" s="7">
        <f t="shared" si="25"/>
        <v>3238</v>
      </c>
      <c r="O405" s="2">
        <v>75</v>
      </c>
      <c r="P405" s="8">
        <f t="shared" si="26"/>
        <v>3313</v>
      </c>
      <c r="Q405" s="8">
        <f t="shared" si="27"/>
        <v>3163</v>
      </c>
      <c r="R405" s="2" t="s">
        <v>56</v>
      </c>
      <c r="S405" s="9">
        <f>VLOOKUP(P405,$T$2:U402,2,1)</f>
        <v>0.02</v>
      </c>
    </row>
    <row r="406" spans="1:19" x14ac:dyDescent="0.25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e">
        <f>VLOOKUP(F406,'Customer Info'!A398:I897,2,0)</f>
        <v>#N/A</v>
      </c>
      <c r="H406" s="6" t="e">
        <f>VLOOKUP(F406,'Customer Info'!A398:I897,3,0)</f>
        <v>#N/A</v>
      </c>
      <c r="I406" s="6" t="e">
        <f>VLOOKUP(F406,'Customer Info'!A398:I897,5,0)</f>
        <v>#N/A</v>
      </c>
      <c r="J406" s="2">
        <v>1169</v>
      </c>
      <c r="K406" s="2">
        <v>1103</v>
      </c>
      <c r="L406" s="2">
        <v>7</v>
      </c>
      <c r="M406" s="7">
        <f t="shared" si="24"/>
        <v>7721</v>
      </c>
      <c r="N406" s="7">
        <f t="shared" si="25"/>
        <v>8183</v>
      </c>
      <c r="O406" s="2">
        <v>77</v>
      </c>
      <c r="P406" s="8">
        <f t="shared" si="26"/>
        <v>8260</v>
      </c>
      <c r="Q406" s="8">
        <f t="shared" si="27"/>
        <v>8106</v>
      </c>
      <c r="R406" s="2" t="s">
        <v>28</v>
      </c>
      <c r="S406" s="9">
        <f>VLOOKUP(P406,$T$2:U403,2,1)</f>
        <v>0.05</v>
      </c>
    </row>
    <row r="407" spans="1:19" x14ac:dyDescent="0.25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e">
        <f>VLOOKUP(F407,'Customer Info'!A399:I898,2,0)</f>
        <v>#N/A</v>
      </c>
      <c r="H407" s="6" t="e">
        <f>VLOOKUP(F407,'Customer Info'!A399:I898,3,0)</f>
        <v>#N/A</v>
      </c>
      <c r="I407" s="6" t="e">
        <f>VLOOKUP(F407,'Customer Info'!A399:I898,5,0)</f>
        <v>#N/A</v>
      </c>
      <c r="J407" s="2">
        <v>100</v>
      </c>
      <c r="K407" s="2">
        <v>95</v>
      </c>
      <c r="L407" s="2">
        <v>7</v>
      </c>
      <c r="M407" s="7">
        <f t="shared" si="24"/>
        <v>665</v>
      </c>
      <c r="N407" s="7">
        <f t="shared" si="25"/>
        <v>700</v>
      </c>
      <c r="O407" s="2">
        <v>10</v>
      </c>
      <c r="P407" s="8">
        <f t="shared" si="26"/>
        <v>710</v>
      </c>
      <c r="Q407" s="8">
        <f t="shared" si="27"/>
        <v>690</v>
      </c>
      <c r="R407" s="2" t="s">
        <v>28</v>
      </c>
      <c r="S407" s="9">
        <f>VLOOKUP(P407,$T$2:U404,2,1)</f>
        <v>0.02</v>
      </c>
    </row>
    <row r="408" spans="1:19" x14ac:dyDescent="0.25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e">
        <f>VLOOKUP(F408,'Customer Info'!A400:I899,2,0)</f>
        <v>#N/A</v>
      </c>
      <c r="H408" s="6" t="e">
        <f>VLOOKUP(F408,'Customer Info'!A400:I899,3,0)</f>
        <v>#N/A</v>
      </c>
      <c r="I408" s="6" t="e">
        <f>VLOOKUP(F408,'Customer Info'!A400:I899,5,0)</f>
        <v>#N/A</v>
      </c>
      <c r="J408" s="2">
        <v>7623</v>
      </c>
      <c r="K408" s="2">
        <v>7064</v>
      </c>
      <c r="L408" s="2">
        <v>1</v>
      </c>
      <c r="M408" s="7">
        <f t="shared" si="24"/>
        <v>7064</v>
      </c>
      <c r="N408" s="7">
        <f t="shared" si="25"/>
        <v>7623</v>
      </c>
      <c r="O408" s="2">
        <v>41</v>
      </c>
      <c r="P408" s="8">
        <f t="shared" si="26"/>
        <v>7664</v>
      </c>
      <c r="Q408" s="8">
        <f t="shared" si="27"/>
        <v>7582</v>
      </c>
      <c r="R408" s="2" t="s">
        <v>50</v>
      </c>
      <c r="S408" s="9">
        <f>VLOOKUP(P408,$T$2:U405,2,1)</f>
        <v>0.05</v>
      </c>
    </row>
    <row r="409" spans="1:19" x14ac:dyDescent="0.25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e">
        <f>VLOOKUP(F409,'Customer Info'!A401:I900,2,0)</f>
        <v>#N/A</v>
      </c>
      <c r="H409" s="6" t="e">
        <f>VLOOKUP(F409,'Customer Info'!A401:I900,3,0)</f>
        <v>#N/A</v>
      </c>
      <c r="I409" s="6" t="e">
        <f>VLOOKUP(F409,'Customer Info'!A401:I900,5,0)</f>
        <v>#N/A</v>
      </c>
      <c r="J409" s="2">
        <v>4798</v>
      </c>
      <c r="K409" s="2">
        <v>4448</v>
      </c>
      <c r="L409" s="2">
        <v>1</v>
      </c>
      <c r="M409" s="7">
        <f t="shared" si="24"/>
        <v>4448</v>
      </c>
      <c r="N409" s="7">
        <f t="shared" si="25"/>
        <v>4798</v>
      </c>
      <c r="O409" s="2">
        <v>48</v>
      </c>
      <c r="P409" s="8">
        <f t="shared" si="26"/>
        <v>4846</v>
      </c>
      <c r="Q409" s="8">
        <f t="shared" si="27"/>
        <v>4750</v>
      </c>
      <c r="R409" s="2" t="s">
        <v>26</v>
      </c>
      <c r="S409" s="9">
        <f>VLOOKUP(P409,$T$2:U406,2,1)</f>
        <v>0.02</v>
      </c>
    </row>
    <row r="410" spans="1:19" x14ac:dyDescent="0.25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e">
        <f>VLOOKUP(F410,'Customer Info'!A402:I901,2,0)</f>
        <v>#N/A</v>
      </c>
      <c r="H410" s="6" t="e">
        <f>VLOOKUP(F410,'Customer Info'!A402:I901,3,0)</f>
        <v>#N/A</v>
      </c>
      <c r="I410" s="6" t="e">
        <f>VLOOKUP(F410,'Customer Info'!A402:I901,5,0)</f>
        <v>#N/A</v>
      </c>
      <c r="J410" s="2">
        <v>2442</v>
      </c>
      <c r="K410" s="2">
        <v>2304</v>
      </c>
      <c r="L410" s="2">
        <v>2</v>
      </c>
      <c r="M410" s="7">
        <f t="shared" si="24"/>
        <v>4608</v>
      </c>
      <c r="N410" s="7">
        <f t="shared" si="25"/>
        <v>4884</v>
      </c>
      <c r="O410" s="2">
        <v>83</v>
      </c>
      <c r="P410" s="8">
        <f t="shared" si="26"/>
        <v>4967</v>
      </c>
      <c r="Q410" s="8">
        <f t="shared" si="27"/>
        <v>4801</v>
      </c>
      <c r="R410" s="2" t="s">
        <v>50</v>
      </c>
      <c r="S410" s="9">
        <f>VLOOKUP(P410,$T$2:U407,2,1)</f>
        <v>0.02</v>
      </c>
    </row>
    <row r="411" spans="1:19" x14ac:dyDescent="0.25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e">
        <f>VLOOKUP(F411,'Customer Info'!A403:I902,2,0)</f>
        <v>#N/A</v>
      </c>
      <c r="H411" s="6" t="e">
        <f>VLOOKUP(F411,'Customer Info'!A403:I902,3,0)</f>
        <v>#N/A</v>
      </c>
      <c r="I411" s="6" t="e">
        <f>VLOOKUP(F411,'Customer Info'!A403:I902,5,0)</f>
        <v>#N/A</v>
      </c>
      <c r="J411" s="2">
        <v>1925</v>
      </c>
      <c r="K411" s="2">
        <v>1834</v>
      </c>
      <c r="L411" s="2">
        <v>11</v>
      </c>
      <c r="M411" s="7">
        <f t="shared" si="24"/>
        <v>20174</v>
      </c>
      <c r="N411" s="7">
        <f t="shared" si="25"/>
        <v>21175</v>
      </c>
      <c r="O411" s="2">
        <v>35</v>
      </c>
      <c r="P411" s="8">
        <f t="shared" si="26"/>
        <v>21210</v>
      </c>
      <c r="Q411" s="8">
        <f t="shared" si="27"/>
        <v>21140</v>
      </c>
      <c r="R411" s="2" t="s">
        <v>50</v>
      </c>
      <c r="S411" s="9">
        <f>VLOOKUP(P411,$T$2:U408,2,1)</f>
        <v>0.05</v>
      </c>
    </row>
    <row r="412" spans="1:19" x14ac:dyDescent="0.25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e">
        <f>VLOOKUP(F412,'Customer Info'!A404:I903,2,0)</f>
        <v>#N/A</v>
      </c>
      <c r="H412" s="6" t="e">
        <f>VLOOKUP(F412,'Customer Info'!A404:I903,3,0)</f>
        <v>#N/A</v>
      </c>
      <c r="I412" s="6" t="e">
        <f>VLOOKUP(F412,'Customer Info'!A404:I903,5,0)</f>
        <v>#N/A</v>
      </c>
      <c r="J412" s="2">
        <v>679</v>
      </c>
      <c r="K412" s="2">
        <v>654</v>
      </c>
      <c r="L412" s="2">
        <v>3</v>
      </c>
      <c r="M412" s="7">
        <f t="shared" si="24"/>
        <v>1962</v>
      </c>
      <c r="N412" s="7">
        <f t="shared" si="25"/>
        <v>2037</v>
      </c>
      <c r="O412" s="2">
        <v>35</v>
      </c>
      <c r="P412" s="8">
        <f t="shared" si="26"/>
        <v>2072</v>
      </c>
      <c r="Q412" s="8">
        <f t="shared" si="27"/>
        <v>2002</v>
      </c>
      <c r="R412" s="2" t="s">
        <v>28</v>
      </c>
      <c r="S412" s="9">
        <f>VLOOKUP(P412,$T$2:U409,2,1)</f>
        <v>0.02</v>
      </c>
    </row>
    <row r="413" spans="1:19" x14ac:dyDescent="0.25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e">
        <f>VLOOKUP(F413,'Customer Info'!A405:I904,2,0)</f>
        <v>#N/A</v>
      </c>
      <c r="H413" s="6" t="e">
        <f>VLOOKUP(F413,'Customer Info'!A405:I904,3,0)</f>
        <v>#N/A</v>
      </c>
      <c r="I413" s="6" t="e">
        <f>VLOOKUP(F413,'Customer Info'!A405:I904,5,0)</f>
        <v>#N/A</v>
      </c>
      <c r="J413" s="2">
        <v>2501</v>
      </c>
      <c r="K413" s="2">
        <v>2361</v>
      </c>
      <c r="L413" s="2">
        <v>1</v>
      </c>
      <c r="M413" s="7">
        <f t="shared" si="24"/>
        <v>2361</v>
      </c>
      <c r="N413" s="7">
        <f t="shared" si="25"/>
        <v>2501</v>
      </c>
      <c r="O413" s="2">
        <v>57</v>
      </c>
      <c r="P413" s="8">
        <f t="shared" si="26"/>
        <v>2558</v>
      </c>
      <c r="Q413" s="8">
        <f t="shared" si="27"/>
        <v>2444</v>
      </c>
      <c r="R413" s="2" t="s">
        <v>26</v>
      </c>
      <c r="S413" s="9">
        <f>VLOOKUP(P413,$T$2:U410,2,1)</f>
        <v>0.02</v>
      </c>
    </row>
    <row r="414" spans="1:19" x14ac:dyDescent="0.25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e">
        <f>VLOOKUP(F414,'Customer Info'!A406:I905,2,0)</f>
        <v>#N/A</v>
      </c>
      <c r="H414" s="6" t="e">
        <f>VLOOKUP(F414,'Customer Info'!A406:I905,3,0)</f>
        <v>#N/A</v>
      </c>
      <c r="I414" s="6" t="e">
        <f>VLOOKUP(F414,'Customer Info'!A406:I905,5,0)</f>
        <v>#N/A</v>
      </c>
      <c r="J414" s="2">
        <v>175</v>
      </c>
      <c r="K414" s="2">
        <v>158</v>
      </c>
      <c r="L414" s="2">
        <v>3</v>
      </c>
      <c r="M414" s="7">
        <f t="shared" si="24"/>
        <v>474</v>
      </c>
      <c r="N414" s="7">
        <f t="shared" si="25"/>
        <v>525</v>
      </c>
      <c r="O414" s="2">
        <v>30</v>
      </c>
      <c r="P414" s="8">
        <f t="shared" si="26"/>
        <v>555</v>
      </c>
      <c r="Q414" s="8">
        <f t="shared" si="27"/>
        <v>495</v>
      </c>
      <c r="R414" s="2" t="s">
        <v>50</v>
      </c>
      <c r="S414" s="9">
        <f>VLOOKUP(P414,$T$2:U411,2,1)</f>
        <v>0.02</v>
      </c>
    </row>
    <row r="415" spans="1:19" x14ac:dyDescent="0.25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e">
        <f>VLOOKUP(F415,'Customer Info'!A407:I906,2,0)</f>
        <v>#N/A</v>
      </c>
      <c r="H415" s="6" t="e">
        <f>VLOOKUP(F415,'Customer Info'!A407:I906,3,0)</f>
        <v>#N/A</v>
      </c>
      <c r="I415" s="6" t="e">
        <f>VLOOKUP(F415,'Customer Info'!A407:I906,5,0)</f>
        <v>#N/A</v>
      </c>
      <c r="J415" s="2">
        <v>179</v>
      </c>
      <c r="K415" s="2">
        <v>166</v>
      </c>
      <c r="L415" s="2">
        <v>7</v>
      </c>
      <c r="M415" s="7">
        <f t="shared" si="24"/>
        <v>1162</v>
      </c>
      <c r="N415" s="7">
        <f t="shared" si="25"/>
        <v>1253</v>
      </c>
      <c r="O415" s="2">
        <v>30</v>
      </c>
      <c r="P415" s="8">
        <f t="shared" si="26"/>
        <v>1283</v>
      </c>
      <c r="Q415" s="8">
        <f t="shared" si="27"/>
        <v>1223</v>
      </c>
      <c r="R415" s="2" t="s">
        <v>28</v>
      </c>
      <c r="S415" s="9">
        <f>VLOOKUP(P415,$T$2:U412,2,1)</f>
        <v>0.02</v>
      </c>
    </row>
    <row r="416" spans="1:19" x14ac:dyDescent="0.25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e">
        <f>VLOOKUP(F416,'Customer Info'!A408:I907,2,0)</f>
        <v>#N/A</v>
      </c>
      <c r="H416" s="6" t="e">
        <f>VLOOKUP(F416,'Customer Info'!A408:I907,3,0)</f>
        <v>#N/A</v>
      </c>
      <c r="I416" s="6" t="e">
        <f>VLOOKUP(F416,'Customer Info'!A408:I907,5,0)</f>
        <v>#N/A</v>
      </c>
      <c r="J416" s="2">
        <v>1635</v>
      </c>
      <c r="K416" s="2">
        <v>1573</v>
      </c>
      <c r="L416" s="2">
        <v>7</v>
      </c>
      <c r="M416" s="7">
        <f t="shared" si="24"/>
        <v>11011</v>
      </c>
      <c r="N416" s="7">
        <f t="shared" si="25"/>
        <v>11445</v>
      </c>
      <c r="O416" s="2">
        <v>41</v>
      </c>
      <c r="P416" s="8">
        <f t="shared" si="26"/>
        <v>11486</v>
      </c>
      <c r="Q416" s="8">
        <f t="shared" si="27"/>
        <v>11404</v>
      </c>
      <c r="R416" s="2" t="s">
        <v>28</v>
      </c>
      <c r="S416" s="9">
        <f>VLOOKUP(P416,$T$2:U413,2,1)</f>
        <v>0.05</v>
      </c>
    </row>
    <row r="417" spans="1:19" x14ac:dyDescent="0.25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e">
        <f>VLOOKUP(F417,'Customer Info'!A409:I908,2,0)</f>
        <v>#N/A</v>
      </c>
      <c r="H417" s="6" t="e">
        <f>VLOOKUP(F417,'Customer Info'!A409:I908,3,0)</f>
        <v>#N/A</v>
      </c>
      <c r="I417" s="6" t="e">
        <f>VLOOKUP(F417,'Customer Info'!A409:I908,5,0)</f>
        <v>#N/A</v>
      </c>
      <c r="J417" s="2">
        <v>4846</v>
      </c>
      <c r="K417" s="2">
        <v>4492</v>
      </c>
      <c r="L417" s="2">
        <v>4</v>
      </c>
      <c r="M417" s="7">
        <f t="shared" si="24"/>
        <v>17968</v>
      </c>
      <c r="N417" s="7">
        <f t="shared" si="25"/>
        <v>19384</v>
      </c>
      <c r="O417" s="2">
        <v>94</v>
      </c>
      <c r="P417" s="8">
        <f t="shared" si="26"/>
        <v>19478</v>
      </c>
      <c r="Q417" s="8">
        <f t="shared" si="27"/>
        <v>19290</v>
      </c>
      <c r="R417" s="2" t="s">
        <v>28</v>
      </c>
      <c r="S417" s="9">
        <f>VLOOKUP(P417,$T$2:U414,2,1)</f>
        <v>0.05</v>
      </c>
    </row>
    <row r="418" spans="1:19" x14ac:dyDescent="0.25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e">
        <f>VLOOKUP(F418,'Customer Info'!A410:I909,2,0)</f>
        <v>#N/A</v>
      </c>
      <c r="H418" s="6" t="e">
        <f>VLOOKUP(F418,'Customer Info'!A410:I909,3,0)</f>
        <v>#N/A</v>
      </c>
      <c r="I418" s="6" t="e">
        <f>VLOOKUP(F418,'Customer Info'!A410:I909,5,0)</f>
        <v>#N/A</v>
      </c>
      <c r="J418" s="2">
        <v>2244</v>
      </c>
      <c r="K418" s="2">
        <v>2143</v>
      </c>
      <c r="L418" s="2">
        <v>7</v>
      </c>
      <c r="M418" s="7">
        <f t="shared" si="24"/>
        <v>15001</v>
      </c>
      <c r="N418" s="7">
        <f t="shared" si="25"/>
        <v>15708</v>
      </c>
      <c r="O418" s="2">
        <v>77</v>
      </c>
      <c r="P418" s="8">
        <f t="shared" si="26"/>
        <v>15785</v>
      </c>
      <c r="Q418" s="8">
        <f t="shared" si="27"/>
        <v>15631</v>
      </c>
      <c r="R418" s="2" t="s">
        <v>50</v>
      </c>
      <c r="S418" s="9">
        <f>VLOOKUP(P418,$T$2:U415,2,1)</f>
        <v>0.05</v>
      </c>
    </row>
    <row r="419" spans="1:19" x14ac:dyDescent="0.25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e">
        <f>VLOOKUP(F419,'Customer Info'!A411:I910,2,0)</f>
        <v>#N/A</v>
      </c>
      <c r="H419" s="6" t="e">
        <f>VLOOKUP(F419,'Customer Info'!A411:I910,3,0)</f>
        <v>#N/A</v>
      </c>
      <c r="I419" s="6" t="e">
        <f>VLOOKUP(F419,'Customer Info'!A411:I910,5,0)</f>
        <v>#N/A</v>
      </c>
      <c r="J419" s="2">
        <v>2526</v>
      </c>
      <c r="K419" s="2">
        <v>2408</v>
      </c>
      <c r="L419" s="2">
        <v>2</v>
      </c>
      <c r="M419" s="7">
        <f t="shared" si="24"/>
        <v>4816</v>
      </c>
      <c r="N419" s="7">
        <f t="shared" si="25"/>
        <v>5052</v>
      </c>
      <c r="O419" s="2">
        <v>84</v>
      </c>
      <c r="P419" s="8">
        <f t="shared" si="26"/>
        <v>5136</v>
      </c>
      <c r="Q419" s="8">
        <f t="shared" si="27"/>
        <v>4968</v>
      </c>
      <c r="R419" s="2" t="s">
        <v>50</v>
      </c>
      <c r="S419" s="9">
        <f>VLOOKUP(P419,$T$2:U416,2,1)</f>
        <v>0.05</v>
      </c>
    </row>
    <row r="420" spans="1:19" x14ac:dyDescent="0.25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e">
        <f>VLOOKUP(F420,'Customer Info'!A412:I911,2,0)</f>
        <v>#N/A</v>
      </c>
      <c r="H420" s="6" t="e">
        <f>VLOOKUP(F420,'Customer Info'!A412:I911,3,0)</f>
        <v>#N/A</v>
      </c>
      <c r="I420" s="6" t="e">
        <f>VLOOKUP(F420,'Customer Info'!A412:I911,5,0)</f>
        <v>#N/A</v>
      </c>
      <c r="J420" s="2">
        <v>932</v>
      </c>
      <c r="K420" s="2">
        <v>838</v>
      </c>
      <c r="L420" s="2">
        <v>1</v>
      </c>
      <c r="M420" s="7">
        <f t="shared" si="24"/>
        <v>838</v>
      </c>
      <c r="N420" s="7">
        <f t="shared" si="25"/>
        <v>932</v>
      </c>
      <c r="O420" s="2">
        <v>87</v>
      </c>
      <c r="P420" s="8">
        <f t="shared" si="26"/>
        <v>1019</v>
      </c>
      <c r="Q420" s="8">
        <f t="shared" si="27"/>
        <v>845</v>
      </c>
      <c r="R420" s="2" t="s">
        <v>28</v>
      </c>
      <c r="S420" s="9">
        <f>VLOOKUP(P420,$T$2:U417,2,1)</f>
        <v>0.02</v>
      </c>
    </row>
    <row r="421" spans="1:19" x14ac:dyDescent="0.25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VLOOKUP(F421,'Customer Info'!A413:I912,2,0)</f>
        <v>Toby</v>
      </c>
      <c r="H421" s="6" t="str">
        <f>VLOOKUP(F421,'Customer Info'!A413:I912,3,0)</f>
        <v>Gnade</v>
      </c>
      <c r="I421" s="6" t="str">
        <f>VLOOKUP(F421,'Customer Info'!A413:I912,5,0)</f>
        <v>Wagga Wagga</v>
      </c>
      <c r="J421" s="2">
        <v>1113</v>
      </c>
      <c r="K421" s="2">
        <v>1040</v>
      </c>
      <c r="L421" s="2">
        <v>1</v>
      </c>
      <c r="M421" s="7">
        <f t="shared" si="24"/>
        <v>1040</v>
      </c>
      <c r="N421" s="7">
        <f t="shared" si="25"/>
        <v>1113</v>
      </c>
      <c r="O421" s="2">
        <v>89</v>
      </c>
      <c r="P421" s="8">
        <f t="shared" si="26"/>
        <v>1202</v>
      </c>
      <c r="Q421" s="8">
        <f t="shared" si="27"/>
        <v>1024</v>
      </c>
      <c r="R421" s="2" t="s">
        <v>50</v>
      </c>
      <c r="S421" s="9">
        <f>VLOOKUP(P421,$T$2:U418,2,1)</f>
        <v>0.02</v>
      </c>
    </row>
    <row r="422" spans="1:19" x14ac:dyDescent="0.25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VLOOKUP(F422,'Customer Info'!A414:I913,2,0)</f>
        <v>Vivek</v>
      </c>
      <c r="H422" s="6" t="str">
        <f>VLOOKUP(F422,'Customer Info'!A414:I913,3,0)</f>
        <v>Sundaresam</v>
      </c>
      <c r="I422" s="6" t="str">
        <f>VLOOKUP(F422,'Customer Info'!A414:I913,5,0)</f>
        <v>Hamburg</v>
      </c>
      <c r="J422" s="2">
        <v>141</v>
      </c>
      <c r="K422" s="2">
        <v>131</v>
      </c>
      <c r="L422" s="2">
        <v>13</v>
      </c>
      <c r="M422" s="7">
        <f t="shared" si="24"/>
        <v>1703</v>
      </c>
      <c r="N422" s="7">
        <f t="shared" si="25"/>
        <v>1833</v>
      </c>
      <c r="O422" s="2">
        <v>30</v>
      </c>
      <c r="P422" s="8">
        <f t="shared" si="26"/>
        <v>1863</v>
      </c>
      <c r="Q422" s="8">
        <f t="shared" si="27"/>
        <v>1803</v>
      </c>
      <c r="R422" s="2" t="s">
        <v>28</v>
      </c>
      <c r="S422" s="9">
        <f>VLOOKUP(P422,$T$2:U419,2,1)</f>
        <v>0.02</v>
      </c>
    </row>
    <row r="423" spans="1:19" x14ac:dyDescent="0.25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e">
        <f>VLOOKUP(F423,'Customer Info'!A415:I914,2,0)</f>
        <v>#N/A</v>
      </c>
      <c r="H423" s="6" t="e">
        <f>VLOOKUP(F423,'Customer Info'!A415:I914,3,0)</f>
        <v>#N/A</v>
      </c>
      <c r="I423" s="6" t="e">
        <f>VLOOKUP(F423,'Customer Info'!A415:I914,5,0)</f>
        <v>#N/A</v>
      </c>
      <c r="J423" s="2">
        <v>835</v>
      </c>
      <c r="K423" s="2">
        <v>796</v>
      </c>
      <c r="L423" s="2">
        <v>2</v>
      </c>
      <c r="M423" s="7">
        <f t="shared" si="24"/>
        <v>1592</v>
      </c>
      <c r="N423" s="7">
        <f t="shared" si="25"/>
        <v>1670</v>
      </c>
      <c r="O423" s="2">
        <v>96</v>
      </c>
      <c r="P423" s="8">
        <f t="shared" si="26"/>
        <v>1766</v>
      </c>
      <c r="Q423" s="8">
        <f t="shared" si="27"/>
        <v>1574</v>
      </c>
      <c r="R423" s="2" t="s">
        <v>28</v>
      </c>
      <c r="S423" s="9">
        <f>VLOOKUP(P423,$T$2:U420,2,1)</f>
        <v>0.02</v>
      </c>
    </row>
    <row r="424" spans="1:19" x14ac:dyDescent="0.25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VLOOKUP(F424,'Customer Info'!A416:I915,2,0)</f>
        <v>Valerie</v>
      </c>
      <c r="H424" s="6" t="str">
        <f>VLOOKUP(F424,'Customer Info'!A416:I915,3,0)</f>
        <v>Takahito</v>
      </c>
      <c r="I424" s="6" t="str">
        <f>VLOOKUP(F424,'Customer Info'!A416:I915,5,0)</f>
        <v>Surat</v>
      </c>
      <c r="J424" s="2">
        <v>2706</v>
      </c>
      <c r="K424" s="2">
        <v>2553</v>
      </c>
      <c r="L424" s="2">
        <v>3</v>
      </c>
      <c r="M424" s="7">
        <f t="shared" si="24"/>
        <v>7659</v>
      </c>
      <c r="N424" s="7">
        <f t="shared" si="25"/>
        <v>8118</v>
      </c>
      <c r="O424" s="2">
        <v>79</v>
      </c>
      <c r="P424" s="8">
        <f t="shared" si="26"/>
        <v>8197</v>
      </c>
      <c r="Q424" s="8">
        <f t="shared" si="27"/>
        <v>8039</v>
      </c>
      <c r="R424" s="2" t="s">
        <v>26</v>
      </c>
      <c r="S424" s="9">
        <f>VLOOKUP(P424,$T$2:U421,2,1)</f>
        <v>0.05</v>
      </c>
    </row>
    <row r="425" spans="1:19" x14ac:dyDescent="0.25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e">
        <f>VLOOKUP(F425,'Customer Info'!A417:I916,2,0)</f>
        <v>#N/A</v>
      </c>
      <c r="H425" s="6" t="e">
        <f>VLOOKUP(F425,'Customer Info'!A417:I916,3,0)</f>
        <v>#N/A</v>
      </c>
      <c r="I425" s="6" t="e">
        <f>VLOOKUP(F425,'Customer Info'!A417:I916,5,0)</f>
        <v>#N/A</v>
      </c>
      <c r="J425" s="2">
        <v>1246</v>
      </c>
      <c r="K425" s="2">
        <v>1164</v>
      </c>
      <c r="L425" s="2">
        <v>2</v>
      </c>
      <c r="M425" s="7">
        <f t="shared" si="24"/>
        <v>2328</v>
      </c>
      <c r="N425" s="7">
        <f t="shared" si="25"/>
        <v>2492</v>
      </c>
      <c r="O425" s="2">
        <v>22</v>
      </c>
      <c r="P425" s="8">
        <f t="shared" si="26"/>
        <v>2514</v>
      </c>
      <c r="Q425" s="8">
        <f t="shared" si="27"/>
        <v>2470</v>
      </c>
      <c r="R425" s="2" t="s">
        <v>28</v>
      </c>
      <c r="S425" s="9">
        <f>VLOOKUP(P425,$T$2:U422,2,1)</f>
        <v>0.02</v>
      </c>
    </row>
    <row r="426" spans="1:19" x14ac:dyDescent="0.25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VLOOKUP(F426,'Customer Info'!A418:I917,2,0)</f>
        <v>Yana</v>
      </c>
      <c r="H426" s="6" t="str">
        <f>VLOOKUP(F426,'Customer Info'!A418:I917,3,0)</f>
        <v>Sorensen</v>
      </c>
      <c r="I426" s="6" t="str">
        <f>VLOOKUP(F426,'Customer Info'!A418:I917,5,0)</f>
        <v>Hangzhou</v>
      </c>
      <c r="J426" s="2">
        <v>4246</v>
      </c>
      <c r="K426" s="2">
        <v>3857</v>
      </c>
      <c r="L426" s="2">
        <v>4</v>
      </c>
      <c r="M426" s="7">
        <f t="shared" si="24"/>
        <v>15428</v>
      </c>
      <c r="N426" s="7">
        <f t="shared" si="25"/>
        <v>16984</v>
      </c>
      <c r="O426" s="2">
        <v>77</v>
      </c>
      <c r="P426" s="8">
        <f t="shared" si="26"/>
        <v>17061</v>
      </c>
      <c r="Q426" s="8">
        <f t="shared" si="27"/>
        <v>16907</v>
      </c>
      <c r="R426" s="2" t="s">
        <v>28</v>
      </c>
      <c r="S426" s="9">
        <f>VLOOKUP(P426,$T$2:U423,2,1)</f>
        <v>0.05</v>
      </c>
    </row>
    <row r="427" spans="1:19" x14ac:dyDescent="0.25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e">
        <f>VLOOKUP(F427,'Customer Info'!A419:I918,2,0)</f>
        <v>#N/A</v>
      </c>
      <c r="H427" s="6" t="e">
        <f>VLOOKUP(F427,'Customer Info'!A419:I918,3,0)</f>
        <v>#N/A</v>
      </c>
      <c r="I427" s="6" t="e">
        <f>VLOOKUP(F427,'Customer Info'!A419:I918,5,0)</f>
        <v>#N/A</v>
      </c>
      <c r="J427" s="2">
        <v>8869</v>
      </c>
      <c r="K427" s="2">
        <v>7906</v>
      </c>
      <c r="L427" s="2">
        <v>5</v>
      </c>
      <c r="M427" s="7">
        <f t="shared" si="24"/>
        <v>39530</v>
      </c>
      <c r="N427" s="7">
        <f t="shared" si="25"/>
        <v>44345</v>
      </c>
      <c r="O427" s="2">
        <v>88</v>
      </c>
      <c r="P427" s="8">
        <f t="shared" si="26"/>
        <v>44433</v>
      </c>
      <c r="Q427" s="8">
        <f t="shared" si="27"/>
        <v>44257</v>
      </c>
      <c r="R427" s="2" t="s">
        <v>28</v>
      </c>
      <c r="S427" s="9">
        <f>VLOOKUP(P427,$T$2:U424,2,1)</f>
        <v>7.0000000000000007E-2</v>
      </c>
    </row>
    <row r="428" spans="1:19" x14ac:dyDescent="0.25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e">
        <f>VLOOKUP(F428,'Customer Info'!A420:I919,2,0)</f>
        <v>#N/A</v>
      </c>
      <c r="H428" s="6" t="e">
        <f>VLOOKUP(F428,'Customer Info'!A420:I919,3,0)</f>
        <v>#N/A</v>
      </c>
      <c r="I428" s="6" t="e">
        <f>VLOOKUP(F428,'Customer Info'!A420:I919,5,0)</f>
        <v>#N/A</v>
      </c>
      <c r="J428" s="2">
        <v>1925</v>
      </c>
      <c r="K428" s="2">
        <v>1834</v>
      </c>
      <c r="L428" s="2">
        <v>5</v>
      </c>
      <c r="M428" s="7">
        <f t="shared" si="24"/>
        <v>9170</v>
      </c>
      <c r="N428" s="7">
        <f t="shared" si="25"/>
        <v>9625</v>
      </c>
      <c r="O428" s="2">
        <v>30</v>
      </c>
      <c r="P428" s="8">
        <f t="shared" si="26"/>
        <v>9655</v>
      </c>
      <c r="Q428" s="8">
        <f t="shared" si="27"/>
        <v>9595</v>
      </c>
      <c r="R428" s="2" t="s">
        <v>28</v>
      </c>
      <c r="S428" s="9">
        <f>VLOOKUP(P428,$T$2:U425,2,1)</f>
        <v>0.05</v>
      </c>
    </row>
    <row r="429" spans="1:19" x14ac:dyDescent="0.25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e">
        <f>VLOOKUP(F429,'Customer Info'!A421:I920,2,0)</f>
        <v>#N/A</v>
      </c>
      <c r="H429" s="6" t="e">
        <f>VLOOKUP(F429,'Customer Info'!A421:I920,3,0)</f>
        <v>#N/A</v>
      </c>
      <c r="I429" s="6" t="e">
        <f>VLOOKUP(F429,'Customer Info'!A421:I920,5,0)</f>
        <v>#N/A</v>
      </c>
      <c r="J429" s="2">
        <v>1587</v>
      </c>
      <c r="K429" s="2">
        <v>1428</v>
      </c>
      <c r="L429" s="2">
        <v>2</v>
      </c>
      <c r="M429" s="7">
        <f t="shared" si="24"/>
        <v>2856</v>
      </c>
      <c r="N429" s="7">
        <f t="shared" si="25"/>
        <v>3174</v>
      </c>
      <c r="O429" s="2">
        <v>93</v>
      </c>
      <c r="P429" s="8">
        <f t="shared" si="26"/>
        <v>3267</v>
      </c>
      <c r="Q429" s="8">
        <f t="shared" si="27"/>
        <v>3081</v>
      </c>
      <c r="R429" s="2" t="s">
        <v>28</v>
      </c>
      <c r="S429" s="9">
        <f>VLOOKUP(P429,$T$2:U426,2,1)</f>
        <v>0.02</v>
      </c>
    </row>
    <row r="430" spans="1:19" x14ac:dyDescent="0.25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e">
        <f>VLOOKUP(F430,'Customer Info'!A422:I921,2,0)</f>
        <v>#N/A</v>
      </c>
      <c r="H430" s="6" t="e">
        <f>VLOOKUP(F430,'Customer Info'!A422:I921,3,0)</f>
        <v>#N/A</v>
      </c>
      <c r="I430" s="6" t="e">
        <f>VLOOKUP(F430,'Customer Info'!A422:I921,5,0)</f>
        <v>#N/A</v>
      </c>
      <c r="J430" s="2">
        <v>4846</v>
      </c>
      <c r="K430" s="2">
        <v>4492</v>
      </c>
      <c r="L430" s="2">
        <v>2</v>
      </c>
      <c r="M430" s="7">
        <f t="shared" si="24"/>
        <v>8984</v>
      </c>
      <c r="N430" s="7">
        <f t="shared" si="25"/>
        <v>9692</v>
      </c>
      <c r="O430" s="2">
        <v>93</v>
      </c>
      <c r="P430" s="8">
        <f t="shared" si="26"/>
        <v>9785</v>
      </c>
      <c r="Q430" s="8">
        <f t="shared" si="27"/>
        <v>9599</v>
      </c>
      <c r="R430" s="2" t="s">
        <v>26</v>
      </c>
      <c r="S430" s="9">
        <f>VLOOKUP(P430,$T$2:U427,2,1)</f>
        <v>0.05</v>
      </c>
    </row>
    <row r="431" spans="1:19" x14ac:dyDescent="0.25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e">
        <f>VLOOKUP(F431,'Customer Info'!A423:I922,2,0)</f>
        <v>#N/A</v>
      </c>
      <c r="H431" s="6" t="e">
        <f>VLOOKUP(F431,'Customer Info'!A423:I922,3,0)</f>
        <v>#N/A</v>
      </c>
      <c r="I431" s="6" t="e">
        <f>VLOOKUP(F431,'Customer Info'!A423:I922,5,0)</f>
        <v>#N/A</v>
      </c>
      <c r="J431" s="2">
        <v>3256</v>
      </c>
      <c r="K431" s="2">
        <v>3044</v>
      </c>
      <c r="L431" s="2">
        <v>4</v>
      </c>
      <c r="M431" s="7">
        <f t="shared" si="24"/>
        <v>12176</v>
      </c>
      <c r="N431" s="7">
        <f t="shared" si="25"/>
        <v>13024</v>
      </c>
      <c r="O431" s="2">
        <v>77</v>
      </c>
      <c r="P431" s="8">
        <f t="shared" si="26"/>
        <v>13101</v>
      </c>
      <c r="Q431" s="8">
        <f t="shared" si="27"/>
        <v>12947</v>
      </c>
      <c r="R431" s="2" t="s">
        <v>26</v>
      </c>
      <c r="S431" s="9">
        <f>VLOOKUP(P431,$T$2:U428,2,1)</f>
        <v>0.05</v>
      </c>
    </row>
    <row r="432" spans="1:19" x14ac:dyDescent="0.25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e">
        <f>VLOOKUP(F432,'Customer Info'!A424:I923,2,0)</f>
        <v>#N/A</v>
      </c>
      <c r="H432" s="6" t="e">
        <f>VLOOKUP(F432,'Customer Info'!A424:I923,3,0)</f>
        <v>#N/A</v>
      </c>
      <c r="I432" s="6" t="e">
        <f>VLOOKUP(F432,'Customer Info'!A424:I923,5,0)</f>
        <v>#N/A</v>
      </c>
      <c r="J432" s="2">
        <v>175</v>
      </c>
      <c r="K432" s="2">
        <v>158</v>
      </c>
      <c r="L432" s="2">
        <v>6</v>
      </c>
      <c r="M432" s="7">
        <f t="shared" si="24"/>
        <v>948</v>
      </c>
      <c r="N432" s="7">
        <f t="shared" si="25"/>
        <v>1050</v>
      </c>
      <c r="O432" s="2">
        <v>30</v>
      </c>
      <c r="P432" s="8">
        <f t="shared" si="26"/>
        <v>1080</v>
      </c>
      <c r="Q432" s="8">
        <f t="shared" si="27"/>
        <v>1020</v>
      </c>
      <c r="R432" s="2" t="s">
        <v>50</v>
      </c>
      <c r="S432" s="9">
        <f>VLOOKUP(P432,$T$2:U429,2,1)</f>
        <v>0.02</v>
      </c>
    </row>
    <row r="433" spans="1:19" x14ac:dyDescent="0.25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e">
        <f>VLOOKUP(F433,'Customer Info'!A425:I924,2,0)</f>
        <v>#N/A</v>
      </c>
      <c r="H433" s="6" t="e">
        <f>VLOOKUP(F433,'Customer Info'!A425:I924,3,0)</f>
        <v>#N/A</v>
      </c>
      <c r="I433" s="6" t="e">
        <f>VLOOKUP(F433,'Customer Info'!A425:I924,5,0)</f>
        <v>#N/A</v>
      </c>
      <c r="J433" s="2">
        <v>1222</v>
      </c>
      <c r="K433" s="2">
        <v>1187</v>
      </c>
      <c r="L433" s="2">
        <v>4</v>
      </c>
      <c r="M433" s="7">
        <f t="shared" si="24"/>
        <v>4748</v>
      </c>
      <c r="N433" s="7">
        <f t="shared" si="25"/>
        <v>4888</v>
      </c>
      <c r="O433" s="2">
        <v>54</v>
      </c>
      <c r="P433" s="8">
        <f t="shared" si="26"/>
        <v>4942</v>
      </c>
      <c r="Q433" s="8">
        <f t="shared" si="27"/>
        <v>4834</v>
      </c>
      <c r="R433" s="2" t="s">
        <v>28</v>
      </c>
      <c r="S433" s="9">
        <f>VLOOKUP(P433,$T$2:U430,2,1)</f>
        <v>0.02</v>
      </c>
    </row>
    <row r="434" spans="1:19" x14ac:dyDescent="0.25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e">
        <f>VLOOKUP(F434,'Customer Info'!A426:I925,2,0)</f>
        <v>#N/A</v>
      </c>
      <c r="H434" s="6" t="e">
        <f>VLOOKUP(F434,'Customer Info'!A426:I925,3,0)</f>
        <v>#N/A</v>
      </c>
      <c r="I434" s="6" t="e">
        <f>VLOOKUP(F434,'Customer Info'!A426:I925,5,0)</f>
        <v>#N/A</v>
      </c>
      <c r="J434" s="2">
        <v>1587</v>
      </c>
      <c r="K434" s="2">
        <v>1428</v>
      </c>
      <c r="L434" s="2">
        <v>3</v>
      </c>
      <c r="M434" s="7">
        <f t="shared" si="24"/>
        <v>4284</v>
      </c>
      <c r="N434" s="7">
        <f t="shared" si="25"/>
        <v>4761</v>
      </c>
      <c r="O434" s="2">
        <v>29</v>
      </c>
      <c r="P434" s="8">
        <f t="shared" si="26"/>
        <v>4790</v>
      </c>
      <c r="Q434" s="8">
        <f t="shared" si="27"/>
        <v>4732</v>
      </c>
      <c r="R434" s="2" t="s">
        <v>28</v>
      </c>
      <c r="S434" s="9">
        <f>VLOOKUP(P434,$T$2:U431,2,1)</f>
        <v>0.02</v>
      </c>
    </row>
    <row r="435" spans="1:19" x14ac:dyDescent="0.25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e">
        <f>VLOOKUP(F435,'Customer Info'!A427:I926,2,0)</f>
        <v>#N/A</v>
      </c>
      <c r="H435" s="6" t="e">
        <f>VLOOKUP(F435,'Customer Info'!A427:I926,3,0)</f>
        <v>#N/A</v>
      </c>
      <c r="I435" s="6" t="e">
        <f>VLOOKUP(F435,'Customer Info'!A427:I926,5,0)</f>
        <v>#N/A</v>
      </c>
      <c r="J435" s="2">
        <v>141</v>
      </c>
      <c r="K435" s="2">
        <v>131</v>
      </c>
      <c r="L435" s="2">
        <v>3</v>
      </c>
      <c r="M435" s="7">
        <f t="shared" si="24"/>
        <v>393</v>
      </c>
      <c r="N435" s="7">
        <f t="shared" si="25"/>
        <v>423</v>
      </c>
      <c r="O435" s="2">
        <v>30</v>
      </c>
      <c r="P435" s="8">
        <f t="shared" si="26"/>
        <v>453</v>
      </c>
      <c r="Q435" s="8">
        <f t="shared" si="27"/>
        <v>393</v>
      </c>
      <c r="R435" s="2" t="s">
        <v>28</v>
      </c>
      <c r="S435" s="9">
        <f>VLOOKUP(P435,$T$2:U432,2,1)</f>
        <v>0.02</v>
      </c>
    </row>
    <row r="436" spans="1:19" x14ac:dyDescent="0.25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e">
        <f>VLOOKUP(F436,'Customer Info'!A428:I927,2,0)</f>
        <v>#N/A</v>
      </c>
      <c r="H436" s="6" t="e">
        <f>VLOOKUP(F436,'Customer Info'!A428:I927,3,0)</f>
        <v>#N/A</v>
      </c>
      <c r="I436" s="6" t="e">
        <f>VLOOKUP(F436,'Customer Info'!A428:I927,5,0)</f>
        <v>#N/A</v>
      </c>
      <c r="J436" s="2">
        <v>1651</v>
      </c>
      <c r="K436" s="2">
        <v>1604</v>
      </c>
      <c r="L436" s="2">
        <v>2</v>
      </c>
      <c r="M436" s="7">
        <f t="shared" si="24"/>
        <v>3208</v>
      </c>
      <c r="N436" s="7">
        <f t="shared" si="25"/>
        <v>3302</v>
      </c>
      <c r="O436" s="2">
        <v>30</v>
      </c>
      <c r="P436" s="8">
        <f t="shared" si="26"/>
        <v>3332</v>
      </c>
      <c r="Q436" s="8">
        <f t="shared" si="27"/>
        <v>3272</v>
      </c>
      <c r="R436" s="2" t="s">
        <v>28</v>
      </c>
      <c r="S436" s="9">
        <f>VLOOKUP(P436,$T$2:U433,2,1)</f>
        <v>0.02</v>
      </c>
    </row>
    <row r="437" spans="1:19" x14ac:dyDescent="0.25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e">
        <f>VLOOKUP(F437,'Customer Info'!A429:I928,2,0)</f>
        <v>#N/A</v>
      </c>
      <c r="H437" s="6" t="e">
        <f>VLOOKUP(F437,'Customer Info'!A429:I928,3,0)</f>
        <v>#N/A</v>
      </c>
      <c r="I437" s="6" t="e">
        <f>VLOOKUP(F437,'Customer Info'!A429:I928,5,0)</f>
        <v>#N/A</v>
      </c>
      <c r="J437" s="2">
        <v>136</v>
      </c>
      <c r="K437" s="2">
        <v>130</v>
      </c>
      <c r="L437" s="2">
        <v>8</v>
      </c>
      <c r="M437" s="7">
        <f t="shared" si="24"/>
        <v>1040</v>
      </c>
      <c r="N437" s="7">
        <f t="shared" si="25"/>
        <v>1088</v>
      </c>
      <c r="O437" s="2">
        <v>30</v>
      </c>
      <c r="P437" s="8">
        <f t="shared" si="26"/>
        <v>1118</v>
      </c>
      <c r="Q437" s="8">
        <f t="shared" si="27"/>
        <v>1058</v>
      </c>
      <c r="R437" s="2" t="s">
        <v>50</v>
      </c>
      <c r="S437" s="9">
        <f>VLOOKUP(P437,$T$2:U434,2,1)</f>
        <v>0.02</v>
      </c>
    </row>
    <row r="438" spans="1:19" x14ac:dyDescent="0.25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e">
        <f>VLOOKUP(F438,'Customer Info'!A430:I929,2,0)</f>
        <v>#N/A</v>
      </c>
      <c r="H438" s="6" t="e">
        <f>VLOOKUP(F438,'Customer Info'!A430:I929,3,0)</f>
        <v>#N/A</v>
      </c>
      <c r="I438" s="6" t="e">
        <f>VLOOKUP(F438,'Customer Info'!A430:I929,5,0)</f>
        <v>#N/A</v>
      </c>
      <c r="J438" s="2">
        <v>2242</v>
      </c>
      <c r="K438" s="2">
        <v>2075</v>
      </c>
      <c r="L438" s="2">
        <v>3</v>
      </c>
      <c r="M438" s="7">
        <f t="shared" si="24"/>
        <v>6225</v>
      </c>
      <c r="N438" s="7">
        <f t="shared" si="25"/>
        <v>6726</v>
      </c>
      <c r="O438" s="2">
        <v>60</v>
      </c>
      <c r="P438" s="8">
        <f t="shared" si="26"/>
        <v>6786</v>
      </c>
      <c r="Q438" s="8">
        <f t="shared" si="27"/>
        <v>6666</v>
      </c>
      <c r="R438" s="2" t="s">
        <v>28</v>
      </c>
      <c r="S438" s="9">
        <f>VLOOKUP(P438,$T$2:U435,2,1)</f>
        <v>0.05</v>
      </c>
    </row>
    <row r="439" spans="1:19" x14ac:dyDescent="0.25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e">
        <f>VLOOKUP(F439,'Customer Info'!A431:I930,2,0)</f>
        <v>#N/A</v>
      </c>
      <c r="H439" s="6" t="e">
        <f>VLOOKUP(F439,'Customer Info'!A431:I930,3,0)</f>
        <v>#N/A</v>
      </c>
      <c r="I439" s="6" t="e">
        <f>VLOOKUP(F439,'Customer Info'!A431:I930,5,0)</f>
        <v>#N/A</v>
      </c>
      <c r="J439" s="2">
        <v>4714</v>
      </c>
      <c r="K439" s="2">
        <v>4323</v>
      </c>
      <c r="L439" s="2">
        <v>8</v>
      </c>
      <c r="M439" s="7">
        <f t="shared" si="24"/>
        <v>34584</v>
      </c>
      <c r="N439" s="7">
        <f t="shared" si="25"/>
        <v>37712</v>
      </c>
      <c r="O439" s="2">
        <v>75</v>
      </c>
      <c r="P439" s="8">
        <f t="shared" si="26"/>
        <v>37787</v>
      </c>
      <c r="Q439" s="8">
        <f t="shared" si="27"/>
        <v>37637</v>
      </c>
      <c r="R439" s="2" t="s">
        <v>28</v>
      </c>
      <c r="S439" s="9">
        <f>VLOOKUP(P439,$T$2:U436,2,1)</f>
        <v>7.0000000000000007E-2</v>
      </c>
    </row>
    <row r="440" spans="1:19" x14ac:dyDescent="0.25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e">
        <f>VLOOKUP(F440,'Customer Info'!A432:I931,2,0)</f>
        <v>#N/A</v>
      </c>
      <c r="H440" s="6" t="e">
        <f>VLOOKUP(F440,'Customer Info'!A432:I931,3,0)</f>
        <v>#N/A</v>
      </c>
      <c r="I440" s="6" t="e">
        <f>VLOOKUP(F440,'Customer Info'!A432:I931,5,0)</f>
        <v>#N/A</v>
      </c>
      <c r="J440" s="2">
        <v>7658</v>
      </c>
      <c r="K440" s="2">
        <v>7026</v>
      </c>
      <c r="L440" s="2">
        <v>4</v>
      </c>
      <c r="M440" s="7">
        <f t="shared" si="24"/>
        <v>28104</v>
      </c>
      <c r="N440" s="7">
        <f t="shared" si="25"/>
        <v>30632</v>
      </c>
      <c r="O440" s="2">
        <v>56</v>
      </c>
      <c r="P440" s="8">
        <f t="shared" si="26"/>
        <v>30688</v>
      </c>
      <c r="Q440" s="8">
        <f t="shared" si="27"/>
        <v>30576</v>
      </c>
      <c r="R440" s="2" t="s">
        <v>50</v>
      </c>
      <c r="S440" s="9">
        <f>VLOOKUP(P440,$T$2:U437,2,1)</f>
        <v>7.0000000000000007E-2</v>
      </c>
    </row>
    <row r="441" spans="1:19" x14ac:dyDescent="0.25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e">
        <f>VLOOKUP(F441,'Customer Info'!A433:I932,2,0)</f>
        <v>#N/A</v>
      </c>
      <c r="H441" s="6" t="e">
        <f>VLOOKUP(F441,'Customer Info'!A433:I932,3,0)</f>
        <v>#N/A</v>
      </c>
      <c r="I441" s="6" t="e">
        <f>VLOOKUP(F441,'Customer Info'!A433:I932,5,0)</f>
        <v>#N/A</v>
      </c>
      <c r="J441" s="2">
        <v>2778</v>
      </c>
      <c r="K441" s="2">
        <v>2573</v>
      </c>
      <c r="L441" s="2">
        <v>2</v>
      </c>
      <c r="M441" s="7">
        <f t="shared" si="24"/>
        <v>5146</v>
      </c>
      <c r="N441" s="7">
        <f t="shared" si="25"/>
        <v>5556</v>
      </c>
      <c r="O441" s="2">
        <v>36</v>
      </c>
      <c r="P441" s="8">
        <f t="shared" si="26"/>
        <v>5592</v>
      </c>
      <c r="Q441" s="8">
        <f t="shared" si="27"/>
        <v>5520</v>
      </c>
      <c r="R441" s="2" t="s">
        <v>28</v>
      </c>
      <c r="S441" s="9">
        <f>VLOOKUP(P441,$T$2:U438,2,1)</f>
        <v>0.05</v>
      </c>
    </row>
    <row r="442" spans="1:19" x14ac:dyDescent="0.25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e">
        <f>VLOOKUP(F442,'Customer Info'!A434:I933,2,0)</f>
        <v>#N/A</v>
      </c>
      <c r="H442" s="6" t="e">
        <f>VLOOKUP(F442,'Customer Info'!A434:I933,3,0)</f>
        <v>#N/A</v>
      </c>
      <c r="I442" s="6" t="e">
        <f>VLOOKUP(F442,'Customer Info'!A434:I933,5,0)</f>
        <v>#N/A</v>
      </c>
      <c r="J442" s="2">
        <v>3192</v>
      </c>
      <c r="K442" s="2">
        <v>3011</v>
      </c>
      <c r="L442" s="2">
        <v>5</v>
      </c>
      <c r="M442" s="7">
        <f t="shared" si="24"/>
        <v>15055</v>
      </c>
      <c r="N442" s="7">
        <f t="shared" si="25"/>
        <v>15960</v>
      </c>
      <c r="O442" s="2">
        <v>58</v>
      </c>
      <c r="P442" s="8">
        <f t="shared" si="26"/>
        <v>16018</v>
      </c>
      <c r="Q442" s="8">
        <f t="shared" si="27"/>
        <v>15902</v>
      </c>
      <c r="R442" s="2" t="s">
        <v>28</v>
      </c>
      <c r="S442" s="9">
        <f>VLOOKUP(P442,$T$2:U439,2,1)</f>
        <v>0.05</v>
      </c>
    </row>
    <row r="443" spans="1:19" x14ac:dyDescent="0.25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e">
        <f>VLOOKUP(F443,'Customer Info'!A435:I934,2,0)</f>
        <v>#N/A</v>
      </c>
      <c r="H443" s="6" t="e">
        <f>VLOOKUP(F443,'Customer Info'!A435:I934,3,0)</f>
        <v>#N/A</v>
      </c>
      <c r="I443" s="6" t="e">
        <f>VLOOKUP(F443,'Customer Info'!A435:I934,5,0)</f>
        <v>#N/A</v>
      </c>
      <c r="J443" s="2">
        <v>3224</v>
      </c>
      <c r="K443" s="2">
        <v>2984</v>
      </c>
      <c r="L443" s="2">
        <v>3</v>
      </c>
      <c r="M443" s="7">
        <f t="shared" si="24"/>
        <v>8952</v>
      </c>
      <c r="N443" s="7">
        <f t="shared" si="25"/>
        <v>9672</v>
      </c>
      <c r="O443" s="2">
        <v>39</v>
      </c>
      <c r="P443" s="8">
        <f t="shared" si="26"/>
        <v>9711</v>
      </c>
      <c r="Q443" s="8">
        <f t="shared" si="27"/>
        <v>9633</v>
      </c>
      <c r="R443" s="2" t="s">
        <v>28</v>
      </c>
      <c r="S443" s="9">
        <f>VLOOKUP(P443,$T$2:U440,2,1)</f>
        <v>0.05</v>
      </c>
    </row>
    <row r="444" spans="1:19" x14ac:dyDescent="0.25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e">
        <f>VLOOKUP(F444,'Customer Info'!A436:I935,2,0)</f>
        <v>#N/A</v>
      </c>
      <c r="H444" s="6" t="e">
        <f>VLOOKUP(F444,'Customer Info'!A436:I935,3,0)</f>
        <v>#N/A</v>
      </c>
      <c r="I444" s="6" t="e">
        <f>VLOOKUP(F444,'Customer Info'!A436:I935,5,0)</f>
        <v>#N/A</v>
      </c>
      <c r="J444" s="2">
        <v>1635</v>
      </c>
      <c r="K444" s="2">
        <v>1573</v>
      </c>
      <c r="L444" s="2">
        <v>2</v>
      </c>
      <c r="M444" s="7">
        <f t="shared" si="24"/>
        <v>3146</v>
      </c>
      <c r="N444" s="7">
        <f t="shared" si="25"/>
        <v>3270</v>
      </c>
      <c r="O444" s="2">
        <v>93</v>
      </c>
      <c r="P444" s="8">
        <f t="shared" si="26"/>
        <v>3363</v>
      </c>
      <c r="Q444" s="8">
        <f t="shared" si="27"/>
        <v>3177</v>
      </c>
      <c r="R444" s="2" t="s">
        <v>50</v>
      </c>
      <c r="S444" s="9">
        <f>VLOOKUP(P444,$T$2:U441,2,1)</f>
        <v>0.02</v>
      </c>
    </row>
    <row r="445" spans="1:19" x14ac:dyDescent="0.25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VLOOKUP(F445,'Customer Info'!A437:I936,2,0)</f>
        <v>Troy</v>
      </c>
      <c r="H445" s="6" t="str">
        <f>VLOOKUP(F445,'Customer Info'!A437:I936,3,0)</f>
        <v>Staebel</v>
      </c>
      <c r="I445" s="6" t="str">
        <f>VLOOKUP(F445,'Customer Info'!A437:I936,5,0)</f>
        <v>Canberra</v>
      </c>
      <c r="J445" s="2">
        <v>393</v>
      </c>
      <c r="K445" s="2">
        <v>374</v>
      </c>
      <c r="L445" s="2">
        <v>4</v>
      </c>
      <c r="M445" s="7">
        <f t="shared" si="24"/>
        <v>1496</v>
      </c>
      <c r="N445" s="7">
        <f t="shared" si="25"/>
        <v>1572</v>
      </c>
      <c r="O445" s="2">
        <v>65</v>
      </c>
      <c r="P445" s="8">
        <f t="shared" si="26"/>
        <v>1637</v>
      </c>
      <c r="Q445" s="8">
        <f t="shared" si="27"/>
        <v>1507</v>
      </c>
      <c r="R445" s="2" t="s">
        <v>26</v>
      </c>
      <c r="S445" s="9">
        <f>VLOOKUP(P445,$T$2:U442,2,1)</f>
        <v>0.02</v>
      </c>
    </row>
    <row r="446" spans="1:19" x14ac:dyDescent="0.25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e">
        <f>VLOOKUP(F446,'Customer Info'!A438:I937,2,0)</f>
        <v>#N/A</v>
      </c>
      <c r="H446" s="6" t="e">
        <f>VLOOKUP(F446,'Customer Info'!A438:I937,3,0)</f>
        <v>#N/A</v>
      </c>
      <c r="I446" s="6" t="e">
        <f>VLOOKUP(F446,'Customer Info'!A438:I937,5,0)</f>
        <v>#N/A</v>
      </c>
      <c r="J446" s="2">
        <v>1518</v>
      </c>
      <c r="K446" s="2">
        <v>1392</v>
      </c>
      <c r="L446" s="2">
        <v>7</v>
      </c>
      <c r="M446" s="7">
        <f t="shared" si="24"/>
        <v>9744</v>
      </c>
      <c r="N446" s="7">
        <f t="shared" si="25"/>
        <v>10626</v>
      </c>
      <c r="O446" s="2">
        <v>58</v>
      </c>
      <c r="P446" s="8">
        <f t="shared" si="26"/>
        <v>10684</v>
      </c>
      <c r="Q446" s="8">
        <f t="shared" si="27"/>
        <v>10568</v>
      </c>
      <c r="R446" s="2" t="s">
        <v>56</v>
      </c>
      <c r="S446" s="9">
        <f>VLOOKUP(P446,$T$2:U443,2,1)</f>
        <v>0.05</v>
      </c>
    </row>
    <row r="447" spans="1:19" x14ac:dyDescent="0.25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e">
        <f>VLOOKUP(F447,'Customer Info'!A439:I938,2,0)</f>
        <v>#N/A</v>
      </c>
      <c r="H447" s="6" t="e">
        <f>VLOOKUP(F447,'Customer Info'!A439:I938,3,0)</f>
        <v>#N/A</v>
      </c>
      <c r="I447" s="6" t="e">
        <f>VLOOKUP(F447,'Customer Info'!A439:I938,5,0)</f>
        <v>#N/A</v>
      </c>
      <c r="J447" s="2">
        <v>3176</v>
      </c>
      <c r="K447" s="2">
        <v>3116</v>
      </c>
      <c r="L447" s="2">
        <v>3</v>
      </c>
      <c r="M447" s="7">
        <f t="shared" si="24"/>
        <v>9348</v>
      </c>
      <c r="N447" s="7">
        <f t="shared" si="25"/>
        <v>9528</v>
      </c>
      <c r="O447" s="2">
        <v>80</v>
      </c>
      <c r="P447" s="8">
        <f t="shared" si="26"/>
        <v>9608</v>
      </c>
      <c r="Q447" s="8">
        <f t="shared" si="27"/>
        <v>9448</v>
      </c>
      <c r="R447" s="2" t="s">
        <v>26</v>
      </c>
      <c r="S447" s="9">
        <f>VLOOKUP(P447,$T$2:U444,2,1)</f>
        <v>0.05</v>
      </c>
    </row>
    <row r="448" spans="1:19" x14ac:dyDescent="0.25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e">
        <f>VLOOKUP(F448,'Customer Info'!A440:I939,2,0)</f>
        <v>#N/A</v>
      </c>
      <c r="H448" s="6" t="e">
        <f>VLOOKUP(F448,'Customer Info'!A440:I939,3,0)</f>
        <v>#N/A</v>
      </c>
      <c r="I448" s="6" t="e">
        <f>VLOOKUP(F448,'Customer Info'!A440:I939,5,0)</f>
        <v>#N/A</v>
      </c>
      <c r="J448" s="2">
        <v>1103</v>
      </c>
      <c r="K448" s="2">
        <v>1030</v>
      </c>
      <c r="L448" s="2">
        <v>2</v>
      </c>
      <c r="M448" s="7">
        <f t="shared" si="24"/>
        <v>2060</v>
      </c>
      <c r="N448" s="7">
        <f t="shared" si="25"/>
        <v>2206</v>
      </c>
      <c r="O448" s="2">
        <v>22</v>
      </c>
      <c r="P448" s="8">
        <f t="shared" si="26"/>
        <v>2228</v>
      </c>
      <c r="Q448" s="8">
        <f t="shared" si="27"/>
        <v>2184</v>
      </c>
      <c r="R448" s="2" t="s">
        <v>28</v>
      </c>
      <c r="S448" s="9">
        <f>VLOOKUP(P448,$T$2:U445,2,1)</f>
        <v>0.02</v>
      </c>
    </row>
    <row r="449" spans="1:19" x14ac:dyDescent="0.25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e">
        <f>VLOOKUP(F449,'Customer Info'!A441:I940,2,0)</f>
        <v>#N/A</v>
      </c>
      <c r="H449" s="6" t="e">
        <f>VLOOKUP(F449,'Customer Info'!A441:I940,3,0)</f>
        <v>#N/A</v>
      </c>
      <c r="I449" s="6" t="e">
        <f>VLOOKUP(F449,'Customer Info'!A441:I940,5,0)</f>
        <v>#N/A</v>
      </c>
      <c r="J449" s="2">
        <v>4487</v>
      </c>
      <c r="K449" s="2">
        <v>4201</v>
      </c>
      <c r="L449" s="2">
        <v>5</v>
      </c>
      <c r="M449" s="7">
        <f t="shared" si="24"/>
        <v>21005</v>
      </c>
      <c r="N449" s="7">
        <f t="shared" si="25"/>
        <v>22435</v>
      </c>
      <c r="O449" s="2">
        <v>62</v>
      </c>
      <c r="P449" s="8">
        <f t="shared" si="26"/>
        <v>22497</v>
      </c>
      <c r="Q449" s="8">
        <f t="shared" si="27"/>
        <v>22373</v>
      </c>
      <c r="R449" s="2" t="s">
        <v>50</v>
      </c>
      <c r="S449" s="9">
        <f>VLOOKUP(P449,$T$2:U446,2,1)</f>
        <v>0.05</v>
      </c>
    </row>
    <row r="450" spans="1:19" x14ac:dyDescent="0.25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e">
        <f>VLOOKUP(F450,'Customer Info'!A442:I941,2,0)</f>
        <v>#N/A</v>
      </c>
      <c r="H450" s="6" t="e">
        <f>VLOOKUP(F450,'Customer Info'!A442:I941,3,0)</f>
        <v>#N/A</v>
      </c>
      <c r="I450" s="6" t="e">
        <f>VLOOKUP(F450,'Customer Info'!A442:I941,5,0)</f>
        <v>#N/A</v>
      </c>
      <c r="J450" s="2">
        <v>1512</v>
      </c>
      <c r="K450" s="2">
        <v>1497</v>
      </c>
      <c r="L450" s="2">
        <v>4</v>
      </c>
      <c r="M450" s="7">
        <f t="shared" si="24"/>
        <v>5988</v>
      </c>
      <c r="N450" s="7">
        <f t="shared" si="25"/>
        <v>6048</v>
      </c>
      <c r="O450" s="2">
        <v>91</v>
      </c>
      <c r="P450" s="8">
        <f t="shared" si="26"/>
        <v>6139</v>
      </c>
      <c r="Q450" s="8">
        <f t="shared" si="27"/>
        <v>5957</v>
      </c>
      <c r="R450" s="2" t="s">
        <v>50</v>
      </c>
      <c r="S450" s="9">
        <f>VLOOKUP(P450,$T$2:U447,2,1)</f>
        <v>0.05</v>
      </c>
    </row>
    <row r="451" spans="1:19" x14ac:dyDescent="0.25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e">
        <f>VLOOKUP(F451,'Customer Info'!A443:I942,2,0)</f>
        <v>#N/A</v>
      </c>
      <c r="H451" s="6" t="e">
        <f>VLOOKUP(F451,'Customer Info'!A443:I942,3,0)</f>
        <v>#N/A</v>
      </c>
      <c r="I451" s="6" t="e">
        <f>VLOOKUP(F451,'Customer Info'!A443:I942,5,0)</f>
        <v>#N/A</v>
      </c>
      <c r="J451" s="2">
        <v>2697</v>
      </c>
      <c r="K451" s="2">
        <v>2498</v>
      </c>
      <c r="L451" s="2">
        <v>2</v>
      </c>
      <c r="M451" s="7">
        <f t="shared" si="24"/>
        <v>4996</v>
      </c>
      <c r="N451" s="7">
        <f t="shared" si="25"/>
        <v>5394</v>
      </c>
      <c r="O451" s="2">
        <v>83</v>
      </c>
      <c r="P451" s="8">
        <f t="shared" si="26"/>
        <v>5477</v>
      </c>
      <c r="Q451" s="8">
        <f t="shared" si="27"/>
        <v>5311</v>
      </c>
      <c r="R451" s="2" t="s">
        <v>28</v>
      </c>
      <c r="S451" s="9">
        <f>VLOOKUP(P451,$T$2:U448,2,1)</f>
        <v>0.05</v>
      </c>
    </row>
    <row r="452" spans="1:19" x14ac:dyDescent="0.25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e">
        <f>VLOOKUP(F452,'Customer Info'!A444:I943,2,0)</f>
        <v>#N/A</v>
      </c>
      <c r="H452" s="6" t="e">
        <f>VLOOKUP(F452,'Customer Info'!A444:I943,3,0)</f>
        <v>#N/A</v>
      </c>
      <c r="I452" s="6" t="e">
        <f>VLOOKUP(F452,'Customer Info'!A444:I943,5,0)</f>
        <v>#N/A</v>
      </c>
      <c r="J452" s="2">
        <v>29378</v>
      </c>
      <c r="K452" s="2">
        <v>26912</v>
      </c>
      <c r="L452" s="2">
        <v>2</v>
      </c>
      <c r="M452" s="7">
        <f t="shared" si="24"/>
        <v>53824</v>
      </c>
      <c r="N452" s="7">
        <f t="shared" si="25"/>
        <v>58756</v>
      </c>
      <c r="O452" s="2">
        <v>48</v>
      </c>
      <c r="P452" s="8">
        <f t="shared" si="26"/>
        <v>58804</v>
      </c>
      <c r="Q452" s="8">
        <f t="shared" si="27"/>
        <v>58708</v>
      </c>
      <c r="R452" s="2" t="s">
        <v>28</v>
      </c>
      <c r="S452" s="9">
        <f>VLOOKUP(P452,$T$2:U449,2,1)</f>
        <v>0.09</v>
      </c>
    </row>
    <row r="453" spans="1:19" x14ac:dyDescent="0.25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VLOOKUP(F453,'Customer Info'!A445:I944,2,0)</f>
        <v>Todd</v>
      </c>
      <c r="H453" s="6" t="str">
        <f>VLOOKUP(F453,'Customer Info'!A445:I944,3,0)</f>
        <v>Sumrall</v>
      </c>
      <c r="I453" s="6" t="str">
        <f>VLOOKUP(F453,'Customer Info'!A445:I944,5,0)</f>
        <v>Yangzhou</v>
      </c>
      <c r="J453" s="2">
        <v>1925</v>
      </c>
      <c r="K453" s="2">
        <v>1834</v>
      </c>
      <c r="L453" s="2">
        <v>2</v>
      </c>
      <c r="M453" s="7">
        <f t="shared" si="24"/>
        <v>3668</v>
      </c>
      <c r="N453" s="7">
        <f t="shared" si="25"/>
        <v>3850</v>
      </c>
      <c r="O453" s="2">
        <v>56</v>
      </c>
      <c r="P453" s="8">
        <f t="shared" si="26"/>
        <v>3906</v>
      </c>
      <c r="Q453" s="8">
        <f t="shared" si="27"/>
        <v>3794</v>
      </c>
      <c r="R453" s="2" t="s">
        <v>28</v>
      </c>
      <c r="S453" s="9">
        <f>VLOOKUP(P453,$T$2:U450,2,1)</f>
        <v>0.02</v>
      </c>
    </row>
    <row r="454" spans="1:19" x14ac:dyDescent="0.25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e">
        <f>VLOOKUP(F454,'Customer Info'!A446:I945,2,0)</f>
        <v>#N/A</v>
      </c>
      <c r="H454" s="6" t="e">
        <f>VLOOKUP(F454,'Customer Info'!A446:I945,3,0)</f>
        <v>#N/A</v>
      </c>
      <c r="I454" s="6" t="e">
        <f>VLOOKUP(F454,'Customer Info'!A446:I945,5,0)</f>
        <v>#N/A</v>
      </c>
      <c r="J454" s="2">
        <v>59</v>
      </c>
      <c r="K454" s="2">
        <v>55</v>
      </c>
      <c r="L454" s="2">
        <v>3</v>
      </c>
      <c r="M454" s="7">
        <f t="shared" si="24"/>
        <v>165</v>
      </c>
      <c r="N454" s="7">
        <f t="shared" si="25"/>
        <v>177</v>
      </c>
      <c r="O454" s="2">
        <v>10</v>
      </c>
      <c r="P454" s="8">
        <f t="shared" si="26"/>
        <v>187</v>
      </c>
      <c r="Q454" s="8">
        <f t="shared" si="27"/>
        <v>167</v>
      </c>
      <c r="R454" s="2" t="s">
        <v>50</v>
      </c>
      <c r="S454" s="9">
        <f>VLOOKUP(P454,$T$2:U451,2,1)</f>
        <v>0.02</v>
      </c>
    </row>
    <row r="455" spans="1:19" x14ac:dyDescent="0.25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e">
        <f>VLOOKUP(F455,'Customer Info'!A447:I946,2,0)</f>
        <v>#N/A</v>
      </c>
      <c r="H455" s="6" t="e">
        <f>VLOOKUP(F455,'Customer Info'!A447:I946,3,0)</f>
        <v>#N/A</v>
      </c>
      <c r="I455" s="6" t="e">
        <f>VLOOKUP(F455,'Customer Info'!A447:I946,5,0)</f>
        <v>#N/A</v>
      </c>
      <c r="J455" s="2">
        <v>129</v>
      </c>
      <c r="K455" s="2">
        <v>118</v>
      </c>
      <c r="L455" s="2">
        <v>3</v>
      </c>
      <c r="M455" s="7">
        <f t="shared" si="24"/>
        <v>354</v>
      </c>
      <c r="N455" s="7">
        <f t="shared" si="25"/>
        <v>387</v>
      </c>
      <c r="O455" s="2">
        <v>30</v>
      </c>
      <c r="P455" s="8">
        <f t="shared" si="26"/>
        <v>417</v>
      </c>
      <c r="Q455" s="8">
        <f t="shared" si="27"/>
        <v>357</v>
      </c>
      <c r="R455" s="2" t="s">
        <v>28</v>
      </c>
      <c r="S455" s="9">
        <f>VLOOKUP(P455,$T$2:U452,2,1)</f>
        <v>0.02</v>
      </c>
    </row>
    <row r="456" spans="1:19" x14ac:dyDescent="0.25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e">
        <f>VLOOKUP(F456,'Customer Info'!A448:I947,2,0)</f>
        <v>#N/A</v>
      </c>
      <c r="H456" s="6" t="e">
        <f>VLOOKUP(F456,'Customer Info'!A448:I947,3,0)</f>
        <v>#N/A</v>
      </c>
      <c r="I456" s="6" t="e">
        <f>VLOOKUP(F456,'Customer Info'!A448:I947,5,0)</f>
        <v>#N/A</v>
      </c>
      <c r="J456" s="2">
        <v>1533</v>
      </c>
      <c r="K456" s="2">
        <v>1406</v>
      </c>
      <c r="L456" s="2">
        <v>4</v>
      </c>
      <c r="M456" s="7">
        <f t="shared" si="24"/>
        <v>5624</v>
      </c>
      <c r="N456" s="7">
        <f t="shared" si="25"/>
        <v>6132</v>
      </c>
      <c r="O456" s="2">
        <v>66</v>
      </c>
      <c r="P456" s="8">
        <f t="shared" si="26"/>
        <v>6198</v>
      </c>
      <c r="Q456" s="8">
        <f t="shared" si="27"/>
        <v>6066</v>
      </c>
      <c r="R456" s="2" t="s">
        <v>50</v>
      </c>
      <c r="S456" s="9">
        <f>VLOOKUP(P456,$T$2:U453,2,1)</f>
        <v>0.05</v>
      </c>
    </row>
    <row r="457" spans="1:19" x14ac:dyDescent="0.25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VLOOKUP(F457,'Customer Info'!A449:I948,2,0)</f>
        <v>Tim</v>
      </c>
      <c r="H457" s="6" t="str">
        <f>VLOOKUP(F457,'Customer Info'!A449:I948,3,0)</f>
        <v>Brockman</v>
      </c>
      <c r="I457" s="6" t="str">
        <f>VLOOKUP(F457,'Customer Info'!A449:I948,5,0)</f>
        <v>Toowoomba</v>
      </c>
      <c r="J457" s="2">
        <v>511</v>
      </c>
      <c r="K457" s="2">
        <v>468</v>
      </c>
      <c r="L457" s="2">
        <v>7</v>
      </c>
      <c r="M457" s="7">
        <f t="shared" si="24"/>
        <v>3276</v>
      </c>
      <c r="N457" s="7">
        <f t="shared" si="25"/>
        <v>3577</v>
      </c>
      <c r="O457" s="2">
        <v>45</v>
      </c>
      <c r="P457" s="8">
        <f t="shared" si="26"/>
        <v>3622</v>
      </c>
      <c r="Q457" s="8">
        <f t="shared" si="27"/>
        <v>3532</v>
      </c>
      <c r="R457" s="2" t="s">
        <v>28</v>
      </c>
      <c r="S457" s="9">
        <f>VLOOKUP(P457,$T$2:U454,2,1)</f>
        <v>0.02</v>
      </c>
    </row>
    <row r="458" spans="1:19" x14ac:dyDescent="0.25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e">
        <f>VLOOKUP(F458,'Customer Info'!A450:I949,2,0)</f>
        <v>#N/A</v>
      </c>
      <c r="H458" s="6" t="e">
        <f>VLOOKUP(F458,'Customer Info'!A450:I949,3,0)</f>
        <v>#N/A</v>
      </c>
      <c r="I458" s="6" t="e">
        <f>VLOOKUP(F458,'Customer Info'!A450:I949,5,0)</f>
        <v>#N/A</v>
      </c>
      <c r="J458" s="2">
        <v>71</v>
      </c>
      <c r="K458" s="2">
        <v>64</v>
      </c>
      <c r="L458" s="2">
        <v>2</v>
      </c>
      <c r="M458" s="7">
        <f t="shared" si="24"/>
        <v>128</v>
      </c>
      <c r="N458" s="7">
        <f t="shared" si="25"/>
        <v>142</v>
      </c>
      <c r="O458" s="2">
        <v>10</v>
      </c>
      <c r="P458" s="8">
        <f t="shared" si="26"/>
        <v>152</v>
      </c>
      <c r="Q458" s="8">
        <f t="shared" si="27"/>
        <v>132</v>
      </c>
      <c r="R458" s="2" t="s">
        <v>28</v>
      </c>
      <c r="S458" s="9">
        <f>VLOOKUP(P458,$T$2:U455,2,1)</f>
        <v>0.02</v>
      </c>
    </row>
    <row r="459" spans="1:19" x14ac:dyDescent="0.25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e">
        <f>VLOOKUP(F459,'Customer Info'!A451:I950,2,0)</f>
        <v>#N/A</v>
      </c>
      <c r="H459" s="6" t="e">
        <f>VLOOKUP(F459,'Customer Info'!A451:I950,3,0)</f>
        <v>#N/A</v>
      </c>
      <c r="I459" s="6" t="e">
        <f>VLOOKUP(F459,'Customer Info'!A451:I950,5,0)</f>
        <v>#N/A</v>
      </c>
      <c r="J459" s="2">
        <v>1770</v>
      </c>
      <c r="K459" s="2">
        <v>1592</v>
      </c>
      <c r="L459" s="2">
        <v>14</v>
      </c>
      <c r="M459" s="7">
        <f t="shared" ref="M459:M522" si="28">K459*L459</f>
        <v>22288</v>
      </c>
      <c r="N459" s="7">
        <f t="shared" ref="N459:N522" si="29">J459*L459</f>
        <v>24780</v>
      </c>
      <c r="O459" s="2">
        <v>89</v>
      </c>
      <c r="P459" s="8">
        <f t="shared" ref="P459:P522" si="30">SUM(N459,O459)</f>
        <v>24869</v>
      </c>
      <c r="Q459" s="8">
        <f t="shared" ref="Q459:Q522" si="31">N459-O459</f>
        <v>24691</v>
      </c>
      <c r="R459" s="2" t="s">
        <v>28</v>
      </c>
      <c r="S459" s="9">
        <f>VLOOKUP(P459,$T$2:U456,2,1)</f>
        <v>0.05</v>
      </c>
    </row>
    <row r="460" spans="1:19" x14ac:dyDescent="0.25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e">
        <f>VLOOKUP(F460,'Customer Info'!A452:I951,2,0)</f>
        <v>#N/A</v>
      </c>
      <c r="H460" s="6" t="e">
        <f>VLOOKUP(F460,'Customer Info'!A452:I951,3,0)</f>
        <v>#N/A</v>
      </c>
      <c r="I460" s="6" t="e">
        <f>VLOOKUP(F460,'Customer Info'!A452:I951,5,0)</f>
        <v>#N/A</v>
      </c>
      <c r="J460" s="2">
        <v>24662</v>
      </c>
      <c r="K460" s="2">
        <v>23061</v>
      </c>
      <c r="L460" s="2">
        <v>7</v>
      </c>
      <c r="M460" s="7">
        <f t="shared" si="28"/>
        <v>161427</v>
      </c>
      <c r="N460" s="7">
        <f t="shared" si="29"/>
        <v>172634</v>
      </c>
      <c r="O460" s="2">
        <v>41</v>
      </c>
      <c r="P460" s="8">
        <f t="shared" si="30"/>
        <v>172675</v>
      </c>
      <c r="Q460" s="8">
        <f t="shared" si="31"/>
        <v>172593</v>
      </c>
      <c r="R460" s="2" t="s">
        <v>50</v>
      </c>
      <c r="S460" s="9">
        <f>VLOOKUP(P460,$T$2:U457,2,1)</f>
        <v>0.12</v>
      </c>
    </row>
    <row r="461" spans="1:19" x14ac:dyDescent="0.25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e">
        <f>VLOOKUP(F461,'Customer Info'!A453:I952,2,0)</f>
        <v>#N/A</v>
      </c>
      <c r="H461" s="6" t="e">
        <f>VLOOKUP(F461,'Customer Info'!A453:I952,3,0)</f>
        <v>#N/A</v>
      </c>
      <c r="I461" s="6" t="e">
        <f>VLOOKUP(F461,'Customer Info'!A453:I952,5,0)</f>
        <v>#N/A</v>
      </c>
      <c r="J461" s="2">
        <v>142</v>
      </c>
      <c r="K461" s="2">
        <v>129</v>
      </c>
      <c r="L461" s="2">
        <v>1</v>
      </c>
      <c r="M461" s="7">
        <f t="shared" si="28"/>
        <v>129</v>
      </c>
      <c r="N461" s="7">
        <f t="shared" si="29"/>
        <v>142</v>
      </c>
      <c r="O461" s="2">
        <v>30</v>
      </c>
      <c r="P461" s="8">
        <f t="shared" si="30"/>
        <v>172</v>
      </c>
      <c r="Q461" s="8">
        <f t="shared" si="31"/>
        <v>112</v>
      </c>
      <c r="R461" s="2" t="s">
        <v>50</v>
      </c>
      <c r="S461" s="9">
        <f>VLOOKUP(P461,$T$2:U458,2,1)</f>
        <v>0.02</v>
      </c>
    </row>
    <row r="462" spans="1:19" x14ac:dyDescent="0.25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e">
        <f>VLOOKUP(F462,'Customer Info'!A454:I953,2,0)</f>
        <v>#N/A</v>
      </c>
      <c r="H462" s="6" t="e">
        <f>VLOOKUP(F462,'Customer Info'!A454:I953,3,0)</f>
        <v>#N/A</v>
      </c>
      <c r="I462" s="6" t="e">
        <f>VLOOKUP(F462,'Customer Info'!A454:I953,5,0)</f>
        <v>#N/A</v>
      </c>
      <c r="J462" s="2">
        <v>79</v>
      </c>
      <c r="K462" s="2">
        <v>75</v>
      </c>
      <c r="L462" s="2">
        <v>2</v>
      </c>
      <c r="M462" s="7">
        <f t="shared" si="28"/>
        <v>150</v>
      </c>
      <c r="N462" s="7">
        <f t="shared" si="29"/>
        <v>158</v>
      </c>
      <c r="O462" s="2">
        <v>10</v>
      </c>
      <c r="P462" s="8">
        <f t="shared" si="30"/>
        <v>168</v>
      </c>
      <c r="Q462" s="8">
        <f t="shared" si="31"/>
        <v>148</v>
      </c>
      <c r="R462" s="2" t="s">
        <v>28</v>
      </c>
      <c r="S462" s="9">
        <f>VLOOKUP(P462,$T$2:U459,2,1)</f>
        <v>0.02</v>
      </c>
    </row>
    <row r="463" spans="1:19" x14ac:dyDescent="0.25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e">
        <f>VLOOKUP(F463,'Customer Info'!A455:I954,2,0)</f>
        <v>#N/A</v>
      </c>
      <c r="H463" s="6" t="e">
        <f>VLOOKUP(F463,'Customer Info'!A455:I954,3,0)</f>
        <v>#N/A</v>
      </c>
      <c r="I463" s="6" t="e">
        <f>VLOOKUP(F463,'Customer Info'!A455:I954,5,0)</f>
        <v>#N/A</v>
      </c>
      <c r="J463" s="2">
        <v>8160</v>
      </c>
      <c r="K463" s="2">
        <v>7475</v>
      </c>
      <c r="L463" s="2">
        <v>4</v>
      </c>
      <c r="M463" s="7">
        <f t="shared" si="28"/>
        <v>29900</v>
      </c>
      <c r="N463" s="7">
        <f t="shared" si="29"/>
        <v>32640</v>
      </c>
      <c r="O463" s="2">
        <v>75</v>
      </c>
      <c r="P463" s="8">
        <f t="shared" si="30"/>
        <v>32715</v>
      </c>
      <c r="Q463" s="8">
        <f t="shared" si="31"/>
        <v>32565</v>
      </c>
      <c r="R463" s="2" t="s">
        <v>28</v>
      </c>
      <c r="S463" s="9">
        <f>VLOOKUP(P463,$T$2:U460,2,1)</f>
        <v>7.0000000000000007E-2</v>
      </c>
    </row>
    <row r="464" spans="1:19" x14ac:dyDescent="0.25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e">
        <f>VLOOKUP(F464,'Customer Info'!A456:I955,2,0)</f>
        <v>#N/A</v>
      </c>
      <c r="H464" s="6" t="e">
        <f>VLOOKUP(F464,'Customer Info'!A456:I955,3,0)</f>
        <v>#N/A</v>
      </c>
      <c r="I464" s="6" t="e">
        <f>VLOOKUP(F464,'Customer Info'!A456:I955,5,0)</f>
        <v>#N/A</v>
      </c>
      <c r="J464" s="2">
        <v>9214</v>
      </c>
      <c r="K464" s="2">
        <v>8295</v>
      </c>
      <c r="L464" s="2">
        <v>9</v>
      </c>
      <c r="M464" s="7">
        <f t="shared" si="28"/>
        <v>74655</v>
      </c>
      <c r="N464" s="7">
        <f t="shared" si="29"/>
        <v>82926</v>
      </c>
      <c r="O464" s="2">
        <v>24</v>
      </c>
      <c r="P464" s="8">
        <f t="shared" si="30"/>
        <v>82950</v>
      </c>
      <c r="Q464" s="8">
        <f t="shared" si="31"/>
        <v>82902</v>
      </c>
      <c r="R464" s="2" t="s">
        <v>28</v>
      </c>
      <c r="S464" s="9">
        <f>VLOOKUP(P464,$T$2:U461,2,1)</f>
        <v>0.09</v>
      </c>
    </row>
    <row r="465" spans="1:19" x14ac:dyDescent="0.25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e">
        <f>VLOOKUP(F465,'Customer Info'!A457:I956,2,0)</f>
        <v>#N/A</v>
      </c>
      <c r="H465" s="6" t="e">
        <f>VLOOKUP(F465,'Customer Info'!A457:I956,3,0)</f>
        <v>#N/A</v>
      </c>
      <c r="I465" s="6" t="e">
        <f>VLOOKUP(F465,'Customer Info'!A457:I956,5,0)</f>
        <v>#N/A</v>
      </c>
      <c r="J465" s="2">
        <v>914</v>
      </c>
      <c r="K465" s="2">
        <v>830</v>
      </c>
      <c r="L465" s="2">
        <v>1</v>
      </c>
      <c r="M465" s="7">
        <f t="shared" si="28"/>
        <v>830</v>
      </c>
      <c r="N465" s="7">
        <f t="shared" si="29"/>
        <v>914</v>
      </c>
      <c r="O465" s="2">
        <v>60</v>
      </c>
      <c r="P465" s="8">
        <f t="shared" si="30"/>
        <v>974</v>
      </c>
      <c r="Q465" s="8">
        <f t="shared" si="31"/>
        <v>854</v>
      </c>
      <c r="R465" s="2" t="s">
        <v>50</v>
      </c>
      <c r="S465" s="9">
        <f>VLOOKUP(P465,$T$2:U462,2,1)</f>
        <v>0.02</v>
      </c>
    </row>
    <row r="466" spans="1:19" x14ac:dyDescent="0.25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e">
        <f>VLOOKUP(F466,'Customer Info'!A458:I957,2,0)</f>
        <v>#N/A</v>
      </c>
      <c r="H466" s="6" t="e">
        <f>VLOOKUP(F466,'Customer Info'!A458:I957,3,0)</f>
        <v>#N/A</v>
      </c>
      <c r="I466" s="6" t="e">
        <f>VLOOKUP(F466,'Customer Info'!A458:I957,5,0)</f>
        <v>#N/A</v>
      </c>
      <c r="J466" s="2">
        <v>145</v>
      </c>
      <c r="K466" s="2">
        <v>130</v>
      </c>
      <c r="L466" s="2">
        <v>1</v>
      </c>
      <c r="M466" s="7">
        <f t="shared" si="28"/>
        <v>130</v>
      </c>
      <c r="N466" s="7">
        <f t="shared" si="29"/>
        <v>145</v>
      </c>
      <c r="O466" s="2">
        <v>30</v>
      </c>
      <c r="P466" s="8">
        <f t="shared" si="30"/>
        <v>175</v>
      </c>
      <c r="Q466" s="8">
        <f t="shared" si="31"/>
        <v>115</v>
      </c>
      <c r="R466" s="2" t="s">
        <v>28</v>
      </c>
      <c r="S466" s="9">
        <f>VLOOKUP(P466,$T$2:U463,2,1)</f>
        <v>0.02</v>
      </c>
    </row>
    <row r="467" spans="1:19" x14ac:dyDescent="0.25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e">
        <f>VLOOKUP(F467,'Customer Info'!A459:I958,2,0)</f>
        <v>#N/A</v>
      </c>
      <c r="H467" s="6" t="e">
        <f>VLOOKUP(F467,'Customer Info'!A459:I958,3,0)</f>
        <v>#N/A</v>
      </c>
      <c r="I467" s="6" t="e">
        <f>VLOOKUP(F467,'Customer Info'!A459:I958,5,0)</f>
        <v>#N/A</v>
      </c>
      <c r="J467" s="2">
        <v>60</v>
      </c>
      <c r="K467" s="2">
        <v>55</v>
      </c>
      <c r="L467" s="2">
        <v>1</v>
      </c>
      <c r="M467" s="7">
        <f t="shared" si="28"/>
        <v>55</v>
      </c>
      <c r="N467" s="7">
        <f t="shared" si="29"/>
        <v>60</v>
      </c>
      <c r="O467" s="2">
        <v>10</v>
      </c>
      <c r="P467" s="8">
        <f t="shared" si="30"/>
        <v>70</v>
      </c>
      <c r="Q467" s="8">
        <f t="shared" si="31"/>
        <v>50</v>
      </c>
      <c r="R467" s="2" t="s">
        <v>50</v>
      </c>
      <c r="S467" s="9">
        <f>VLOOKUP(P467,$T$2:U464,2,1)</f>
        <v>0.02</v>
      </c>
    </row>
    <row r="468" spans="1:19" x14ac:dyDescent="0.25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e">
        <f>VLOOKUP(F468,'Customer Info'!A460:I959,2,0)</f>
        <v>#N/A</v>
      </c>
      <c r="H468" s="6" t="e">
        <f>VLOOKUP(F468,'Customer Info'!A460:I959,3,0)</f>
        <v>#N/A</v>
      </c>
      <c r="I468" s="6" t="e">
        <f>VLOOKUP(F468,'Customer Info'!A460:I959,5,0)</f>
        <v>#N/A</v>
      </c>
      <c r="J468" s="2">
        <v>100</v>
      </c>
      <c r="K468" s="2">
        <v>95</v>
      </c>
      <c r="L468" s="2">
        <v>7</v>
      </c>
      <c r="M468" s="7">
        <f t="shared" si="28"/>
        <v>665</v>
      </c>
      <c r="N468" s="7">
        <f t="shared" si="29"/>
        <v>700</v>
      </c>
      <c r="O468" s="2">
        <v>10</v>
      </c>
      <c r="P468" s="8">
        <f t="shared" si="30"/>
        <v>710</v>
      </c>
      <c r="Q468" s="8">
        <f t="shared" si="31"/>
        <v>690</v>
      </c>
      <c r="R468" s="2" t="s">
        <v>28</v>
      </c>
      <c r="S468" s="9">
        <f>VLOOKUP(P468,$T$2:U465,2,1)</f>
        <v>0.02</v>
      </c>
    </row>
    <row r="469" spans="1:19" x14ac:dyDescent="0.25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e">
        <f>VLOOKUP(F469,'Customer Info'!A461:I960,2,0)</f>
        <v>#N/A</v>
      </c>
      <c r="H469" s="6" t="e">
        <f>VLOOKUP(F469,'Customer Info'!A461:I960,3,0)</f>
        <v>#N/A</v>
      </c>
      <c r="I469" s="6" t="e">
        <f>VLOOKUP(F469,'Customer Info'!A461:I960,5,0)</f>
        <v>#N/A</v>
      </c>
      <c r="J469" s="2">
        <v>1834</v>
      </c>
      <c r="K469" s="2">
        <v>1716</v>
      </c>
      <c r="L469" s="2">
        <v>5</v>
      </c>
      <c r="M469" s="7">
        <f t="shared" si="28"/>
        <v>8580</v>
      </c>
      <c r="N469" s="7">
        <f t="shared" si="29"/>
        <v>9170</v>
      </c>
      <c r="O469" s="2">
        <v>92</v>
      </c>
      <c r="P469" s="8">
        <f t="shared" si="30"/>
        <v>9262</v>
      </c>
      <c r="Q469" s="8">
        <f t="shared" si="31"/>
        <v>9078</v>
      </c>
      <c r="R469" s="2" t="s">
        <v>50</v>
      </c>
      <c r="S469" s="9">
        <f>VLOOKUP(P469,$T$2:U466,2,1)</f>
        <v>0.05</v>
      </c>
    </row>
    <row r="470" spans="1:19" x14ac:dyDescent="0.25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e">
        <f>VLOOKUP(F470,'Customer Info'!A462:I961,2,0)</f>
        <v>#N/A</v>
      </c>
      <c r="H470" s="6" t="e">
        <f>VLOOKUP(F470,'Customer Info'!A462:I961,3,0)</f>
        <v>#N/A</v>
      </c>
      <c r="I470" s="6" t="e">
        <f>VLOOKUP(F470,'Customer Info'!A462:I961,5,0)</f>
        <v>#N/A</v>
      </c>
      <c r="J470" s="2">
        <v>691</v>
      </c>
      <c r="K470" s="2">
        <v>646</v>
      </c>
      <c r="L470" s="2">
        <v>5</v>
      </c>
      <c r="M470" s="7">
        <f t="shared" si="28"/>
        <v>3230</v>
      </c>
      <c r="N470" s="7">
        <f t="shared" si="29"/>
        <v>3455</v>
      </c>
      <c r="O470" s="2">
        <v>74</v>
      </c>
      <c r="P470" s="8">
        <f t="shared" si="30"/>
        <v>3529</v>
      </c>
      <c r="Q470" s="8">
        <f t="shared" si="31"/>
        <v>3381</v>
      </c>
      <c r="R470" s="2" t="s">
        <v>28</v>
      </c>
      <c r="S470" s="9">
        <f>VLOOKUP(P470,$T$2:U467,2,1)</f>
        <v>0.02</v>
      </c>
    </row>
    <row r="471" spans="1:19" x14ac:dyDescent="0.25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e">
        <f>VLOOKUP(F471,'Customer Info'!A463:I962,2,0)</f>
        <v>#N/A</v>
      </c>
      <c r="H471" s="6" t="e">
        <f>VLOOKUP(F471,'Customer Info'!A463:I962,3,0)</f>
        <v>#N/A</v>
      </c>
      <c r="I471" s="6" t="e">
        <f>VLOOKUP(F471,'Customer Info'!A463:I962,5,0)</f>
        <v>#N/A</v>
      </c>
      <c r="J471" s="2">
        <v>5894</v>
      </c>
      <c r="K471" s="2">
        <v>5621</v>
      </c>
      <c r="L471" s="2">
        <v>6</v>
      </c>
      <c r="M471" s="7">
        <f t="shared" si="28"/>
        <v>33726</v>
      </c>
      <c r="N471" s="7">
        <f t="shared" si="29"/>
        <v>35364</v>
      </c>
      <c r="O471" s="2">
        <v>25</v>
      </c>
      <c r="P471" s="8">
        <f t="shared" si="30"/>
        <v>35389</v>
      </c>
      <c r="Q471" s="8">
        <f t="shared" si="31"/>
        <v>35339</v>
      </c>
      <c r="R471" s="2" t="s">
        <v>28</v>
      </c>
      <c r="S471" s="9">
        <f>VLOOKUP(P471,$T$2:U468,2,1)</f>
        <v>7.0000000000000007E-2</v>
      </c>
    </row>
    <row r="472" spans="1:19" x14ac:dyDescent="0.25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e">
        <f>VLOOKUP(F472,'Customer Info'!A464:I963,2,0)</f>
        <v>#N/A</v>
      </c>
      <c r="H472" s="6" t="e">
        <f>VLOOKUP(F472,'Customer Info'!A464:I963,3,0)</f>
        <v>#N/A</v>
      </c>
      <c r="I472" s="6" t="e">
        <f>VLOOKUP(F472,'Customer Info'!A464:I963,5,0)</f>
        <v>#N/A</v>
      </c>
      <c r="J472" s="2">
        <v>166</v>
      </c>
      <c r="K472" s="2">
        <v>157</v>
      </c>
      <c r="L472" s="2">
        <v>3</v>
      </c>
      <c r="M472" s="7">
        <f t="shared" si="28"/>
        <v>471</v>
      </c>
      <c r="N472" s="7">
        <f t="shared" si="29"/>
        <v>498</v>
      </c>
      <c r="O472" s="2">
        <v>30</v>
      </c>
      <c r="P472" s="8">
        <f t="shared" si="30"/>
        <v>528</v>
      </c>
      <c r="Q472" s="8">
        <f t="shared" si="31"/>
        <v>468</v>
      </c>
      <c r="R472" s="2" t="s">
        <v>50</v>
      </c>
      <c r="S472" s="9">
        <f>VLOOKUP(P472,$T$2:U469,2,1)</f>
        <v>0.02</v>
      </c>
    </row>
    <row r="473" spans="1:19" x14ac:dyDescent="0.25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e">
        <f>VLOOKUP(F473,'Customer Info'!A465:I964,2,0)</f>
        <v>#N/A</v>
      </c>
      <c r="H473" s="6" t="e">
        <f>VLOOKUP(F473,'Customer Info'!A465:I964,3,0)</f>
        <v>#N/A</v>
      </c>
      <c r="I473" s="6" t="e">
        <f>VLOOKUP(F473,'Customer Info'!A465:I964,5,0)</f>
        <v>#N/A</v>
      </c>
      <c r="J473" s="2">
        <v>2790</v>
      </c>
      <c r="K473" s="2">
        <v>2557</v>
      </c>
      <c r="L473" s="2">
        <v>3</v>
      </c>
      <c r="M473" s="7">
        <f t="shared" si="28"/>
        <v>7671</v>
      </c>
      <c r="N473" s="7">
        <f t="shared" si="29"/>
        <v>8370</v>
      </c>
      <c r="O473" s="2">
        <v>34</v>
      </c>
      <c r="P473" s="8">
        <f t="shared" si="30"/>
        <v>8404</v>
      </c>
      <c r="Q473" s="8">
        <f t="shared" si="31"/>
        <v>8336</v>
      </c>
      <c r="R473" s="2" t="s">
        <v>50</v>
      </c>
      <c r="S473" s="9">
        <f>VLOOKUP(P473,$T$2:U470,2,1)</f>
        <v>0.05</v>
      </c>
    </row>
    <row r="474" spans="1:19" x14ac:dyDescent="0.25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e">
        <f>VLOOKUP(F474,'Customer Info'!A466:I965,2,0)</f>
        <v>#N/A</v>
      </c>
      <c r="H474" s="6" t="e">
        <f>VLOOKUP(F474,'Customer Info'!A466:I965,3,0)</f>
        <v>#N/A</v>
      </c>
      <c r="I474" s="6" t="e">
        <f>VLOOKUP(F474,'Customer Info'!A466:I965,5,0)</f>
        <v>#N/A</v>
      </c>
      <c r="J474" s="2">
        <v>2027</v>
      </c>
      <c r="K474" s="2">
        <v>1913</v>
      </c>
      <c r="L474" s="2">
        <v>3</v>
      </c>
      <c r="M474" s="7">
        <f t="shared" si="28"/>
        <v>5739</v>
      </c>
      <c r="N474" s="7">
        <f t="shared" si="29"/>
        <v>6081</v>
      </c>
      <c r="O474" s="2">
        <v>72</v>
      </c>
      <c r="P474" s="8">
        <f t="shared" si="30"/>
        <v>6153</v>
      </c>
      <c r="Q474" s="8">
        <f t="shared" si="31"/>
        <v>6009</v>
      </c>
      <c r="R474" s="2" t="s">
        <v>26</v>
      </c>
      <c r="S474" s="9">
        <f>VLOOKUP(P474,$T$2:U471,2,1)</f>
        <v>0.05</v>
      </c>
    </row>
    <row r="475" spans="1:19" x14ac:dyDescent="0.25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e">
        <f>VLOOKUP(F475,'Customer Info'!A467:I966,2,0)</f>
        <v>#N/A</v>
      </c>
      <c r="H475" s="6" t="e">
        <f>VLOOKUP(F475,'Customer Info'!A467:I966,3,0)</f>
        <v>#N/A</v>
      </c>
      <c r="I475" s="6" t="e">
        <f>VLOOKUP(F475,'Customer Info'!A467:I966,5,0)</f>
        <v>#N/A</v>
      </c>
      <c r="J475" s="2">
        <v>4737</v>
      </c>
      <c r="K475" s="2">
        <v>4473</v>
      </c>
      <c r="L475" s="2">
        <v>2</v>
      </c>
      <c r="M475" s="7">
        <f t="shared" si="28"/>
        <v>8946</v>
      </c>
      <c r="N475" s="7">
        <f t="shared" si="29"/>
        <v>9474</v>
      </c>
      <c r="O475" s="2">
        <v>42</v>
      </c>
      <c r="P475" s="8">
        <f t="shared" si="30"/>
        <v>9516</v>
      </c>
      <c r="Q475" s="8">
        <f t="shared" si="31"/>
        <v>9432</v>
      </c>
      <c r="R475" s="2" t="s">
        <v>28</v>
      </c>
      <c r="S475" s="9">
        <f>VLOOKUP(P475,$T$2:U472,2,1)</f>
        <v>0.05</v>
      </c>
    </row>
    <row r="476" spans="1:19" x14ac:dyDescent="0.25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e">
        <f>VLOOKUP(F476,'Customer Info'!A468:I967,2,0)</f>
        <v>#N/A</v>
      </c>
      <c r="H476" s="6" t="e">
        <f>VLOOKUP(F476,'Customer Info'!A468:I967,3,0)</f>
        <v>#N/A</v>
      </c>
      <c r="I476" s="6" t="e">
        <f>VLOOKUP(F476,'Customer Info'!A468:I967,5,0)</f>
        <v>#N/A</v>
      </c>
      <c r="J476" s="2">
        <v>1332</v>
      </c>
      <c r="K476" s="2">
        <v>1209</v>
      </c>
      <c r="L476" s="2">
        <v>1</v>
      </c>
      <c r="M476" s="7">
        <f t="shared" si="28"/>
        <v>1209</v>
      </c>
      <c r="N476" s="7">
        <f t="shared" si="29"/>
        <v>1332</v>
      </c>
      <c r="O476" s="2">
        <v>30</v>
      </c>
      <c r="P476" s="8">
        <f t="shared" si="30"/>
        <v>1362</v>
      </c>
      <c r="Q476" s="8">
        <f t="shared" si="31"/>
        <v>1302</v>
      </c>
      <c r="R476" s="2" t="s">
        <v>50</v>
      </c>
      <c r="S476" s="9">
        <f>VLOOKUP(P476,$T$2:U473,2,1)</f>
        <v>0.02</v>
      </c>
    </row>
    <row r="477" spans="1:19" x14ac:dyDescent="0.25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e">
        <f>VLOOKUP(F477,'Customer Info'!A469:I968,2,0)</f>
        <v>#N/A</v>
      </c>
      <c r="H477" s="6" t="e">
        <f>VLOOKUP(F477,'Customer Info'!A469:I968,3,0)</f>
        <v>#N/A</v>
      </c>
      <c r="I477" s="6" t="e">
        <f>VLOOKUP(F477,'Customer Info'!A469:I968,5,0)</f>
        <v>#N/A</v>
      </c>
      <c r="J477" s="2">
        <v>58</v>
      </c>
      <c r="K477" s="2">
        <v>56</v>
      </c>
      <c r="L477" s="2">
        <v>3</v>
      </c>
      <c r="M477" s="7">
        <f t="shared" si="28"/>
        <v>168</v>
      </c>
      <c r="N477" s="7">
        <f t="shared" si="29"/>
        <v>174</v>
      </c>
      <c r="O477" s="2">
        <v>10</v>
      </c>
      <c r="P477" s="8">
        <f t="shared" si="30"/>
        <v>184</v>
      </c>
      <c r="Q477" s="8">
        <f t="shared" si="31"/>
        <v>164</v>
      </c>
      <c r="R477" s="2" t="s">
        <v>28</v>
      </c>
      <c r="S477" s="9">
        <f>VLOOKUP(P477,$T$2:U474,2,1)</f>
        <v>0.02</v>
      </c>
    </row>
    <row r="478" spans="1:19" x14ac:dyDescent="0.25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e">
        <f>VLOOKUP(F478,'Customer Info'!A470:I969,2,0)</f>
        <v>#N/A</v>
      </c>
      <c r="H478" s="6" t="e">
        <f>VLOOKUP(F478,'Customer Info'!A470:I969,3,0)</f>
        <v>#N/A</v>
      </c>
      <c r="I478" s="6" t="e">
        <f>VLOOKUP(F478,'Customer Info'!A470:I969,5,0)</f>
        <v>#N/A</v>
      </c>
      <c r="J478" s="2">
        <v>1925</v>
      </c>
      <c r="K478" s="2">
        <v>1834</v>
      </c>
      <c r="L478" s="2">
        <v>5</v>
      </c>
      <c r="M478" s="7">
        <f t="shared" si="28"/>
        <v>9170</v>
      </c>
      <c r="N478" s="7">
        <f t="shared" si="29"/>
        <v>9625</v>
      </c>
      <c r="O478" s="2">
        <v>24</v>
      </c>
      <c r="P478" s="8">
        <f t="shared" si="30"/>
        <v>9649</v>
      </c>
      <c r="Q478" s="8">
        <f t="shared" si="31"/>
        <v>9601</v>
      </c>
      <c r="R478" s="2" t="s">
        <v>28</v>
      </c>
      <c r="S478" s="9">
        <f>VLOOKUP(P478,$T$2:U475,2,1)</f>
        <v>0.05</v>
      </c>
    </row>
    <row r="479" spans="1:19" x14ac:dyDescent="0.25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e">
        <f>VLOOKUP(F479,'Customer Info'!A471:I970,2,0)</f>
        <v>#N/A</v>
      </c>
      <c r="H479" s="6" t="e">
        <f>VLOOKUP(F479,'Customer Info'!A471:I970,3,0)</f>
        <v>#N/A</v>
      </c>
      <c r="I479" s="6" t="e">
        <f>VLOOKUP(F479,'Customer Info'!A471:I970,5,0)</f>
        <v>#N/A</v>
      </c>
      <c r="J479" s="2">
        <v>7534</v>
      </c>
      <c r="K479" s="2">
        <v>7106</v>
      </c>
      <c r="L479" s="2">
        <v>12</v>
      </c>
      <c r="M479" s="7">
        <f t="shared" si="28"/>
        <v>85272</v>
      </c>
      <c r="N479" s="7">
        <f t="shared" si="29"/>
        <v>90408</v>
      </c>
      <c r="O479" s="2">
        <v>35</v>
      </c>
      <c r="P479" s="8">
        <f t="shared" si="30"/>
        <v>90443</v>
      </c>
      <c r="Q479" s="8">
        <f t="shared" si="31"/>
        <v>90373</v>
      </c>
      <c r="R479" s="2" t="s">
        <v>28</v>
      </c>
      <c r="S479" s="9">
        <f>VLOOKUP(P479,$T$2:U476,2,1)</f>
        <v>0.09</v>
      </c>
    </row>
    <row r="480" spans="1:19" x14ac:dyDescent="0.25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e">
        <f>VLOOKUP(F480,'Customer Info'!A472:I971,2,0)</f>
        <v>#N/A</v>
      </c>
      <c r="H480" s="6" t="e">
        <f>VLOOKUP(F480,'Customer Info'!A472:I971,3,0)</f>
        <v>#N/A</v>
      </c>
      <c r="I480" s="6" t="e">
        <f>VLOOKUP(F480,'Customer Info'!A472:I971,5,0)</f>
        <v>#N/A</v>
      </c>
      <c r="J480" s="2">
        <v>8752</v>
      </c>
      <c r="K480" s="2">
        <v>7877</v>
      </c>
      <c r="L480" s="2">
        <v>6</v>
      </c>
      <c r="M480" s="7">
        <f t="shared" si="28"/>
        <v>47262</v>
      </c>
      <c r="N480" s="7">
        <f t="shared" si="29"/>
        <v>52512</v>
      </c>
      <c r="O480" s="2">
        <v>92</v>
      </c>
      <c r="P480" s="8">
        <f t="shared" si="30"/>
        <v>52604</v>
      </c>
      <c r="Q480" s="8">
        <f t="shared" si="31"/>
        <v>52420</v>
      </c>
      <c r="R480" s="2" t="s">
        <v>26</v>
      </c>
      <c r="S480" s="9">
        <f>VLOOKUP(P480,$T$2:U477,2,1)</f>
        <v>0.09</v>
      </c>
    </row>
    <row r="481" spans="1:19" x14ac:dyDescent="0.25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e">
        <f>VLOOKUP(F481,'Customer Info'!A473:I972,2,0)</f>
        <v>#N/A</v>
      </c>
      <c r="H481" s="6" t="e">
        <f>VLOOKUP(F481,'Customer Info'!A473:I972,3,0)</f>
        <v>#N/A</v>
      </c>
      <c r="I481" s="6" t="e">
        <f>VLOOKUP(F481,'Customer Info'!A473:I972,5,0)</f>
        <v>#N/A</v>
      </c>
      <c r="J481" s="2">
        <v>1763</v>
      </c>
      <c r="K481" s="2">
        <v>1602</v>
      </c>
      <c r="L481" s="2">
        <v>3</v>
      </c>
      <c r="M481" s="7">
        <f t="shared" si="28"/>
        <v>4806</v>
      </c>
      <c r="N481" s="7">
        <f t="shared" si="29"/>
        <v>5289</v>
      </c>
      <c r="O481" s="2">
        <v>100</v>
      </c>
      <c r="P481" s="8">
        <f t="shared" si="30"/>
        <v>5389</v>
      </c>
      <c r="Q481" s="8">
        <f t="shared" si="31"/>
        <v>5189</v>
      </c>
      <c r="R481" s="2" t="s">
        <v>28</v>
      </c>
      <c r="S481" s="9">
        <f>VLOOKUP(P481,$T$2:U478,2,1)</f>
        <v>0.05</v>
      </c>
    </row>
    <row r="482" spans="1:19" x14ac:dyDescent="0.25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e">
        <f>VLOOKUP(F482,'Customer Info'!A474:I973,2,0)</f>
        <v>#N/A</v>
      </c>
      <c r="H482" s="6" t="e">
        <f>VLOOKUP(F482,'Customer Info'!A474:I973,3,0)</f>
        <v>#N/A</v>
      </c>
      <c r="I482" s="6" t="e">
        <f>VLOOKUP(F482,'Customer Info'!A474:I973,5,0)</f>
        <v>#N/A</v>
      </c>
      <c r="J482" s="2">
        <v>1983</v>
      </c>
      <c r="K482" s="2">
        <v>1908</v>
      </c>
      <c r="L482" s="2">
        <v>1</v>
      </c>
      <c r="M482" s="7">
        <f t="shared" si="28"/>
        <v>1908</v>
      </c>
      <c r="N482" s="7">
        <f t="shared" si="29"/>
        <v>1983</v>
      </c>
      <c r="O482" s="2">
        <v>79</v>
      </c>
      <c r="P482" s="8">
        <f t="shared" si="30"/>
        <v>2062</v>
      </c>
      <c r="Q482" s="8">
        <f t="shared" si="31"/>
        <v>1904</v>
      </c>
      <c r="R482" s="2" t="s">
        <v>28</v>
      </c>
      <c r="S482" s="9">
        <f>VLOOKUP(P482,$T$2:U479,2,1)</f>
        <v>0.02</v>
      </c>
    </row>
    <row r="483" spans="1:19" x14ac:dyDescent="0.25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e">
        <f>VLOOKUP(F483,'Customer Info'!A475:I974,2,0)</f>
        <v>#N/A</v>
      </c>
      <c r="H483" s="6" t="e">
        <f>VLOOKUP(F483,'Customer Info'!A475:I974,3,0)</f>
        <v>#N/A</v>
      </c>
      <c r="I483" s="6" t="e">
        <f>VLOOKUP(F483,'Customer Info'!A475:I974,5,0)</f>
        <v>#N/A</v>
      </c>
      <c r="J483" s="2">
        <v>71</v>
      </c>
      <c r="K483" s="2">
        <v>64</v>
      </c>
      <c r="L483" s="2">
        <v>4</v>
      </c>
      <c r="M483" s="7">
        <f t="shared" si="28"/>
        <v>256</v>
      </c>
      <c r="N483" s="7">
        <f t="shared" si="29"/>
        <v>284</v>
      </c>
      <c r="O483" s="2">
        <v>10</v>
      </c>
      <c r="P483" s="8">
        <f t="shared" si="30"/>
        <v>294</v>
      </c>
      <c r="Q483" s="8">
        <f t="shared" si="31"/>
        <v>274</v>
      </c>
      <c r="R483" s="2" t="s">
        <v>26</v>
      </c>
      <c r="S483" s="9">
        <f>VLOOKUP(P483,$T$2:U480,2,1)</f>
        <v>0.02</v>
      </c>
    </row>
    <row r="484" spans="1:19" x14ac:dyDescent="0.25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e">
        <f>VLOOKUP(F484,'Customer Info'!A476:I975,2,0)</f>
        <v>#N/A</v>
      </c>
      <c r="H484" s="6" t="e">
        <f>VLOOKUP(F484,'Customer Info'!A476:I975,3,0)</f>
        <v>#N/A</v>
      </c>
      <c r="I484" s="6" t="e">
        <f>VLOOKUP(F484,'Customer Info'!A476:I975,5,0)</f>
        <v>#N/A</v>
      </c>
      <c r="J484" s="2">
        <v>8199</v>
      </c>
      <c r="K484" s="2">
        <v>7523</v>
      </c>
      <c r="L484" s="2">
        <v>4</v>
      </c>
      <c r="M484" s="7">
        <f t="shared" si="28"/>
        <v>30092</v>
      </c>
      <c r="N484" s="7">
        <f t="shared" si="29"/>
        <v>32796</v>
      </c>
      <c r="O484" s="2">
        <v>43</v>
      </c>
      <c r="P484" s="8">
        <f t="shared" si="30"/>
        <v>32839</v>
      </c>
      <c r="Q484" s="8">
        <f t="shared" si="31"/>
        <v>32753</v>
      </c>
      <c r="R484" s="2" t="s">
        <v>26</v>
      </c>
      <c r="S484" s="9">
        <f>VLOOKUP(P484,$T$2:U481,2,1)</f>
        <v>7.0000000000000007E-2</v>
      </c>
    </row>
    <row r="485" spans="1:19" x14ac:dyDescent="0.25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VLOOKUP(F485,'Customer Info'!A477:I976,2,0)</f>
        <v>Victoria</v>
      </c>
      <c r="H485" s="6" t="str">
        <f>VLOOKUP(F485,'Customer Info'!A477:I976,3,0)</f>
        <v>Brennan</v>
      </c>
      <c r="I485" s="6" t="str">
        <f>VLOOKUP(F485,'Customer Info'!A477:I976,5,0)</f>
        <v>Mangalore</v>
      </c>
      <c r="J485" s="2">
        <v>144</v>
      </c>
      <c r="K485" s="2">
        <v>132</v>
      </c>
      <c r="L485" s="2">
        <v>2</v>
      </c>
      <c r="M485" s="7">
        <f t="shared" si="28"/>
        <v>264</v>
      </c>
      <c r="N485" s="7">
        <f t="shared" si="29"/>
        <v>288</v>
      </c>
      <c r="O485" s="2">
        <v>30</v>
      </c>
      <c r="P485" s="8">
        <f t="shared" si="30"/>
        <v>318</v>
      </c>
      <c r="Q485" s="8">
        <f t="shared" si="31"/>
        <v>258</v>
      </c>
      <c r="R485" s="2" t="s">
        <v>28</v>
      </c>
      <c r="S485" s="9">
        <f>VLOOKUP(P485,$T$2:U482,2,1)</f>
        <v>0.02</v>
      </c>
    </row>
    <row r="486" spans="1:19" x14ac:dyDescent="0.25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e">
        <f>VLOOKUP(F486,'Customer Info'!A478:I977,2,0)</f>
        <v>#N/A</v>
      </c>
      <c r="H486" s="6" t="e">
        <f>VLOOKUP(F486,'Customer Info'!A478:I977,3,0)</f>
        <v>#N/A</v>
      </c>
      <c r="I486" s="6" t="e">
        <f>VLOOKUP(F486,'Customer Info'!A478:I977,5,0)</f>
        <v>#N/A</v>
      </c>
      <c r="J486" s="2">
        <v>288</v>
      </c>
      <c r="K486" s="2">
        <v>264</v>
      </c>
      <c r="L486" s="2">
        <v>3</v>
      </c>
      <c r="M486" s="7">
        <f t="shared" si="28"/>
        <v>792</v>
      </c>
      <c r="N486" s="7">
        <f t="shared" si="29"/>
        <v>864</v>
      </c>
      <c r="O486" s="2">
        <v>61</v>
      </c>
      <c r="P486" s="8">
        <f t="shared" si="30"/>
        <v>925</v>
      </c>
      <c r="Q486" s="8">
        <f t="shared" si="31"/>
        <v>803</v>
      </c>
      <c r="R486" s="2" t="s">
        <v>28</v>
      </c>
      <c r="S486" s="9">
        <f>VLOOKUP(P486,$T$2:U483,2,1)</f>
        <v>0.02</v>
      </c>
    </row>
    <row r="487" spans="1:19" x14ac:dyDescent="0.25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e">
        <f>VLOOKUP(F487,'Customer Info'!A479:I978,2,0)</f>
        <v>#N/A</v>
      </c>
      <c r="H487" s="6" t="e">
        <f>VLOOKUP(F487,'Customer Info'!A479:I978,3,0)</f>
        <v>#N/A</v>
      </c>
      <c r="I487" s="6" t="e">
        <f>VLOOKUP(F487,'Customer Info'!A479:I978,5,0)</f>
        <v>#N/A</v>
      </c>
      <c r="J487" s="2">
        <v>175</v>
      </c>
      <c r="K487" s="2">
        <v>162</v>
      </c>
      <c r="L487" s="2">
        <v>5</v>
      </c>
      <c r="M487" s="7">
        <f t="shared" si="28"/>
        <v>810</v>
      </c>
      <c r="N487" s="7">
        <f t="shared" si="29"/>
        <v>875</v>
      </c>
      <c r="O487" s="2">
        <v>30</v>
      </c>
      <c r="P487" s="8">
        <f t="shared" si="30"/>
        <v>905</v>
      </c>
      <c r="Q487" s="8">
        <f t="shared" si="31"/>
        <v>845</v>
      </c>
      <c r="R487" s="2" t="s">
        <v>26</v>
      </c>
      <c r="S487" s="9">
        <f>VLOOKUP(P487,$T$2:U484,2,1)</f>
        <v>0.02</v>
      </c>
    </row>
    <row r="488" spans="1:19" x14ac:dyDescent="0.25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e">
        <f>VLOOKUP(F488,'Customer Info'!A480:I979,2,0)</f>
        <v>#N/A</v>
      </c>
      <c r="H488" s="6" t="e">
        <f>VLOOKUP(F488,'Customer Info'!A480:I979,3,0)</f>
        <v>#N/A</v>
      </c>
      <c r="I488" s="6" t="e">
        <f>VLOOKUP(F488,'Customer Info'!A480:I979,5,0)</f>
        <v>#N/A</v>
      </c>
      <c r="J488" s="2">
        <v>2083</v>
      </c>
      <c r="K488" s="2">
        <v>2004</v>
      </c>
      <c r="L488" s="2">
        <v>5</v>
      </c>
      <c r="M488" s="7">
        <f t="shared" si="28"/>
        <v>10020</v>
      </c>
      <c r="N488" s="7">
        <f t="shared" si="29"/>
        <v>10415</v>
      </c>
      <c r="O488" s="2">
        <v>71</v>
      </c>
      <c r="P488" s="8">
        <f t="shared" si="30"/>
        <v>10486</v>
      </c>
      <c r="Q488" s="8">
        <f t="shared" si="31"/>
        <v>10344</v>
      </c>
      <c r="R488" s="2" t="s">
        <v>28</v>
      </c>
      <c r="S488" s="9">
        <f>VLOOKUP(P488,$T$2:U485,2,1)</f>
        <v>0.05</v>
      </c>
    </row>
    <row r="489" spans="1:19" x14ac:dyDescent="0.25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e">
        <f>VLOOKUP(F489,'Customer Info'!A481:I980,2,0)</f>
        <v>#N/A</v>
      </c>
      <c r="H489" s="6" t="e">
        <f>VLOOKUP(F489,'Customer Info'!A481:I980,3,0)</f>
        <v>#N/A</v>
      </c>
      <c r="I489" s="6" t="e">
        <f>VLOOKUP(F489,'Customer Info'!A481:I980,5,0)</f>
        <v>#N/A</v>
      </c>
      <c r="J489" s="2">
        <v>1399</v>
      </c>
      <c r="K489" s="2">
        <v>1333</v>
      </c>
      <c r="L489" s="2">
        <v>1</v>
      </c>
      <c r="M489" s="7">
        <f t="shared" si="28"/>
        <v>1333</v>
      </c>
      <c r="N489" s="7">
        <f t="shared" si="29"/>
        <v>1399</v>
      </c>
      <c r="O489" s="2">
        <v>94</v>
      </c>
      <c r="P489" s="8">
        <f t="shared" si="30"/>
        <v>1493</v>
      </c>
      <c r="Q489" s="8">
        <f t="shared" si="31"/>
        <v>1305</v>
      </c>
      <c r="R489" s="2" t="s">
        <v>50</v>
      </c>
      <c r="S489" s="9">
        <f>VLOOKUP(P489,$T$2:U486,2,1)</f>
        <v>0.02</v>
      </c>
    </row>
    <row r="490" spans="1:19" x14ac:dyDescent="0.25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VLOOKUP(F490,'Customer Info'!A482:I981,2,0)</f>
        <v>Trudy</v>
      </c>
      <c r="H490" s="6" t="str">
        <f>VLOOKUP(F490,'Customer Info'!A482:I981,3,0)</f>
        <v>Glocke</v>
      </c>
      <c r="I490" s="6" t="str">
        <f>VLOOKUP(F490,'Customer Info'!A482:I981,5,0)</f>
        <v>Huaiyin</v>
      </c>
      <c r="J490" s="2">
        <v>8160</v>
      </c>
      <c r="K490" s="2">
        <v>7475</v>
      </c>
      <c r="L490" s="2">
        <v>2</v>
      </c>
      <c r="M490" s="7">
        <f t="shared" si="28"/>
        <v>14950</v>
      </c>
      <c r="N490" s="7">
        <f t="shared" si="29"/>
        <v>16320</v>
      </c>
      <c r="O490" s="2">
        <v>42</v>
      </c>
      <c r="P490" s="8">
        <f t="shared" si="30"/>
        <v>16362</v>
      </c>
      <c r="Q490" s="8">
        <f t="shared" si="31"/>
        <v>16278</v>
      </c>
      <c r="R490" s="2" t="s">
        <v>50</v>
      </c>
      <c r="S490" s="9">
        <f>VLOOKUP(P490,$T$2:U487,2,1)</f>
        <v>0.05</v>
      </c>
    </row>
    <row r="491" spans="1:19" x14ac:dyDescent="0.25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e">
        <f>VLOOKUP(F491,'Customer Info'!A483:I982,2,0)</f>
        <v>#N/A</v>
      </c>
      <c r="H491" s="6" t="e">
        <f>VLOOKUP(F491,'Customer Info'!A483:I982,3,0)</f>
        <v>#N/A</v>
      </c>
      <c r="I491" s="6" t="e">
        <f>VLOOKUP(F491,'Customer Info'!A483:I982,5,0)</f>
        <v>#N/A</v>
      </c>
      <c r="J491" s="2">
        <v>3256</v>
      </c>
      <c r="K491" s="2">
        <v>2959</v>
      </c>
      <c r="L491" s="2">
        <v>3</v>
      </c>
      <c r="M491" s="7">
        <f t="shared" si="28"/>
        <v>8877</v>
      </c>
      <c r="N491" s="7">
        <f t="shared" si="29"/>
        <v>9768</v>
      </c>
      <c r="O491" s="2">
        <v>68</v>
      </c>
      <c r="P491" s="8">
        <f t="shared" si="30"/>
        <v>9836</v>
      </c>
      <c r="Q491" s="8">
        <f t="shared" si="31"/>
        <v>9700</v>
      </c>
      <c r="R491" s="2" t="s">
        <v>28</v>
      </c>
      <c r="S491" s="9">
        <f>VLOOKUP(P491,$T$2:U488,2,1)</f>
        <v>0.05</v>
      </c>
    </row>
    <row r="492" spans="1:19" x14ac:dyDescent="0.25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e">
        <f>VLOOKUP(F492,'Customer Info'!A484:I983,2,0)</f>
        <v>#N/A</v>
      </c>
      <c r="H492" s="6" t="e">
        <f>VLOOKUP(F492,'Customer Info'!A484:I983,3,0)</f>
        <v>#N/A</v>
      </c>
      <c r="I492" s="6" t="e">
        <f>VLOOKUP(F492,'Customer Info'!A484:I983,5,0)</f>
        <v>#N/A</v>
      </c>
      <c r="J492" s="2">
        <v>3408</v>
      </c>
      <c r="K492" s="2">
        <v>3215</v>
      </c>
      <c r="L492" s="2">
        <v>2</v>
      </c>
      <c r="M492" s="7">
        <f t="shared" si="28"/>
        <v>6430</v>
      </c>
      <c r="N492" s="7">
        <f t="shared" si="29"/>
        <v>6816</v>
      </c>
      <c r="O492" s="2">
        <v>53</v>
      </c>
      <c r="P492" s="8">
        <f t="shared" si="30"/>
        <v>6869</v>
      </c>
      <c r="Q492" s="8">
        <f t="shared" si="31"/>
        <v>6763</v>
      </c>
      <c r="R492" s="2" t="s">
        <v>28</v>
      </c>
      <c r="S492" s="9">
        <f>VLOOKUP(P492,$T$2:U489,2,1)</f>
        <v>0.05</v>
      </c>
    </row>
    <row r="493" spans="1:19" x14ac:dyDescent="0.25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e">
        <f>VLOOKUP(F493,'Customer Info'!A485:I984,2,0)</f>
        <v>#N/A</v>
      </c>
      <c r="H493" s="6" t="e">
        <f>VLOOKUP(F493,'Customer Info'!A485:I984,3,0)</f>
        <v>#N/A</v>
      </c>
      <c r="I493" s="6" t="e">
        <f>VLOOKUP(F493,'Customer Info'!A485:I984,5,0)</f>
        <v>#N/A</v>
      </c>
      <c r="J493" s="2">
        <v>7864</v>
      </c>
      <c r="K493" s="2">
        <v>7563</v>
      </c>
      <c r="L493" s="2">
        <v>2</v>
      </c>
      <c r="M493" s="7">
        <f t="shared" si="28"/>
        <v>15126</v>
      </c>
      <c r="N493" s="7">
        <f t="shared" si="29"/>
        <v>15728</v>
      </c>
      <c r="O493" s="2">
        <v>75</v>
      </c>
      <c r="P493" s="8">
        <f t="shared" si="30"/>
        <v>15803</v>
      </c>
      <c r="Q493" s="8">
        <f t="shared" si="31"/>
        <v>15653</v>
      </c>
      <c r="R493" s="2" t="s">
        <v>50</v>
      </c>
      <c r="S493" s="9">
        <f>VLOOKUP(P493,$T$2:U490,2,1)</f>
        <v>0.05</v>
      </c>
    </row>
    <row r="494" spans="1:19" x14ac:dyDescent="0.25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e">
        <f>VLOOKUP(F494,'Customer Info'!A486:I985,2,0)</f>
        <v>#N/A</v>
      </c>
      <c r="H494" s="6" t="e">
        <f>VLOOKUP(F494,'Customer Info'!A486:I985,3,0)</f>
        <v>#N/A</v>
      </c>
      <c r="I494" s="6" t="e">
        <f>VLOOKUP(F494,'Customer Info'!A486:I985,5,0)</f>
        <v>#N/A</v>
      </c>
      <c r="J494" s="2">
        <v>674</v>
      </c>
      <c r="K494" s="2">
        <v>629</v>
      </c>
      <c r="L494" s="2">
        <v>3</v>
      </c>
      <c r="M494" s="7">
        <f t="shared" si="28"/>
        <v>1887</v>
      </c>
      <c r="N494" s="7">
        <f t="shared" si="29"/>
        <v>2022</v>
      </c>
      <c r="O494" s="2">
        <v>82</v>
      </c>
      <c r="P494" s="8">
        <f t="shared" si="30"/>
        <v>2104</v>
      </c>
      <c r="Q494" s="8">
        <f t="shared" si="31"/>
        <v>1940</v>
      </c>
      <c r="R494" s="2" t="s">
        <v>50</v>
      </c>
      <c r="S494" s="9">
        <f>VLOOKUP(P494,$T$2:U491,2,1)</f>
        <v>0.02</v>
      </c>
    </row>
    <row r="495" spans="1:19" x14ac:dyDescent="0.25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e">
        <f>VLOOKUP(F495,'Customer Info'!A487:I986,2,0)</f>
        <v>#N/A</v>
      </c>
      <c r="H495" s="6" t="e">
        <f>VLOOKUP(F495,'Customer Info'!A487:I986,3,0)</f>
        <v>#N/A</v>
      </c>
      <c r="I495" s="6" t="e">
        <f>VLOOKUP(F495,'Customer Info'!A487:I986,5,0)</f>
        <v>#N/A</v>
      </c>
      <c r="J495" s="2">
        <v>138</v>
      </c>
      <c r="K495" s="2">
        <v>128</v>
      </c>
      <c r="L495" s="2">
        <v>4</v>
      </c>
      <c r="M495" s="7">
        <f t="shared" si="28"/>
        <v>512</v>
      </c>
      <c r="N495" s="7">
        <f t="shared" si="29"/>
        <v>552</v>
      </c>
      <c r="O495" s="2">
        <v>30</v>
      </c>
      <c r="P495" s="8">
        <f t="shared" si="30"/>
        <v>582</v>
      </c>
      <c r="Q495" s="8">
        <f t="shared" si="31"/>
        <v>522</v>
      </c>
      <c r="R495" s="2" t="s">
        <v>26</v>
      </c>
      <c r="S495" s="9">
        <f>VLOOKUP(P495,$T$2:U492,2,1)</f>
        <v>0.02</v>
      </c>
    </row>
    <row r="496" spans="1:19" x14ac:dyDescent="0.25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e">
        <f>VLOOKUP(F496,'Customer Info'!A488:I987,2,0)</f>
        <v>#N/A</v>
      </c>
      <c r="H496" s="6" t="e">
        <f>VLOOKUP(F496,'Customer Info'!A488:I987,3,0)</f>
        <v>#N/A</v>
      </c>
      <c r="I496" s="6" t="e">
        <f>VLOOKUP(F496,'Customer Info'!A488:I987,5,0)</f>
        <v>#N/A</v>
      </c>
      <c r="J496" s="2">
        <v>222</v>
      </c>
      <c r="K496" s="2">
        <v>204</v>
      </c>
      <c r="L496" s="2">
        <v>6</v>
      </c>
      <c r="M496" s="7">
        <f t="shared" si="28"/>
        <v>1224</v>
      </c>
      <c r="N496" s="7">
        <f t="shared" si="29"/>
        <v>1332</v>
      </c>
      <c r="O496" s="2">
        <v>26</v>
      </c>
      <c r="P496" s="8">
        <f t="shared" si="30"/>
        <v>1358</v>
      </c>
      <c r="Q496" s="8">
        <f t="shared" si="31"/>
        <v>1306</v>
      </c>
      <c r="R496" s="2" t="s">
        <v>28</v>
      </c>
      <c r="S496" s="9">
        <f>VLOOKUP(P496,$T$2:U493,2,1)</f>
        <v>0.02</v>
      </c>
    </row>
    <row r="497" spans="1:19" x14ac:dyDescent="0.25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e">
        <f>VLOOKUP(F497,'Customer Info'!A489:I988,2,0)</f>
        <v>#N/A</v>
      </c>
      <c r="H497" s="6" t="e">
        <f>VLOOKUP(F497,'Customer Info'!A489:I988,3,0)</f>
        <v>#N/A</v>
      </c>
      <c r="I497" s="6" t="e">
        <f>VLOOKUP(F497,'Customer Info'!A489:I988,5,0)</f>
        <v>#N/A</v>
      </c>
      <c r="J497" s="2">
        <v>1441</v>
      </c>
      <c r="K497" s="2">
        <v>1360</v>
      </c>
      <c r="L497" s="2">
        <v>2</v>
      </c>
      <c r="M497" s="7">
        <f t="shared" si="28"/>
        <v>2720</v>
      </c>
      <c r="N497" s="7">
        <f t="shared" si="29"/>
        <v>2882</v>
      </c>
      <c r="O497" s="2">
        <v>53</v>
      </c>
      <c r="P497" s="8">
        <f t="shared" si="30"/>
        <v>2935</v>
      </c>
      <c r="Q497" s="8">
        <f t="shared" si="31"/>
        <v>2829</v>
      </c>
      <c r="R497" s="2" t="s">
        <v>28</v>
      </c>
      <c r="S497" s="9">
        <f>VLOOKUP(P497,$T$2:U494,2,1)</f>
        <v>0.02</v>
      </c>
    </row>
    <row r="498" spans="1:19" x14ac:dyDescent="0.25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e">
        <f>VLOOKUP(F498,'Customer Info'!A490:I989,2,0)</f>
        <v>#N/A</v>
      </c>
      <c r="H498" s="6" t="e">
        <f>VLOOKUP(F498,'Customer Info'!A490:I989,3,0)</f>
        <v>#N/A</v>
      </c>
      <c r="I498" s="6" t="e">
        <f>VLOOKUP(F498,'Customer Info'!A490:I989,5,0)</f>
        <v>#N/A</v>
      </c>
      <c r="J498" s="2">
        <v>877</v>
      </c>
      <c r="K498" s="2">
        <v>788</v>
      </c>
      <c r="L498" s="2">
        <v>5</v>
      </c>
      <c r="M498" s="7">
        <f t="shared" si="28"/>
        <v>3940</v>
      </c>
      <c r="N498" s="7">
        <f t="shared" si="29"/>
        <v>4385</v>
      </c>
      <c r="O498" s="2">
        <v>85</v>
      </c>
      <c r="P498" s="8">
        <f t="shared" si="30"/>
        <v>4470</v>
      </c>
      <c r="Q498" s="8">
        <f t="shared" si="31"/>
        <v>4300</v>
      </c>
      <c r="R498" s="2" t="s">
        <v>28</v>
      </c>
      <c r="S498" s="9">
        <f>VLOOKUP(P498,$T$2:U495,2,1)</f>
        <v>0.02</v>
      </c>
    </row>
    <row r="499" spans="1:19" x14ac:dyDescent="0.25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e">
        <f>VLOOKUP(F499,'Customer Info'!A491:I990,2,0)</f>
        <v>#N/A</v>
      </c>
      <c r="H499" s="6" t="e">
        <f>VLOOKUP(F499,'Customer Info'!A491:I990,3,0)</f>
        <v>#N/A</v>
      </c>
      <c r="I499" s="6" t="e">
        <f>VLOOKUP(F499,'Customer Info'!A491:I990,5,0)</f>
        <v>#N/A</v>
      </c>
      <c r="J499" s="2">
        <v>2243</v>
      </c>
      <c r="K499" s="2">
        <v>2000</v>
      </c>
      <c r="L499" s="2">
        <v>6</v>
      </c>
      <c r="M499" s="7">
        <f t="shared" si="28"/>
        <v>12000</v>
      </c>
      <c r="N499" s="7">
        <f t="shared" si="29"/>
        <v>13458</v>
      </c>
      <c r="O499" s="2">
        <v>63</v>
      </c>
      <c r="P499" s="8">
        <f t="shared" si="30"/>
        <v>13521</v>
      </c>
      <c r="Q499" s="8">
        <f t="shared" si="31"/>
        <v>13395</v>
      </c>
      <c r="R499" s="2" t="s">
        <v>28</v>
      </c>
      <c r="S499" s="9">
        <f>VLOOKUP(P499,$T$2:U496,2,1)</f>
        <v>0.05</v>
      </c>
    </row>
    <row r="500" spans="1:19" x14ac:dyDescent="0.25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e">
        <f>VLOOKUP(F500,'Customer Info'!A492:I991,2,0)</f>
        <v>#N/A</v>
      </c>
      <c r="H500" s="6" t="e">
        <f>VLOOKUP(F500,'Customer Info'!A492:I991,3,0)</f>
        <v>#N/A</v>
      </c>
      <c r="I500" s="6" t="e">
        <f>VLOOKUP(F500,'Customer Info'!A492:I991,5,0)</f>
        <v>#N/A</v>
      </c>
      <c r="J500" s="2">
        <v>1703</v>
      </c>
      <c r="K500" s="2">
        <v>1639</v>
      </c>
      <c r="L500" s="2">
        <v>1</v>
      </c>
      <c r="M500" s="7">
        <f t="shared" si="28"/>
        <v>1639</v>
      </c>
      <c r="N500" s="7">
        <f t="shared" si="29"/>
        <v>1703</v>
      </c>
      <c r="O500" s="2">
        <v>32</v>
      </c>
      <c r="P500" s="8">
        <f t="shared" si="30"/>
        <v>1735</v>
      </c>
      <c r="Q500" s="8">
        <f t="shared" si="31"/>
        <v>1671</v>
      </c>
      <c r="R500" s="2" t="s">
        <v>28</v>
      </c>
      <c r="S500" s="9">
        <f>VLOOKUP(P500,$T$2:U497,2,1)</f>
        <v>0.02</v>
      </c>
    </row>
    <row r="501" spans="1:19" x14ac:dyDescent="0.25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e">
        <f>VLOOKUP(F501,'Customer Info'!A493:I992,2,0)</f>
        <v>#N/A</v>
      </c>
      <c r="H501" s="6" t="e">
        <f>VLOOKUP(F501,'Customer Info'!A493:I992,3,0)</f>
        <v>#N/A</v>
      </c>
      <c r="I501" s="6" t="e">
        <f>VLOOKUP(F501,'Customer Info'!A493:I992,5,0)</f>
        <v>#N/A</v>
      </c>
      <c r="J501" s="2">
        <v>4443</v>
      </c>
      <c r="K501" s="2">
        <v>4079</v>
      </c>
      <c r="L501" s="2">
        <v>1</v>
      </c>
      <c r="M501" s="7">
        <f t="shared" si="28"/>
        <v>4079</v>
      </c>
      <c r="N501" s="7">
        <f t="shared" si="29"/>
        <v>4443</v>
      </c>
      <c r="O501" s="2">
        <v>74</v>
      </c>
      <c r="P501" s="8">
        <f t="shared" si="30"/>
        <v>4517</v>
      </c>
      <c r="Q501" s="8">
        <f t="shared" si="31"/>
        <v>4369</v>
      </c>
      <c r="R501" s="2" t="s">
        <v>28</v>
      </c>
      <c r="S501" s="9">
        <f>VLOOKUP(P501,$T$2:U498,2,1)</f>
        <v>0.02</v>
      </c>
    </row>
    <row r="502" spans="1:19" x14ac:dyDescent="0.25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e">
        <f>VLOOKUP(F502,'Customer Info'!A494:I993,2,0)</f>
        <v>#N/A</v>
      </c>
      <c r="H502" s="6" t="e">
        <f>VLOOKUP(F502,'Customer Info'!A494:I993,3,0)</f>
        <v>#N/A</v>
      </c>
      <c r="I502" s="6" t="e">
        <f>VLOOKUP(F502,'Customer Info'!A494:I993,5,0)</f>
        <v>#N/A</v>
      </c>
      <c r="J502" s="2">
        <v>1283</v>
      </c>
      <c r="K502" s="2">
        <v>1187</v>
      </c>
      <c r="L502" s="2">
        <v>1</v>
      </c>
      <c r="M502" s="7">
        <f t="shared" si="28"/>
        <v>1187</v>
      </c>
      <c r="N502" s="7">
        <f t="shared" si="29"/>
        <v>1283</v>
      </c>
      <c r="O502" s="2">
        <v>41</v>
      </c>
      <c r="P502" s="8">
        <f t="shared" si="30"/>
        <v>1324</v>
      </c>
      <c r="Q502" s="8">
        <f t="shared" si="31"/>
        <v>1242</v>
      </c>
      <c r="R502" s="2" t="s">
        <v>50</v>
      </c>
      <c r="S502" s="9">
        <f>VLOOKUP(P502,$T$2:U499,2,1)</f>
        <v>0.02</v>
      </c>
    </row>
    <row r="503" spans="1:19" x14ac:dyDescent="0.25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e">
        <f>VLOOKUP(F503,'Customer Info'!A495:I994,2,0)</f>
        <v>#N/A</v>
      </c>
      <c r="H503" s="6" t="e">
        <f>VLOOKUP(F503,'Customer Info'!A495:I994,3,0)</f>
        <v>#N/A</v>
      </c>
      <c r="I503" s="6" t="e">
        <f>VLOOKUP(F503,'Customer Info'!A495:I994,5,0)</f>
        <v>#N/A</v>
      </c>
      <c r="J503" s="2">
        <v>6060</v>
      </c>
      <c r="K503" s="2">
        <v>6002</v>
      </c>
      <c r="L503" s="2">
        <v>2</v>
      </c>
      <c r="M503" s="7">
        <f t="shared" si="28"/>
        <v>12004</v>
      </c>
      <c r="N503" s="7">
        <f t="shared" si="29"/>
        <v>12120</v>
      </c>
      <c r="O503" s="2">
        <v>71</v>
      </c>
      <c r="P503" s="8">
        <f t="shared" si="30"/>
        <v>12191</v>
      </c>
      <c r="Q503" s="8">
        <f t="shared" si="31"/>
        <v>12049</v>
      </c>
      <c r="R503" s="2" t="s">
        <v>50</v>
      </c>
      <c r="S503" s="9">
        <f>VLOOKUP(P503,$T$2:U500,2,1)</f>
        <v>0.05</v>
      </c>
    </row>
    <row r="504" spans="1:19" x14ac:dyDescent="0.25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e">
        <f>VLOOKUP(F504,'Customer Info'!A496:I995,2,0)</f>
        <v>#N/A</v>
      </c>
      <c r="H504" s="6" t="e">
        <f>VLOOKUP(F504,'Customer Info'!A496:I995,3,0)</f>
        <v>#N/A</v>
      </c>
      <c r="I504" s="6" t="e">
        <f>VLOOKUP(F504,'Customer Info'!A496:I995,5,0)</f>
        <v>#N/A</v>
      </c>
      <c r="J504" s="2">
        <v>210</v>
      </c>
      <c r="K504" s="2">
        <v>193</v>
      </c>
      <c r="L504" s="2">
        <v>2</v>
      </c>
      <c r="M504" s="7">
        <f t="shared" si="28"/>
        <v>386</v>
      </c>
      <c r="N504" s="7">
        <f t="shared" si="29"/>
        <v>420</v>
      </c>
      <c r="O504" s="2">
        <v>99</v>
      </c>
      <c r="P504" s="8">
        <f t="shared" si="30"/>
        <v>519</v>
      </c>
      <c r="Q504" s="8">
        <f t="shared" si="31"/>
        <v>321</v>
      </c>
      <c r="R504" s="2" t="s">
        <v>50</v>
      </c>
      <c r="S504" s="9">
        <f>VLOOKUP(P504,$T$2:U501,2,1)</f>
        <v>0.02</v>
      </c>
    </row>
    <row r="505" spans="1:19" x14ac:dyDescent="0.25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e">
        <f>VLOOKUP(F505,'Customer Info'!A497:I996,2,0)</f>
        <v>#N/A</v>
      </c>
      <c r="H505" s="6" t="e">
        <f>VLOOKUP(F505,'Customer Info'!A497:I996,3,0)</f>
        <v>#N/A</v>
      </c>
      <c r="I505" s="6" t="e">
        <f>VLOOKUP(F505,'Customer Info'!A497:I996,5,0)</f>
        <v>#N/A</v>
      </c>
      <c r="J505" s="2">
        <v>61</v>
      </c>
      <c r="K505" s="2">
        <v>56</v>
      </c>
      <c r="L505" s="2">
        <v>2</v>
      </c>
      <c r="M505" s="7">
        <f t="shared" si="28"/>
        <v>112</v>
      </c>
      <c r="N505" s="7">
        <f t="shared" si="29"/>
        <v>122</v>
      </c>
      <c r="O505" s="2">
        <v>10</v>
      </c>
      <c r="P505" s="8">
        <f t="shared" si="30"/>
        <v>132</v>
      </c>
      <c r="Q505" s="8">
        <f t="shared" si="31"/>
        <v>112</v>
      </c>
      <c r="R505" s="2" t="s">
        <v>28</v>
      </c>
      <c r="S505" s="9">
        <f>VLOOKUP(P505,$T$2:U502,2,1)</f>
        <v>0.02</v>
      </c>
    </row>
    <row r="506" spans="1:19" x14ac:dyDescent="0.25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e">
        <f>VLOOKUP(F506,'Customer Info'!A498:I997,2,0)</f>
        <v>#N/A</v>
      </c>
      <c r="H506" s="6" t="e">
        <f>VLOOKUP(F506,'Customer Info'!A498:I997,3,0)</f>
        <v>#N/A</v>
      </c>
      <c r="I506" s="6" t="e">
        <f>VLOOKUP(F506,'Customer Info'!A498:I997,5,0)</f>
        <v>#N/A</v>
      </c>
      <c r="J506" s="2">
        <v>5906</v>
      </c>
      <c r="K506" s="2">
        <v>5266</v>
      </c>
      <c r="L506" s="2">
        <v>7</v>
      </c>
      <c r="M506" s="7">
        <f t="shared" si="28"/>
        <v>36862</v>
      </c>
      <c r="N506" s="7">
        <f t="shared" si="29"/>
        <v>41342</v>
      </c>
      <c r="O506" s="2">
        <v>41</v>
      </c>
      <c r="P506" s="8">
        <f t="shared" si="30"/>
        <v>41383</v>
      </c>
      <c r="Q506" s="8">
        <f t="shared" si="31"/>
        <v>41301</v>
      </c>
      <c r="R506" s="2" t="s">
        <v>28</v>
      </c>
      <c r="S506" s="9">
        <f>VLOOKUP(P506,$T$2:U503,2,1)</f>
        <v>7.0000000000000007E-2</v>
      </c>
    </row>
    <row r="507" spans="1:19" x14ac:dyDescent="0.25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e">
        <f>VLOOKUP(F507,'Customer Info'!A499:I998,2,0)</f>
        <v>#N/A</v>
      </c>
      <c r="H507" s="6" t="e">
        <f>VLOOKUP(F507,'Customer Info'!A499:I998,3,0)</f>
        <v>#N/A</v>
      </c>
      <c r="I507" s="6" t="e">
        <f>VLOOKUP(F507,'Customer Info'!A499:I998,5,0)</f>
        <v>#N/A</v>
      </c>
      <c r="J507" s="2">
        <v>1498</v>
      </c>
      <c r="K507" s="2">
        <v>1335</v>
      </c>
      <c r="L507" s="2">
        <v>3</v>
      </c>
      <c r="M507" s="7">
        <f t="shared" si="28"/>
        <v>4005</v>
      </c>
      <c r="N507" s="7">
        <f t="shared" si="29"/>
        <v>4494</v>
      </c>
      <c r="O507" s="2">
        <v>29</v>
      </c>
      <c r="P507" s="8">
        <f t="shared" si="30"/>
        <v>4523</v>
      </c>
      <c r="Q507" s="8">
        <f t="shared" si="31"/>
        <v>4465</v>
      </c>
      <c r="R507" s="2" t="s">
        <v>28</v>
      </c>
      <c r="S507" s="9">
        <f>VLOOKUP(P507,$T$2:U504,2,1)</f>
        <v>0.02</v>
      </c>
    </row>
    <row r="508" spans="1:19" x14ac:dyDescent="0.25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e">
        <f>VLOOKUP(F508,'Customer Info'!A500:I999,2,0)</f>
        <v>#N/A</v>
      </c>
      <c r="H508" s="6" t="e">
        <f>VLOOKUP(F508,'Customer Info'!A500:I999,3,0)</f>
        <v>#N/A</v>
      </c>
      <c r="I508" s="6" t="e">
        <f>VLOOKUP(F508,'Customer Info'!A500:I999,5,0)</f>
        <v>#N/A</v>
      </c>
      <c r="J508" s="2">
        <v>404</v>
      </c>
      <c r="K508" s="2">
        <v>371</v>
      </c>
      <c r="L508" s="2">
        <v>4</v>
      </c>
      <c r="M508" s="7">
        <f t="shared" si="28"/>
        <v>1484</v>
      </c>
      <c r="N508" s="7">
        <f t="shared" si="29"/>
        <v>1616</v>
      </c>
      <c r="O508" s="2">
        <v>58</v>
      </c>
      <c r="P508" s="8">
        <f t="shared" si="30"/>
        <v>1674</v>
      </c>
      <c r="Q508" s="8">
        <f t="shared" si="31"/>
        <v>1558</v>
      </c>
      <c r="R508" s="2" t="s">
        <v>28</v>
      </c>
      <c r="S508" s="9">
        <f>VLOOKUP(P508,$T$2:U505,2,1)</f>
        <v>0.02</v>
      </c>
    </row>
    <row r="509" spans="1:19" x14ac:dyDescent="0.25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e">
        <f>VLOOKUP(F509,'Customer Info'!A501:I1000,2,0)</f>
        <v>#N/A</v>
      </c>
      <c r="H509" s="6" t="e">
        <f>VLOOKUP(F509,'Customer Info'!A501:I1000,3,0)</f>
        <v>#N/A</v>
      </c>
      <c r="I509" s="6" t="e">
        <f>VLOOKUP(F509,'Customer Info'!A501:I1000,5,0)</f>
        <v>#N/A</v>
      </c>
      <c r="J509" s="2">
        <v>5836</v>
      </c>
      <c r="K509" s="2">
        <v>5457</v>
      </c>
      <c r="L509" s="2">
        <v>5</v>
      </c>
      <c r="M509" s="7">
        <f t="shared" si="28"/>
        <v>27285</v>
      </c>
      <c r="N509" s="7">
        <f t="shared" si="29"/>
        <v>29180</v>
      </c>
      <c r="O509" s="2">
        <v>24</v>
      </c>
      <c r="P509" s="8">
        <f t="shared" si="30"/>
        <v>29204</v>
      </c>
      <c r="Q509" s="8">
        <f t="shared" si="31"/>
        <v>29156</v>
      </c>
      <c r="R509" s="2" t="s">
        <v>50</v>
      </c>
      <c r="S509" s="9">
        <f>VLOOKUP(P509,$T$2:U506,2,1)</f>
        <v>7.0000000000000007E-2</v>
      </c>
    </row>
    <row r="510" spans="1:19" x14ac:dyDescent="0.25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e">
        <f>VLOOKUP(F510,'Customer Info'!A502:I1001,2,0)</f>
        <v>#N/A</v>
      </c>
      <c r="H510" s="6" t="e">
        <f>VLOOKUP(F510,'Customer Info'!A502:I1001,3,0)</f>
        <v>#N/A</v>
      </c>
      <c r="I510" s="6" t="e">
        <f>VLOOKUP(F510,'Customer Info'!A502:I1001,5,0)</f>
        <v>#N/A</v>
      </c>
      <c r="J510" s="2">
        <v>1358</v>
      </c>
      <c r="K510" s="2">
        <v>1257</v>
      </c>
      <c r="L510" s="2">
        <v>1</v>
      </c>
      <c r="M510" s="7">
        <f t="shared" si="28"/>
        <v>1257</v>
      </c>
      <c r="N510" s="7">
        <f t="shared" si="29"/>
        <v>1358</v>
      </c>
      <c r="O510" s="2">
        <v>36</v>
      </c>
      <c r="P510" s="8">
        <f t="shared" si="30"/>
        <v>1394</v>
      </c>
      <c r="Q510" s="8">
        <f t="shared" si="31"/>
        <v>1322</v>
      </c>
      <c r="R510" s="2" t="s">
        <v>26</v>
      </c>
      <c r="S510" s="9">
        <f>VLOOKUP(P510,$T$2:U507,2,1)</f>
        <v>0.02</v>
      </c>
    </row>
    <row r="511" spans="1:19" x14ac:dyDescent="0.25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e">
        <f>VLOOKUP(F511,'Customer Info'!A503:I1002,2,0)</f>
        <v>#N/A</v>
      </c>
      <c r="H511" s="6" t="e">
        <f>VLOOKUP(F511,'Customer Info'!A503:I1002,3,0)</f>
        <v>#N/A</v>
      </c>
      <c r="I511" s="6" t="e">
        <f>VLOOKUP(F511,'Customer Info'!A503:I1002,5,0)</f>
        <v>#N/A</v>
      </c>
      <c r="J511" s="2">
        <v>93</v>
      </c>
      <c r="K511" s="2">
        <v>86</v>
      </c>
      <c r="L511" s="2">
        <v>4</v>
      </c>
      <c r="M511" s="7">
        <f t="shared" si="28"/>
        <v>344</v>
      </c>
      <c r="N511" s="7">
        <f t="shared" si="29"/>
        <v>372</v>
      </c>
      <c r="O511" s="2">
        <v>10</v>
      </c>
      <c r="P511" s="8">
        <f t="shared" si="30"/>
        <v>382</v>
      </c>
      <c r="Q511" s="8">
        <f t="shared" si="31"/>
        <v>362</v>
      </c>
      <c r="R511" s="2" t="s">
        <v>28</v>
      </c>
      <c r="S511" s="9">
        <f>VLOOKUP(P511,$T$2:U508,2,1)</f>
        <v>0.02</v>
      </c>
    </row>
    <row r="512" spans="1:19" x14ac:dyDescent="0.25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e">
        <f>VLOOKUP(F512,'Customer Info'!A504:I1003,2,0)</f>
        <v>#N/A</v>
      </c>
      <c r="H512" s="6" t="e">
        <f>VLOOKUP(F512,'Customer Info'!A504:I1003,3,0)</f>
        <v>#N/A</v>
      </c>
      <c r="I512" s="6" t="e">
        <f>VLOOKUP(F512,'Customer Info'!A504:I1003,5,0)</f>
        <v>#N/A</v>
      </c>
      <c r="J512" s="2">
        <v>222</v>
      </c>
      <c r="K512" s="2">
        <v>204</v>
      </c>
      <c r="L512" s="2">
        <v>6</v>
      </c>
      <c r="M512" s="7">
        <f t="shared" si="28"/>
        <v>1224</v>
      </c>
      <c r="N512" s="7">
        <f t="shared" si="29"/>
        <v>1332</v>
      </c>
      <c r="O512" s="2">
        <v>25</v>
      </c>
      <c r="P512" s="8">
        <f t="shared" si="30"/>
        <v>1357</v>
      </c>
      <c r="Q512" s="8">
        <f t="shared" si="31"/>
        <v>1307</v>
      </c>
      <c r="R512" s="2" t="s">
        <v>28</v>
      </c>
      <c r="S512" s="9">
        <f>VLOOKUP(P512,$T$2:U509,2,1)</f>
        <v>0.02</v>
      </c>
    </row>
    <row r="513" spans="1:19" x14ac:dyDescent="0.25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e">
        <f>VLOOKUP(F513,'Customer Info'!A505:I1004,2,0)</f>
        <v>#N/A</v>
      </c>
      <c r="H513" s="6" t="e">
        <f>VLOOKUP(F513,'Customer Info'!A505:I1004,3,0)</f>
        <v>#N/A</v>
      </c>
      <c r="I513" s="6" t="e">
        <f>VLOOKUP(F513,'Customer Info'!A505:I1004,5,0)</f>
        <v>#N/A</v>
      </c>
      <c r="J513" s="2">
        <v>2249</v>
      </c>
      <c r="K513" s="2">
        <v>2102</v>
      </c>
      <c r="L513" s="2">
        <v>4</v>
      </c>
      <c r="M513" s="7">
        <f t="shared" si="28"/>
        <v>8408</v>
      </c>
      <c r="N513" s="7">
        <f t="shared" si="29"/>
        <v>8996</v>
      </c>
      <c r="O513" s="2">
        <v>23</v>
      </c>
      <c r="P513" s="8">
        <f t="shared" si="30"/>
        <v>9019</v>
      </c>
      <c r="Q513" s="8">
        <f t="shared" si="31"/>
        <v>8973</v>
      </c>
      <c r="R513" s="2" t="s">
        <v>26</v>
      </c>
      <c r="S513" s="9">
        <f>VLOOKUP(P513,$T$2:U510,2,1)</f>
        <v>0.05</v>
      </c>
    </row>
    <row r="514" spans="1:19" x14ac:dyDescent="0.25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e">
        <f>VLOOKUP(F514,'Customer Info'!A506:I1005,2,0)</f>
        <v>#N/A</v>
      </c>
      <c r="H514" s="6" t="e">
        <f>VLOOKUP(F514,'Customer Info'!A506:I1005,3,0)</f>
        <v>#N/A</v>
      </c>
      <c r="I514" s="6" t="e">
        <f>VLOOKUP(F514,'Customer Info'!A506:I1005,5,0)</f>
        <v>#N/A</v>
      </c>
      <c r="J514" s="2">
        <v>71</v>
      </c>
      <c r="K514" s="2">
        <v>64</v>
      </c>
      <c r="L514" s="2">
        <v>2</v>
      </c>
      <c r="M514" s="7">
        <f t="shared" si="28"/>
        <v>128</v>
      </c>
      <c r="N514" s="7">
        <f t="shared" si="29"/>
        <v>142</v>
      </c>
      <c r="O514" s="2">
        <v>10</v>
      </c>
      <c r="P514" s="8">
        <f t="shared" si="30"/>
        <v>152</v>
      </c>
      <c r="Q514" s="8">
        <f t="shared" si="31"/>
        <v>132</v>
      </c>
      <c r="R514" s="2" t="s">
        <v>28</v>
      </c>
      <c r="S514" s="9">
        <f>VLOOKUP(P514,$T$2:U511,2,1)</f>
        <v>0.02</v>
      </c>
    </row>
    <row r="515" spans="1:19" x14ac:dyDescent="0.25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e">
        <f>VLOOKUP(F515,'Customer Info'!A507:I1006,2,0)</f>
        <v>#N/A</v>
      </c>
      <c r="H515" s="6" t="e">
        <f>VLOOKUP(F515,'Customer Info'!A507:I1006,3,0)</f>
        <v>#N/A</v>
      </c>
      <c r="I515" s="6" t="e">
        <f>VLOOKUP(F515,'Customer Info'!A507:I1006,5,0)</f>
        <v>#N/A</v>
      </c>
      <c r="J515" s="2">
        <v>2249</v>
      </c>
      <c r="K515" s="2">
        <v>2102</v>
      </c>
      <c r="L515" s="2">
        <v>1</v>
      </c>
      <c r="M515" s="7">
        <f t="shared" si="28"/>
        <v>2102</v>
      </c>
      <c r="N515" s="7">
        <f t="shared" si="29"/>
        <v>2249</v>
      </c>
      <c r="O515" s="2">
        <v>43</v>
      </c>
      <c r="P515" s="8">
        <f t="shared" si="30"/>
        <v>2292</v>
      </c>
      <c r="Q515" s="8">
        <f t="shared" si="31"/>
        <v>2206</v>
      </c>
      <c r="R515" s="2" t="s">
        <v>28</v>
      </c>
      <c r="S515" s="9">
        <f>VLOOKUP(P515,$T$2:U512,2,1)</f>
        <v>0.02</v>
      </c>
    </row>
    <row r="516" spans="1:19" x14ac:dyDescent="0.25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e">
        <f>VLOOKUP(F516,'Customer Info'!A508:I1007,2,0)</f>
        <v>#N/A</v>
      </c>
      <c r="H516" s="6" t="e">
        <f>VLOOKUP(F516,'Customer Info'!A508:I1007,3,0)</f>
        <v>#N/A</v>
      </c>
      <c r="I516" s="6" t="e">
        <f>VLOOKUP(F516,'Customer Info'!A508:I1007,5,0)</f>
        <v>#N/A</v>
      </c>
      <c r="J516" s="2">
        <v>87</v>
      </c>
      <c r="K516" s="2">
        <v>80</v>
      </c>
      <c r="L516" s="2">
        <v>2</v>
      </c>
      <c r="M516" s="7">
        <f t="shared" si="28"/>
        <v>160</v>
      </c>
      <c r="N516" s="7">
        <f t="shared" si="29"/>
        <v>174</v>
      </c>
      <c r="O516" s="2">
        <v>10</v>
      </c>
      <c r="P516" s="8">
        <f t="shared" si="30"/>
        <v>184</v>
      </c>
      <c r="Q516" s="8">
        <f t="shared" si="31"/>
        <v>164</v>
      </c>
      <c r="R516" s="2" t="s">
        <v>26</v>
      </c>
      <c r="S516" s="9">
        <f>VLOOKUP(P516,$T$2:U513,2,1)</f>
        <v>0.02</v>
      </c>
    </row>
    <row r="517" spans="1:19" x14ac:dyDescent="0.25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e">
        <f>VLOOKUP(F517,'Customer Info'!A509:I1008,2,0)</f>
        <v>#N/A</v>
      </c>
      <c r="H517" s="6" t="e">
        <f>VLOOKUP(F517,'Customer Info'!A509:I1008,3,0)</f>
        <v>#N/A</v>
      </c>
      <c r="I517" s="6" t="e">
        <f>VLOOKUP(F517,'Customer Info'!A509:I1008,5,0)</f>
        <v>#N/A</v>
      </c>
      <c r="J517" s="2">
        <v>7212</v>
      </c>
      <c r="K517" s="2">
        <v>6737</v>
      </c>
      <c r="L517" s="2">
        <v>3</v>
      </c>
      <c r="M517" s="7">
        <f t="shared" si="28"/>
        <v>20211</v>
      </c>
      <c r="N517" s="7">
        <f t="shared" si="29"/>
        <v>21636</v>
      </c>
      <c r="O517" s="2">
        <v>68</v>
      </c>
      <c r="P517" s="8">
        <f t="shared" si="30"/>
        <v>21704</v>
      </c>
      <c r="Q517" s="8">
        <f t="shared" si="31"/>
        <v>21568</v>
      </c>
      <c r="R517" s="2" t="s">
        <v>50</v>
      </c>
      <c r="S517" s="9">
        <f>VLOOKUP(P517,$T$2:U514,2,1)</f>
        <v>0.05</v>
      </c>
    </row>
    <row r="518" spans="1:19" x14ac:dyDescent="0.25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e">
        <f>VLOOKUP(F518,'Customer Info'!A510:I1009,2,0)</f>
        <v>#N/A</v>
      </c>
      <c r="H518" s="6" t="e">
        <f>VLOOKUP(F518,'Customer Info'!A510:I1009,3,0)</f>
        <v>#N/A</v>
      </c>
      <c r="I518" s="6" t="e">
        <f>VLOOKUP(F518,'Customer Info'!A510:I1009,5,0)</f>
        <v>#N/A</v>
      </c>
      <c r="J518" s="2">
        <v>173</v>
      </c>
      <c r="K518" s="2">
        <v>155</v>
      </c>
      <c r="L518" s="2">
        <v>14</v>
      </c>
      <c r="M518" s="7">
        <f t="shared" si="28"/>
        <v>2170</v>
      </c>
      <c r="N518" s="7">
        <f t="shared" si="29"/>
        <v>2422</v>
      </c>
      <c r="O518" s="2">
        <v>30</v>
      </c>
      <c r="P518" s="8">
        <f t="shared" si="30"/>
        <v>2452</v>
      </c>
      <c r="Q518" s="8">
        <f t="shared" si="31"/>
        <v>2392</v>
      </c>
      <c r="R518" s="2" t="s">
        <v>28</v>
      </c>
      <c r="S518" s="9">
        <f>VLOOKUP(P518,$T$2:U515,2,1)</f>
        <v>0.02</v>
      </c>
    </row>
    <row r="519" spans="1:19" x14ac:dyDescent="0.25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e">
        <f>VLOOKUP(F519,'Customer Info'!A511:I1010,2,0)</f>
        <v>#N/A</v>
      </c>
      <c r="H519" s="6" t="e">
        <f>VLOOKUP(F519,'Customer Info'!A511:I1010,3,0)</f>
        <v>#N/A</v>
      </c>
      <c r="I519" s="6" t="e">
        <f>VLOOKUP(F519,'Customer Info'!A511:I1010,5,0)</f>
        <v>#N/A</v>
      </c>
      <c r="J519" s="2">
        <v>6701</v>
      </c>
      <c r="K519" s="2">
        <v>6384</v>
      </c>
      <c r="L519" s="2">
        <v>3</v>
      </c>
      <c r="M519" s="7">
        <f t="shared" si="28"/>
        <v>19152</v>
      </c>
      <c r="N519" s="7">
        <f t="shared" si="29"/>
        <v>20103</v>
      </c>
      <c r="O519" s="2">
        <v>57</v>
      </c>
      <c r="P519" s="8">
        <f t="shared" si="30"/>
        <v>20160</v>
      </c>
      <c r="Q519" s="8">
        <f t="shared" si="31"/>
        <v>20046</v>
      </c>
      <c r="R519" s="2" t="s">
        <v>50</v>
      </c>
      <c r="S519" s="9">
        <f>VLOOKUP(P519,$T$2:U516,2,1)</f>
        <v>0.05</v>
      </c>
    </row>
    <row r="520" spans="1:19" x14ac:dyDescent="0.25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e">
        <f>VLOOKUP(F520,'Customer Info'!A512:I1011,2,0)</f>
        <v>#N/A</v>
      </c>
      <c r="H520" s="6" t="e">
        <f>VLOOKUP(F520,'Customer Info'!A512:I1011,3,0)</f>
        <v>#N/A</v>
      </c>
      <c r="I520" s="6" t="e">
        <f>VLOOKUP(F520,'Customer Info'!A512:I1011,5,0)</f>
        <v>#N/A</v>
      </c>
      <c r="J520" s="2">
        <v>206</v>
      </c>
      <c r="K520" s="2">
        <v>189</v>
      </c>
      <c r="L520" s="2">
        <v>1</v>
      </c>
      <c r="M520" s="7">
        <f t="shared" si="28"/>
        <v>189</v>
      </c>
      <c r="N520" s="7">
        <f t="shared" si="29"/>
        <v>206</v>
      </c>
      <c r="O520" s="2">
        <v>30</v>
      </c>
      <c r="P520" s="8">
        <f t="shared" si="30"/>
        <v>236</v>
      </c>
      <c r="Q520" s="8">
        <f t="shared" si="31"/>
        <v>176</v>
      </c>
      <c r="R520" s="2" t="s">
        <v>50</v>
      </c>
      <c r="S520" s="9">
        <f>VLOOKUP(P520,$T$2:U517,2,1)</f>
        <v>0.02</v>
      </c>
    </row>
    <row r="521" spans="1:19" x14ac:dyDescent="0.25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e">
        <f>VLOOKUP(F521,'Customer Info'!A513:I1012,2,0)</f>
        <v>#N/A</v>
      </c>
      <c r="H521" s="6" t="e">
        <f>VLOOKUP(F521,'Customer Info'!A513:I1012,3,0)</f>
        <v>#N/A</v>
      </c>
      <c r="I521" s="6" t="e">
        <f>VLOOKUP(F521,'Customer Info'!A513:I1012,5,0)</f>
        <v>#N/A</v>
      </c>
      <c r="J521" s="2">
        <v>36057</v>
      </c>
      <c r="K521" s="2">
        <v>34028</v>
      </c>
      <c r="L521" s="2">
        <v>2</v>
      </c>
      <c r="M521" s="7">
        <f t="shared" si="28"/>
        <v>68056</v>
      </c>
      <c r="N521" s="7">
        <f t="shared" si="29"/>
        <v>72114</v>
      </c>
      <c r="O521" s="2">
        <v>47</v>
      </c>
      <c r="P521" s="8">
        <f t="shared" si="30"/>
        <v>72161</v>
      </c>
      <c r="Q521" s="8">
        <f t="shared" si="31"/>
        <v>72067</v>
      </c>
      <c r="R521" s="2" t="s">
        <v>28</v>
      </c>
      <c r="S521" s="9">
        <f>VLOOKUP(P521,$T$2:U518,2,1)</f>
        <v>0.09</v>
      </c>
    </row>
    <row r="522" spans="1:19" x14ac:dyDescent="0.25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e">
        <f>VLOOKUP(F522,'Customer Info'!A514:I1013,2,0)</f>
        <v>#N/A</v>
      </c>
      <c r="H522" s="6" t="e">
        <f>VLOOKUP(F522,'Customer Info'!A514:I1013,3,0)</f>
        <v>#N/A</v>
      </c>
      <c r="I522" s="6" t="e">
        <f>VLOOKUP(F522,'Customer Info'!A514:I1013,5,0)</f>
        <v>#N/A</v>
      </c>
      <c r="J522" s="2">
        <v>139</v>
      </c>
      <c r="K522" s="2">
        <v>133</v>
      </c>
      <c r="L522" s="2">
        <v>3</v>
      </c>
      <c r="M522" s="7">
        <f t="shared" si="28"/>
        <v>399</v>
      </c>
      <c r="N522" s="7">
        <f t="shared" si="29"/>
        <v>417</v>
      </c>
      <c r="O522" s="2">
        <v>30</v>
      </c>
      <c r="P522" s="8">
        <f t="shared" si="30"/>
        <v>447</v>
      </c>
      <c r="Q522" s="8">
        <f t="shared" si="31"/>
        <v>387</v>
      </c>
      <c r="R522" s="2" t="s">
        <v>28</v>
      </c>
      <c r="S522" s="9">
        <f>VLOOKUP(P522,$T$2:U519,2,1)</f>
        <v>0.02</v>
      </c>
    </row>
    <row r="523" spans="1:19" x14ac:dyDescent="0.25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e">
        <f>VLOOKUP(F523,'Customer Info'!A515:I1014,2,0)</f>
        <v>#N/A</v>
      </c>
      <c r="H523" s="6" t="e">
        <f>VLOOKUP(F523,'Customer Info'!A515:I1014,3,0)</f>
        <v>#N/A</v>
      </c>
      <c r="I523" s="6" t="e">
        <f>VLOOKUP(F523,'Customer Info'!A515:I1014,5,0)</f>
        <v>#N/A</v>
      </c>
      <c r="J523" s="2">
        <v>2843</v>
      </c>
      <c r="K523" s="2">
        <v>2735</v>
      </c>
      <c r="L523" s="2">
        <v>5</v>
      </c>
      <c r="M523" s="7">
        <f t="shared" ref="M523:M586" si="32">K523*L523</f>
        <v>13675</v>
      </c>
      <c r="N523" s="7">
        <f t="shared" ref="N523:N586" si="33">J523*L523</f>
        <v>14215</v>
      </c>
      <c r="O523" s="2">
        <v>98</v>
      </c>
      <c r="P523" s="8">
        <f t="shared" ref="P523:P586" si="34">SUM(N523,O523)</f>
        <v>14313</v>
      </c>
      <c r="Q523" s="8">
        <f t="shared" ref="Q523:Q586" si="35">N523-O523</f>
        <v>14117</v>
      </c>
      <c r="R523" s="2" t="s">
        <v>28</v>
      </c>
      <c r="S523" s="9">
        <f>VLOOKUP(P523,$T$2:U520,2,1)</f>
        <v>0.05</v>
      </c>
    </row>
    <row r="524" spans="1:19" x14ac:dyDescent="0.25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e">
        <f>VLOOKUP(F524,'Customer Info'!A516:I1015,2,0)</f>
        <v>#N/A</v>
      </c>
      <c r="H524" s="6" t="e">
        <f>VLOOKUP(F524,'Customer Info'!A516:I1015,3,0)</f>
        <v>#N/A</v>
      </c>
      <c r="I524" s="6" t="e">
        <f>VLOOKUP(F524,'Customer Info'!A516:I1015,5,0)</f>
        <v>#N/A</v>
      </c>
      <c r="J524" s="2">
        <v>2155</v>
      </c>
      <c r="K524" s="2">
        <v>2014</v>
      </c>
      <c r="L524" s="2">
        <v>4</v>
      </c>
      <c r="M524" s="7">
        <f t="shared" si="32"/>
        <v>8056</v>
      </c>
      <c r="N524" s="7">
        <f t="shared" si="33"/>
        <v>8620</v>
      </c>
      <c r="O524" s="2">
        <v>34</v>
      </c>
      <c r="P524" s="8">
        <f t="shared" si="34"/>
        <v>8654</v>
      </c>
      <c r="Q524" s="8">
        <f t="shared" si="35"/>
        <v>8586</v>
      </c>
      <c r="R524" s="2" t="s">
        <v>50</v>
      </c>
      <c r="S524" s="9">
        <f>VLOOKUP(P524,$T$2:U521,2,1)</f>
        <v>0.05</v>
      </c>
    </row>
    <row r="525" spans="1:19" x14ac:dyDescent="0.25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e">
        <f>VLOOKUP(F525,'Customer Info'!A517:I1016,2,0)</f>
        <v>#N/A</v>
      </c>
      <c r="H525" s="6" t="e">
        <f>VLOOKUP(F525,'Customer Info'!A517:I1016,3,0)</f>
        <v>#N/A</v>
      </c>
      <c r="I525" s="6" t="e">
        <f>VLOOKUP(F525,'Customer Info'!A517:I1016,5,0)</f>
        <v>#N/A</v>
      </c>
      <c r="J525" s="2">
        <v>183</v>
      </c>
      <c r="K525" s="2">
        <v>168</v>
      </c>
      <c r="L525" s="2">
        <v>1</v>
      </c>
      <c r="M525" s="7">
        <f t="shared" si="32"/>
        <v>168</v>
      </c>
      <c r="N525" s="7">
        <f t="shared" si="33"/>
        <v>183</v>
      </c>
      <c r="O525" s="2">
        <v>30</v>
      </c>
      <c r="P525" s="8">
        <f t="shared" si="34"/>
        <v>213</v>
      </c>
      <c r="Q525" s="8">
        <f t="shared" si="35"/>
        <v>153</v>
      </c>
      <c r="R525" s="2" t="s">
        <v>28</v>
      </c>
      <c r="S525" s="9">
        <f>VLOOKUP(P525,$T$2:U522,2,1)</f>
        <v>0.02</v>
      </c>
    </row>
    <row r="526" spans="1:19" x14ac:dyDescent="0.25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e">
        <f>VLOOKUP(F526,'Customer Info'!A518:I1017,2,0)</f>
        <v>#N/A</v>
      </c>
      <c r="H526" s="6" t="e">
        <f>VLOOKUP(F526,'Customer Info'!A518:I1017,3,0)</f>
        <v>#N/A</v>
      </c>
      <c r="I526" s="6" t="e">
        <f>VLOOKUP(F526,'Customer Info'!A518:I1017,5,0)</f>
        <v>#N/A</v>
      </c>
      <c r="J526" s="2">
        <v>2857</v>
      </c>
      <c r="K526" s="2">
        <v>2622</v>
      </c>
      <c r="L526" s="2">
        <v>2</v>
      </c>
      <c r="M526" s="7">
        <f t="shared" si="32"/>
        <v>5244</v>
      </c>
      <c r="N526" s="7">
        <f t="shared" si="33"/>
        <v>5714</v>
      </c>
      <c r="O526" s="2">
        <v>85</v>
      </c>
      <c r="P526" s="8">
        <f t="shared" si="34"/>
        <v>5799</v>
      </c>
      <c r="Q526" s="8">
        <f t="shared" si="35"/>
        <v>5629</v>
      </c>
      <c r="R526" s="2" t="s">
        <v>50</v>
      </c>
      <c r="S526" s="9">
        <f>VLOOKUP(P526,$T$2:U523,2,1)</f>
        <v>0.05</v>
      </c>
    </row>
    <row r="527" spans="1:19" x14ac:dyDescent="0.25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e">
        <f>VLOOKUP(F527,'Customer Info'!A519:I1018,2,0)</f>
        <v>#N/A</v>
      </c>
      <c r="H527" s="6" t="e">
        <f>VLOOKUP(F527,'Customer Info'!A519:I1018,3,0)</f>
        <v>#N/A</v>
      </c>
      <c r="I527" s="6" t="e">
        <f>VLOOKUP(F527,'Customer Info'!A519:I1018,5,0)</f>
        <v>#N/A</v>
      </c>
      <c r="J527" s="2">
        <v>35350</v>
      </c>
      <c r="K527" s="2">
        <v>33037</v>
      </c>
      <c r="L527" s="2">
        <v>3</v>
      </c>
      <c r="M527" s="7">
        <f t="shared" si="32"/>
        <v>99111</v>
      </c>
      <c r="N527" s="7">
        <f t="shared" si="33"/>
        <v>106050</v>
      </c>
      <c r="O527" s="2">
        <v>86</v>
      </c>
      <c r="P527" s="8">
        <f t="shared" si="34"/>
        <v>106136</v>
      </c>
      <c r="Q527" s="8">
        <f t="shared" si="35"/>
        <v>105964</v>
      </c>
      <c r="R527" s="2" t="s">
        <v>28</v>
      </c>
      <c r="S527" s="9">
        <f>VLOOKUP(P527,$T$2:U524,2,1)</f>
        <v>0.12</v>
      </c>
    </row>
    <row r="528" spans="1:19" x14ac:dyDescent="0.25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e">
        <f>VLOOKUP(F528,'Customer Info'!A520:I1019,2,0)</f>
        <v>#N/A</v>
      </c>
      <c r="H528" s="6" t="e">
        <f>VLOOKUP(F528,'Customer Info'!A520:I1019,3,0)</f>
        <v>#N/A</v>
      </c>
      <c r="I528" s="6" t="e">
        <f>VLOOKUP(F528,'Customer Info'!A520:I1019,5,0)</f>
        <v>#N/A</v>
      </c>
      <c r="J528" s="2">
        <v>2242</v>
      </c>
      <c r="K528" s="2">
        <v>2075</v>
      </c>
      <c r="L528" s="2">
        <v>4</v>
      </c>
      <c r="M528" s="7">
        <f t="shared" si="32"/>
        <v>8300</v>
      </c>
      <c r="N528" s="7">
        <f t="shared" si="33"/>
        <v>8968</v>
      </c>
      <c r="O528" s="2">
        <v>94</v>
      </c>
      <c r="P528" s="8">
        <f t="shared" si="34"/>
        <v>9062</v>
      </c>
      <c r="Q528" s="8">
        <f t="shared" si="35"/>
        <v>8874</v>
      </c>
      <c r="R528" s="2" t="s">
        <v>28</v>
      </c>
      <c r="S528" s="9">
        <f>VLOOKUP(P528,$T$2:U525,2,1)</f>
        <v>0.05</v>
      </c>
    </row>
    <row r="529" spans="1:19" x14ac:dyDescent="0.25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e">
        <f>VLOOKUP(F529,'Customer Info'!A521:I1020,2,0)</f>
        <v>#N/A</v>
      </c>
      <c r="H529" s="6" t="e">
        <f>VLOOKUP(F529,'Customer Info'!A521:I1020,3,0)</f>
        <v>#N/A</v>
      </c>
      <c r="I529" s="6" t="e">
        <f>VLOOKUP(F529,'Customer Info'!A521:I1020,5,0)</f>
        <v>#N/A</v>
      </c>
      <c r="J529" s="2">
        <v>1601</v>
      </c>
      <c r="K529" s="2">
        <v>1510</v>
      </c>
      <c r="L529" s="2">
        <v>11</v>
      </c>
      <c r="M529" s="7">
        <f t="shared" si="32"/>
        <v>16610</v>
      </c>
      <c r="N529" s="7">
        <f t="shared" si="33"/>
        <v>17611</v>
      </c>
      <c r="O529" s="2">
        <v>83</v>
      </c>
      <c r="P529" s="8">
        <f t="shared" si="34"/>
        <v>17694</v>
      </c>
      <c r="Q529" s="8">
        <f t="shared" si="35"/>
        <v>17528</v>
      </c>
      <c r="R529" s="2" t="s">
        <v>50</v>
      </c>
      <c r="S529" s="9">
        <f>VLOOKUP(P529,$T$2:U526,2,1)</f>
        <v>0.05</v>
      </c>
    </row>
    <row r="530" spans="1:19" x14ac:dyDescent="0.25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e">
        <f>VLOOKUP(F530,'Customer Info'!A522:I1021,2,0)</f>
        <v>#N/A</v>
      </c>
      <c r="H530" s="6" t="e">
        <f>VLOOKUP(F530,'Customer Info'!A522:I1021,3,0)</f>
        <v>#N/A</v>
      </c>
      <c r="I530" s="6" t="e">
        <f>VLOOKUP(F530,'Customer Info'!A522:I1021,5,0)</f>
        <v>#N/A</v>
      </c>
      <c r="J530" s="2">
        <v>691</v>
      </c>
      <c r="K530" s="2">
        <v>646</v>
      </c>
      <c r="L530" s="2">
        <v>3</v>
      </c>
      <c r="M530" s="7">
        <f t="shared" si="32"/>
        <v>1938</v>
      </c>
      <c r="N530" s="7">
        <f t="shared" si="33"/>
        <v>2073</v>
      </c>
      <c r="O530" s="2">
        <v>83</v>
      </c>
      <c r="P530" s="8">
        <f t="shared" si="34"/>
        <v>2156</v>
      </c>
      <c r="Q530" s="8">
        <f t="shared" si="35"/>
        <v>1990</v>
      </c>
      <c r="R530" s="2" t="s">
        <v>26</v>
      </c>
      <c r="S530" s="9">
        <f>VLOOKUP(P530,$T$2:U527,2,1)</f>
        <v>0.02</v>
      </c>
    </row>
    <row r="531" spans="1:19" x14ac:dyDescent="0.25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e">
        <f>VLOOKUP(F531,'Customer Info'!A523:I1022,2,0)</f>
        <v>#N/A</v>
      </c>
      <c r="H531" s="6" t="e">
        <f>VLOOKUP(F531,'Customer Info'!A523:I1022,3,0)</f>
        <v>#N/A</v>
      </c>
      <c r="I531" s="6" t="e">
        <f>VLOOKUP(F531,'Customer Info'!A523:I1022,5,0)</f>
        <v>#N/A</v>
      </c>
      <c r="J531" s="2">
        <v>37949</v>
      </c>
      <c r="K531" s="2">
        <v>34816</v>
      </c>
      <c r="L531" s="2">
        <v>2</v>
      </c>
      <c r="M531" s="7">
        <f t="shared" si="32"/>
        <v>69632</v>
      </c>
      <c r="N531" s="7">
        <f t="shared" si="33"/>
        <v>75898</v>
      </c>
      <c r="O531" s="2">
        <v>68</v>
      </c>
      <c r="P531" s="8">
        <f t="shared" si="34"/>
        <v>75966</v>
      </c>
      <c r="Q531" s="8">
        <f t="shared" si="35"/>
        <v>75830</v>
      </c>
      <c r="R531" s="2" t="s">
        <v>28</v>
      </c>
      <c r="S531" s="9">
        <f>VLOOKUP(P531,$T$2:U528,2,1)</f>
        <v>0.09</v>
      </c>
    </row>
    <row r="532" spans="1:19" x14ac:dyDescent="0.25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e">
        <f>VLOOKUP(F532,'Customer Info'!A524:I1023,2,0)</f>
        <v>#N/A</v>
      </c>
      <c r="H532" s="6" t="e">
        <f>VLOOKUP(F532,'Customer Info'!A524:I1023,3,0)</f>
        <v>#N/A</v>
      </c>
      <c r="I532" s="6" t="e">
        <f>VLOOKUP(F532,'Customer Info'!A524:I1023,5,0)</f>
        <v>#N/A</v>
      </c>
      <c r="J532" s="2">
        <v>8281</v>
      </c>
      <c r="K532" s="2">
        <v>7673</v>
      </c>
      <c r="L532" s="2">
        <v>2</v>
      </c>
      <c r="M532" s="7">
        <f t="shared" si="32"/>
        <v>15346</v>
      </c>
      <c r="N532" s="7">
        <f t="shared" si="33"/>
        <v>16562</v>
      </c>
      <c r="O532" s="2">
        <v>100</v>
      </c>
      <c r="P532" s="8">
        <f t="shared" si="34"/>
        <v>16662</v>
      </c>
      <c r="Q532" s="8">
        <f t="shared" si="35"/>
        <v>16462</v>
      </c>
      <c r="R532" s="2" t="s">
        <v>26</v>
      </c>
      <c r="S532" s="9">
        <f>VLOOKUP(P532,$T$2:U529,2,1)</f>
        <v>0.05</v>
      </c>
    </row>
    <row r="533" spans="1:19" x14ac:dyDescent="0.25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e">
        <f>VLOOKUP(F533,'Customer Info'!A525:I1024,2,0)</f>
        <v>#N/A</v>
      </c>
      <c r="H533" s="6" t="e">
        <f>VLOOKUP(F533,'Customer Info'!A525:I1024,3,0)</f>
        <v>#N/A</v>
      </c>
      <c r="I533" s="6" t="e">
        <f>VLOOKUP(F533,'Customer Info'!A525:I1024,5,0)</f>
        <v>#N/A</v>
      </c>
      <c r="J533" s="2">
        <v>645</v>
      </c>
      <c r="K533" s="2">
        <v>565</v>
      </c>
      <c r="L533" s="2">
        <v>3</v>
      </c>
      <c r="M533" s="7">
        <f t="shared" si="32"/>
        <v>1695</v>
      </c>
      <c r="N533" s="7">
        <f t="shared" si="33"/>
        <v>1935</v>
      </c>
      <c r="O533" s="2">
        <v>30</v>
      </c>
      <c r="P533" s="8">
        <f t="shared" si="34"/>
        <v>1965</v>
      </c>
      <c r="Q533" s="8">
        <f t="shared" si="35"/>
        <v>1905</v>
      </c>
      <c r="R533" s="2" t="s">
        <v>28</v>
      </c>
      <c r="S533" s="9">
        <f>VLOOKUP(P533,$T$2:U530,2,1)</f>
        <v>0.02</v>
      </c>
    </row>
    <row r="534" spans="1:19" x14ac:dyDescent="0.25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e">
        <f>VLOOKUP(F534,'Customer Info'!A526:I1025,2,0)</f>
        <v>#N/A</v>
      </c>
      <c r="H534" s="6" t="e">
        <f>VLOOKUP(F534,'Customer Info'!A526:I1025,3,0)</f>
        <v>#N/A</v>
      </c>
      <c r="I534" s="6" t="e">
        <f>VLOOKUP(F534,'Customer Info'!A526:I1025,5,0)</f>
        <v>#N/A</v>
      </c>
      <c r="J534" s="2">
        <v>4832</v>
      </c>
      <c r="K534" s="2">
        <v>4563</v>
      </c>
      <c r="L534" s="2">
        <v>5</v>
      </c>
      <c r="M534" s="7">
        <f t="shared" si="32"/>
        <v>22815</v>
      </c>
      <c r="N534" s="7">
        <f t="shared" si="33"/>
        <v>24160</v>
      </c>
      <c r="O534" s="2">
        <v>53</v>
      </c>
      <c r="P534" s="8">
        <f t="shared" si="34"/>
        <v>24213</v>
      </c>
      <c r="Q534" s="8">
        <f t="shared" si="35"/>
        <v>24107</v>
      </c>
      <c r="R534" s="2" t="s">
        <v>50</v>
      </c>
      <c r="S534" s="9">
        <f>VLOOKUP(P534,$T$2:U531,2,1)</f>
        <v>0.05</v>
      </c>
    </row>
    <row r="535" spans="1:19" x14ac:dyDescent="0.25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e">
        <f>VLOOKUP(F535,'Customer Info'!A527:I1026,2,0)</f>
        <v>#N/A</v>
      </c>
      <c r="H535" s="6" t="e">
        <f>VLOOKUP(F535,'Customer Info'!A527:I1026,3,0)</f>
        <v>#N/A</v>
      </c>
      <c r="I535" s="6" t="e">
        <f>VLOOKUP(F535,'Customer Info'!A527:I1026,5,0)</f>
        <v>#N/A</v>
      </c>
      <c r="J535" s="2">
        <v>202</v>
      </c>
      <c r="K535" s="2">
        <v>187</v>
      </c>
      <c r="L535" s="2">
        <v>7</v>
      </c>
      <c r="M535" s="7">
        <f t="shared" si="32"/>
        <v>1309</v>
      </c>
      <c r="N535" s="7">
        <f t="shared" si="33"/>
        <v>1414</v>
      </c>
      <c r="O535" s="2">
        <v>30</v>
      </c>
      <c r="P535" s="8">
        <f t="shared" si="34"/>
        <v>1444</v>
      </c>
      <c r="Q535" s="8">
        <f t="shared" si="35"/>
        <v>1384</v>
      </c>
      <c r="R535" s="2" t="s">
        <v>50</v>
      </c>
      <c r="S535" s="9">
        <f>VLOOKUP(P535,$T$2:U532,2,1)</f>
        <v>0.02</v>
      </c>
    </row>
    <row r="536" spans="1:19" x14ac:dyDescent="0.25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e">
        <f>VLOOKUP(F536,'Customer Info'!A528:I1027,2,0)</f>
        <v>#N/A</v>
      </c>
      <c r="H536" s="6" t="e">
        <f>VLOOKUP(F536,'Customer Info'!A528:I1027,3,0)</f>
        <v>#N/A</v>
      </c>
      <c r="I536" s="6" t="e">
        <f>VLOOKUP(F536,'Customer Info'!A528:I1027,5,0)</f>
        <v>#N/A</v>
      </c>
      <c r="J536" s="2">
        <v>142</v>
      </c>
      <c r="K536" s="2">
        <v>129</v>
      </c>
      <c r="L536" s="2">
        <v>5</v>
      </c>
      <c r="M536" s="7">
        <f t="shared" si="32"/>
        <v>645</v>
      </c>
      <c r="N536" s="7">
        <f t="shared" si="33"/>
        <v>710</v>
      </c>
      <c r="O536" s="2">
        <v>30</v>
      </c>
      <c r="P536" s="8">
        <f t="shared" si="34"/>
        <v>740</v>
      </c>
      <c r="Q536" s="8">
        <f t="shared" si="35"/>
        <v>680</v>
      </c>
      <c r="R536" s="2" t="s">
        <v>28</v>
      </c>
      <c r="S536" s="9">
        <f>VLOOKUP(P536,$T$2:U533,2,1)</f>
        <v>0.02</v>
      </c>
    </row>
    <row r="537" spans="1:19" x14ac:dyDescent="0.25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e">
        <f>VLOOKUP(F537,'Customer Info'!A529:I1028,2,0)</f>
        <v>#N/A</v>
      </c>
      <c r="H537" s="6" t="e">
        <f>VLOOKUP(F537,'Customer Info'!A529:I1028,3,0)</f>
        <v>#N/A</v>
      </c>
      <c r="I537" s="6" t="e">
        <f>VLOOKUP(F537,'Customer Info'!A529:I1028,5,0)</f>
        <v>#N/A</v>
      </c>
      <c r="J537" s="2">
        <v>1601</v>
      </c>
      <c r="K537" s="2">
        <v>1510</v>
      </c>
      <c r="L537" s="2">
        <v>7</v>
      </c>
      <c r="M537" s="7">
        <f t="shared" si="32"/>
        <v>10570</v>
      </c>
      <c r="N537" s="7">
        <f t="shared" si="33"/>
        <v>11207</v>
      </c>
      <c r="O537" s="2">
        <v>31</v>
      </c>
      <c r="P537" s="8">
        <f t="shared" si="34"/>
        <v>11238</v>
      </c>
      <c r="Q537" s="8">
        <f t="shared" si="35"/>
        <v>11176</v>
      </c>
      <c r="R537" s="2" t="s">
        <v>50</v>
      </c>
      <c r="S537" s="9">
        <f>VLOOKUP(P537,$T$2:U534,2,1)</f>
        <v>0.05</v>
      </c>
    </row>
    <row r="538" spans="1:19" x14ac:dyDescent="0.25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e">
        <f>VLOOKUP(F538,'Customer Info'!A530:I1029,2,0)</f>
        <v>#N/A</v>
      </c>
      <c r="H538" s="6" t="e">
        <f>VLOOKUP(F538,'Customer Info'!A530:I1029,3,0)</f>
        <v>#N/A</v>
      </c>
      <c r="I538" s="6" t="e">
        <f>VLOOKUP(F538,'Customer Info'!A530:I1029,5,0)</f>
        <v>#N/A</v>
      </c>
      <c r="J538" s="2">
        <v>7864</v>
      </c>
      <c r="K538" s="2">
        <v>7563</v>
      </c>
      <c r="L538" s="2">
        <v>2</v>
      </c>
      <c r="M538" s="7">
        <f t="shared" si="32"/>
        <v>15126</v>
      </c>
      <c r="N538" s="7">
        <f t="shared" si="33"/>
        <v>15728</v>
      </c>
      <c r="O538" s="2">
        <v>59</v>
      </c>
      <c r="P538" s="8">
        <f t="shared" si="34"/>
        <v>15787</v>
      </c>
      <c r="Q538" s="8">
        <f t="shared" si="35"/>
        <v>15669</v>
      </c>
      <c r="R538" s="2" t="s">
        <v>28</v>
      </c>
      <c r="S538" s="9">
        <f>VLOOKUP(P538,$T$2:U535,2,1)</f>
        <v>0.05</v>
      </c>
    </row>
    <row r="539" spans="1:19" x14ac:dyDescent="0.25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e">
        <f>VLOOKUP(F539,'Customer Info'!A531:I1030,2,0)</f>
        <v>#N/A</v>
      </c>
      <c r="H539" s="6" t="e">
        <f>VLOOKUP(F539,'Customer Info'!A531:I1030,3,0)</f>
        <v>#N/A</v>
      </c>
      <c r="I539" s="6" t="e">
        <f>VLOOKUP(F539,'Customer Info'!A531:I1030,5,0)</f>
        <v>#N/A</v>
      </c>
      <c r="J539" s="2">
        <v>6027</v>
      </c>
      <c r="K539" s="2">
        <v>5694</v>
      </c>
      <c r="L539" s="2">
        <v>1</v>
      </c>
      <c r="M539" s="7">
        <f t="shared" si="32"/>
        <v>5694</v>
      </c>
      <c r="N539" s="7">
        <f t="shared" si="33"/>
        <v>6027</v>
      </c>
      <c r="O539" s="2">
        <v>83</v>
      </c>
      <c r="P539" s="8">
        <f t="shared" si="34"/>
        <v>6110</v>
      </c>
      <c r="Q539" s="8">
        <f t="shared" si="35"/>
        <v>5944</v>
      </c>
      <c r="R539" s="2" t="s">
        <v>50</v>
      </c>
      <c r="S539" s="9">
        <f>VLOOKUP(P539,$T$2:U536,2,1)</f>
        <v>0.05</v>
      </c>
    </row>
    <row r="540" spans="1:19" x14ac:dyDescent="0.25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e">
        <f>VLOOKUP(F540,'Customer Info'!A532:I1031,2,0)</f>
        <v>#N/A</v>
      </c>
      <c r="H540" s="6" t="e">
        <f>VLOOKUP(F540,'Customer Info'!A532:I1031,3,0)</f>
        <v>#N/A</v>
      </c>
      <c r="I540" s="6" t="e">
        <f>VLOOKUP(F540,'Customer Info'!A532:I1031,5,0)</f>
        <v>#N/A</v>
      </c>
      <c r="J540" s="2">
        <v>1399</v>
      </c>
      <c r="K540" s="2">
        <v>1333</v>
      </c>
      <c r="L540" s="2">
        <v>2</v>
      </c>
      <c r="M540" s="7">
        <f t="shared" si="32"/>
        <v>2666</v>
      </c>
      <c r="N540" s="7">
        <f t="shared" si="33"/>
        <v>2798</v>
      </c>
      <c r="O540" s="2">
        <v>37</v>
      </c>
      <c r="P540" s="8">
        <f t="shared" si="34"/>
        <v>2835</v>
      </c>
      <c r="Q540" s="8">
        <f t="shared" si="35"/>
        <v>2761</v>
      </c>
      <c r="R540" s="2" t="s">
        <v>28</v>
      </c>
      <c r="S540" s="9">
        <f>VLOOKUP(P540,$T$2:U537,2,1)</f>
        <v>0.02</v>
      </c>
    </row>
    <row r="541" spans="1:19" x14ac:dyDescent="0.25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e">
        <f>VLOOKUP(F541,'Customer Info'!A533:I1032,2,0)</f>
        <v>#N/A</v>
      </c>
      <c r="H541" s="6" t="e">
        <f>VLOOKUP(F541,'Customer Info'!A533:I1032,3,0)</f>
        <v>#N/A</v>
      </c>
      <c r="I541" s="6" t="e">
        <f>VLOOKUP(F541,'Customer Info'!A533:I1032,5,0)</f>
        <v>#N/A</v>
      </c>
      <c r="J541" s="2">
        <v>474</v>
      </c>
      <c r="K541" s="2">
        <v>443</v>
      </c>
      <c r="L541" s="2">
        <v>6</v>
      </c>
      <c r="M541" s="7">
        <f t="shared" si="32"/>
        <v>2658</v>
      </c>
      <c r="N541" s="7">
        <f t="shared" si="33"/>
        <v>2844</v>
      </c>
      <c r="O541" s="2">
        <v>43</v>
      </c>
      <c r="P541" s="8">
        <f t="shared" si="34"/>
        <v>2887</v>
      </c>
      <c r="Q541" s="8">
        <f t="shared" si="35"/>
        <v>2801</v>
      </c>
      <c r="R541" s="2" t="s">
        <v>50</v>
      </c>
      <c r="S541" s="9">
        <f>VLOOKUP(P541,$T$2:U538,2,1)</f>
        <v>0.02</v>
      </c>
    </row>
    <row r="542" spans="1:19" x14ac:dyDescent="0.25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e">
        <f>VLOOKUP(F542,'Customer Info'!A534:I1033,2,0)</f>
        <v>#N/A</v>
      </c>
      <c r="H542" s="6" t="e">
        <f>VLOOKUP(F542,'Customer Info'!A534:I1033,3,0)</f>
        <v>#N/A</v>
      </c>
      <c r="I542" s="6" t="e">
        <f>VLOOKUP(F542,'Customer Info'!A534:I1033,5,0)</f>
        <v>#N/A</v>
      </c>
      <c r="J542" s="2">
        <v>2442</v>
      </c>
      <c r="K542" s="2">
        <v>2304</v>
      </c>
      <c r="L542" s="2">
        <v>7</v>
      </c>
      <c r="M542" s="7">
        <f t="shared" si="32"/>
        <v>16128</v>
      </c>
      <c r="N542" s="7">
        <f t="shared" si="33"/>
        <v>17094</v>
      </c>
      <c r="O542" s="2">
        <v>92</v>
      </c>
      <c r="P542" s="8">
        <f t="shared" si="34"/>
        <v>17186</v>
      </c>
      <c r="Q542" s="8">
        <f t="shared" si="35"/>
        <v>17002</v>
      </c>
      <c r="R542" s="2" t="s">
        <v>28</v>
      </c>
      <c r="S542" s="9">
        <f>VLOOKUP(P542,$T$2:U539,2,1)</f>
        <v>0.05</v>
      </c>
    </row>
    <row r="543" spans="1:19" x14ac:dyDescent="0.25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e">
        <f>VLOOKUP(F543,'Customer Info'!A535:I1034,2,0)</f>
        <v>#N/A</v>
      </c>
      <c r="H543" s="6" t="e">
        <f>VLOOKUP(F543,'Customer Info'!A535:I1034,3,0)</f>
        <v>#N/A</v>
      </c>
      <c r="I543" s="6" t="e">
        <f>VLOOKUP(F543,'Customer Info'!A535:I1034,5,0)</f>
        <v>#N/A</v>
      </c>
      <c r="J543" s="2">
        <v>1845</v>
      </c>
      <c r="K543" s="2">
        <v>1742</v>
      </c>
      <c r="L543" s="2">
        <v>1</v>
      </c>
      <c r="M543" s="7">
        <f t="shared" si="32"/>
        <v>1742</v>
      </c>
      <c r="N543" s="7">
        <f t="shared" si="33"/>
        <v>1845</v>
      </c>
      <c r="O543" s="2">
        <v>24</v>
      </c>
      <c r="P543" s="8">
        <f t="shared" si="34"/>
        <v>1869</v>
      </c>
      <c r="Q543" s="8">
        <f t="shared" si="35"/>
        <v>1821</v>
      </c>
      <c r="R543" s="2" t="s">
        <v>50</v>
      </c>
      <c r="S543" s="9">
        <f>VLOOKUP(P543,$T$2:U540,2,1)</f>
        <v>0.02</v>
      </c>
    </row>
    <row r="544" spans="1:19" x14ac:dyDescent="0.25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e">
        <f>VLOOKUP(F544,'Customer Info'!A536:I1035,2,0)</f>
        <v>#N/A</v>
      </c>
      <c r="H544" s="6" t="e">
        <f>VLOOKUP(F544,'Customer Info'!A536:I1035,3,0)</f>
        <v>#N/A</v>
      </c>
      <c r="I544" s="6" t="e">
        <f>VLOOKUP(F544,'Customer Info'!A536:I1035,5,0)</f>
        <v>#N/A</v>
      </c>
      <c r="J544" s="2">
        <v>183</v>
      </c>
      <c r="K544" s="2">
        <v>172</v>
      </c>
      <c r="L544" s="2">
        <v>4</v>
      </c>
      <c r="M544" s="7">
        <f t="shared" si="32"/>
        <v>688</v>
      </c>
      <c r="N544" s="7">
        <f t="shared" si="33"/>
        <v>732</v>
      </c>
      <c r="O544" s="2">
        <v>30</v>
      </c>
      <c r="P544" s="8">
        <f t="shared" si="34"/>
        <v>762</v>
      </c>
      <c r="Q544" s="8">
        <f t="shared" si="35"/>
        <v>702</v>
      </c>
      <c r="R544" s="2" t="s">
        <v>28</v>
      </c>
      <c r="S544" s="9">
        <f>VLOOKUP(P544,$T$2:U541,2,1)</f>
        <v>0.02</v>
      </c>
    </row>
    <row r="545" spans="1:19" x14ac:dyDescent="0.25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e">
        <f>VLOOKUP(F545,'Customer Info'!A537:I1036,2,0)</f>
        <v>#N/A</v>
      </c>
      <c r="H545" s="6" t="e">
        <f>VLOOKUP(F545,'Customer Info'!A537:I1036,3,0)</f>
        <v>#N/A</v>
      </c>
      <c r="I545" s="6" t="e">
        <f>VLOOKUP(F545,'Customer Info'!A537:I1036,5,0)</f>
        <v>#N/A</v>
      </c>
      <c r="J545" s="2">
        <v>4443</v>
      </c>
      <c r="K545" s="2">
        <v>4079</v>
      </c>
      <c r="L545" s="2">
        <v>4</v>
      </c>
      <c r="M545" s="7">
        <f t="shared" si="32"/>
        <v>16316</v>
      </c>
      <c r="N545" s="7">
        <f t="shared" si="33"/>
        <v>17772</v>
      </c>
      <c r="O545" s="2">
        <v>43</v>
      </c>
      <c r="P545" s="8">
        <f t="shared" si="34"/>
        <v>17815</v>
      </c>
      <c r="Q545" s="8">
        <f t="shared" si="35"/>
        <v>17729</v>
      </c>
      <c r="R545" s="2" t="s">
        <v>28</v>
      </c>
      <c r="S545" s="9">
        <f>VLOOKUP(P545,$T$2:U542,2,1)</f>
        <v>0.05</v>
      </c>
    </row>
    <row r="546" spans="1:19" x14ac:dyDescent="0.25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e">
        <f>VLOOKUP(F546,'Customer Info'!A538:I1037,2,0)</f>
        <v>#N/A</v>
      </c>
      <c r="H546" s="6" t="e">
        <f>VLOOKUP(F546,'Customer Info'!A538:I1037,3,0)</f>
        <v>#N/A</v>
      </c>
      <c r="I546" s="6" t="e">
        <f>VLOOKUP(F546,'Customer Info'!A538:I1037,5,0)</f>
        <v>#N/A</v>
      </c>
      <c r="J546" s="2">
        <v>2681</v>
      </c>
      <c r="K546" s="2">
        <v>2458</v>
      </c>
      <c r="L546" s="2">
        <v>2</v>
      </c>
      <c r="M546" s="7">
        <f t="shared" si="32"/>
        <v>4916</v>
      </c>
      <c r="N546" s="7">
        <f t="shared" si="33"/>
        <v>5362</v>
      </c>
      <c r="O546" s="2">
        <v>83</v>
      </c>
      <c r="P546" s="8">
        <f t="shared" si="34"/>
        <v>5445</v>
      </c>
      <c r="Q546" s="8">
        <f t="shared" si="35"/>
        <v>5279</v>
      </c>
      <c r="R546" s="2" t="s">
        <v>28</v>
      </c>
      <c r="S546" s="9">
        <f>VLOOKUP(P546,$T$2:U543,2,1)</f>
        <v>0.05</v>
      </c>
    </row>
    <row r="547" spans="1:19" x14ac:dyDescent="0.25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e">
        <f>VLOOKUP(F547,'Customer Info'!A539:I1038,2,0)</f>
        <v>#N/A</v>
      </c>
      <c r="H547" s="6" t="e">
        <f>VLOOKUP(F547,'Customer Info'!A539:I1038,3,0)</f>
        <v>#N/A</v>
      </c>
      <c r="I547" s="6" t="e">
        <f>VLOOKUP(F547,'Customer Info'!A539:I1038,5,0)</f>
        <v>#N/A</v>
      </c>
      <c r="J547" s="2">
        <v>3108</v>
      </c>
      <c r="K547" s="2">
        <v>2882</v>
      </c>
      <c r="L547" s="2">
        <v>5</v>
      </c>
      <c r="M547" s="7">
        <f t="shared" si="32"/>
        <v>14410</v>
      </c>
      <c r="N547" s="7">
        <f t="shared" si="33"/>
        <v>15540</v>
      </c>
      <c r="O547" s="2">
        <v>76</v>
      </c>
      <c r="P547" s="8">
        <f t="shared" si="34"/>
        <v>15616</v>
      </c>
      <c r="Q547" s="8">
        <f t="shared" si="35"/>
        <v>15464</v>
      </c>
      <c r="R547" s="2" t="s">
        <v>50</v>
      </c>
      <c r="S547" s="9">
        <f>VLOOKUP(P547,$T$2:U544,2,1)</f>
        <v>0.05</v>
      </c>
    </row>
    <row r="548" spans="1:19" x14ac:dyDescent="0.25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e">
        <f>VLOOKUP(F548,'Customer Info'!A540:I1039,2,0)</f>
        <v>#N/A</v>
      </c>
      <c r="H548" s="6" t="e">
        <f>VLOOKUP(F548,'Customer Info'!A540:I1039,3,0)</f>
        <v>#N/A</v>
      </c>
      <c r="I548" s="6" t="e">
        <f>VLOOKUP(F548,'Customer Info'!A540:I1039,5,0)</f>
        <v>#N/A</v>
      </c>
      <c r="J548" s="2">
        <v>39095</v>
      </c>
      <c r="K548" s="2">
        <v>35516</v>
      </c>
      <c r="L548" s="2">
        <v>6</v>
      </c>
      <c r="M548" s="7">
        <f t="shared" si="32"/>
        <v>213096</v>
      </c>
      <c r="N548" s="7">
        <f t="shared" si="33"/>
        <v>234570</v>
      </c>
      <c r="O548" s="2">
        <v>99</v>
      </c>
      <c r="P548" s="8">
        <f t="shared" si="34"/>
        <v>234669</v>
      </c>
      <c r="Q548" s="8">
        <f t="shared" si="35"/>
        <v>234471</v>
      </c>
      <c r="R548" s="2" t="s">
        <v>28</v>
      </c>
      <c r="S548" s="9">
        <f>VLOOKUP(P548,$T$2:U545,2,1)</f>
        <v>0.12</v>
      </c>
    </row>
    <row r="549" spans="1:19" x14ac:dyDescent="0.25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e">
        <f>VLOOKUP(F549,'Customer Info'!A541:I1040,2,0)</f>
        <v>#N/A</v>
      </c>
      <c r="H549" s="6" t="e">
        <f>VLOOKUP(F549,'Customer Info'!A541:I1040,3,0)</f>
        <v>#N/A</v>
      </c>
      <c r="I549" s="6" t="e">
        <f>VLOOKUP(F549,'Customer Info'!A541:I1040,5,0)</f>
        <v>#N/A</v>
      </c>
      <c r="J549" s="2">
        <v>531</v>
      </c>
      <c r="K549" s="2">
        <v>487</v>
      </c>
      <c r="L549" s="2">
        <v>3</v>
      </c>
      <c r="M549" s="7">
        <f t="shared" si="32"/>
        <v>1461</v>
      </c>
      <c r="N549" s="7">
        <f t="shared" si="33"/>
        <v>1593</v>
      </c>
      <c r="O549" s="2">
        <v>33</v>
      </c>
      <c r="P549" s="8">
        <f t="shared" si="34"/>
        <v>1626</v>
      </c>
      <c r="Q549" s="8">
        <f t="shared" si="35"/>
        <v>1560</v>
      </c>
      <c r="R549" s="2" t="s">
        <v>26</v>
      </c>
      <c r="S549" s="9">
        <f>VLOOKUP(P549,$T$2:U546,2,1)</f>
        <v>0.02</v>
      </c>
    </row>
    <row r="550" spans="1:19" x14ac:dyDescent="0.25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e">
        <f>VLOOKUP(F550,'Customer Info'!A542:I1041,2,0)</f>
        <v>#N/A</v>
      </c>
      <c r="H550" s="6" t="e">
        <f>VLOOKUP(F550,'Customer Info'!A542:I1041,3,0)</f>
        <v>#N/A</v>
      </c>
      <c r="I550" s="6" t="e">
        <f>VLOOKUP(F550,'Customer Info'!A542:I1041,5,0)</f>
        <v>#N/A</v>
      </c>
      <c r="J550" s="2">
        <v>136</v>
      </c>
      <c r="K550" s="2">
        <v>130</v>
      </c>
      <c r="L550" s="2">
        <v>9</v>
      </c>
      <c r="M550" s="7">
        <f t="shared" si="32"/>
        <v>1170</v>
      </c>
      <c r="N550" s="7">
        <f t="shared" si="33"/>
        <v>1224</v>
      </c>
      <c r="O550" s="2">
        <v>30</v>
      </c>
      <c r="P550" s="8">
        <f t="shared" si="34"/>
        <v>1254</v>
      </c>
      <c r="Q550" s="8">
        <f t="shared" si="35"/>
        <v>1194</v>
      </c>
      <c r="R550" s="2" t="s">
        <v>28</v>
      </c>
      <c r="S550" s="9">
        <f>VLOOKUP(P550,$T$2:U547,2,1)</f>
        <v>0.02</v>
      </c>
    </row>
    <row r="551" spans="1:19" x14ac:dyDescent="0.25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e">
        <f>VLOOKUP(F551,'Customer Info'!A543:I1042,2,0)</f>
        <v>#N/A</v>
      </c>
      <c r="H551" s="6" t="e">
        <f>VLOOKUP(F551,'Customer Info'!A543:I1042,3,0)</f>
        <v>#N/A</v>
      </c>
      <c r="I551" s="6" t="e">
        <f>VLOOKUP(F551,'Customer Info'!A543:I1042,5,0)</f>
        <v>#N/A</v>
      </c>
      <c r="J551" s="2">
        <v>2296</v>
      </c>
      <c r="K551" s="2">
        <v>2146</v>
      </c>
      <c r="L551" s="2">
        <v>3</v>
      </c>
      <c r="M551" s="7">
        <f t="shared" si="32"/>
        <v>6438</v>
      </c>
      <c r="N551" s="7">
        <f t="shared" si="33"/>
        <v>6888</v>
      </c>
      <c r="O551" s="2">
        <v>68</v>
      </c>
      <c r="P551" s="8">
        <f t="shared" si="34"/>
        <v>6956</v>
      </c>
      <c r="Q551" s="8">
        <f t="shared" si="35"/>
        <v>6820</v>
      </c>
      <c r="R551" s="2" t="s">
        <v>28</v>
      </c>
      <c r="S551" s="9">
        <f>VLOOKUP(P551,$T$2:U548,2,1)</f>
        <v>0.05</v>
      </c>
    </row>
    <row r="552" spans="1:19" x14ac:dyDescent="0.25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e">
        <f>VLOOKUP(F552,'Customer Info'!A544:I1043,2,0)</f>
        <v>#N/A</v>
      </c>
      <c r="H552" s="6" t="e">
        <f>VLOOKUP(F552,'Customer Info'!A544:I1043,3,0)</f>
        <v>#N/A</v>
      </c>
      <c r="I552" s="6" t="e">
        <f>VLOOKUP(F552,'Customer Info'!A544:I1043,5,0)</f>
        <v>#N/A</v>
      </c>
      <c r="J552" s="2">
        <v>2526</v>
      </c>
      <c r="K552" s="2">
        <v>2408</v>
      </c>
      <c r="L552" s="2">
        <v>2</v>
      </c>
      <c r="M552" s="7">
        <f t="shared" si="32"/>
        <v>4816</v>
      </c>
      <c r="N552" s="7">
        <f t="shared" si="33"/>
        <v>5052</v>
      </c>
      <c r="O552" s="2">
        <v>50</v>
      </c>
      <c r="P552" s="8">
        <f t="shared" si="34"/>
        <v>5102</v>
      </c>
      <c r="Q552" s="8">
        <f t="shared" si="35"/>
        <v>5002</v>
      </c>
      <c r="R552" s="2" t="s">
        <v>50</v>
      </c>
      <c r="S552" s="9">
        <f>VLOOKUP(P552,$T$2:U549,2,1)</f>
        <v>0.05</v>
      </c>
    </row>
    <row r="553" spans="1:19" x14ac:dyDescent="0.25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e">
        <f>VLOOKUP(F553,'Customer Info'!A545:I1044,2,0)</f>
        <v>#N/A</v>
      </c>
      <c r="H553" s="6" t="e">
        <f>VLOOKUP(F553,'Customer Info'!A545:I1044,3,0)</f>
        <v>#N/A</v>
      </c>
      <c r="I553" s="6" t="e">
        <f>VLOOKUP(F553,'Customer Info'!A545:I1044,5,0)</f>
        <v>#N/A</v>
      </c>
      <c r="J553" s="2">
        <v>998</v>
      </c>
      <c r="K553" s="2">
        <v>931</v>
      </c>
      <c r="L553" s="2">
        <v>4</v>
      </c>
      <c r="M553" s="7">
        <f t="shared" si="32"/>
        <v>3724</v>
      </c>
      <c r="N553" s="7">
        <f t="shared" si="33"/>
        <v>3992</v>
      </c>
      <c r="O553" s="2">
        <v>91</v>
      </c>
      <c r="P553" s="8">
        <f t="shared" si="34"/>
        <v>4083</v>
      </c>
      <c r="Q553" s="8">
        <f t="shared" si="35"/>
        <v>3901</v>
      </c>
      <c r="R553" s="2" t="s">
        <v>28</v>
      </c>
      <c r="S553" s="9">
        <f>VLOOKUP(P553,$T$2:U550,2,1)</f>
        <v>0.02</v>
      </c>
    </row>
    <row r="554" spans="1:19" x14ac:dyDescent="0.25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e">
        <f>VLOOKUP(F554,'Customer Info'!A546:I1045,2,0)</f>
        <v>#N/A</v>
      </c>
      <c r="H554" s="6" t="e">
        <f>VLOOKUP(F554,'Customer Info'!A546:I1045,3,0)</f>
        <v>#N/A</v>
      </c>
      <c r="I554" s="6" t="e">
        <f>VLOOKUP(F554,'Customer Info'!A546:I1045,5,0)</f>
        <v>#N/A</v>
      </c>
      <c r="J554" s="2">
        <v>465</v>
      </c>
      <c r="K554" s="2">
        <v>439</v>
      </c>
      <c r="L554" s="2">
        <v>4</v>
      </c>
      <c r="M554" s="7">
        <f t="shared" si="32"/>
        <v>1756</v>
      </c>
      <c r="N554" s="7">
        <f t="shared" si="33"/>
        <v>1860</v>
      </c>
      <c r="O554" s="2">
        <v>52</v>
      </c>
      <c r="P554" s="8">
        <f t="shared" si="34"/>
        <v>1912</v>
      </c>
      <c r="Q554" s="8">
        <f t="shared" si="35"/>
        <v>1808</v>
      </c>
      <c r="R554" s="2" t="s">
        <v>28</v>
      </c>
      <c r="S554" s="9">
        <f>VLOOKUP(P554,$T$2:U551,2,1)</f>
        <v>0.02</v>
      </c>
    </row>
    <row r="555" spans="1:19" x14ac:dyDescent="0.25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e">
        <f>VLOOKUP(F555,'Customer Info'!A547:I1046,2,0)</f>
        <v>#N/A</v>
      </c>
      <c r="H555" s="6" t="e">
        <f>VLOOKUP(F555,'Customer Info'!A547:I1046,3,0)</f>
        <v>#N/A</v>
      </c>
      <c r="I555" s="6" t="e">
        <f>VLOOKUP(F555,'Customer Info'!A547:I1046,5,0)</f>
        <v>#N/A</v>
      </c>
      <c r="J555" s="2">
        <v>1222</v>
      </c>
      <c r="K555" s="2">
        <v>1187</v>
      </c>
      <c r="L555" s="2">
        <v>2</v>
      </c>
      <c r="M555" s="7">
        <f t="shared" si="32"/>
        <v>2374</v>
      </c>
      <c r="N555" s="7">
        <f t="shared" si="33"/>
        <v>2444</v>
      </c>
      <c r="O555" s="2">
        <v>78</v>
      </c>
      <c r="P555" s="8">
        <f t="shared" si="34"/>
        <v>2522</v>
      </c>
      <c r="Q555" s="8">
        <f t="shared" si="35"/>
        <v>2366</v>
      </c>
      <c r="R555" s="2" t="s">
        <v>28</v>
      </c>
      <c r="S555" s="9">
        <f>VLOOKUP(P555,$T$2:U552,2,1)</f>
        <v>0.02</v>
      </c>
    </row>
    <row r="556" spans="1:19" x14ac:dyDescent="0.25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e">
        <f>VLOOKUP(F556,'Customer Info'!A548:I1047,2,0)</f>
        <v>#N/A</v>
      </c>
      <c r="H556" s="6" t="e">
        <f>VLOOKUP(F556,'Customer Info'!A548:I1047,3,0)</f>
        <v>#N/A</v>
      </c>
      <c r="I556" s="6" t="e">
        <f>VLOOKUP(F556,'Customer Info'!A548:I1047,5,0)</f>
        <v>#N/A</v>
      </c>
      <c r="J556" s="2">
        <v>1306</v>
      </c>
      <c r="K556" s="2">
        <v>1197</v>
      </c>
      <c r="L556" s="2">
        <v>6</v>
      </c>
      <c r="M556" s="7">
        <f t="shared" si="32"/>
        <v>7182</v>
      </c>
      <c r="N556" s="7">
        <f t="shared" si="33"/>
        <v>7836</v>
      </c>
      <c r="O556" s="2">
        <v>91</v>
      </c>
      <c r="P556" s="8">
        <f t="shared" si="34"/>
        <v>7927</v>
      </c>
      <c r="Q556" s="8">
        <f t="shared" si="35"/>
        <v>7745</v>
      </c>
      <c r="R556" s="2" t="s">
        <v>50</v>
      </c>
      <c r="S556" s="9">
        <f>VLOOKUP(P556,$T$2:U553,2,1)</f>
        <v>0.05</v>
      </c>
    </row>
    <row r="557" spans="1:19" x14ac:dyDescent="0.25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e">
        <f>VLOOKUP(F557,'Customer Info'!A549:I1048,2,0)</f>
        <v>#N/A</v>
      </c>
      <c r="H557" s="6" t="e">
        <f>VLOOKUP(F557,'Customer Info'!A549:I1048,3,0)</f>
        <v>#N/A</v>
      </c>
      <c r="I557" s="6" t="e">
        <f>VLOOKUP(F557,'Customer Info'!A549:I1048,5,0)</f>
        <v>#N/A</v>
      </c>
      <c r="J557" s="2">
        <v>218</v>
      </c>
      <c r="K557" s="2">
        <v>200</v>
      </c>
      <c r="L557" s="2">
        <v>2</v>
      </c>
      <c r="M557" s="7">
        <f t="shared" si="32"/>
        <v>400</v>
      </c>
      <c r="N557" s="7">
        <f t="shared" si="33"/>
        <v>436</v>
      </c>
      <c r="O557" s="2">
        <v>65</v>
      </c>
      <c r="P557" s="8">
        <f t="shared" si="34"/>
        <v>501</v>
      </c>
      <c r="Q557" s="8">
        <f t="shared" si="35"/>
        <v>371</v>
      </c>
      <c r="R557" s="2" t="s">
        <v>50</v>
      </c>
      <c r="S557" s="9">
        <f>VLOOKUP(P557,$T$2:U554,2,1)</f>
        <v>0.02</v>
      </c>
    </row>
    <row r="558" spans="1:19" x14ac:dyDescent="0.25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e">
        <f>VLOOKUP(F558,'Customer Info'!A550:I1049,2,0)</f>
        <v>#N/A</v>
      </c>
      <c r="H558" s="6" t="e">
        <f>VLOOKUP(F558,'Customer Info'!A550:I1049,3,0)</f>
        <v>#N/A</v>
      </c>
      <c r="I558" s="6" t="e">
        <f>VLOOKUP(F558,'Customer Info'!A550:I1049,5,0)</f>
        <v>#N/A</v>
      </c>
      <c r="J558" s="2">
        <v>2790</v>
      </c>
      <c r="K558" s="2">
        <v>2557</v>
      </c>
      <c r="L558" s="2">
        <v>1</v>
      </c>
      <c r="M558" s="7">
        <f t="shared" si="32"/>
        <v>2557</v>
      </c>
      <c r="N558" s="7">
        <f t="shared" si="33"/>
        <v>2790</v>
      </c>
      <c r="O558" s="2">
        <v>52</v>
      </c>
      <c r="P558" s="8">
        <f t="shared" si="34"/>
        <v>2842</v>
      </c>
      <c r="Q558" s="8">
        <f t="shared" si="35"/>
        <v>2738</v>
      </c>
      <c r="R558" s="2" t="s">
        <v>50</v>
      </c>
      <c r="S558" s="9">
        <f>VLOOKUP(P558,$T$2:U555,2,1)</f>
        <v>0.02</v>
      </c>
    </row>
    <row r="559" spans="1:19" x14ac:dyDescent="0.25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e">
        <f>VLOOKUP(F559,'Customer Info'!A551:I1050,2,0)</f>
        <v>#N/A</v>
      </c>
      <c r="H559" s="6" t="e">
        <f>VLOOKUP(F559,'Customer Info'!A551:I1050,3,0)</f>
        <v>#N/A</v>
      </c>
      <c r="I559" s="6" t="e">
        <f>VLOOKUP(F559,'Customer Info'!A551:I1050,5,0)</f>
        <v>#N/A</v>
      </c>
      <c r="J559" s="2">
        <v>3408</v>
      </c>
      <c r="K559" s="2">
        <v>3215</v>
      </c>
      <c r="L559" s="2">
        <v>3</v>
      </c>
      <c r="M559" s="7">
        <f t="shared" si="32"/>
        <v>9645</v>
      </c>
      <c r="N559" s="7">
        <f t="shared" si="33"/>
        <v>10224</v>
      </c>
      <c r="O559" s="2">
        <v>83</v>
      </c>
      <c r="P559" s="8">
        <f t="shared" si="34"/>
        <v>10307</v>
      </c>
      <c r="Q559" s="8">
        <f t="shared" si="35"/>
        <v>10141</v>
      </c>
      <c r="R559" s="2" t="s">
        <v>28</v>
      </c>
      <c r="S559" s="9">
        <f>VLOOKUP(P559,$T$2:U556,2,1)</f>
        <v>0.05</v>
      </c>
    </row>
    <row r="560" spans="1:19" x14ac:dyDescent="0.25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e">
        <f>VLOOKUP(F560,'Customer Info'!A552:I1051,2,0)</f>
        <v>#N/A</v>
      </c>
      <c r="H560" s="6" t="e">
        <f>VLOOKUP(F560,'Customer Info'!A552:I1051,3,0)</f>
        <v>#N/A</v>
      </c>
      <c r="I560" s="6" t="e">
        <f>VLOOKUP(F560,'Customer Info'!A552:I1051,5,0)</f>
        <v>#N/A</v>
      </c>
      <c r="J560" s="2">
        <v>8878</v>
      </c>
      <c r="K560" s="2">
        <v>7914</v>
      </c>
      <c r="L560" s="2">
        <v>5</v>
      </c>
      <c r="M560" s="7">
        <f t="shared" si="32"/>
        <v>39570</v>
      </c>
      <c r="N560" s="7">
        <f t="shared" si="33"/>
        <v>44390</v>
      </c>
      <c r="O560" s="2">
        <v>80</v>
      </c>
      <c r="P560" s="8">
        <f t="shared" si="34"/>
        <v>44470</v>
      </c>
      <c r="Q560" s="8">
        <f t="shared" si="35"/>
        <v>44310</v>
      </c>
      <c r="R560" s="2" t="s">
        <v>28</v>
      </c>
      <c r="S560" s="9">
        <f>VLOOKUP(P560,$T$2:U557,2,1)</f>
        <v>7.0000000000000007E-2</v>
      </c>
    </row>
    <row r="561" spans="1:19" x14ac:dyDescent="0.25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e">
        <f>VLOOKUP(F561,'Customer Info'!A553:I1052,2,0)</f>
        <v>#N/A</v>
      </c>
      <c r="H561" s="6" t="e">
        <f>VLOOKUP(F561,'Customer Info'!A553:I1052,3,0)</f>
        <v>#N/A</v>
      </c>
      <c r="I561" s="6" t="e">
        <f>VLOOKUP(F561,'Customer Info'!A553:I1052,5,0)</f>
        <v>#N/A</v>
      </c>
      <c r="J561" s="2">
        <v>1292</v>
      </c>
      <c r="K561" s="2">
        <v>1185</v>
      </c>
      <c r="L561" s="2">
        <v>5</v>
      </c>
      <c r="M561" s="7">
        <f t="shared" si="32"/>
        <v>5925</v>
      </c>
      <c r="N561" s="7">
        <f t="shared" si="33"/>
        <v>6460</v>
      </c>
      <c r="O561" s="2">
        <v>25</v>
      </c>
      <c r="P561" s="8">
        <f t="shared" si="34"/>
        <v>6485</v>
      </c>
      <c r="Q561" s="8">
        <f t="shared" si="35"/>
        <v>6435</v>
      </c>
      <c r="R561" s="2" t="s">
        <v>28</v>
      </c>
      <c r="S561" s="9">
        <f>VLOOKUP(P561,$T$2:U558,2,1)</f>
        <v>0.05</v>
      </c>
    </row>
    <row r="562" spans="1:19" x14ac:dyDescent="0.25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e">
        <f>VLOOKUP(F562,'Customer Info'!A554:I1053,2,0)</f>
        <v>#N/A</v>
      </c>
      <c r="H562" s="6" t="e">
        <f>VLOOKUP(F562,'Customer Info'!A554:I1053,3,0)</f>
        <v>#N/A</v>
      </c>
      <c r="I562" s="6" t="e">
        <f>VLOOKUP(F562,'Customer Info'!A554:I1053,5,0)</f>
        <v>#N/A</v>
      </c>
      <c r="J562" s="2">
        <v>68</v>
      </c>
      <c r="K562" s="2">
        <v>63</v>
      </c>
      <c r="L562" s="2">
        <v>2</v>
      </c>
      <c r="M562" s="7">
        <f t="shared" si="32"/>
        <v>126</v>
      </c>
      <c r="N562" s="7">
        <f t="shared" si="33"/>
        <v>136</v>
      </c>
      <c r="O562" s="2">
        <v>10</v>
      </c>
      <c r="P562" s="8">
        <f t="shared" si="34"/>
        <v>146</v>
      </c>
      <c r="Q562" s="8">
        <f t="shared" si="35"/>
        <v>126</v>
      </c>
      <c r="R562" s="2" t="s">
        <v>26</v>
      </c>
      <c r="S562" s="9">
        <f>VLOOKUP(P562,$T$2:U559,2,1)</f>
        <v>0.02</v>
      </c>
    </row>
    <row r="563" spans="1:19" x14ac:dyDescent="0.25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e">
        <f>VLOOKUP(F563,'Customer Info'!A555:I1054,2,0)</f>
        <v>#N/A</v>
      </c>
      <c r="H563" s="6" t="e">
        <f>VLOOKUP(F563,'Customer Info'!A555:I1054,3,0)</f>
        <v>#N/A</v>
      </c>
      <c r="I563" s="6" t="e">
        <f>VLOOKUP(F563,'Customer Info'!A555:I1054,5,0)</f>
        <v>#N/A</v>
      </c>
      <c r="J563" s="2">
        <v>179</v>
      </c>
      <c r="K563" s="2">
        <v>166</v>
      </c>
      <c r="L563" s="2">
        <v>1</v>
      </c>
      <c r="M563" s="7">
        <f t="shared" si="32"/>
        <v>166</v>
      </c>
      <c r="N563" s="7">
        <f t="shared" si="33"/>
        <v>179</v>
      </c>
      <c r="O563" s="2">
        <v>30</v>
      </c>
      <c r="P563" s="8">
        <f t="shared" si="34"/>
        <v>209</v>
      </c>
      <c r="Q563" s="8">
        <f t="shared" si="35"/>
        <v>149</v>
      </c>
      <c r="R563" s="2" t="s">
        <v>28</v>
      </c>
      <c r="S563" s="9">
        <f>VLOOKUP(P563,$T$2:U560,2,1)</f>
        <v>0.02</v>
      </c>
    </row>
    <row r="564" spans="1:19" x14ac:dyDescent="0.25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e">
        <f>VLOOKUP(F564,'Customer Info'!A556:I1055,2,0)</f>
        <v>#N/A</v>
      </c>
      <c r="H564" s="6" t="e">
        <f>VLOOKUP(F564,'Customer Info'!A556:I1055,3,0)</f>
        <v>#N/A</v>
      </c>
      <c r="I564" s="6" t="e">
        <f>VLOOKUP(F564,'Customer Info'!A556:I1055,5,0)</f>
        <v>#N/A</v>
      </c>
      <c r="J564" s="2">
        <v>8967</v>
      </c>
      <c r="K564" s="2">
        <v>8151</v>
      </c>
      <c r="L564" s="2">
        <v>4</v>
      </c>
      <c r="M564" s="7">
        <f t="shared" si="32"/>
        <v>32604</v>
      </c>
      <c r="N564" s="7">
        <f t="shared" si="33"/>
        <v>35868</v>
      </c>
      <c r="O564" s="2">
        <v>62</v>
      </c>
      <c r="P564" s="8">
        <f t="shared" si="34"/>
        <v>35930</v>
      </c>
      <c r="Q564" s="8">
        <f t="shared" si="35"/>
        <v>35806</v>
      </c>
      <c r="R564" s="2" t="s">
        <v>28</v>
      </c>
      <c r="S564" s="9">
        <f>VLOOKUP(P564,$T$2:U561,2,1)</f>
        <v>7.0000000000000007E-2</v>
      </c>
    </row>
    <row r="565" spans="1:19" x14ac:dyDescent="0.25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e">
        <f>VLOOKUP(F565,'Customer Info'!A557:I1056,2,0)</f>
        <v>#N/A</v>
      </c>
      <c r="H565" s="6" t="e">
        <f>VLOOKUP(F565,'Customer Info'!A557:I1056,3,0)</f>
        <v>#N/A</v>
      </c>
      <c r="I565" s="6" t="e">
        <f>VLOOKUP(F565,'Customer Info'!A557:I1056,5,0)</f>
        <v>#N/A</v>
      </c>
      <c r="J565" s="2">
        <v>2243</v>
      </c>
      <c r="K565" s="2">
        <v>2000</v>
      </c>
      <c r="L565" s="2">
        <v>5</v>
      </c>
      <c r="M565" s="7">
        <f t="shared" si="32"/>
        <v>10000</v>
      </c>
      <c r="N565" s="7">
        <f t="shared" si="33"/>
        <v>11215</v>
      </c>
      <c r="O565" s="2">
        <v>41</v>
      </c>
      <c r="P565" s="8">
        <f t="shared" si="34"/>
        <v>11256</v>
      </c>
      <c r="Q565" s="8">
        <f t="shared" si="35"/>
        <v>11174</v>
      </c>
      <c r="R565" s="2" t="s">
        <v>28</v>
      </c>
      <c r="S565" s="9">
        <f>VLOOKUP(P565,$T$2:U562,2,1)</f>
        <v>0.05</v>
      </c>
    </row>
    <row r="566" spans="1:19" x14ac:dyDescent="0.25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e">
        <f>VLOOKUP(F566,'Customer Info'!A558:I1057,2,0)</f>
        <v>#N/A</v>
      </c>
      <c r="H566" s="6" t="e">
        <f>VLOOKUP(F566,'Customer Info'!A558:I1057,3,0)</f>
        <v>#N/A</v>
      </c>
      <c r="I566" s="6" t="e">
        <f>VLOOKUP(F566,'Customer Info'!A558:I1057,5,0)</f>
        <v>#N/A</v>
      </c>
      <c r="J566" s="2">
        <v>2205</v>
      </c>
      <c r="K566" s="2">
        <v>2061</v>
      </c>
      <c r="L566" s="2">
        <v>3</v>
      </c>
      <c r="M566" s="7">
        <f t="shared" si="32"/>
        <v>6183</v>
      </c>
      <c r="N566" s="7">
        <f t="shared" si="33"/>
        <v>6615</v>
      </c>
      <c r="O566" s="2">
        <v>90</v>
      </c>
      <c r="P566" s="8">
        <f t="shared" si="34"/>
        <v>6705</v>
      </c>
      <c r="Q566" s="8">
        <f t="shared" si="35"/>
        <v>6525</v>
      </c>
      <c r="R566" s="2" t="s">
        <v>28</v>
      </c>
      <c r="S566" s="9">
        <f>VLOOKUP(P566,$T$2:U563,2,1)</f>
        <v>0.05</v>
      </c>
    </row>
    <row r="567" spans="1:19" x14ac:dyDescent="0.25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e">
        <f>VLOOKUP(F567,'Customer Info'!A559:I1058,2,0)</f>
        <v>#N/A</v>
      </c>
      <c r="H567" s="6" t="e">
        <f>VLOOKUP(F567,'Customer Info'!A559:I1058,3,0)</f>
        <v>#N/A</v>
      </c>
      <c r="I567" s="6" t="e">
        <f>VLOOKUP(F567,'Customer Info'!A559:I1058,5,0)</f>
        <v>#N/A</v>
      </c>
      <c r="J567" s="2">
        <v>3053</v>
      </c>
      <c r="K567" s="2">
        <v>2937</v>
      </c>
      <c r="L567" s="2">
        <v>7</v>
      </c>
      <c r="M567" s="7">
        <f t="shared" si="32"/>
        <v>20559</v>
      </c>
      <c r="N567" s="7">
        <f t="shared" si="33"/>
        <v>21371</v>
      </c>
      <c r="O567" s="2">
        <v>32</v>
      </c>
      <c r="P567" s="8">
        <f t="shared" si="34"/>
        <v>21403</v>
      </c>
      <c r="Q567" s="8">
        <f t="shared" si="35"/>
        <v>21339</v>
      </c>
      <c r="R567" s="2" t="s">
        <v>28</v>
      </c>
      <c r="S567" s="9">
        <f>VLOOKUP(P567,$T$2:U564,2,1)</f>
        <v>0.05</v>
      </c>
    </row>
    <row r="568" spans="1:19" x14ac:dyDescent="0.25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e">
        <f>VLOOKUP(F568,'Customer Info'!A560:I1059,2,0)</f>
        <v>#N/A</v>
      </c>
      <c r="H568" s="6" t="e">
        <f>VLOOKUP(F568,'Customer Info'!A560:I1059,3,0)</f>
        <v>#N/A</v>
      </c>
      <c r="I568" s="6" t="e">
        <f>VLOOKUP(F568,'Customer Info'!A560:I1059,5,0)</f>
        <v>#N/A</v>
      </c>
      <c r="J568" s="2">
        <v>8665</v>
      </c>
      <c r="K568" s="2">
        <v>7723</v>
      </c>
      <c r="L568" s="2">
        <v>3</v>
      </c>
      <c r="M568" s="7">
        <f t="shared" si="32"/>
        <v>23169</v>
      </c>
      <c r="N568" s="7">
        <f t="shared" si="33"/>
        <v>25995</v>
      </c>
      <c r="O568" s="2">
        <v>52</v>
      </c>
      <c r="P568" s="8">
        <f t="shared" si="34"/>
        <v>26047</v>
      </c>
      <c r="Q568" s="8">
        <f t="shared" si="35"/>
        <v>25943</v>
      </c>
      <c r="R568" s="2" t="s">
        <v>50</v>
      </c>
      <c r="S568" s="9">
        <f>VLOOKUP(P568,$T$2:U565,2,1)</f>
        <v>7.0000000000000007E-2</v>
      </c>
    </row>
    <row r="569" spans="1:19" x14ac:dyDescent="0.25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e">
        <f>VLOOKUP(F569,'Customer Info'!A561:I1060,2,0)</f>
        <v>#N/A</v>
      </c>
      <c r="H569" s="6" t="e">
        <f>VLOOKUP(F569,'Customer Info'!A561:I1060,3,0)</f>
        <v>#N/A</v>
      </c>
      <c r="I569" s="6" t="e">
        <f>VLOOKUP(F569,'Customer Info'!A561:I1060,5,0)</f>
        <v>#N/A</v>
      </c>
      <c r="J569" s="2">
        <v>9306</v>
      </c>
      <c r="K569" s="2">
        <v>8461</v>
      </c>
      <c r="L569" s="2">
        <v>2</v>
      </c>
      <c r="M569" s="7">
        <f t="shared" si="32"/>
        <v>16922</v>
      </c>
      <c r="N569" s="7">
        <f t="shared" si="33"/>
        <v>18612</v>
      </c>
      <c r="O569" s="2">
        <v>20</v>
      </c>
      <c r="P569" s="8">
        <f t="shared" si="34"/>
        <v>18632</v>
      </c>
      <c r="Q569" s="8">
        <f t="shared" si="35"/>
        <v>18592</v>
      </c>
      <c r="R569" s="2" t="s">
        <v>28</v>
      </c>
      <c r="S569" s="9">
        <f>VLOOKUP(P569,$T$2:U566,2,1)</f>
        <v>0.05</v>
      </c>
    </row>
    <row r="570" spans="1:19" x14ac:dyDescent="0.25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e">
        <f>VLOOKUP(F570,'Customer Info'!A562:I1061,2,0)</f>
        <v>#N/A</v>
      </c>
      <c r="H570" s="6" t="e">
        <f>VLOOKUP(F570,'Customer Info'!A562:I1061,3,0)</f>
        <v>#N/A</v>
      </c>
      <c r="I570" s="6" t="e">
        <f>VLOOKUP(F570,'Customer Info'!A562:I1061,5,0)</f>
        <v>#N/A</v>
      </c>
      <c r="J570" s="2">
        <v>495</v>
      </c>
      <c r="K570" s="2">
        <v>458</v>
      </c>
      <c r="L570" s="2">
        <v>2</v>
      </c>
      <c r="M570" s="7">
        <f t="shared" si="32"/>
        <v>916</v>
      </c>
      <c r="N570" s="7">
        <f t="shared" si="33"/>
        <v>990</v>
      </c>
      <c r="O570" s="2">
        <v>24</v>
      </c>
      <c r="P570" s="8">
        <f t="shared" si="34"/>
        <v>1014</v>
      </c>
      <c r="Q570" s="8">
        <f t="shared" si="35"/>
        <v>966</v>
      </c>
      <c r="R570" s="2" t="s">
        <v>28</v>
      </c>
      <c r="S570" s="9">
        <f>VLOOKUP(P570,$T$2:U567,2,1)</f>
        <v>0.02</v>
      </c>
    </row>
    <row r="571" spans="1:19" x14ac:dyDescent="0.25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e">
        <f>VLOOKUP(F571,'Customer Info'!A563:I1062,2,0)</f>
        <v>#N/A</v>
      </c>
      <c r="H571" s="6" t="e">
        <f>VLOOKUP(F571,'Customer Info'!A563:I1062,3,0)</f>
        <v>#N/A</v>
      </c>
      <c r="I571" s="6" t="e">
        <f>VLOOKUP(F571,'Customer Info'!A563:I1062,5,0)</f>
        <v>#N/A</v>
      </c>
      <c r="J571" s="2">
        <v>6354</v>
      </c>
      <c r="K571" s="2">
        <v>5769</v>
      </c>
      <c r="L571" s="2">
        <v>2</v>
      </c>
      <c r="M571" s="7">
        <f t="shared" si="32"/>
        <v>11538</v>
      </c>
      <c r="N571" s="7">
        <f t="shared" si="33"/>
        <v>12708</v>
      </c>
      <c r="O571" s="2">
        <v>26</v>
      </c>
      <c r="P571" s="8">
        <f t="shared" si="34"/>
        <v>12734</v>
      </c>
      <c r="Q571" s="8">
        <f t="shared" si="35"/>
        <v>12682</v>
      </c>
      <c r="R571" s="2" t="s">
        <v>26</v>
      </c>
      <c r="S571" s="9">
        <f>VLOOKUP(P571,$T$2:U568,2,1)</f>
        <v>0.05</v>
      </c>
    </row>
    <row r="572" spans="1:19" x14ac:dyDescent="0.25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e">
        <f>VLOOKUP(F572,'Customer Info'!A564:I1063,2,0)</f>
        <v>#N/A</v>
      </c>
      <c r="H572" s="6" t="e">
        <f>VLOOKUP(F572,'Customer Info'!A564:I1063,3,0)</f>
        <v>#N/A</v>
      </c>
      <c r="I572" s="6" t="e">
        <f>VLOOKUP(F572,'Customer Info'!A564:I1063,5,0)</f>
        <v>#N/A</v>
      </c>
      <c r="J572" s="2">
        <v>139</v>
      </c>
      <c r="K572" s="2">
        <v>133</v>
      </c>
      <c r="L572" s="2">
        <v>3</v>
      </c>
      <c r="M572" s="7">
        <f t="shared" si="32"/>
        <v>399</v>
      </c>
      <c r="N572" s="7">
        <f t="shared" si="33"/>
        <v>417</v>
      </c>
      <c r="O572" s="2">
        <v>30</v>
      </c>
      <c r="P572" s="8">
        <f t="shared" si="34"/>
        <v>447</v>
      </c>
      <c r="Q572" s="8">
        <f t="shared" si="35"/>
        <v>387</v>
      </c>
      <c r="R572" s="2" t="s">
        <v>28</v>
      </c>
      <c r="S572" s="9">
        <f>VLOOKUP(P572,$T$2:U569,2,1)</f>
        <v>0.02</v>
      </c>
    </row>
    <row r="573" spans="1:19" x14ac:dyDescent="0.25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e">
        <f>VLOOKUP(F573,'Customer Info'!A565:I1064,2,0)</f>
        <v>#N/A</v>
      </c>
      <c r="H573" s="6" t="e">
        <f>VLOOKUP(F573,'Customer Info'!A565:I1064,3,0)</f>
        <v>#N/A</v>
      </c>
      <c r="I573" s="6" t="e">
        <f>VLOOKUP(F573,'Customer Info'!A565:I1064,5,0)</f>
        <v>#N/A</v>
      </c>
      <c r="J573" s="2">
        <v>3091</v>
      </c>
      <c r="K573" s="2">
        <v>2889</v>
      </c>
      <c r="L573" s="2">
        <v>4</v>
      </c>
      <c r="M573" s="7">
        <f t="shared" si="32"/>
        <v>11556</v>
      </c>
      <c r="N573" s="7">
        <f t="shared" si="33"/>
        <v>12364</v>
      </c>
      <c r="O573" s="2">
        <v>40</v>
      </c>
      <c r="P573" s="8">
        <f t="shared" si="34"/>
        <v>12404</v>
      </c>
      <c r="Q573" s="8">
        <f t="shared" si="35"/>
        <v>12324</v>
      </c>
      <c r="R573" s="2" t="s">
        <v>50</v>
      </c>
      <c r="S573" s="9">
        <f>VLOOKUP(P573,$T$2:U570,2,1)</f>
        <v>0.05</v>
      </c>
    </row>
    <row r="574" spans="1:19" x14ac:dyDescent="0.25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e">
        <f>VLOOKUP(F574,'Customer Info'!A566:I1065,2,0)</f>
        <v>#N/A</v>
      </c>
      <c r="H574" s="6" t="e">
        <f>VLOOKUP(F574,'Customer Info'!A566:I1065,3,0)</f>
        <v>#N/A</v>
      </c>
      <c r="I574" s="6" t="e">
        <f>VLOOKUP(F574,'Customer Info'!A566:I1065,5,0)</f>
        <v>#N/A</v>
      </c>
      <c r="J574" s="2">
        <v>3145</v>
      </c>
      <c r="K574" s="2">
        <v>3025</v>
      </c>
      <c r="L574" s="2">
        <v>3</v>
      </c>
      <c r="M574" s="7">
        <f t="shared" si="32"/>
        <v>9075</v>
      </c>
      <c r="N574" s="7">
        <f t="shared" si="33"/>
        <v>9435</v>
      </c>
      <c r="O574" s="2">
        <v>29</v>
      </c>
      <c r="P574" s="8">
        <f t="shared" si="34"/>
        <v>9464</v>
      </c>
      <c r="Q574" s="8">
        <f t="shared" si="35"/>
        <v>9406</v>
      </c>
      <c r="R574" s="2" t="s">
        <v>28</v>
      </c>
      <c r="S574" s="9">
        <f>VLOOKUP(P574,$T$2:U571,2,1)</f>
        <v>0.05</v>
      </c>
    </row>
    <row r="575" spans="1:19" x14ac:dyDescent="0.25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e">
        <f>VLOOKUP(F575,'Customer Info'!A567:I1066,2,0)</f>
        <v>#N/A</v>
      </c>
      <c r="H575" s="6" t="e">
        <f>VLOOKUP(F575,'Customer Info'!A567:I1066,3,0)</f>
        <v>#N/A</v>
      </c>
      <c r="I575" s="6" t="e">
        <f>VLOOKUP(F575,'Customer Info'!A567:I1066,5,0)</f>
        <v>#N/A</v>
      </c>
      <c r="J575" s="2">
        <v>2342</v>
      </c>
      <c r="K575" s="2">
        <v>2210</v>
      </c>
      <c r="L575" s="2">
        <v>2</v>
      </c>
      <c r="M575" s="7">
        <f t="shared" si="32"/>
        <v>4420</v>
      </c>
      <c r="N575" s="7">
        <f t="shared" si="33"/>
        <v>4684</v>
      </c>
      <c r="O575" s="2">
        <v>24</v>
      </c>
      <c r="P575" s="8">
        <f t="shared" si="34"/>
        <v>4708</v>
      </c>
      <c r="Q575" s="8">
        <f t="shared" si="35"/>
        <v>4660</v>
      </c>
      <c r="R575" s="2" t="s">
        <v>50</v>
      </c>
      <c r="S575" s="9">
        <f>VLOOKUP(P575,$T$2:U572,2,1)</f>
        <v>0.02</v>
      </c>
    </row>
    <row r="576" spans="1:19" x14ac:dyDescent="0.25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e">
        <f>VLOOKUP(F576,'Customer Info'!A568:I1067,2,0)</f>
        <v>#N/A</v>
      </c>
      <c r="H576" s="6" t="e">
        <f>VLOOKUP(F576,'Customer Info'!A568:I1067,3,0)</f>
        <v>#N/A</v>
      </c>
      <c r="I576" s="6" t="e">
        <f>VLOOKUP(F576,'Customer Info'!A568:I1067,5,0)</f>
        <v>#N/A</v>
      </c>
      <c r="J576" s="2">
        <v>164</v>
      </c>
      <c r="K576" s="2">
        <v>152</v>
      </c>
      <c r="L576" s="2">
        <v>1</v>
      </c>
      <c r="M576" s="7">
        <f t="shared" si="32"/>
        <v>152</v>
      </c>
      <c r="N576" s="7">
        <f t="shared" si="33"/>
        <v>164</v>
      </c>
      <c r="O576" s="2">
        <v>30</v>
      </c>
      <c r="P576" s="8">
        <f t="shared" si="34"/>
        <v>194</v>
      </c>
      <c r="Q576" s="8">
        <f t="shared" si="35"/>
        <v>134</v>
      </c>
      <c r="R576" s="2" t="s">
        <v>28</v>
      </c>
      <c r="S576" s="9">
        <f>VLOOKUP(P576,$T$2:U573,2,1)</f>
        <v>0.02</v>
      </c>
    </row>
    <row r="577" spans="1:19" x14ac:dyDescent="0.25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e">
        <f>VLOOKUP(F577,'Customer Info'!A569:I1068,2,0)</f>
        <v>#N/A</v>
      </c>
      <c r="H577" s="6" t="e">
        <f>VLOOKUP(F577,'Customer Info'!A569:I1068,3,0)</f>
        <v>#N/A</v>
      </c>
      <c r="I577" s="6" t="e">
        <f>VLOOKUP(F577,'Customer Info'!A569:I1068,5,0)</f>
        <v>#N/A</v>
      </c>
      <c r="J577" s="2">
        <v>1700</v>
      </c>
      <c r="K577" s="2">
        <v>1620</v>
      </c>
      <c r="L577" s="2">
        <v>4</v>
      </c>
      <c r="M577" s="7">
        <f t="shared" si="32"/>
        <v>6480</v>
      </c>
      <c r="N577" s="7">
        <f t="shared" si="33"/>
        <v>6800</v>
      </c>
      <c r="O577" s="2">
        <v>51</v>
      </c>
      <c r="P577" s="8">
        <f t="shared" si="34"/>
        <v>6851</v>
      </c>
      <c r="Q577" s="8">
        <f t="shared" si="35"/>
        <v>6749</v>
      </c>
      <c r="R577" s="2" t="s">
        <v>50</v>
      </c>
      <c r="S577" s="9">
        <f>VLOOKUP(P577,$T$2:U574,2,1)</f>
        <v>0.05</v>
      </c>
    </row>
    <row r="578" spans="1:19" x14ac:dyDescent="0.25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e">
        <f>VLOOKUP(F578,'Customer Info'!A570:I1069,2,0)</f>
        <v>#N/A</v>
      </c>
      <c r="H578" s="6" t="e">
        <f>VLOOKUP(F578,'Customer Info'!A570:I1069,3,0)</f>
        <v>#N/A</v>
      </c>
      <c r="I578" s="6" t="e">
        <f>VLOOKUP(F578,'Customer Info'!A570:I1069,5,0)</f>
        <v>#N/A</v>
      </c>
      <c r="J578" s="2">
        <v>24662</v>
      </c>
      <c r="K578" s="2">
        <v>23061</v>
      </c>
      <c r="L578" s="2">
        <v>3</v>
      </c>
      <c r="M578" s="7">
        <f t="shared" si="32"/>
        <v>69183</v>
      </c>
      <c r="N578" s="7">
        <f t="shared" si="33"/>
        <v>73986</v>
      </c>
      <c r="O578" s="2">
        <v>87</v>
      </c>
      <c r="P578" s="8">
        <f t="shared" si="34"/>
        <v>74073</v>
      </c>
      <c r="Q578" s="8">
        <f t="shared" si="35"/>
        <v>73899</v>
      </c>
      <c r="R578" s="2" t="s">
        <v>28</v>
      </c>
      <c r="S578" s="9">
        <f>VLOOKUP(P578,$T$2:U575,2,1)</f>
        <v>0.09</v>
      </c>
    </row>
    <row r="579" spans="1:19" x14ac:dyDescent="0.25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e">
        <f>VLOOKUP(F579,'Customer Info'!A571:I1070,2,0)</f>
        <v>#N/A</v>
      </c>
      <c r="H579" s="6" t="e">
        <f>VLOOKUP(F579,'Customer Info'!A571:I1070,3,0)</f>
        <v>#N/A</v>
      </c>
      <c r="I579" s="6" t="e">
        <f>VLOOKUP(F579,'Customer Info'!A571:I1070,5,0)</f>
        <v>#N/A</v>
      </c>
      <c r="J579" s="2">
        <v>224</v>
      </c>
      <c r="K579" s="2">
        <v>210</v>
      </c>
      <c r="L579" s="2">
        <v>3</v>
      </c>
      <c r="M579" s="7">
        <f t="shared" si="32"/>
        <v>630</v>
      </c>
      <c r="N579" s="7">
        <f t="shared" si="33"/>
        <v>672</v>
      </c>
      <c r="O579" s="2">
        <v>34</v>
      </c>
      <c r="P579" s="8">
        <f t="shared" si="34"/>
        <v>706</v>
      </c>
      <c r="Q579" s="8">
        <f t="shared" si="35"/>
        <v>638</v>
      </c>
      <c r="R579" s="2" t="s">
        <v>28</v>
      </c>
      <c r="S579" s="9">
        <f>VLOOKUP(P579,$T$2:U576,2,1)</f>
        <v>0.02</v>
      </c>
    </row>
    <row r="580" spans="1:19" x14ac:dyDescent="0.25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e">
        <f>VLOOKUP(F580,'Customer Info'!A572:I1071,2,0)</f>
        <v>#N/A</v>
      </c>
      <c r="H580" s="6" t="e">
        <f>VLOOKUP(F580,'Customer Info'!A572:I1071,3,0)</f>
        <v>#N/A</v>
      </c>
      <c r="I580" s="6" t="e">
        <f>VLOOKUP(F580,'Customer Info'!A572:I1071,5,0)</f>
        <v>#N/A</v>
      </c>
      <c r="J580" s="2">
        <v>142</v>
      </c>
      <c r="K580" s="2">
        <v>129</v>
      </c>
      <c r="L580" s="2">
        <v>2</v>
      </c>
      <c r="M580" s="7">
        <f t="shared" si="32"/>
        <v>258</v>
      </c>
      <c r="N580" s="7">
        <f t="shared" si="33"/>
        <v>284</v>
      </c>
      <c r="O580" s="2">
        <v>30</v>
      </c>
      <c r="P580" s="8">
        <f t="shared" si="34"/>
        <v>314</v>
      </c>
      <c r="Q580" s="8">
        <f t="shared" si="35"/>
        <v>254</v>
      </c>
      <c r="R580" s="2" t="s">
        <v>28</v>
      </c>
      <c r="S580" s="9">
        <f>VLOOKUP(P580,$T$2:U577,2,1)</f>
        <v>0.02</v>
      </c>
    </row>
    <row r="581" spans="1:19" x14ac:dyDescent="0.25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e">
        <f>VLOOKUP(F581,'Customer Info'!A573:I1072,2,0)</f>
        <v>#N/A</v>
      </c>
      <c r="H581" s="6" t="e">
        <f>VLOOKUP(F581,'Customer Info'!A573:I1072,3,0)</f>
        <v>#N/A</v>
      </c>
      <c r="I581" s="6" t="e">
        <f>VLOOKUP(F581,'Customer Info'!A573:I1072,5,0)</f>
        <v>#N/A</v>
      </c>
      <c r="J581" s="2">
        <v>1587</v>
      </c>
      <c r="K581" s="2">
        <v>1428</v>
      </c>
      <c r="L581" s="2">
        <v>2</v>
      </c>
      <c r="M581" s="7">
        <f t="shared" si="32"/>
        <v>2856</v>
      </c>
      <c r="N581" s="7">
        <f t="shared" si="33"/>
        <v>3174</v>
      </c>
      <c r="O581" s="2">
        <v>53</v>
      </c>
      <c r="P581" s="8">
        <f t="shared" si="34"/>
        <v>3227</v>
      </c>
      <c r="Q581" s="8">
        <f t="shared" si="35"/>
        <v>3121</v>
      </c>
      <c r="R581" s="2" t="s">
        <v>56</v>
      </c>
      <c r="S581" s="9">
        <f>VLOOKUP(P581,$T$2:U578,2,1)</f>
        <v>0.02</v>
      </c>
    </row>
    <row r="582" spans="1:19" x14ac:dyDescent="0.25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e">
        <f>VLOOKUP(F582,'Customer Info'!A574:I1073,2,0)</f>
        <v>#N/A</v>
      </c>
      <c r="H582" s="6" t="e">
        <f>VLOOKUP(F582,'Customer Info'!A574:I1073,3,0)</f>
        <v>#N/A</v>
      </c>
      <c r="I582" s="6" t="e">
        <f>VLOOKUP(F582,'Customer Info'!A574:I1073,5,0)</f>
        <v>#N/A</v>
      </c>
      <c r="J582" s="2">
        <v>2829</v>
      </c>
      <c r="K582" s="2">
        <v>2596</v>
      </c>
      <c r="L582" s="2">
        <v>4</v>
      </c>
      <c r="M582" s="7">
        <f t="shared" si="32"/>
        <v>10384</v>
      </c>
      <c r="N582" s="7">
        <f t="shared" si="33"/>
        <v>11316</v>
      </c>
      <c r="O582" s="2">
        <v>44</v>
      </c>
      <c r="P582" s="8">
        <f t="shared" si="34"/>
        <v>11360</v>
      </c>
      <c r="Q582" s="8">
        <f t="shared" si="35"/>
        <v>11272</v>
      </c>
      <c r="R582" s="2" t="s">
        <v>28</v>
      </c>
      <c r="S582" s="9">
        <f>VLOOKUP(P582,$T$2:U579,2,1)</f>
        <v>0.05</v>
      </c>
    </row>
    <row r="583" spans="1:19" x14ac:dyDescent="0.25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e">
        <f>VLOOKUP(F583,'Customer Info'!A575:I1074,2,0)</f>
        <v>#N/A</v>
      </c>
      <c r="H583" s="6" t="e">
        <f>VLOOKUP(F583,'Customer Info'!A575:I1074,3,0)</f>
        <v>#N/A</v>
      </c>
      <c r="I583" s="6" t="e">
        <f>VLOOKUP(F583,'Customer Info'!A575:I1074,5,0)</f>
        <v>#N/A</v>
      </c>
      <c r="J583" s="2">
        <v>8022</v>
      </c>
      <c r="K583" s="2">
        <v>7868</v>
      </c>
      <c r="L583" s="2">
        <v>9</v>
      </c>
      <c r="M583" s="7">
        <f t="shared" si="32"/>
        <v>70812</v>
      </c>
      <c r="N583" s="7">
        <f t="shared" si="33"/>
        <v>72198</v>
      </c>
      <c r="O583" s="2">
        <v>25</v>
      </c>
      <c r="P583" s="8">
        <f t="shared" si="34"/>
        <v>72223</v>
      </c>
      <c r="Q583" s="8">
        <f t="shared" si="35"/>
        <v>72173</v>
      </c>
      <c r="R583" s="2" t="s">
        <v>28</v>
      </c>
      <c r="S583" s="9">
        <f>VLOOKUP(P583,$T$2:U580,2,1)</f>
        <v>0.09</v>
      </c>
    </row>
    <row r="584" spans="1:19" x14ac:dyDescent="0.25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e">
        <f>VLOOKUP(F584,'Customer Info'!A576:I1075,2,0)</f>
        <v>#N/A</v>
      </c>
      <c r="H584" s="6" t="e">
        <f>VLOOKUP(F584,'Customer Info'!A576:I1075,3,0)</f>
        <v>#N/A</v>
      </c>
      <c r="I584" s="6" t="e">
        <f>VLOOKUP(F584,'Customer Info'!A576:I1075,5,0)</f>
        <v>#N/A</v>
      </c>
      <c r="J584" s="2">
        <v>2249</v>
      </c>
      <c r="K584" s="2">
        <v>2102</v>
      </c>
      <c r="L584" s="2">
        <v>3</v>
      </c>
      <c r="M584" s="7">
        <f t="shared" si="32"/>
        <v>6306</v>
      </c>
      <c r="N584" s="7">
        <f t="shared" si="33"/>
        <v>6747</v>
      </c>
      <c r="O584" s="2">
        <v>41</v>
      </c>
      <c r="P584" s="8">
        <f t="shared" si="34"/>
        <v>6788</v>
      </c>
      <c r="Q584" s="8">
        <f t="shared" si="35"/>
        <v>6706</v>
      </c>
      <c r="R584" s="2" t="s">
        <v>28</v>
      </c>
      <c r="S584" s="9">
        <f>VLOOKUP(P584,$T$2:U581,2,1)</f>
        <v>0.05</v>
      </c>
    </row>
    <row r="585" spans="1:19" x14ac:dyDescent="0.25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e">
        <f>VLOOKUP(F585,'Customer Info'!A577:I1076,2,0)</f>
        <v>#N/A</v>
      </c>
      <c r="H585" s="6" t="e">
        <f>VLOOKUP(F585,'Customer Info'!A577:I1076,3,0)</f>
        <v>#N/A</v>
      </c>
      <c r="I585" s="6" t="e">
        <f>VLOOKUP(F585,'Customer Info'!A577:I1076,5,0)</f>
        <v>#N/A</v>
      </c>
      <c r="J585" s="2">
        <v>142</v>
      </c>
      <c r="K585" s="2">
        <v>134</v>
      </c>
      <c r="L585" s="2">
        <v>2</v>
      </c>
      <c r="M585" s="7">
        <f t="shared" si="32"/>
        <v>268</v>
      </c>
      <c r="N585" s="7">
        <f t="shared" si="33"/>
        <v>284</v>
      </c>
      <c r="O585" s="2">
        <v>30</v>
      </c>
      <c r="P585" s="8">
        <f t="shared" si="34"/>
        <v>314</v>
      </c>
      <c r="Q585" s="8">
        <f t="shared" si="35"/>
        <v>254</v>
      </c>
      <c r="R585" s="2" t="s">
        <v>28</v>
      </c>
      <c r="S585" s="9">
        <f>VLOOKUP(P585,$T$2:U582,2,1)</f>
        <v>0.02</v>
      </c>
    </row>
    <row r="586" spans="1:19" x14ac:dyDescent="0.25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e">
        <f>VLOOKUP(F586,'Customer Info'!A578:I1077,2,0)</f>
        <v>#N/A</v>
      </c>
      <c r="H586" s="6" t="e">
        <f>VLOOKUP(F586,'Customer Info'!A578:I1077,3,0)</f>
        <v>#N/A</v>
      </c>
      <c r="I586" s="6" t="e">
        <f>VLOOKUP(F586,'Customer Info'!A578:I1077,5,0)</f>
        <v>#N/A</v>
      </c>
      <c r="J586" s="2">
        <v>1103</v>
      </c>
      <c r="K586" s="2">
        <v>1030</v>
      </c>
      <c r="L586" s="2">
        <v>1</v>
      </c>
      <c r="M586" s="7">
        <f t="shared" si="32"/>
        <v>1030</v>
      </c>
      <c r="N586" s="7">
        <f t="shared" si="33"/>
        <v>1103</v>
      </c>
      <c r="O586" s="2">
        <v>45</v>
      </c>
      <c r="P586" s="8">
        <f t="shared" si="34"/>
        <v>1148</v>
      </c>
      <c r="Q586" s="8">
        <f t="shared" si="35"/>
        <v>1058</v>
      </c>
      <c r="R586" s="2" t="s">
        <v>28</v>
      </c>
      <c r="S586" s="9">
        <f>VLOOKUP(P586,$T$2:U583,2,1)</f>
        <v>0.02</v>
      </c>
    </row>
    <row r="587" spans="1:19" x14ac:dyDescent="0.25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e">
        <f>VLOOKUP(F587,'Customer Info'!A579:I1078,2,0)</f>
        <v>#N/A</v>
      </c>
      <c r="H587" s="6" t="e">
        <f>VLOOKUP(F587,'Customer Info'!A579:I1078,3,0)</f>
        <v>#N/A</v>
      </c>
      <c r="I587" s="6" t="e">
        <f>VLOOKUP(F587,'Customer Info'!A579:I1078,5,0)</f>
        <v>#N/A</v>
      </c>
      <c r="J587" s="2">
        <v>1292</v>
      </c>
      <c r="K587" s="2">
        <v>1185</v>
      </c>
      <c r="L587" s="2">
        <v>14</v>
      </c>
      <c r="M587" s="7">
        <f t="shared" ref="M587:M650" si="36">K587*L587</f>
        <v>16590</v>
      </c>
      <c r="N587" s="7">
        <f t="shared" ref="N587:N650" si="37">J587*L587</f>
        <v>18088</v>
      </c>
      <c r="O587" s="2">
        <v>54</v>
      </c>
      <c r="P587" s="8">
        <f t="shared" ref="P587:P650" si="38">SUM(N587,O587)</f>
        <v>18142</v>
      </c>
      <c r="Q587" s="8">
        <f t="shared" ref="Q587:Q650" si="39">N587-O587</f>
        <v>18034</v>
      </c>
      <c r="R587" s="2" t="s">
        <v>28</v>
      </c>
      <c r="S587" s="9">
        <f>VLOOKUP(P587,$T$2:U584,2,1)</f>
        <v>0.05</v>
      </c>
    </row>
    <row r="588" spans="1:19" x14ac:dyDescent="0.25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e">
        <f>VLOOKUP(F588,'Customer Info'!A580:I1079,2,0)</f>
        <v>#N/A</v>
      </c>
      <c r="H588" s="6" t="e">
        <f>VLOOKUP(F588,'Customer Info'!A580:I1079,3,0)</f>
        <v>#N/A</v>
      </c>
      <c r="I588" s="6" t="e">
        <f>VLOOKUP(F588,'Customer Info'!A580:I1079,5,0)</f>
        <v>#N/A</v>
      </c>
      <c r="J588" s="2">
        <v>141</v>
      </c>
      <c r="K588" s="2">
        <v>131</v>
      </c>
      <c r="L588" s="2">
        <v>3</v>
      </c>
      <c r="M588" s="7">
        <f t="shared" si="36"/>
        <v>393</v>
      </c>
      <c r="N588" s="7">
        <f t="shared" si="37"/>
        <v>423</v>
      </c>
      <c r="O588" s="2">
        <v>30</v>
      </c>
      <c r="P588" s="8">
        <f t="shared" si="38"/>
        <v>453</v>
      </c>
      <c r="Q588" s="8">
        <f t="shared" si="39"/>
        <v>393</v>
      </c>
      <c r="R588" s="2" t="s">
        <v>50</v>
      </c>
      <c r="S588" s="9">
        <f>VLOOKUP(P588,$T$2:U585,2,1)</f>
        <v>0.02</v>
      </c>
    </row>
    <row r="589" spans="1:19" x14ac:dyDescent="0.25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e">
        <f>VLOOKUP(F589,'Customer Info'!A581:I1080,2,0)</f>
        <v>#N/A</v>
      </c>
      <c r="H589" s="6" t="e">
        <f>VLOOKUP(F589,'Customer Info'!A581:I1080,3,0)</f>
        <v>#N/A</v>
      </c>
      <c r="I589" s="6" t="e">
        <f>VLOOKUP(F589,'Customer Info'!A581:I1080,5,0)</f>
        <v>#N/A</v>
      </c>
      <c r="J589" s="2">
        <v>1533</v>
      </c>
      <c r="K589" s="2">
        <v>1406</v>
      </c>
      <c r="L589" s="2">
        <v>3</v>
      </c>
      <c r="M589" s="7">
        <f t="shared" si="36"/>
        <v>4218</v>
      </c>
      <c r="N589" s="7">
        <f t="shared" si="37"/>
        <v>4599</v>
      </c>
      <c r="O589" s="2">
        <v>51</v>
      </c>
      <c r="P589" s="8">
        <f t="shared" si="38"/>
        <v>4650</v>
      </c>
      <c r="Q589" s="8">
        <f t="shared" si="39"/>
        <v>4548</v>
      </c>
      <c r="R589" s="2" t="s">
        <v>26</v>
      </c>
      <c r="S589" s="9">
        <f>VLOOKUP(P589,$T$2:U586,2,1)</f>
        <v>0.02</v>
      </c>
    </row>
    <row r="590" spans="1:19" x14ac:dyDescent="0.25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e">
        <f>VLOOKUP(F590,'Customer Info'!A582:I1081,2,0)</f>
        <v>#N/A</v>
      </c>
      <c r="H590" s="6" t="e">
        <f>VLOOKUP(F590,'Customer Info'!A582:I1081,3,0)</f>
        <v>#N/A</v>
      </c>
      <c r="I590" s="6" t="e">
        <f>VLOOKUP(F590,'Customer Info'!A582:I1081,5,0)</f>
        <v>#N/A</v>
      </c>
      <c r="J590" s="2">
        <v>7327</v>
      </c>
      <c r="K590" s="2">
        <v>6658</v>
      </c>
      <c r="L590" s="2">
        <v>3</v>
      </c>
      <c r="M590" s="7">
        <f t="shared" si="36"/>
        <v>19974</v>
      </c>
      <c r="N590" s="7">
        <f t="shared" si="37"/>
        <v>21981</v>
      </c>
      <c r="O590" s="2">
        <v>60</v>
      </c>
      <c r="P590" s="8">
        <f t="shared" si="38"/>
        <v>22041</v>
      </c>
      <c r="Q590" s="8">
        <f t="shared" si="39"/>
        <v>21921</v>
      </c>
      <c r="R590" s="2" t="s">
        <v>28</v>
      </c>
      <c r="S590" s="9">
        <f>VLOOKUP(P590,$T$2:U587,2,1)</f>
        <v>0.05</v>
      </c>
    </row>
    <row r="591" spans="1:19" x14ac:dyDescent="0.25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e">
        <f>VLOOKUP(F591,'Customer Info'!A583:I1082,2,0)</f>
        <v>#N/A</v>
      </c>
      <c r="H591" s="6" t="e">
        <f>VLOOKUP(F591,'Customer Info'!A583:I1082,3,0)</f>
        <v>#N/A</v>
      </c>
      <c r="I591" s="6" t="e">
        <f>VLOOKUP(F591,'Customer Info'!A583:I1082,5,0)</f>
        <v>#N/A</v>
      </c>
      <c r="J591" s="2">
        <v>542</v>
      </c>
      <c r="K591" s="2">
        <v>492</v>
      </c>
      <c r="L591" s="2">
        <v>2</v>
      </c>
      <c r="M591" s="7">
        <f t="shared" si="36"/>
        <v>984</v>
      </c>
      <c r="N591" s="7">
        <f t="shared" si="37"/>
        <v>1084</v>
      </c>
      <c r="O591" s="2">
        <v>85</v>
      </c>
      <c r="P591" s="8">
        <f t="shared" si="38"/>
        <v>1169</v>
      </c>
      <c r="Q591" s="8">
        <f t="shared" si="39"/>
        <v>999</v>
      </c>
      <c r="R591" s="2" t="s">
        <v>28</v>
      </c>
      <c r="S591" s="9">
        <f>VLOOKUP(P591,$T$2:U588,2,1)</f>
        <v>0.02</v>
      </c>
    </row>
    <row r="592" spans="1:19" x14ac:dyDescent="0.25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e">
        <f>VLOOKUP(F592,'Customer Info'!A584:I1083,2,0)</f>
        <v>#N/A</v>
      </c>
      <c r="H592" s="6" t="e">
        <f>VLOOKUP(F592,'Customer Info'!A584:I1083,3,0)</f>
        <v>#N/A</v>
      </c>
      <c r="I592" s="6" t="e">
        <f>VLOOKUP(F592,'Customer Info'!A584:I1083,5,0)</f>
        <v>#N/A</v>
      </c>
      <c r="J592" s="2">
        <v>222</v>
      </c>
      <c r="K592" s="2">
        <v>204</v>
      </c>
      <c r="L592" s="2">
        <v>3</v>
      </c>
      <c r="M592" s="7">
        <f t="shared" si="36"/>
        <v>612</v>
      </c>
      <c r="N592" s="7">
        <f t="shared" si="37"/>
        <v>666</v>
      </c>
      <c r="O592" s="2">
        <v>70</v>
      </c>
      <c r="P592" s="8">
        <f t="shared" si="38"/>
        <v>736</v>
      </c>
      <c r="Q592" s="8">
        <f t="shared" si="39"/>
        <v>596</v>
      </c>
      <c r="R592" s="2" t="s">
        <v>50</v>
      </c>
      <c r="S592" s="9">
        <f>VLOOKUP(P592,$T$2:U589,2,1)</f>
        <v>0.02</v>
      </c>
    </row>
    <row r="593" spans="1:19" x14ac:dyDescent="0.25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e">
        <f>VLOOKUP(F593,'Customer Info'!A585:I1084,2,0)</f>
        <v>#N/A</v>
      </c>
      <c r="H593" s="6" t="e">
        <f>VLOOKUP(F593,'Customer Info'!A585:I1084,3,0)</f>
        <v>#N/A</v>
      </c>
      <c r="I593" s="6" t="e">
        <f>VLOOKUP(F593,'Customer Info'!A585:I1084,5,0)</f>
        <v>#N/A</v>
      </c>
      <c r="J593" s="2">
        <v>6337</v>
      </c>
      <c r="K593" s="2">
        <v>6215</v>
      </c>
      <c r="L593" s="2">
        <v>1</v>
      </c>
      <c r="M593" s="7">
        <f t="shared" si="36"/>
        <v>6215</v>
      </c>
      <c r="N593" s="7">
        <f t="shared" si="37"/>
        <v>6337</v>
      </c>
      <c r="O593" s="2">
        <v>51</v>
      </c>
      <c r="P593" s="8">
        <f t="shared" si="38"/>
        <v>6388</v>
      </c>
      <c r="Q593" s="8">
        <f t="shared" si="39"/>
        <v>6286</v>
      </c>
      <c r="R593" s="2" t="s">
        <v>50</v>
      </c>
      <c r="S593" s="9">
        <f>VLOOKUP(P593,$T$2:U590,2,1)</f>
        <v>0.05</v>
      </c>
    </row>
    <row r="594" spans="1:19" x14ac:dyDescent="0.25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e">
        <f>VLOOKUP(F594,'Customer Info'!A586:I1085,2,0)</f>
        <v>#N/A</v>
      </c>
      <c r="H594" s="6" t="e">
        <f>VLOOKUP(F594,'Customer Info'!A586:I1085,3,0)</f>
        <v>#N/A</v>
      </c>
      <c r="I594" s="6" t="e">
        <f>VLOOKUP(F594,'Customer Info'!A586:I1085,5,0)</f>
        <v>#N/A</v>
      </c>
      <c r="J594" s="2">
        <v>145</v>
      </c>
      <c r="K594" s="2">
        <v>130</v>
      </c>
      <c r="L594" s="2">
        <v>2</v>
      </c>
      <c r="M594" s="7">
        <f t="shared" si="36"/>
        <v>260</v>
      </c>
      <c r="N594" s="7">
        <f t="shared" si="37"/>
        <v>290</v>
      </c>
      <c r="O594" s="2">
        <v>30</v>
      </c>
      <c r="P594" s="8">
        <f t="shared" si="38"/>
        <v>320</v>
      </c>
      <c r="Q594" s="8">
        <f t="shared" si="39"/>
        <v>260</v>
      </c>
      <c r="R594" s="2" t="s">
        <v>50</v>
      </c>
      <c r="S594" s="9">
        <f>VLOOKUP(P594,$T$2:U591,2,1)</f>
        <v>0.02</v>
      </c>
    </row>
    <row r="595" spans="1:19" x14ac:dyDescent="0.25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e">
        <f>VLOOKUP(F595,'Customer Info'!A587:I1086,2,0)</f>
        <v>#N/A</v>
      </c>
      <c r="H595" s="6" t="e">
        <f>VLOOKUP(F595,'Customer Info'!A587:I1086,3,0)</f>
        <v>#N/A</v>
      </c>
      <c r="I595" s="6" t="e">
        <f>VLOOKUP(F595,'Customer Info'!A587:I1086,5,0)</f>
        <v>#N/A</v>
      </c>
      <c r="J595" s="2">
        <v>4577</v>
      </c>
      <c r="K595" s="2">
        <v>4285</v>
      </c>
      <c r="L595" s="2">
        <v>1</v>
      </c>
      <c r="M595" s="7">
        <f t="shared" si="36"/>
        <v>4285</v>
      </c>
      <c r="N595" s="7">
        <f t="shared" si="37"/>
        <v>4577</v>
      </c>
      <c r="O595" s="2">
        <v>33</v>
      </c>
      <c r="P595" s="8">
        <f t="shared" si="38"/>
        <v>4610</v>
      </c>
      <c r="Q595" s="8">
        <f t="shared" si="39"/>
        <v>4544</v>
      </c>
      <c r="R595" s="2" t="s">
        <v>28</v>
      </c>
      <c r="S595" s="9">
        <f>VLOOKUP(P595,$T$2:U592,2,1)</f>
        <v>0.02</v>
      </c>
    </row>
    <row r="596" spans="1:19" x14ac:dyDescent="0.25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e">
        <f>VLOOKUP(F596,'Customer Info'!A588:I1087,2,0)</f>
        <v>#N/A</v>
      </c>
      <c r="H596" s="6" t="e">
        <f>VLOOKUP(F596,'Customer Info'!A588:I1087,3,0)</f>
        <v>#N/A</v>
      </c>
      <c r="I596" s="6" t="e">
        <f>VLOOKUP(F596,'Customer Info'!A588:I1087,5,0)</f>
        <v>#N/A</v>
      </c>
      <c r="J596" s="2">
        <v>142</v>
      </c>
      <c r="K596" s="2">
        <v>134</v>
      </c>
      <c r="L596" s="2">
        <v>10</v>
      </c>
      <c r="M596" s="7">
        <f t="shared" si="36"/>
        <v>1340</v>
      </c>
      <c r="N596" s="7">
        <f t="shared" si="37"/>
        <v>1420</v>
      </c>
      <c r="O596" s="2">
        <v>30</v>
      </c>
      <c r="P596" s="8">
        <f t="shared" si="38"/>
        <v>1450</v>
      </c>
      <c r="Q596" s="8">
        <f t="shared" si="39"/>
        <v>1390</v>
      </c>
      <c r="R596" s="2" t="s">
        <v>26</v>
      </c>
      <c r="S596" s="9">
        <f>VLOOKUP(P596,$T$2:U593,2,1)</f>
        <v>0.02</v>
      </c>
    </row>
    <row r="597" spans="1:19" x14ac:dyDescent="0.25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e">
        <f>VLOOKUP(F597,'Customer Info'!A589:I1088,2,0)</f>
        <v>#N/A</v>
      </c>
      <c r="H597" s="6" t="e">
        <f>VLOOKUP(F597,'Customer Info'!A589:I1088,3,0)</f>
        <v>#N/A</v>
      </c>
      <c r="I597" s="6" t="e">
        <f>VLOOKUP(F597,'Customer Info'!A589:I1088,5,0)</f>
        <v>#N/A</v>
      </c>
      <c r="J597" s="2">
        <v>4122</v>
      </c>
      <c r="K597" s="2">
        <v>3781</v>
      </c>
      <c r="L597" s="2">
        <v>3</v>
      </c>
      <c r="M597" s="7">
        <f t="shared" si="36"/>
        <v>11343</v>
      </c>
      <c r="N597" s="7">
        <f t="shared" si="37"/>
        <v>12366</v>
      </c>
      <c r="O597" s="2">
        <v>41</v>
      </c>
      <c r="P597" s="8">
        <f t="shared" si="38"/>
        <v>12407</v>
      </c>
      <c r="Q597" s="8">
        <f t="shared" si="39"/>
        <v>12325</v>
      </c>
      <c r="R597" s="2" t="s">
        <v>50</v>
      </c>
      <c r="S597" s="9">
        <f>VLOOKUP(P597,$T$2:U594,2,1)</f>
        <v>0.05</v>
      </c>
    </row>
    <row r="598" spans="1:19" x14ac:dyDescent="0.25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e">
        <f>VLOOKUP(F598,'Customer Info'!A590:I1089,2,0)</f>
        <v>#N/A</v>
      </c>
      <c r="H598" s="6" t="e">
        <f>VLOOKUP(F598,'Customer Info'!A590:I1089,3,0)</f>
        <v>#N/A</v>
      </c>
      <c r="I598" s="6" t="e">
        <f>VLOOKUP(F598,'Customer Info'!A590:I1089,5,0)</f>
        <v>#N/A</v>
      </c>
      <c r="J598" s="2">
        <v>206</v>
      </c>
      <c r="K598" s="2">
        <v>189</v>
      </c>
      <c r="L598" s="2">
        <v>5</v>
      </c>
      <c r="M598" s="7">
        <f t="shared" si="36"/>
        <v>945</v>
      </c>
      <c r="N598" s="7">
        <f t="shared" si="37"/>
        <v>1030</v>
      </c>
      <c r="O598" s="2">
        <v>87</v>
      </c>
      <c r="P598" s="8">
        <f t="shared" si="38"/>
        <v>1117</v>
      </c>
      <c r="Q598" s="8">
        <f t="shared" si="39"/>
        <v>943</v>
      </c>
      <c r="R598" s="2" t="s">
        <v>50</v>
      </c>
      <c r="S598" s="9">
        <f>VLOOKUP(P598,$T$2:U595,2,1)</f>
        <v>0.02</v>
      </c>
    </row>
    <row r="599" spans="1:19" x14ac:dyDescent="0.25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e">
        <f>VLOOKUP(F599,'Customer Info'!A591:I1090,2,0)</f>
        <v>#N/A</v>
      </c>
      <c r="H599" s="6" t="e">
        <f>VLOOKUP(F599,'Customer Info'!A591:I1090,3,0)</f>
        <v>#N/A</v>
      </c>
      <c r="I599" s="6" t="e">
        <f>VLOOKUP(F599,'Customer Info'!A591:I1090,5,0)</f>
        <v>#N/A</v>
      </c>
      <c r="J599" s="2">
        <v>3224</v>
      </c>
      <c r="K599" s="2">
        <v>2901</v>
      </c>
      <c r="L599" s="2">
        <v>4</v>
      </c>
      <c r="M599" s="7">
        <f t="shared" si="36"/>
        <v>11604</v>
      </c>
      <c r="N599" s="7">
        <f t="shared" si="37"/>
        <v>12896</v>
      </c>
      <c r="O599" s="2">
        <v>75</v>
      </c>
      <c r="P599" s="8">
        <f t="shared" si="38"/>
        <v>12971</v>
      </c>
      <c r="Q599" s="8">
        <f t="shared" si="39"/>
        <v>12821</v>
      </c>
      <c r="R599" s="2" t="s">
        <v>50</v>
      </c>
      <c r="S599" s="9">
        <f>VLOOKUP(P599,$T$2:U596,2,1)</f>
        <v>0.05</v>
      </c>
    </row>
    <row r="600" spans="1:19" x14ac:dyDescent="0.25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e">
        <f>VLOOKUP(F600,'Customer Info'!A592:I1091,2,0)</f>
        <v>#N/A</v>
      </c>
      <c r="H600" s="6" t="e">
        <f>VLOOKUP(F600,'Customer Info'!A592:I1091,3,0)</f>
        <v>#N/A</v>
      </c>
      <c r="I600" s="6" t="e">
        <f>VLOOKUP(F600,'Customer Info'!A592:I1091,5,0)</f>
        <v>#N/A</v>
      </c>
      <c r="J600" s="2">
        <v>7021</v>
      </c>
      <c r="K600" s="2">
        <v>6686</v>
      </c>
      <c r="L600" s="2">
        <v>3</v>
      </c>
      <c r="M600" s="7">
        <f t="shared" si="36"/>
        <v>20058</v>
      </c>
      <c r="N600" s="7">
        <f t="shared" si="37"/>
        <v>21063</v>
      </c>
      <c r="O600" s="2">
        <v>61</v>
      </c>
      <c r="P600" s="8">
        <f t="shared" si="38"/>
        <v>21124</v>
      </c>
      <c r="Q600" s="8">
        <f t="shared" si="39"/>
        <v>21002</v>
      </c>
      <c r="R600" s="2" t="s">
        <v>28</v>
      </c>
      <c r="S600" s="9">
        <f>VLOOKUP(P600,$T$2:U597,2,1)</f>
        <v>0.05</v>
      </c>
    </row>
    <row r="601" spans="1:19" x14ac:dyDescent="0.25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e">
        <f>VLOOKUP(F601,'Customer Info'!A593:I1092,2,0)</f>
        <v>#N/A</v>
      </c>
      <c r="H601" s="6" t="e">
        <f>VLOOKUP(F601,'Customer Info'!A593:I1092,3,0)</f>
        <v>#N/A</v>
      </c>
      <c r="I601" s="6" t="e">
        <f>VLOOKUP(F601,'Customer Info'!A593:I1092,5,0)</f>
        <v>#N/A</v>
      </c>
      <c r="J601" s="2">
        <v>61</v>
      </c>
      <c r="K601" s="2">
        <v>56</v>
      </c>
      <c r="L601" s="2">
        <v>3</v>
      </c>
      <c r="M601" s="7">
        <f t="shared" si="36"/>
        <v>168</v>
      </c>
      <c r="N601" s="7">
        <f t="shared" si="37"/>
        <v>183</v>
      </c>
      <c r="O601" s="2">
        <v>10</v>
      </c>
      <c r="P601" s="8">
        <f t="shared" si="38"/>
        <v>193</v>
      </c>
      <c r="Q601" s="8">
        <f t="shared" si="39"/>
        <v>173</v>
      </c>
      <c r="R601" s="2" t="s">
        <v>28</v>
      </c>
      <c r="S601" s="9">
        <f>VLOOKUP(P601,$T$2:U598,2,1)</f>
        <v>0.02</v>
      </c>
    </row>
    <row r="602" spans="1:19" x14ac:dyDescent="0.25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e">
        <f>VLOOKUP(F602,'Customer Info'!A594:I1093,2,0)</f>
        <v>#N/A</v>
      </c>
      <c r="H602" s="6" t="e">
        <f>VLOOKUP(F602,'Customer Info'!A594:I1093,3,0)</f>
        <v>#N/A</v>
      </c>
      <c r="I602" s="6" t="e">
        <f>VLOOKUP(F602,'Customer Info'!A594:I1093,5,0)</f>
        <v>#N/A</v>
      </c>
      <c r="J602" s="2">
        <v>809</v>
      </c>
      <c r="K602" s="2">
        <v>770</v>
      </c>
      <c r="L602" s="2">
        <v>1</v>
      </c>
      <c r="M602" s="7">
        <f t="shared" si="36"/>
        <v>770</v>
      </c>
      <c r="N602" s="7">
        <f t="shared" si="37"/>
        <v>809</v>
      </c>
      <c r="O602" s="2">
        <v>46</v>
      </c>
      <c r="P602" s="8">
        <f t="shared" si="38"/>
        <v>855</v>
      </c>
      <c r="Q602" s="8">
        <f t="shared" si="39"/>
        <v>763</v>
      </c>
      <c r="R602" s="2" t="s">
        <v>28</v>
      </c>
      <c r="S602" s="9">
        <f>VLOOKUP(P602,$T$2:U599,2,1)</f>
        <v>0.02</v>
      </c>
    </row>
    <row r="603" spans="1:19" x14ac:dyDescent="0.25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e">
        <f>VLOOKUP(F603,'Customer Info'!A595:I1094,2,0)</f>
        <v>#N/A</v>
      </c>
      <c r="H603" s="6" t="e">
        <f>VLOOKUP(F603,'Customer Info'!A595:I1094,3,0)</f>
        <v>#N/A</v>
      </c>
      <c r="I603" s="6" t="e">
        <f>VLOOKUP(F603,'Customer Info'!A595:I1094,5,0)</f>
        <v>#N/A</v>
      </c>
      <c r="J603" s="2">
        <v>60</v>
      </c>
      <c r="K603" s="2">
        <v>56</v>
      </c>
      <c r="L603" s="2">
        <v>3</v>
      </c>
      <c r="M603" s="7">
        <f t="shared" si="36"/>
        <v>168</v>
      </c>
      <c r="N603" s="7">
        <f t="shared" si="37"/>
        <v>180</v>
      </c>
      <c r="O603" s="2">
        <v>10</v>
      </c>
      <c r="P603" s="8">
        <f t="shared" si="38"/>
        <v>190</v>
      </c>
      <c r="Q603" s="8">
        <f t="shared" si="39"/>
        <v>170</v>
      </c>
      <c r="R603" s="2" t="s">
        <v>28</v>
      </c>
      <c r="S603" s="9">
        <f>VLOOKUP(P603,$T$2:U600,2,1)</f>
        <v>0.02</v>
      </c>
    </row>
    <row r="604" spans="1:19" x14ac:dyDescent="0.25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e">
        <f>VLOOKUP(F604,'Customer Info'!A596:I1095,2,0)</f>
        <v>#N/A</v>
      </c>
      <c r="H604" s="6" t="e">
        <f>VLOOKUP(F604,'Customer Info'!A596:I1095,3,0)</f>
        <v>#N/A</v>
      </c>
      <c r="I604" s="6" t="e">
        <f>VLOOKUP(F604,'Customer Info'!A596:I1095,5,0)</f>
        <v>#N/A</v>
      </c>
      <c r="J604" s="2">
        <v>7065</v>
      </c>
      <c r="K604" s="2">
        <v>6545</v>
      </c>
      <c r="L604" s="2">
        <v>1</v>
      </c>
      <c r="M604" s="7">
        <f t="shared" si="36"/>
        <v>6545</v>
      </c>
      <c r="N604" s="7">
        <f t="shared" si="37"/>
        <v>7065</v>
      </c>
      <c r="O604" s="2">
        <v>30</v>
      </c>
      <c r="P604" s="8">
        <f t="shared" si="38"/>
        <v>7095</v>
      </c>
      <c r="Q604" s="8">
        <f t="shared" si="39"/>
        <v>7035</v>
      </c>
      <c r="R604" s="2" t="s">
        <v>26</v>
      </c>
      <c r="S604" s="9">
        <f>VLOOKUP(P604,$T$2:U601,2,1)</f>
        <v>0.05</v>
      </c>
    </row>
    <row r="605" spans="1:19" x14ac:dyDescent="0.25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e">
        <f>VLOOKUP(F605,'Customer Info'!A597:I1096,2,0)</f>
        <v>#N/A</v>
      </c>
      <c r="H605" s="6" t="e">
        <f>VLOOKUP(F605,'Customer Info'!A597:I1096,3,0)</f>
        <v>#N/A</v>
      </c>
      <c r="I605" s="6" t="e">
        <f>VLOOKUP(F605,'Customer Info'!A597:I1096,5,0)</f>
        <v>#N/A</v>
      </c>
      <c r="J605" s="2">
        <v>1399</v>
      </c>
      <c r="K605" s="2">
        <v>1308</v>
      </c>
      <c r="L605" s="2">
        <v>9</v>
      </c>
      <c r="M605" s="7">
        <f t="shared" si="36"/>
        <v>11772</v>
      </c>
      <c r="N605" s="7">
        <f t="shared" si="37"/>
        <v>12591</v>
      </c>
      <c r="O605" s="2">
        <v>82</v>
      </c>
      <c r="P605" s="8">
        <f t="shared" si="38"/>
        <v>12673</v>
      </c>
      <c r="Q605" s="8">
        <f t="shared" si="39"/>
        <v>12509</v>
      </c>
      <c r="R605" s="2" t="s">
        <v>28</v>
      </c>
      <c r="S605" s="9">
        <f>VLOOKUP(P605,$T$2:U602,2,1)</f>
        <v>0.05</v>
      </c>
    </row>
    <row r="606" spans="1:19" x14ac:dyDescent="0.25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e">
        <f>VLOOKUP(F606,'Customer Info'!A598:I1097,2,0)</f>
        <v>#N/A</v>
      </c>
      <c r="H606" s="6" t="e">
        <f>VLOOKUP(F606,'Customer Info'!A598:I1097,3,0)</f>
        <v>#N/A</v>
      </c>
      <c r="I606" s="6" t="e">
        <f>VLOOKUP(F606,'Customer Info'!A598:I1097,5,0)</f>
        <v>#N/A</v>
      </c>
      <c r="J606" s="2">
        <v>1790</v>
      </c>
      <c r="K606" s="2">
        <v>1706</v>
      </c>
      <c r="L606" s="2">
        <v>2</v>
      </c>
      <c r="M606" s="7">
        <f t="shared" si="36"/>
        <v>3412</v>
      </c>
      <c r="N606" s="7">
        <f t="shared" si="37"/>
        <v>3580</v>
      </c>
      <c r="O606" s="2">
        <v>33</v>
      </c>
      <c r="P606" s="8">
        <f t="shared" si="38"/>
        <v>3613</v>
      </c>
      <c r="Q606" s="8">
        <f t="shared" si="39"/>
        <v>3547</v>
      </c>
      <c r="R606" s="2" t="s">
        <v>50</v>
      </c>
      <c r="S606" s="9">
        <f>VLOOKUP(P606,$T$2:U603,2,1)</f>
        <v>0.02</v>
      </c>
    </row>
    <row r="607" spans="1:19" x14ac:dyDescent="0.25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e">
        <f>VLOOKUP(F607,'Customer Info'!A599:I1098,2,0)</f>
        <v>#N/A</v>
      </c>
      <c r="H607" s="6" t="e">
        <f>VLOOKUP(F607,'Customer Info'!A599:I1098,3,0)</f>
        <v>#N/A</v>
      </c>
      <c r="I607" s="6" t="e">
        <f>VLOOKUP(F607,'Customer Info'!A599:I1098,5,0)</f>
        <v>#N/A</v>
      </c>
      <c r="J607" s="2">
        <v>69</v>
      </c>
      <c r="K607" s="2">
        <v>63</v>
      </c>
      <c r="L607" s="2">
        <v>3</v>
      </c>
      <c r="M607" s="7">
        <f t="shared" si="36"/>
        <v>189</v>
      </c>
      <c r="N607" s="7">
        <f t="shared" si="37"/>
        <v>207</v>
      </c>
      <c r="O607" s="2">
        <v>10</v>
      </c>
      <c r="P607" s="8">
        <f t="shared" si="38"/>
        <v>217</v>
      </c>
      <c r="Q607" s="8">
        <f t="shared" si="39"/>
        <v>197</v>
      </c>
      <c r="R607" s="2" t="s">
        <v>50</v>
      </c>
      <c r="S607" s="9">
        <f>VLOOKUP(P607,$T$2:U604,2,1)</f>
        <v>0.02</v>
      </c>
    </row>
    <row r="608" spans="1:19" x14ac:dyDescent="0.25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e">
        <f>VLOOKUP(F608,'Customer Info'!A600:I1099,2,0)</f>
        <v>#N/A</v>
      </c>
      <c r="H608" s="6" t="e">
        <f>VLOOKUP(F608,'Customer Info'!A600:I1099,3,0)</f>
        <v>#N/A</v>
      </c>
      <c r="I608" s="6" t="e">
        <f>VLOOKUP(F608,'Customer Info'!A600:I1099,5,0)</f>
        <v>#N/A</v>
      </c>
      <c r="J608" s="2">
        <v>194</v>
      </c>
      <c r="K608" s="2">
        <v>176</v>
      </c>
      <c r="L608" s="2">
        <v>4</v>
      </c>
      <c r="M608" s="7">
        <f t="shared" si="36"/>
        <v>704</v>
      </c>
      <c r="N608" s="7">
        <f t="shared" si="37"/>
        <v>776</v>
      </c>
      <c r="O608" s="2">
        <v>30</v>
      </c>
      <c r="P608" s="8">
        <f t="shared" si="38"/>
        <v>806</v>
      </c>
      <c r="Q608" s="8">
        <f t="shared" si="39"/>
        <v>746</v>
      </c>
      <c r="R608" s="2" t="s">
        <v>28</v>
      </c>
      <c r="S608" s="9">
        <f>VLOOKUP(P608,$T$2:U605,2,1)</f>
        <v>0.02</v>
      </c>
    </row>
    <row r="609" spans="1:19" x14ac:dyDescent="0.25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e">
        <f>VLOOKUP(F609,'Customer Info'!A601:I1100,2,0)</f>
        <v>#N/A</v>
      </c>
      <c r="H609" s="6" t="e">
        <f>VLOOKUP(F609,'Customer Info'!A601:I1100,3,0)</f>
        <v>#N/A</v>
      </c>
      <c r="I609" s="6" t="e">
        <f>VLOOKUP(F609,'Customer Info'!A601:I1100,5,0)</f>
        <v>#N/A</v>
      </c>
      <c r="J609" s="2">
        <v>1125</v>
      </c>
      <c r="K609" s="2">
        <v>1040</v>
      </c>
      <c r="L609" s="2">
        <v>6</v>
      </c>
      <c r="M609" s="7">
        <f t="shared" si="36"/>
        <v>6240</v>
      </c>
      <c r="N609" s="7">
        <f t="shared" si="37"/>
        <v>6750</v>
      </c>
      <c r="O609" s="2">
        <v>40</v>
      </c>
      <c r="P609" s="8">
        <f t="shared" si="38"/>
        <v>6790</v>
      </c>
      <c r="Q609" s="8">
        <f t="shared" si="39"/>
        <v>6710</v>
      </c>
      <c r="R609" s="2" t="s">
        <v>50</v>
      </c>
      <c r="S609" s="9">
        <f>VLOOKUP(P609,$T$2:U606,2,1)</f>
        <v>0.05</v>
      </c>
    </row>
    <row r="610" spans="1:19" x14ac:dyDescent="0.25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e">
        <f>VLOOKUP(F610,'Customer Info'!A602:I1101,2,0)</f>
        <v>#N/A</v>
      </c>
      <c r="H610" s="6" t="e">
        <f>VLOOKUP(F610,'Customer Info'!A602:I1101,3,0)</f>
        <v>#N/A</v>
      </c>
      <c r="I610" s="6" t="e">
        <f>VLOOKUP(F610,'Customer Info'!A602:I1101,5,0)</f>
        <v>#N/A</v>
      </c>
      <c r="J610" s="2">
        <v>2271</v>
      </c>
      <c r="K610" s="2">
        <v>2144</v>
      </c>
      <c r="L610" s="2">
        <v>2</v>
      </c>
      <c r="M610" s="7">
        <f t="shared" si="36"/>
        <v>4288</v>
      </c>
      <c r="N610" s="7">
        <f t="shared" si="37"/>
        <v>4542</v>
      </c>
      <c r="O610" s="2">
        <v>51</v>
      </c>
      <c r="P610" s="8">
        <f t="shared" si="38"/>
        <v>4593</v>
      </c>
      <c r="Q610" s="8">
        <f t="shared" si="39"/>
        <v>4491</v>
      </c>
      <c r="R610" s="2" t="s">
        <v>28</v>
      </c>
      <c r="S610" s="9">
        <f>VLOOKUP(P610,$T$2:U607,2,1)</f>
        <v>0.02</v>
      </c>
    </row>
    <row r="611" spans="1:19" x14ac:dyDescent="0.25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e">
        <f>VLOOKUP(F611,'Customer Info'!A603:I1102,2,0)</f>
        <v>#N/A</v>
      </c>
      <c r="H611" s="6" t="e">
        <f>VLOOKUP(F611,'Customer Info'!A603:I1102,3,0)</f>
        <v>#N/A</v>
      </c>
      <c r="I611" s="6" t="e">
        <f>VLOOKUP(F611,'Customer Info'!A603:I1102,5,0)</f>
        <v>#N/A</v>
      </c>
      <c r="J611" s="2">
        <v>6585</v>
      </c>
      <c r="K611" s="2">
        <v>6105</v>
      </c>
      <c r="L611" s="2">
        <v>6</v>
      </c>
      <c r="M611" s="7">
        <f t="shared" si="36"/>
        <v>36630</v>
      </c>
      <c r="N611" s="7">
        <f t="shared" si="37"/>
        <v>39510</v>
      </c>
      <c r="O611" s="2">
        <v>25</v>
      </c>
      <c r="P611" s="8">
        <f t="shared" si="38"/>
        <v>39535</v>
      </c>
      <c r="Q611" s="8">
        <f t="shared" si="39"/>
        <v>39485</v>
      </c>
      <c r="R611" s="2" t="s">
        <v>28</v>
      </c>
      <c r="S611" s="9">
        <f>VLOOKUP(P611,$T$2:U608,2,1)</f>
        <v>7.0000000000000007E-2</v>
      </c>
    </row>
    <row r="612" spans="1:19" x14ac:dyDescent="0.25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e">
        <f>VLOOKUP(F612,'Customer Info'!A604:I1103,2,0)</f>
        <v>#N/A</v>
      </c>
      <c r="H612" s="6" t="e">
        <f>VLOOKUP(F612,'Customer Info'!A604:I1103,3,0)</f>
        <v>#N/A</v>
      </c>
      <c r="I612" s="6" t="e">
        <f>VLOOKUP(F612,'Customer Info'!A604:I1103,5,0)</f>
        <v>#N/A</v>
      </c>
      <c r="J612" s="2">
        <v>6027</v>
      </c>
      <c r="K612" s="2">
        <v>5694</v>
      </c>
      <c r="L612" s="2">
        <v>4</v>
      </c>
      <c r="M612" s="7">
        <f t="shared" si="36"/>
        <v>22776</v>
      </c>
      <c r="N612" s="7">
        <f t="shared" si="37"/>
        <v>24108</v>
      </c>
      <c r="O612" s="2">
        <v>33</v>
      </c>
      <c r="P612" s="8">
        <f t="shared" si="38"/>
        <v>24141</v>
      </c>
      <c r="Q612" s="8">
        <f t="shared" si="39"/>
        <v>24075</v>
      </c>
      <c r="R612" s="2" t="s">
        <v>50</v>
      </c>
      <c r="S612" s="9">
        <f>VLOOKUP(P612,$T$2:U609,2,1)</f>
        <v>0.05</v>
      </c>
    </row>
    <row r="613" spans="1:19" x14ac:dyDescent="0.25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e">
        <f>VLOOKUP(F613,'Customer Info'!A605:I1104,2,0)</f>
        <v>#N/A</v>
      </c>
      <c r="H613" s="6" t="e">
        <f>VLOOKUP(F613,'Customer Info'!A605:I1104,3,0)</f>
        <v>#N/A</v>
      </c>
      <c r="I613" s="6" t="e">
        <f>VLOOKUP(F613,'Customer Info'!A605:I1104,5,0)</f>
        <v>#N/A</v>
      </c>
      <c r="J613" s="2">
        <v>1358</v>
      </c>
      <c r="K613" s="2">
        <v>1294</v>
      </c>
      <c r="L613" s="2">
        <v>1</v>
      </c>
      <c r="M613" s="7">
        <f t="shared" si="36"/>
        <v>1294</v>
      </c>
      <c r="N613" s="7">
        <f t="shared" si="37"/>
        <v>1358</v>
      </c>
      <c r="O613" s="2">
        <v>94</v>
      </c>
      <c r="P613" s="8">
        <f t="shared" si="38"/>
        <v>1452</v>
      </c>
      <c r="Q613" s="8">
        <f t="shared" si="39"/>
        <v>1264</v>
      </c>
      <c r="R613" s="2" t="s">
        <v>28</v>
      </c>
      <c r="S613" s="9">
        <f>VLOOKUP(P613,$T$2:U610,2,1)</f>
        <v>0.02</v>
      </c>
    </row>
    <row r="614" spans="1:19" x14ac:dyDescent="0.25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e">
        <f>VLOOKUP(F614,'Customer Info'!A606:I1105,2,0)</f>
        <v>#N/A</v>
      </c>
      <c r="H614" s="6" t="e">
        <f>VLOOKUP(F614,'Customer Info'!A606:I1105,3,0)</f>
        <v>#N/A</v>
      </c>
      <c r="I614" s="6" t="e">
        <f>VLOOKUP(F614,'Customer Info'!A606:I1105,5,0)</f>
        <v>#N/A</v>
      </c>
      <c r="J614" s="2">
        <v>1071</v>
      </c>
      <c r="K614" s="2">
        <v>1010</v>
      </c>
      <c r="L614" s="2">
        <v>3</v>
      </c>
      <c r="M614" s="7">
        <f t="shared" si="36"/>
        <v>3030</v>
      </c>
      <c r="N614" s="7">
        <f t="shared" si="37"/>
        <v>3213</v>
      </c>
      <c r="O614" s="2">
        <v>30</v>
      </c>
      <c r="P614" s="8">
        <f t="shared" si="38"/>
        <v>3243</v>
      </c>
      <c r="Q614" s="8">
        <f t="shared" si="39"/>
        <v>3183</v>
      </c>
      <c r="R614" s="2" t="s">
        <v>28</v>
      </c>
      <c r="S614" s="9">
        <f>VLOOKUP(P614,$T$2:U611,2,1)</f>
        <v>0.02</v>
      </c>
    </row>
    <row r="615" spans="1:19" x14ac:dyDescent="0.25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e">
        <f>VLOOKUP(F615,'Customer Info'!A607:I1106,2,0)</f>
        <v>#N/A</v>
      </c>
      <c r="H615" s="6" t="e">
        <f>VLOOKUP(F615,'Customer Info'!A607:I1106,3,0)</f>
        <v>#N/A</v>
      </c>
      <c r="I615" s="6" t="e">
        <f>VLOOKUP(F615,'Customer Info'!A607:I1106,5,0)</f>
        <v>#N/A</v>
      </c>
      <c r="J615" s="2">
        <v>8738</v>
      </c>
      <c r="K615" s="2">
        <v>8162</v>
      </c>
      <c r="L615" s="2">
        <v>4</v>
      </c>
      <c r="M615" s="7">
        <f t="shared" si="36"/>
        <v>32648</v>
      </c>
      <c r="N615" s="7">
        <f t="shared" si="37"/>
        <v>34952</v>
      </c>
      <c r="O615" s="2">
        <v>84</v>
      </c>
      <c r="P615" s="8">
        <f t="shared" si="38"/>
        <v>35036</v>
      </c>
      <c r="Q615" s="8">
        <f t="shared" si="39"/>
        <v>34868</v>
      </c>
      <c r="R615" s="2" t="s">
        <v>28</v>
      </c>
      <c r="S615" s="9">
        <f>VLOOKUP(P615,$T$2:U612,2,1)</f>
        <v>7.0000000000000007E-2</v>
      </c>
    </row>
    <row r="616" spans="1:19" x14ac:dyDescent="0.25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e">
        <f>VLOOKUP(F616,'Customer Info'!A608:I1107,2,0)</f>
        <v>#N/A</v>
      </c>
      <c r="H616" s="6" t="e">
        <f>VLOOKUP(F616,'Customer Info'!A608:I1107,3,0)</f>
        <v>#N/A</v>
      </c>
      <c r="I616" s="6" t="e">
        <f>VLOOKUP(F616,'Customer Info'!A608:I1107,5,0)</f>
        <v>#N/A</v>
      </c>
      <c r="J616" s="2">
        <v>100</v>
      </c>
      <c r="K616" s="2">
        <v>95</v>
      </c>
      <c r="L616" s="2">
        <v>1</v>
      </c>
      <c r="M616" s="7">
        <f t="shared" si="36"/>
        <v>95</v>
      </c>
      <c r="N616" s="7">
        <f t="shared" si="37"/>
        <v>100</v>
      </c>
      <c r="O616" s="2">
        <v>10</v>
      </c>
      <c r="P616" s="8">
        <f t="shared" si="38"/>
        <v>110</v>
      </c>
      <c r="Q616" s="8">
        <f t="shared" si="39"/>
        <v>90</v>
      </c>
      <c r="R616" s="2" t="s">
        <v>28</v>
      </c>
      <c r="S616" s="9">
        <f>VLOOKUP(P616,$T$2:U613,2,1)</f>
        <v>0.02</v>
      </c>
    </row>
    <row r="617" spans="1:19" x14ac:dyDescent="0.25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e">
        <f>VLOOKUP(F617,'Customer Info'!A609:I1108,2,0)</f>
        <v>#N/A</v>
      </c>
      <c r="H617" s="6" t="e">
        <f>VLOOKUP(F617,'Customer Info'!A609:I1108,3,0)</f>
        <v>#N/A</v>
      </c>
      <c r="I617" s="6" t="e">
        <f>VLOOKUP(F617,'Customer Info'!A609:I1108,5,0)</f>
        <v>#N/A</v>
      </c>
      <c r="J617" s="2">
        <v>1482</v>
      </c>
      <c r="K617" s="2">
        <v>1453</v>
      </c>
      <c r="L617" s="2">
        <v>1</v>
      </c>
      <c r="M617" s="7">
        <f t="shared" si="36"/>
        <v>1453</v>
      </c>
      <c r="N617" s="7">
        <f t="shared" si="37"/>
        <v>1482</v>
      </c>
      <c r="O617" s="2">
        <v>69</v>
      </c>
      <c r="P617" s="8">
        <f t="shared" si="38"/>
        <v>1551</v>
      </c>
      <c r="Q617" s="8">
        <f t="shared" si="39"/>
        <v>1413</v>
      </c>
      <c r="R617" s="2" t="s">
        <v>28</v>
      </c>
      <c r="S617" s="9">
        <f>VLOOKUP(P617,$T$2:U614,2,1)</f>
        <v>0.02</v>
      </c>
    </row>
    <row r="618" spans="1:19" x14ac:dyDescent="0.25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e">
        <f>VLOOKUP(F618,'Customer Info'!A610:I1109,2,0)</f>
        <v>#N/A</v>
      </c>
      <c r="H618" s="6" t="e">
        <f>VLOOKUP(F618,'Customer Info'!A610:I1109,3,0)</f>
        <v>#N/A</v>
      </c>
      <c r="I618" s="6" t="e">
        <f>VLOOKUP(F618,'Customer Info'!A610:I1109,5,0)</f>
        <v>#N/A</v>
      </c>
      <c r="J618" s="2">
        <v>175</v>
      </c>
      <c r="K618" s="2">
        <v>158</v>
      </c>
      <c r="L618" s="2">
        <v>5</v>
      </c>
      <c r="M618" s="7">
        <f t="shared" si="36"/>
        <v>790</v>
      </c>
      <c r="N618" s="7">
        <f t="shared" si="37"/>
        <v>875</v>
      </c>
      <c r="O618" s="2">
        <v>30</v>
      </c>
      <c r="P618" s="8">
        <f t="shared" si="38"/>
        <v>905</v>
      </c>
      <c r="Q618" s="8">
        <f t="shared" si="39"/>
        <v>845</v>
      </c>
      <c r="R618" s="2" t="s">
        <v>28</v>
      </c>
      <c r="S618" s="9">
        <f>VLOOKUP(P618,$T$2:U615,2,1)</f>
        <v>0.02</v>
      </c>
    </row>
    <row r="619" spans="1:19" x14ac:dyDescent="0.25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e">
        <f>VLOOKUP(F619,'Customer Info'!A611:I1110,2,0)</f>
        <v>#N/A</v>
      </c>
      <c r="H619" s="6" t="e">
        <f>VLOOKUP(F619,'Customer Info'!A611:I1110,3,0)</f>
        <v>#N/A</v>
      </c>
      <c r="I619" s="6" t="e">
        <f>VLOOKUP(F619,'Customer Info'!A611:I1110,5,0)</f>
        <v>#N/A</v>
      </c>
      <c r="J619" s="2">
        <v>1790</v>
      </c>
      <c r="K619" s="2">
        <v>1706</v>
      </c>
      <c r="L619" s="2">
        <v>5</v>
      </c>
      <c r="M619" s="7">
        <f t="shared" si="36"/>
        <v>8530</v>
      </c>
      <c r="N619" s="7">
        <f t="shared" si="37"/>
        <v>8950</v>
      </c>
      <c r="O619" s="2">
        <v>92</v>
      </c>
      <c r="P619" s="8">
        <f t="shared" si="38"/>
        <v>9042</v>
      </c>
      <c r="Q619" s="8">
        <f t="shared" si="39"/>
        <v>8858</v>
      </c>
      <c r="R619" s="2" t="s">
        <v>28</v>
      </c>
      <c r="S619" s="9">
        <f>VLOOKUP(P619,$T$2:U616,2,1)</f>
        <v>0.05</v>
      </c>
    </row>
    <row r="620" spans="1:19" x14ac:dyDescent="0.25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e">
        <f>VLOOKUP(F620,'Customer Info'!A612:I1111,2,0)</f>
        <v>#N/A</v>
      </c>
      <c r="H620" s="6" t="e">
        <f>VLOOKUP(F620,'Customer Info'!A612:I1111,3,0)</f>
        <v>#N/A</v>
      </c>
      <c r="I620" s="6" t="e">
        <f>VLOOKUP(F620,'Customer Info'!A612:I1111,5,0)</f>
        <v>#N/A</v>
      </c>
      <c r="J620" s="2">
        <v>139</v>
      </c>
      <c r="K620" s="2">
        <v>130</v>
      </c>
      <c r="L620" s="2">
        <v>4</v>
      </c>
      <c r="M620" s="7">
        <f t="shared" si="36"/>
        <v>520</v>
      </c>
      <c r="N620" s="7">
        <f t="shared" si="37"/>
        <v>556</v>
      </c>
      <c r="O620" s="2">
        <v>30</v>
      </c>
      <c r="P620" s="8">
        <f t="shared" si="38"/>
        <v>586</v>
      </c>
      <c r="Q620" s="8">
        <f t="shared" si="39"/>
        <v>526</v>
      </c>
      <c r="R620" s="2" t="s">
        <v>28</v>
      </c>
      <c r="S620" s="9">
        <f>VLOOKUP(P620,$T$2:U617,2,1)</f>
        <v>0.02</v>
      </c>
    </row>
    <row r="621" spans="1:19" x14ac:dyDescent="0.25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e">
        <f>VLOOKUP(F621,'Customer Info'!A613:I1112,2,0)</f>
        <v>#N/A</v>
      </c>
      <c r="H621" s="6" t="e">
        <f>VLOOKUP(F621,'Customer Info'!A613:I1112,3,0)</f>
        <v>#N/A</v>
      </c>
      <c r="I621" s="6" t="e">
        <f>VLOOKUP(F621,'Customer Info'!A613:I1112,5,0)</f>
        <v>#N/A</v>
      </c>
      <c r="J621" s="2">
        <v>5836</v>
      </c>
      <c r="K621" s="2">
        <v>5457</v>
      </c>
      <c r="L621" s="2">
        <v>4</v>
      </c>
      <c r="M621" s="7">
        <f t="shared" si="36"/>
        <v>21828</v>
      </c>
      <c r="N621" s="7">
        <f t="shared" si="37"/>
        <v>23344</v>
      </c>
      <c r="O621" s="2">
        <v>51</v>
      </c>
      <c r="P621" s="8">
        <f t="shared" si="38"/>
        <v>23395</v>
      </c>
      <c r="Q621" s="8">
        <f t="shared" si="39"/>
        <v>23293</v>
      </c>
      <c r="R621" s="2" t="s">
        <v>28</v>
      </c>
      <c r="S621" s="9">
        <f>VLOOKUP(P621,$T$2:U618,2,1)</f>
        <v>0.05</v>
      </c>
    </row>
    <row r="622" spans="1:19" x14ac:dyDescent="0.25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e">
        <f>VLOOKUP(F622,'Customer Info'!A614:I1113,2,0)</f>
        <v>#N/A</v>
      </c>
      <c r="H622" s="6" t="e">
        <f>VLOOKUP(F622,'Customer Info'!A614:I1113,3,0)</f>
        <v>#N/A</v>
      </c>
      <c r="I622" s="6" t="e">
        <f>VLOOKUP(F622,'Customer Info'!A614:I1113,5,0)</f>
        <v>#N/A</v>
      </c>
      <c r="J622" s="2">
        <v>4714</v>
      </c>
      <c r="K622" s="2">
        <v>4323</v>
      </c>
      <c r="L622" s="2">
        <v>3</v>
      </c>
      <c r="M622" s="7">
        <f t="shared" si="36"/>
        <v>12969</v>
      </c>
      <c r="N622" s="7">
        <f t="shared" si="37"/>
        <v>14142</v>
      </c>
      <c r="O622" s="2">
        <v>84</v>
      </c>
      <c r="P622" s="8">
        <f t="shared" si="38"/>
        <v>14226</v>
      </c>
      <c r="Q622" s="8">
        <f t="shared" si="39"/>
        <v>14058</v>
      </c>
      <c r="R622" s="2" t="s">
        <v>28</v>
      </c>
      <c r="S622" s="9">
        <f>VLOOKUP(P622,$T$2:U619,2,1)</f>
        <v>0.05</v>
      </c>
    </row>
    <row r="623" spans="1:19" x14ac:dyDescent="0.25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e">
        <f>VLOOKUP(F623,'Customer Info'!A615:I1114,2,0)</f>
        <v>#N/A</v>
      </c>
      <c r="H623" s="6" t="e">
        <f>VLOOKUP(F623,'Customer Info'!A615:I1114,3,0)</f>
        <v>#N/A</v>
      </c>
      <c r="I623" s="6" t="e">
        <f>VLOOKUP(F623,'Customer Info'!A615:I1114,5,0)</f>
        <v>#N/A</v>
      </c>
      <c r="J623" s="2">
        <v>37949</v>
      </c>
      <c r="K623" s="2">
        <v>34816</v>
      </c>
      <c r="L623" s="2">
        <v>7</v>
      </c>
      <c r="M623" s="7">
        <f t="shared" si="36"/>
        <v>243712</v>
      </c>
      <c r="N623" s="7">
        <f t="shared" si="37"/>
        <v>265643</v>
      </c>
      <c r="O623" s="2">
        <v>64</v>
      </c>
      <c r="P623" s="8">
        <f t="shared" si="38"/>
        <v>265707</v>
      </c>
      <c r="Q623" s="8">
        <f t="shared" si="39"/>
        <v>265579</v>
      </c>
      <c r="R623" s="2" t="s">
        <v>28</v>
      </c>
      <c r="S623" s="9">
        <f>VLOOKUP(P623,$T$2:U620,2,1)</f>
        <v>0.15</v>
      </c>
    </row>
    <row r="624" spans="1:19" x14ac:dyDescent="0.25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e">
        <f>VLOOKUP(F624,'Customer Info'!A616:I1115,2,0)</f>
        <v>#N/A</v>
      </c>
      <c r="H624" s="6" t="e">
        <f>VLOOKUP(F624,'Customer Info'!A616:I1115,3,0)</f>
        <v>#N/A</v>
      </c>
      <c r="I624" s="6" t="e">
        <f>VLOOKUP(F624,'Customer Info'!A616:I1115,5,0)</f>
        <v>#N/A</v>
      </c>
      <c r="J624" s="2">
        <v>1441</v>
      </c>
      <c r="K624" s="2">
        <v>1360</v>
      </c>
      <c r="L624" s="2">
        <v>4</v>
      </c>
      <c r="M624" s="7">
        <f t="shared" si="36"/>
        <v>5440</v>
      </c>
      <c r="N624" s="7">
        <f t="shared" si="37"/>
        <v>5764</v>
      </c>
      <c r="O624" s="2">
        <v>78</v>
      </c>
      <c r="P624" s="8">
        <f t="shared" si="38"/>
        <v>5842</v>
      </c>
      <c r="Q624" s="8">
        <f t="shared" si="39"/>
        <v>5686</v>
      </c>
      <c r="R624" s="2" t="s">
        <v>50</v>
      </c>
      <c r="S624" s="9">
        <f>VLOOKUP(P624,$T$2:U621,2,1)</f>
        <v>0.05</v>
      </c>
    </row>
    <row r="625" spans="1:19" x14ac:dyDescent="0.25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e">
        <f>VLOOKUP(F625,'Customer Info'!A617:I1116,2,0)</f>
        <v>#N/A</v>
      </c>
      <c r="H625" s="6" t="e">
        <f>VLOOKUP(F625,'Customer Info'!A617:I1116,3,0)</f>
        <v>#N/A</v>
      </c>
      <c r="I625" s="6" t="e">
        <f>VLOOKUP(F625,'Customer Info'!A617:I1116,5,0)</f>
        <v>#N/A</v>
      </c>
      <c r="J625" s="2">
        <v>82</v>
      </c>
      <c r="K625" s="2">
        <v>79</v>
      </c>
      <c r="L625" s="2">
        <v>3</v>
      </c>
      <c r="M625" s="7">
        <f t="shared" si="36"/>
        <v>237</v>
      </c>
      <c r="N625" s="7">
        <f t="shared" si="37"/>
        <v>246</v>
      </c>
      <c r="O625" s="2">
        <v>10</v>
      </c>
      <c r="P625" s="8">
        <f t="shared" si="38"/>
        <v>256</v>
      </c>
      <c r="Q625" s="8">
        <f t="shared" si="39"/>
        <v>236</v>
      </c>
      <c r="R625" s="2" t="s">
        <v>28</v>
      </c>
      <c r="S625" s="9">
        <f>VLOOKUP(P625,$T$2:U622,2,1)</f>
        <v>0.02</v>
      </c>
    </row>
    <row r="626" spans="1:19" x14ac:dyDescent="0.25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e">
        <f>VLOOKUP(F626,'Customer Info'!A618:I1117,2,0)</f>
        <v>#N/A</v>
      </c>
      <c r="H626" s="6" t="e">
        <f>VLOOKUP(F626,'Customer Info'!A618:I1117,3,0)</f>
        <v>#N/A</v>
      </c>
      <c r="I626" s="6" t="e">
        <f>VLOOKUP(F626,'Customer Info'!A618:I1117,5,0)</f>
        <v>#N/A</v>
      </c>
      <c r="J626" s="2">
        <v>60</v>
      </c>
      <c r="K626" s="2">
        <v>58</v>
      </c>
      <c r="L626" s="2">
        <v>4</v>
      </c>
      <c r="M626" s="7">
        <f t="shared" si="36"/>
        <v>232</v>
      </c>
      <c r="N626" s="7">
        <f t="shared" si="37"/>
        <v>240</v>
      </c>
      <c r="O626" s="2">
        <v>10</v>
      </c>
      <c r="P626" s="8">
        <f t="shared" si="38"/>
        <v>250</v>
      </c>
      <c r="Q626" s="8">
        <f t="shared" si="39"/>
        <v>230</v>
      </c>
      <c r="R626" s="2" t="s">
        <v>28</v>
      </c>
      <c r="S626" s="9">
        <f>VLOOKUP(P626,$T$2:U623,2,1)</f>
        <v>0.02</v>
      </c>
    </row>
    <row r="627" spans="1:19" x14ac:dyDescent="0.25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e">
        <f>VLOOKUP(F627,'Customer Info'!A619:I1118,2,0)</f>
        <v>#N/A</v>
      </c>
      <c r="H627" s="6" t="e">
        <f>VLOOKUP(F627,'Customer Info'!A619:I1118,3,0)</f>
        <v>#N/A</v>
      </c>
      <c r="I627" s="6" t="e">
        <f>VLOOKUP(F627,'Customer Info'!A619:I1118,5,0)</f>
        <v>#N/A</v>
      </c>
      <c r="J627" s="2">
        <v>7534</v>
      </c>
      <c r="K627" s="2">
        <v>7106</v>
      </c>
      <c r="L627" s="2">
        <v>7</v>
      </c>
      <c r="M627" s="7">
        <f t="shared" si="36"/>
        <v>49742</v>
      </c>
      <c r="N627" s="7">
        <f t="shared" si="37"/>
        <v>52738</v>
      </c>
      <c r="O627" s="2">
        <v>63</v>
      </c>
      <c r="P627" s="8">
        <f t="shared" si="38"/>
        <v>52801</v>
      </c>
      <c r="Q627" s="8">
        <f t="shared" si="39"/>
        <v>52675</v>
      </c>
      <c r="R627" s="2" t="s">
        <v>28</v>
      </c>
      <c r="S627" s="9">
        <f>VLOOKUP(P627,$T$2:U624,2,1)</f>
        <v>0.09</v>
      </c>
    </row>
    <row r="628" spans="1:19" x14ac:dyDescent="0.25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e">
        <f>VLOOKUP(F628,'Customer Info'!A620:I1119,2,0)</f>
        <v>#N/A</v>
      </c>
      <c r="H628" s="6" t="e">
        <f>VLOOKUP(F628,'Customer Info'!A620:I1119,3,0)</f>
        <v>#N/A</v>
      </c>
      <c r="I628" s="6" t="e">
        <f>VLOOKUP(F628,'Customer Info'!A620:I1119,5,0)</f>
        <v>#N/A</v>
      </c>
      <c r="J628" s="2">
        <v>8665</v>
      </c>
      <c r="K628" s="2">
        <v>7723</v>
      </c>
      <c r="L628" s="2">
        <v>3</v>
      </c>
      <c r="M628" s="7">
        <f t="shared" si="36"/>
        <v>23169</v>
      </c>
      <c r="N628" s="7">
        <f t="shared" si="37"/>
        <v>25995</v>
      </c>
      <c r="O628" s="2">
        <v>20</v>
      </c>
      <c r="P628" s="8">
        <f t="shared" si="38"/>
        <v>26015</v>
      </c>
      <c r="Q628" s="8">
        <f t="shared" si="39"/>
        <v>25975</v>
      </c>
      <c r="R628" s="2" t="s">
        <v>28</v>
      </c>
      <c r="S628" s="9">
        <f>VLOOKUP(P628,$T$2:U625,2,1)</f>
        <v>7.0000000000000007E-2</v>
      </c>
    </row>
    <row r="629" spans="1:19" x14ac:dyDescent="0.25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e">
        <f>VLOOKUP(F629,'Customer Info'!A621:I1120,2,0)</f>
        <v>#N/A</v>
      </c>
      <c r="H629" s="6" t="e">
        <f>VLOOKUP(F629,'Customer Info'!A621:I1120,3,0)</f>
        <v>#N/A</v>
      </c>
      <c r="I629" s="6" t="e">
        <f>VLOOKUP(F629,'Customer Info'!A621:I1120,5,0)</f>
        <v>#N/A</v>
      </c>
      <c r="J629" s="2">
        <v>7534</v>
      </c>
      <c r="K629" s="2">
        <v>7106</v>
      </c>
      <c r="L629" s="2">
        <v>2</v>
      </c>
      <c r="M629" s="7">
        <f t="shared" si="36"/>
        <v>14212</v>
      </c>
      <c r="N629" s="7">
        <f t="shared" si="37"/>
        <v>15068</v>
      </c>
      <c r="O629" s="2">
        <v>93</v>
      </c>
      <c r="P629" s="8">
        <f t="shared" si="38"/>
        <v>15161</v>
      </c>
      <c r="Q629" s="8">
        <f t="shared" si="39"/>
        <v>14975</v>
      </c>
      <c r="R629" s="2" t="s">
        <v>28</v>
      </c>
      <c r="S629" s="9">
        <f>VLOOKUP(P629,$T$2:U626,2,1)</f>
        <v>0.05</v>
      </c>
    </row>
    <row r="630" spans="1:19" x14ac:dyDescent="0.25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e">
        <f>VLOOKUP(F630,'Customer Info'!A622:I1121,2,0)</f>
        <v>#N/A</v>
      </c>
      <c r="H630" s="6" t="e">
        <f>VLOOKUP(F630,'Customer Info'!A622:I1121,3,0)</f>
        <v>#N/A</v>
      </c>
      <c r="I630" s="6" t="e">
        <f>VLOOKUP(F630,'Customer Info'!A622:I1121,5,0)</f>
        <v>#N/A</v>
      </c>
      <c r="J630" s="2">
        <v>191</v>
      </c>
      <c r="K630" s="2">
        <v>170</v>
      </c>
      <c r="L630" s="2">
        <v>1</v>
      </c>
      <c r="M630" s="7">
        <f t="shared" si="36"/>
        <v>170</v>
      </c>
      <c r="N630" s="7">
        <f t="shared" si="37"/>
        <v>191</v>
      </c>
      <c r="O630" s="2">
        <v>30</v>
      </c>
      <c r="P630" s="8">
        <f t="shared" si="38"/>
        <v>221</v>
      </c>
      <c r="Q630" s="8">
        <f t="shared" si="39"/>
        <v>161</v>
      </c>
      <c r="R630" s="2" t="s">
        <v>28</v>
      </c>
      <c r="S630" s="9">
        <f>VLOOKUP(P630,$T$2:U627,2,1)</f>
        <v>0.02</v>
      </c>
    </row>
    <row r="631" spans="1:19" x14ac:dyDescent="0.25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e">
        <f>VLOOKUP(F631,'Customer Info'!A623:I1122,2,0)</f>
        <v>#N/A</v>
      </c>
      <c r="H631" s="6" t="e">
        <f>VLOOKUP(F631,'Customer Info'!A623:I1122,3,0)</f>
        <v>#N/A</v>
      </c>
      <c r="I631" s="6" t="e">
        <f>VLOOKUP(F631,'Customer Info'!A623:I1122,5,0)</f>
        <v>#N/A</v>
      </c>
      <c r="J631" s="2">
        <v>193</v>
      </c>
      <c r="K631" s="2">
        <v>173</v>
      </c>
      <c r="L631" s="2">
        <v>5</v>
      </c>
      <c r="M631" s="7">
        <f t="shared" si="36"/>
        <v>865</v>
      </c>
      <c r="N631" s="7">
        <f t="shared" si="37"/>
        <v>965</v>
      </c>
      <c r="O631" s="2">
        <v>30</v>
      </c>
      <c r="P631" s="8">
        <f t="shared" si="38"/>
        <v>995</v>
      </c>
      <c r="Q631" s="8">
        <f t="shared" si="39"/>
        <v>935</v>
      </c>
      <c r="R631" s="2" t="s">
        <v>50</v>
      </c>
      <c r="S631" s="9">
        <f>VLOOKUP(P631,$T$2:U628,2,1)</f>
        <v>0.02</v>
      </c>
    </row>
    <row r="632" spans="1:19" x14ac:dyDescent="0.25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e">
        <f>VLOOKUP(F632,'Customer Info'!A624:I1123,2,0)</f>
        <v>#N/A</v>
      </c>
      <c r="H632" s="6" t="e">
        <f>VLOOKUP(F632,'Customer Info'!A624:I1123,3,0)</f>
        <v>#N/A</v>
      </c>
      <c r="I632" s="6" t="e">
        <f>VLOOKUP(F632,'Customer Info'!A624:I1123,5,0)</f>
        <v>#N/A</v>
      </c>
      <c r="J632" s="2">
        <v>2540</v>
      </c>
      <c r="K632" s="2">
        <v>2397</v>
      </c>
      <c r="L632" s="2">
        <v>1</v>
      </c>
      <c r="M632" s="7">
        <f t="shared" si="36"/>
        <v>2397</v>
      </c>
      <c r="N632" s="7">
        <f t="shared" si="37"/>
        <v>2540</v>
      </c>
      <c r="O632" s="2">
        <v>84</v>
      </c>
      <c r="P632" s="8">
        <f t="shared" si="38"/>
        <v>2624</v>
      </c>
      <c r="Q632" s="8">
        <f t="shared" si="39"/>
        <v>2456</v>
      </c>
      <c r="R632" s="2" t="s">
        <v>28</v>
      </c>
      <c r="S632" s="9">
        <f>VLOOKUP(P632,$T$2:U629,2,1)</f>
        <v>0.02</v>
      </c>
    </row>
    <row r="633" spans="1:19" x14ac:dyDescent="0.25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e">
        <f>VLOOKUP(F633,'Customer Info'!A625:I1124,2,0)</f>
        <v>#N/A</v>
      </c>
      <c r="H633" s="6" t="e">
        <f>VLOOKUP(F633,'Customer Info'!A625:I1124,3,0)</f>
        <v>#N/A</v>
      </c>
      <c r="I633" s="6" t="e">
        <f>VLOOKUP(F633,'Customer Info'!A625:I1124,5,0)</f>
        <v>#N/A</v>
      </c>
      <c r="J633" s="2">
        <v>6520</v>
      </c>
      <c r="K633" s="2">
        <v>5985</v>
      </c>
      <c r="L633" s="2">
        <v>4</v>
      </c>
      <c r="M633" s="7">
        <f t="shared" si="36"/>
        <v>23940</v>
      </c>
      <c r="N633" s="7">
        <f t="shared" si="37"/>
        <v>26080</v>
      </c>
      <c r="O633" s="2">
        <v>36</v>
      </c>
      <c r="P633" s="8">
        <f t="shared" si="38"/>
        <v>26116</v>
      </c>
      <c r="Q633" s="8">
        <f t="shared" si="39"/>
        <v>26044</v>
      </c>
      <c r="R633" s="2" t="s">
        <v>28</v>
      </c>
      <c r="S633" s="9">
        <f>VLOOKUP(P633,$T$2:U630,2,1)</f>
        <v>7.0000000000000007E-2</v>
      </c>
    </row>
    <row r="634" spans="1:19" x14ac:dyDescent="0.25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e">
        <f>VLOOKUP(F634,'Customer Info'!A626:I1125,2,0)</f>
        <v>#N/A</v>
      </c>
      <c r="H634" s="6" t="e">
        <f>VLOOKUP(F634,'Customer Info'!A626:I1125,3,0)</f>
        <v>#N/A</v>
      </c>
      <c r="I634" s="6" t="e">
        <f>VLOOKUP(F634,'Customer Info'!A626:I1125,5,0)</f>
        <v>#N/A</v>
      </c>
      <c r="J634" s="2">
        <v>162</v>
      </c>
      <c r="K634" s="2">
        <v>148</v>
      </c>
      <c r="L634" s="2">
        <v>2</v>
      </c>
      <c r="M634" s="7">
        <f t="shared" si="36"/>
        <v>296</v>
      </c>
      <c r="N634" s="7">
        <f t="shared" si="37"/>
        <v>324</v>
      </c>
      <c r="O634" s="2">
        <v>30</v>
      </c>
      <c r="P634" s="8">
        <f t="shared" si="38"/>
        <v>354</v>
      </c>
      <c r="Q634" s="8">
        <f t="shared" si="39"/>
        <v>294</v>
      </c>
      <c r="R634" s="2" t="s">
        <v>28</v>
      </c>
      <c r="S634" s="9">
        <f>VLOOKUP(P634,$T$2:U631,2,1)</f>
        <v>0.02</v>
      </c>
    </row>
    <row r="635" spans="1:19" x14ac:dyDescent="0.25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e">
        <f>VLOOKUP(F635,'Customer Info'!A627:I1126,2,0)</f>
        <v>#N/A</v>
      </c>
      <c r="H635" s="6" t="e">
        <f>VLOOKUP(F635,'Customer Info'!A627:I1126,3,0)</f>
        <v>#N/A</v>
      </c>
      <c r="I635" s="6" t="e">
        <f>VLOOKUP(F635,'Customer Info'!A627:I1126,5,0)</f>
        <v>#N/A</v>
      </c>
      <c r="J635" s="2">
        <v>1635</v>
      </c>
      <c r="K635" s="2">
        <v>1573</v>
      </c>
      <c r="L635" s="2">
        <v>2</v>
      </c>
      <c r="M635" s="7">
        <f t="shared" si="36"/>
        <v>3146</v>
      </c>
      <c r="N635" s="7">
        <f t="shared" si="37"/>
        <v>3270</v>
      </c>
      <c r="O635" s="2">
        <v>57</v>
      </c>
      <c r="P635" s="8">
        <f t="shared" si="38"/>
        <v>3327</v>
      </c>
      <c r="Q635" s="8">
        <f t="shared" si="39"/>
        <v>3213</v>
      </c>
      <c r="R635" s="2" t="s">
        <v>50</v>
      </c>
      <c r="S635" s="9">
        <f>VLOOKUP(P635,$T$2:U632,2,1)</f>
        <v>0.02</v>
      </c>
    </row>
    <row r="636" spans="1:19" x14ac:dyDescent="0.25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e">
        <f>VLOOKUP(F636,'Customer Info'!A628:I1127,2,0)</f>
        <v>#N/A</v>
      </c>
      <c r="H636" s="6" t="e">
        <f>VLOOKUP(F636,'Customer Info'!A628:I1127,3,0)</f>
        <v>#N/A</v>
      </c>
      <c r="I636" s="6" t="e">
        <f>VLOOKUP(F636,'Customer Info'!A628:I1127,5,0)</f>
        <v>#N/A</v>
      </c>
      <c r="J636" s="2">
        <v>1619</v>
      </c>
      <c r="K636" s="2">
        <v>1442</v>
      </c>
      <c r="L636" s="2">
        <v>2</v>
      </c>
      <c r="M636" s="7">
        <f t="shared" si="36"/>
        <v>2884</v>
      </c>
      <c r="N636" s="7">
        <f t="shared" si="37"/>
        <v>3238</v>
      </c>
      <c r="O636" s="2">
        <v>96</v>
      </c>
      <c r="P636" s="8">
        <f t="shared" si="38"/>
        <v>3334</v>
      </c>
      <c r="Q636" s="8">
        <f t="shared" si="39"/>
        <v>3142</v>
      </c>
      <c r="R636" s="2" t="s">
        <v>50</v>
      </c>
      <c r="S636" s="9">
        <f>VLOOKUP(P636,$T$2:U633,2,1)</f>
        <v>0.02</v>
      </c>
    </row>
    <row r="637" spans="1:19" x14ac:dyDescent="0.25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e">
        <f>VLOOKUP(F637,'Customer Info'!A629:I1128,2,0)</f>
        <v>#N/A</v>
      </c>
      <c r="H637" s="6" t="e">
        <f>VLOOKUP(F637,'Customer Info'!A629:I1128,3,0)</f>
        <v>#N/A</v>
      </c>
      <c r="I637" s="6" t="e">
        <f>VLOOKUP(F637,'Customer Info'!A629:I1128,5,0)</f>
        <v>#N/A</v>
      </c>
      <c r="J637" s="2">
        <v>199</v>
      </c>
      <c r="K637" s="2">
        <v>176</v>
      </c>
      <c r="L637" s="2">
        <v>2</v>
      </c>
      <c r="M637" s="7">
        <f t="shared" si="36"/>
        <v>352</v>
      </c>
      <c r="N637" s="7">
        <f t="shared" si="37"/>
        <v>398</v>
      </c>
      <c r="O637" s="2">
        <v>30</v>
      </c>
      <c r="P637" s="8">
        <f t="shared" si="38"/>
        <v>428</v>
      </c>
      <c r="Q637" s="8">
        <f t="shared" si="39"/>
        <v>368</v>
      </c>
      <c r="R637" s="2" t="s">
        <v>28</v>
      </c>
      <c r="S637" s="9">
        <f>VLOOKUP(P637,$T$2:U634,2,1)</f>
        <v>0.02</v>
      </c>
    </row>
    <row r="638" spans="1:19" x14ac:dyDescent="0.25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e">
        <f>VLOOKUP(F638,'Customer Info'!A630:I1129,2,0)</f>
        <v>#N/A</v>
      </c>
      <c r="H638" s="6" t="e">
        <f>VLOOKUP(F638,'Customer Info'!A630:I1129,3,0)</f>
        <v>#N/A</v>
      </c>
      <c r="I638" s="6" t="e">
        <f>VLOOKUP(F638,'Customer Info'!A630:I1129,5,0)</f>
        <v>#N/A</v>
      </c>
      <c r="J638" s="2">
        <v>77</v>
      </c>
      <c r="K638" s="2">
        <v>73</v>
      </c>
      <c r="L638" s="2">
        <v>1</v>
      </c>
      <c r="M638" s="7">
        <f t="shared" si="36"/>
        <v>73</v>
      </c>
      <c r="N638" s="7">
        <f t="shared" si="37"/>
        <v>77</v>
      </c>
      <c r="O638" s="2">
        <v>10</v>
      </c>
      <c r="P638" s="8">
        <f t="shared" si="38"/>
        <v>87</v>
      </c>
      <c r="Q638" s="8">
        <f t="shared" si="39"/>
        <v>67</v>
      </c>
      <c r="R638" s="2" t="s">
        <v>28</v>
      </c>
      <c r="S638" s="9">
        <f>VLOOKUP(P638,$T$2:U635,2,1)</f>
        <v>0.02</v>
      </c>
    </row>
    <row r="639" spans="1:19" x14ac:dyDescent="0.25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e">
        <f>VLOOKUP(F639,'Customer Info'!A631:I1130,2,0)</f>
        <v>#N/A</v>
      </c>
      <c r="H639" s="6" t="e">
        <f>VLOOKUP(F639,'Customer Info'!A631:I1130,3,0)</f>
        <v>#N/A</v>
      </c>
      <c r="I639" s="6" t="e">
        <f>VLOOKUP(F639,'Customer Info'!A631:I1130,5,0)</f>
        <v>#N/A</v>
      </c>
      <c r="J639" s="2">
        <v>79</v>
      </c>
      <c r="K639" s="2">
        <v>75</v>
      </c>
      <c r="L639" s="2">
        <v>2</v>
      </c>
      <c r="M639" s="7">
        <f t="shared" si="36"/>
        <v>150</v>
      </c>
      <c r="N639" s="7">
        <f t="shared" si="37"/>
        <v>158</v>
      </c>
      <c r="O639" s="2">
        <v>10</v>
      </c>
      <c r="P639" s="8">
        <f t="shared" si="38"/>
        <v>168</v>
      </c>
      <c r="Q639" s="8">
        <f t="shared" si="39"/>
        <v>148</v>
      </c>
      <c r="R639" s="2" t="s">
        <v>50</v>
      </c>
      <c r="S639" s="9">
        <f>VLOOKUP(P639,$T$2:U636,2,1)</f>
        <v>0.02</v>
      </c>
    </row>
    <row r="640" spans="1:19" x14ac:dyDescent="0.25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e">
        <f>VLOOKUP(F640,'Customer Info'!A632:I1131,2,0)</f>
        <v>#N/A</v>
      </c>
      <c r="H640" s="6" t="e">
        <f>VLOOKUP(F640,'Customer Info'!A632:I1131,3,0)</f>
        <v>#N/A</v>
      </c>
      <c r="I640" s="6" t="e">
        <f>VLOOKUP(F640,'Customer Info'!A632:I1131,5,0)</f>
        <v>#N/A</v>
      </c>
      <c r="J640" s="2">
        <v>7327</v>
      </c>
      <c r="K640" s="2">
        <v>6658</v>
      </c>
      <c r="L640" s="2">
        <v>4</v>
      </c>
      <c r="M640" s="7">
        <f t="shared" si="36"/>
        <v>26632</v>
      </c>
      <c r="N640" s="7">
        <f t="shared" si="37"/>
        <v>29308</v>
      </c>
      <c r="O640" s="2">
        <v>43</v>
      </c>
      <c r="P640" s="8">
        <f t="shared" si="38"/>
        <v>29351</v>
      </c>
      <c r="Q640" s="8">
        <f t="shared" si="39"/>
        <v>29265</v>
      </c>
      <c r="R640" s="2" t="s">
        <v>28</v>
      </c>
      <c r="S640" s="9">
        <f>VLOOKUP(P640,$T$2:U637,2,1)</f>
        <v>7.0000000000000007E-2</v>
      </c>
    </row>
    <row r="641" spans="1:19" x14ac:dyDescent="0.25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e">
        <f>VLOOKUP(F641,'Customer Info'!A633:I1132,2,0)</f>
        <v>#N/A</v>
      </c>
      <c r="H641" s="6" t="e">
        <f>VLOOKUP(F641,'Customer Info'!A633:I1132,3,0)</f>
        <v>#N/A</v>
      </c>
      <c r="I641" s="6" t="e">
        <f>VLOOKUP(F641,'Customer Info'!A633:I1132,5,0)</f>
        <v>#N/A</v>
      </c>
      <c r="J641" s="2">
        <v>1528</v>
      </c>
      <c r="K641" s="2">
        <v>1348</v>
      </c>
      <c r="L641" s="2">
        <v>4</v>
      </c>
      <c r="M641" s="7">
        <f t="shared" si="36"/>
        <v>5392</v>
      </c>
      <c r="N641" s="7">
        <f t="shared" si="37"/>
        <v>6112</v>
      </c>
      <c r="O641" s="2">
        <v>35</v>
      </c>
      <c r="P641" s="8">
        <f t="shared" si="38"/>
        <v>6147</v>
      </c>
      <c r="Q641" s="8">
        <f t="shared" si="39"/>
        <v>6077</v>
      </c>
      <c r="R641" s="2" t="s">
        <v>28</v>
      </c>
      <c r="S641" s="9">
        <f>VLOOKUP(P641,$T$2:U638,2,1)</f>
        <v>0.05</v>
      </c>
    </row>
    <row r="642" spans="1:19" x14ac:dyDescent="0.25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e">
        <f>VLOOKUP(F642,'Customer Info'!A634:I1133,2,0)</f>
        <v>#N/A</v>
      </c>
      <c r="H642" s="6" t="e">
        <f>VLOOKUP(F642,'Customer Info'!A634:I1133,3,0)</f>
        <v>#N/A</v>
      </c>
      <c r="I642" s="6" t="e">
        <f>VLOOKUP(F642,'Customer Info'!A634:I1133,5,0)</f>
        <v>#N/A</v>
      </c>
      <c r="J642" s="2">
        <v>8026</v>
      </c>
      <c r="K642" s="2">
        <v>7572</v>
      </c>
      <c r="L642" s="2">
        <v>6</v>
      </c>
      <c r="M642" s="7">
        <f t="shared" si="36"/>
        <v>45432</v>
      </c>
      <c r="N642" s="7">
        <f t="shared" si="37"/>
        <v>48156</v>
      </c>
      <c r="O642" s="2">
        <v>54</v>
      </c>
      <c r="P642" s="8">
        <f t="shared" si="38"/>
        <v>48210</v>
      </c>
      <c r="Q642" s="8">
        <f t="shared" si="39"/>
        <v>48102</v>
      </c>
      <c r="R642" s="2" t="s">
        <v>28</v>
      </c>
      <c r="S642" s="9">
        <f>VLOOKUP(P642,$T$2:U639,2,1)</f>
        <v>7.0000000000000007E-2</v>
      </c>
    </row>
    <row r="643" spans="1:19" x14ac:dyDescent="0.25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e">
        <f>VLOOKUP(F643,'Customer Info'!A635:I1134,2,0)</f>
        <v>#N/A</v>
      </c>
      <c r="H643" s="6" t="e">
        <f>VLOOKUP(F643,'Customer Info'!A635:I1134,3,0)</f>
        <v>#N/A</v>
      </c>
      <c r="I643" s="6" t="e">
        <f>VLOOKUP(F643,'Customer Info'!A635:I1134,5,0)</f>
        <v>#N/A</v>
      </c>
      <c r="J643" s="2">
        <v>2697</v>
      </c>
      <c r="K643" s="2">
        <v>2498</v>
      </c>
      <c r="L643" s="2">
        <v>3</v>
      </c>
      <c r="M643" s="7">
        <f t="shared" si="36"/>
        <v>7494</v>
      </c>
      <c r="N643" s="7">
        <f t="shared" si="37"/>
        <v>8091</v>
      </c>
      <c r="O643" s="2">
        <v>41</v>
      </c>
      <c r="P643" s="8">
        <f t="shared" si="38"/>
        <v>8132</v>
      </c>
      <c r="Q643" s="8">
        <f t="shared" si="39"/>
        <v>8050</v>
      </c>
      <c r="R643" s="2" t="s">
        <v>50</v>
      </c>
      <c r="S643" s="9">
        <f>VLOOKUP(P643,$T$2:U640,2,1)</f>
        <v>0.05</v>
      </c>
    </row>
    <row r="644" spans="1:19" x14ac:dyDescent="0.25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e">
        <f>VLOOKUP(F644,'Customer Info'!A636:I1135,2,0)</f>
        <v>#N/A</v>
      </c>
      <c r="H644" s="6" t="e">
        <f>VLOOKUP(F644,'Customer Info'!A636:I1135,3,0)</f>
        <v>#N/A</v>
      </c>
      <c r="I644" s="6" t="e">
        <f>VLOOKUP(F644,'Customer Info'!A636:I1135,5,0)</f>
        <v>#N/A</v>
      </c>
      <c r="J644" s="2">
        <v>6087</v>
      </c>
      <c r="K644" s="2">
        <v>5808</v>
      </c>
      <c r="L644" s="2">
        <v>2</v>
      </c>
      <c r="M644" s="7">
        <f t="shared" si="36"/>
        <v>11616</v>
      </c>
      <c r="N644" s="7">
        <f t="shared" si="37"/>
        <v>12174</v>
      </c>
      <c r="O644" s="2">
        <v>75</v>
      </c>
      <c r="P644" s="8">
        <f t="shared" si="38"/>
        <v>12249</v>
      </c>
      <c r="Q644" s="8">
        <f t="shared" si="39"/>
        <v>12099</v>
      </c>
      <c r="R644" s="2" t="s">
        <v>50</v>
      </c>
      <c r="S644" s="9">
        <f>VLOOKUP(P644,$T$2:U641,2,1)</f>
        <v>0.05</v>
      </c>
    </row>
    <row r="645" spans="1:19" x14ac:dyDescent="0.25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e">
        <f>VLOOKUP(F645,'Customer Info'!A637:I1136,2,0)</f>
        <v>#N/A</v>
      </c>
      <c r="H645" s="6" t="e">
        <f>VLOOKUP(F645,'Customer Info'!A637:I1136,3,0)</f>
        <v>#N/A</v>
      </c>
      <c r="I645" s="6" t="e">
        <f>VLOOKUP(F645,'Customer Info'!A637:I1136,5,0)</f>
        <v>#N/A</v>
      </c>
      <c r="J645" s="2">
        <v>151</v>
      </c>
      <c r="K645" s="2">
        <v>139</v>
      </c>
      <c r="L645" s="2">
        <v>1</v>
      </c>
      <c r="M645" s="7">
        <f t="shared" si="36"/>
        <v>139</v>
      </c>
      <c r="N645" s="7">
        <f t="shared" si="37"/>
        <v>151</v>
      </c>
      <c r="O645" s="2">
        <v>30</v>
      </c>
      <c r="P645" s="8">
        <f t="shared" si="38"/>
        <v>181</v>
      </c>
      <c r="Q645" s="8">
        <f t="shared" si="39"/>
        <v>121</v>
      </c>
      <c r="R645" s="2" t="s">
        <v>28</v>
      </c>
      <c r="S645" s="9">
        <f>VLOOKUP(P645,$T$2:U642,2,1)</f>
        <v>0.02</v>
      </c>
    </row>
    <row r="646" spans="1:19" x14ac:dyDescent="0.25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e">
        <f>VLOOKUP(F646,'Customer Info'!A638:I1137,2,0)</f>
        <v>#N/A</v>
      </c>
      <c r="H646" s="6" t="e">
        <f>VLOOKUP(F646,'Customer Info'!A638:I1137,3,0)</f>
        <v>#N/A</v>
      </c>
      <c r="I646" s="6" t="e">
        <f>VLOOKUP(F646,'Customer Info'!A638:I1137,5,0)</f>
        <v>#N/A</v>
      </c>
      <c r="J646" s="2">
        <v>3192</v>
      </c>
      <c r="K646" s="2">
        <v>3011</v>
      </c>
      <c r="L646" s="2">
        <v>4</v>
      </c>
      <c r="M646" s="7">
        <f t="shared" si="36"/>
        <v>12044</v>
      </c>
      <c r="N646" s="7">
        <f t="shared" si="37"/>
        <v>12768</v>
      </c>
      <c r="O646" s="2">
        <v>50</v>
      </c>
      <c r="P646" s="8">
        <f t="shared" si="38"/>
        <v>12818</v>
      </c>
      <c r="Q646" s="8">
        <f t="shared" si="39"/>
        <v>12718</v>
      </c>
      <c r="R646" s="2" t="s">
        <v>26</v>
      </c>
      <c r="S646" s="9">
        <f>VLOOKUP(P646,$T$2:U643,2,1)</f>
        <v>0.05</v>
      </c>
    </row>
    <row r="647" spans="1:19" x14ac:dyDescent="0.25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e">
        <f>VLOOKUP(F647,'Customer Info'!A639:I1138,2,0)</f>
        <v>#N/A</v>
      </c>
      <c r="H647" s="6" t="e">
        <f>VLOOKUP(F647,'Customer Info'!A639:I1138,3,0)</f>
        <v>#N/A</v>
      </c>
      <c r="I647" s="6" t="e">
        <f>VLOOKUP(F647,'Customer Info'!A639:I1138,5,0)</f>
        <v>#N/A</v>
      </c>
      <c r="J647" s="2">
        <v>6664</v>
      </c>
      <c r="K647" s="2">
        <v>6473</v>
      </c>
      <c r="L647" s="2">
        <v>2</v>
      </c>
      <c r="M647" s="7">
        <f t="shared" si="36"/>
        <v>12946</v>
      </c>
      <c r="N647" s="7">
        <f t="shared" si="37"/>
        <v>13328</v>
      </c>
      <c r="O647" s="2">
        <v>38</v>
      </c>
      <c r="P647" s="8">
        <f t="shared" si="38"/>
        <v>13366</v>
      </c>
      <c r="Q647" s="8">
        <f t="shared" si="39"/>
        <v>13290</v>
      </c>
      <c r="R647" s="2" t="s">
        <v>28</v>
      </c>
      <c r="S647" s="9">
        <f>VLOOKUP(P647,$T$2:U644,2,1)</f>
        <v>0.05</v>
      </c>
    </row>
    <row r="648" spans="1:19" x14ac:dyDescent="0.25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e">
        <f>VLOOKUP(F648,'Customer Info'!A640:I1139,2,0)</f>
        <v>#N/A</v>
      </c>
      <c r="H648" s="6" t="e">
        <f>VLOOKUP(F648,'Customer Info'!A640:I1139,3,0)</f>
        <v>#N/A</v>
      </c>
      <c r="I648" s="6" t="e">
        <f>VLOOKUP(F648,'Customer Info'!A640:I1139,5,0)</f>
        <v>#N/A</v>
      </c>
      <c r="J648" s="2">
        <v>1925</v>
      </c>
      <c r="K648" s="2">
        <v>1834</v>
      </c>
      <c r="L648" s="2">
        <v>2</v>
      </c>
      <c r="M648" s="7">
        <f t="shared" si="36"/>
        <v>3668</v>
      </c>
      <c r="N648" s="7">
        <f t="shared" si="37"/>
        <v>3850</v>
      </c>
      <c r="O648" s="2">
        <v>75</v>
      </c>
      <c r="P648" s="8">
        <f t="shared" si="38"/>
        <v>3925</v>
      </c>
      <c r="Q648" s="8">
        <f t="shared" si="39"/>
        <v>3775</v>
      </c>
      <c r="R648" s="2" t="s">
        <v>28</v>
      </c>
      <c r="S648" s="9">
        <f>VLOOKUP(P648,$T$2:U645,2,1)</f>
        <v>0.02</v>
      </c>
    </row>
    <row r="649" spans="1:19" x14ac:dyDescent="0.25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e">
        <f>VLOOKUP(F649,'Customer Info'!A641:I1140,2,0)</f>
        <v>#N/A</v>
      </c>
      <c r="H649" s="6" t="e">
        <f>VLOOKUP(F649,'Customer Info'!A641:I1140,3,0)</f>
        <v>#N/A</v>
      </c>
      <c r="I649" s="6" t="e">
        <f>VLOOKUP(F649,'Customer Info'!A641:I1140,5,0)</f>
        <v>#N/A</v>
      </c>
      <c r="J649" s="2">
        <v>6585</v>
      </c>
      <c r="K649" s="2">
        <v>6105</v>
      </c>
      <c r="L649" s="2">
        <v>3</v>
      </c>
      <c r="M649" s="7">
        <f t="shared" si="36"/>
        <v>18315</v>
      </c>
      <c r="N649" s="7">
        <f t="shared" si="37"/>
        <v>19755</v>
      </c>
      <c r="O649" s="2">
        <v>72</v>
      </c>
      <c r="P649" s="8">
        <f t="shared" si="38"/>
        <v>19827</v>
      </c>
      <c r="Q649" s="8">
        <f t="shared" si="39"/>
        <v>19683</v>
      </c>
      <c r="R649" s="2" t="s">
        <v>26</v>
      </c>
      <c r="S649" s="9">
        <f>VLOOKUP(P649,$T$2:U646,2,1)</f>
        <v>0.05</v>
      </c>
    </row>
    <row r="650" spans="1:19" x14ac:dyDescent="0.25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e">
        <f>VLOOKUP(F650,'Customer Info'!A642:I1141,2,0)</f>
        <v>#N/A</v>
      </c>
      <c r="H650" s="6" t="e">
        <f>VLOOKUP(F650,'Customer Info'!A642:I1141,3,0)</f>
        <v>#N/A</v>
      </c>
      <c r="I650" s="6" t="e">
        <f>VLOOKUP(F650,'Customer Info'!A642:I1141,5,0)</f>
        <v>#N/A</v>
      </c>
      <c r="J650" s="2">
        <v>2088</v>
      </c>
      <c r="K650" s="2">
        <v>1970</v>
      </c>
      <c r="L650" s="2">
        <v>7</v>
      </c>
      <c r="M650" s="7">
        <f t="shared" si="36"/>
        <v>13790</v>
      </c>
      <c r="N650" s="7">
        <f t="shared" si="37"/>
        <v>14616</v>
      </c>
      <c r="O650" s="2">
        <v>91</v>
      </c>
      <c r="P650" s="8">
        <f t="shared" si="38"/>
        <v>14707</v>
      </c>
      <c r="Q650" s="8">
        <f t="shared" si="39"/>
        <v>14525</v>
      </c>
      <c r="R650" s="2" t="s">
        <v>28</v>
      </c>
      <c r="S650" s="9">
        <f>VLOOKUP(P650,$T$2:U647,2,1)</f>
        <v>0.05</v>
      </c>
    </row>
    <row r="651" spans="1:19" x14ac:dyDescent="0.25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e">
        <f>VLOOKUP(F651,'Customer Info'!A643:I1142,2,0)</f>
        <v>#N/A</v>
      </c>
      <c r="H651" s="6" t="e">
        <f>VLOOKUP(F651,'Customer Info'!A643:I1142,3,0)</f>
        <v>#N/A</v>
      </c>
      <c r="I651" s="6" t="e">
        <f>VLOOKUP(F651,'Customer Info'!A643:I1142,5,0)</f>
        <v>#N/A</v>
      </c>
      <c r="J651" s="2">
        <v>4246</v>
      </c>
      <c r="K651" s="2">
        <v>3857</v>
      </c>
      <c r="L651" s="2">
        <v>4</v>
      </c>
      <c r="M651" s="7">
        <f t="shared" ref="M651:M714" si="40">K651*L651</f>
        <v>15428</v>
      </c>
      <c r="N651" s="7">
        <f t="shared" ref="N651:N714" si="41">J651*L651</f>
        <v>16984</v>
      </c>
      <c r="O651" s="2">
        <v>76</v>
      </c>
      <c r="P651" s="8">
        <f t="shared" ref="P651:P714" si="42">SUM(N651,O651)</f>
        <v>17060</v>
      </c>
      <c r="Q651" s="8">
        <f t="shared" ref="Q651:Q714" si="43">N651-O651</f>
        <v>16908</v>
      </c>
      <c r="R651" s="2" t="s">
        <v>26</v>
      </c>
      <c r="S651" s="9">
        <f>VLOOKUP(P651,$T$2:U648,2,1)</f>
        <v>0.05</v>
      </c>
    </row>
    <row r="652" spans="1:19" x14ac:dyDescent="0.25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e">
        <f>VLOOKUP(F652,'Customer Info'!A644:I1143,2,0)</f>
        <v>#N/A</v>
      </c>
      <c r="H652" s="6" t="e">
        <f>VLOOKUP(F652,'Customer Info'!A644:I1143,3,0)</f>
        <v>#N/A</v>
      </c>
      <c r="I652" s="6" t="e">
        <f>VLOOKUP(F652,'Customer Info'!A644:I1143,5,0)</f>
        <v>#N/A</v>
      </c>
      <c r="J652" s="2">
        <v>68</v>
      </c>
      <c r="K652" s="2">
        <v>63</v>
      </c>
      <c r="L652" s="2">
        <v>4</v>
      </c>
      <c r="M652" s="7">
        <f t="shared" si="40"/>
        <v>252</v>
      </c>
      <c r="N652" s="7">
        <f t="shared" si="41"/>
        <v>272</v>
      </c>
      <c r="O652" s="2">
        <v>10</v>
      </c>
      <c r="P652" s="8">
        <f t="shared" si="42"/>
        <v>282</v>
      </c>
      <c r="Q652" s="8">
        <f t="shared" si="43"/>
        <v>262</v>
      </c>
      <c r="R652" s="2" t="s">
        <v>50</v>
      </c>
      <c r="S652" s="9">
        <f>VLOOKUP(P652,$T$2:U649,2,1)</f>
        <v>0.02</v>
      </c>
    </row>
    <row r="653" spans="1:19" x14ac:dyDescent="0.25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e">
        <f>VLOOKUP(F653,'Customer Info'!A645:I1144,2,0)</f>
        <v>#N/A</v>
      </c>
      <c r="H653" s="6" t="e">
        <f>VLOOKUP(F653,'Customer Info'!A645:I1144,3,0)</f>
        <v>#N/A</v>
      </c>
      <c r="I653" s="6" t="e">
        <f>VLOOKUP(F653,'Customer Info'!A645:I1144,5,0)</f>
        <v>#N/A</v>
      </c>
      <c r="J653" s="2">
        <v>2551</v>
      </c>
      <c r="K653" s="2">
        <v>2456</v>
      </c>
      <c r="L653" s="2">
        <v>4</v>
      </c>
      <c r="M653" s="7">
        <f t="shared" si="40"/>
        <v>9824</v>
      </c>
      <c r="N653" s="7">
        <f t="shared" si="41"/>
        <v>10204</v>
      </c>
      <c r="O653" s="2">
        <v>51</v>
      </c>
      <c r="P653" s="8">
        <f t="shared" si="42"/>
        <v>10255</v>
      </c>
      <c r="Q653" s="8">
        <f t="shared" si="43"/>
        <v>10153</v>
      </c>
      <c r="R653" s="2" t="s">
        <v>28</v>
      </c>
      <c r="S653" s="9">
        <f>VLOOKUP(P653,$T$2:U650,2,1)</f>
        <v>0.05</v>
      </c>
    </row>
    <row r="654" spans="1:19" x14ac:dyDescent="0.25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e">
        <f>VLOOKUP(F654,'Customer Info'!A646:I1145,2,0)</f>
        <v>#N/A</v>
      </c>
      <c r="H654" s="6" t="e">
        <f>VLOOKUP(F654,'Customer Info'!A646:I1145,3,0)</f>
        <v>#N/A</v>
      </c>
      <c r="I654" s="6" t="e">
        <f>VLOOKUP(F654,'Customer Info'!A646:I1145,5,0)</f>
        <v>#N/A</v>
      </c>
      <c r="J654" s="2">
        <v>2759</v>
      </c>
      <c r="K654" s="2">
        <v>2628</v>
      </c>
      <c r="L654" s="2">
        <v>4</v>
      </c>
      <c r="M654" s="7">
        <f t="shared" si="40"/>
        <v>10512</v>
      </c>
      <c r="N654" s="7">
        <f t="shared" si="41"/>
        <v>11036</v>
      </c>
      <c r="O654" s="2">
        <v>52</v>
      </c>
      <c r="P654" s="8">
        <f t="shared" si="42"/>
        <v>11088</v>
      </c>
      <c r="Q654" s="8">
        <f t="shared" si="43"/>
        <v>10984</v>
      </c>
      <c r="R654" s="2" t="s">
        <v>28</v>
      </c>
      <c r="S654" s="9">
        <f>VLOOKUP(P654,$T$2:U651,2,1)</f>
        <v>0.05</v>
      </c>
    </row>
    <row r="655" spans="1:19" x14ac:dyDescent="0.25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e">
        <f>VLOOKUP(F655,'Customer Info'!A647:I1146,2,0)</f>
        <v>#N/A</v>
      </c>
      <c r="H655" s="6" t="e">
        <f>VLOOKUP(F655,'Customer Info'!A647:I1146,3,0)</f>
        <v>#N/A</v>
      </c>
      <c r="I655" s="6" t="e">
        <f>VLOOKUP(F655,'Customer Info'!A647:I1146,5,0)</f>
        <v>#N/A</v>
      </c>
      <c r="J655" s="2">
        <v>1601</v>
      </c>
      <c r="K655" s="2">
        <v>1510</v>
      </c>
      <c r="L655" s="2">
        <v>2</v>
      </c>
      <c r="M655" s="7">
        <f t="shared" si="40"/>
        <v>3020</v>
      </c>
      <c r="N655" s="7">
        <f t="shared" si="41"/>
        <v>3202</v>
      </c>
      <c r="O655" s="2">
        <v>21</v>
      </c>
      <c r="P655" s="8">
        <f t="shared" si="42"/>
        <v>3223</v>
      </c>
      <c r="Q655" s="8">
        <f t="shared" si="43"/>
        <v>3181</v>
      </c>
      <c r="R655" s="2" t="s">
        <v>28</v>
      </c>
      <c r="S655" s="9">
        <f>VLOOKUP(P655,$T$2:U652,2,1)</f>
        <v>0.02</v>
      </c>
    </row>
    <row r="656" spans="1:19" x14ac:dyDescent="0.25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e">
        <f>VLOOKUP(F656,'Customer Info'!A648:I1147,2,0)</f>
        <v>#N/A</v>
      </c>
      <c r="H656" s="6" t="e">
        <f>VLOOKUP(F656,'Customer Info'!A648:I1147,3,0)</f>
        <v>#N/A</v>
      </c>
      <c r="I656" s="6" t="e">
        <f>VLOOKUP(F656,'Customer Info'!A648:I1147,5,0)</f>
        <v>#N/A</v>
      </c>
      <c r="J656" s="2">
        <v>1103</v>
      </c>
      <c r="K656" s="2">
        <v>1030</v>
      </c>
      <c r="L656" s="2">
        <v>2</v>
      </c>
      <c r="M656" s="7">
        <f t="shared" si="40"/>
        <v>2060</v>
      </c>
      <c r="N656" s="7">
        <f t="shared" si="41"/>
        <v>2206</v>
      </c>
      <c r="O656" s="2">
        <v>29</v>
      </c>
      <c r="P656" s="8">
        <f t="shared" si="42"/>
        <v>2235</v>
      </c>
      <c r="Q656" s="8">
        <f t="shared" si="43"/>
        <v>2177</v>
      </c>
      <c r="R656" s="2" t="s">
        <v>50</v>
      </c>
      <c r="S656" s="9">
        <f>VLOOKUP(P656,$T$2:U653,2,1)</f>
        <v>0.02</v>
      </c>
    </row>
    <row r="657" spans="1:19" x14ac:dyDescent="0.25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e">
        <f>VLOOKUP(F657,'Customer Info'!A649:I1148,2,0)</f>
        <v>#N/A</v>
      </c>
      <c r="H657" s="6" t="e">
        <f>VLOOKUP(F657,'Customer Info'!A649:I1148,3,0)</f>
        <v>#N/A</v>
      </c>
      <c r="I657" s="6" t="e">
        <f>VLOOKUP(F657,'Customer Info'!A649:I1148,5,0)</f>
        <v>#N/A</v>
      </c>
      <c r="J657" s="2">
        <v>825</v>
      </c>
      <c r="K657" s="2">
        <v>793</v>
      </c>
      <c r="L657" s="2">
        <v>4</v>
      </c>
      <c r="M657" s="7">
        <f t="shared" si="40"/>
        <v>3172</v>
      </c>
      <c r="N657" s="7">
        <f t="shared" si="41"/>
        <v>3300</v>
      </c>
      <c r="O657" s="2">
        <v>88</v>
      </c>
      <c r="P657" s="8">
        <f t="shared" si="42"/>
        <v>3388</v>
      </c>
      <c r="Q657" s="8">
        <f t="shared" si="43"/>
        <v>3212</v>
      </c>
      <c r="R657" s="2" t="s">
        <v>28</v>
      </c>
      <c r="S657" s="9">
        <f>VLOOKUP(P657,$T$2:U654,2,1)</f>
        <v>0.02</v>
      </c>
    </row>
    <row r="658" spans="1:19" x14ac:dyDescent="0.25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e">
        <f>VLOOKUP(F658,'Customer Info'!A650:I1149,2,0)</f>
        <v>#N/A</v>
      </c>
      <c r="H658" s="6" t="e">
        <f>VLOOKUP(F658,'Customer Info'!A650:I1149,3,0)</f>
        <v>#N/A</v>
      </c>
      <c r="I658" s="6" t="e">
        <f>VLOOKUP(F658,'Customer Info'!A650:I1149,5,0)</f>
        <v>#N/A</v>
      </c>
      <c r="J658" s="2">
        <v>139</v>
      </c>
      <c r="K658" s="2">
        <v>133</v>
      </c>
      <c r="L658" s="2">
        <v>6</v>
      </c>
      <c r="M658" s="7">
        <f t="shared" si="40"/>
        <v>798</v>
      </c>
      <c r="N658" s="7">
        <f t="shared" si="41"/>
        <v>834</v>
      </c>
      <c r="O658" s="2">
        <v>30</v>
      </c>
      <c r="P658" s="8">
        <f t="shared" si="42"/>
        <v>864</v>
      </c>
      <c r="Q658" s="8">
        <f t="shared" si="43"/>
        <v>804</v>
      </c>
      <c r="R658" s="2" t="s">
        <v>28</v>
      </c>
      <c r="S658" s="9">
        <f>VLOOKUP(P658,$T$2:U655,2,1)</f>
        <v>0.02</v>
      </c>
    </row>
    <row r="659" spans="1:19" x14ac:dyDescent="0.25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e">
        <f>VLOOKUP(F659,'Customer Info'!A651:I1150,2,0)</f>
        <v>#N/A</v>
      </c>
      <c r="H659" s="6" t="e">
        <f>VLOOKUP(F659,'Customer Info'!A651:I1150,3,0)</f>
        <v>#N/A</v>
      </c>
      <c r="I659" s="6" t="e">
        <f>VLOOKUP(F659,'Customer Info'!A651:I1150,5,0)</f>
        <v>#N/A</v>
      </c>
      <c r="J659" s="2">
        <v>1574</v>
      </c>
      <c r="K659" s="2">
        <v>1375</v>
      </c>
      <c r="L659" s="2">
        <v>1</v>
      </c>
      <c r="M659" s="7">
        <f t="shared" si="40"/>
        <v>1375</v>
      </c>
      <c r="N659" s="7">
        <f t="shared" si="41"/>
        <v>1574</v>
      </c>
      <c r="O659" s="2">
        <v>37</v>
      </c>
      <c r="P659" s="8">
        <f t="shared" si="42"/>
        <v>1611</v>
      </c>
      <c r="Q659" s="8">
        <f t="shared" si="43"/>
        <v>1537</v>
      </c>
      <c r="R659" s="2" t="s">
        <v>50</v>
      </c>
      <c r="S659" s="9">
        <f>VLOOKUP(P659,$T$2:U656,2,1)</f>
        <v>0.02</v>
      </c>
    </row>
    <row r="660" spans="1:19" x14ac:dyDescent="0.25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e">
        <f>VLOOKUP(F660,'Customer Info'!A652:I1151,2,0)</f>
        <v>#N/A</v>
      </c>
      <c r="H660" s="6" t="e">
        <f>VLOOKUP(F660,'Customer Info'!A652:I1151,3,0)</f>
        <v>#N/A</v>
      </c>
      <c r="I660" s="6" t="e">
        <f>VLOOKUP(F660,'Customer Info'!A652:I1151,5,0)</f>
        <v>#N/A</v>
      </c>
      <c r="J660" s="2">
        <v>1845</v>
      </c>
      <c r="K660" s="2">
        <v>1742</v>
      </c>
      <c r="L660" s="2">
        <v>6</v>
      </c>
      <c r="M660" s="7">
        <f t="shared" si="40"/>
        <v>10452</v>
      </c>
      <c r="N660" s="7">
        <f t="shared" si="41"/>
        <v>11070</v>
      </c>
      <c r="O660" s="2">
        <v>79</v>
      </c>
      <c r="P660" s="8">
        <f t="shared" si="42"/>
        <v>11149</v>
      </c>
      <c r="Q660" s="8">
        <f t="shared" si="43"/>
        <v>10991</v>
      </c>
      <c r="R660" s="2" t="s">
        <v>28</v>
      </c>
      <c r="S660" s="9">
        <f>VLOOKUP(P660,$T$2:U657,2,1)</f>
        <v>0.05</v>
      </c>
    </row>
    <row r="661" spans="1:19" x14ac:dyDescent="0.25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e">
        <f>VLOOKUP(F661,'Customer Info'!A653:I1152,2,0)</f>
        <v>#N/A</v>
      </c>
      <c r="H661" s="6" t="e">
        <f>VLOOKUP(F661,'Customer Info'!A653:I1152,3,0)</f>
        <v>#N/A</v>
      </c>
      <c r="I661" s="6" t="e">
        <f>VLOOKUP(F661,'Customer Info'!A653:I1152,5,0)</f>
        <v>#N/A</v>
      </c>
      <c r="J661" s="2">
        <v>4784</v>
      </c>
      <c r="K661" s="2">
        <v>4518</v>
      </c>
      <c r="L661" s="2">
        <v>3</v>
      </c>
      <c r="M661" s="7">
        <f t="shared" si="40"/>
        <v>13554</v>
      </c>
      <c r="N661" s="7">
        <f t="shared" si="41"/>
        <v>14352</v>
      </c>
      <c r="O661" s="2">
        <v>79</v>
      </c>
      <c r="P661" s="8">
        <f t="shared" si="42"/>
        <v>14431</v>
      </c>
      <c r="Q661" s="8">
        <f t="shared" si="43"/>
        <v>14273</v>
      </c>
      <c r="R661" s="2" t="s">
        <v>28</v>
      </c>
      <c r="S661" s="9">
        <f>VLOOKUP(P661,$T$2:U658,2,1)</f>
        <v>0.05</v>
      </c>
    </row>
    <row r="662" spans="1:19" x14ac:dyDescent="0.25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e">
        <f>VLOOKUP(F662,'Customer Info'!A654:I1153,2,0)</f>
        <v>#N/A</v>
      </c>
      <c r="H662" s="6" t="e">
        <f>VLOOKUP(F662,'Customer Info'!A654:I1153,3,0)</f>
        <v>#N/A</v>
      </c>
      <c r="I662" s="6" t="e">
        <f>VLOOKUP(F662,'Customer Info'!A654:I1153,5,0)</f>
        <v>#N/A</v>
      </c>
      <c r="J662" s="2">
        <v>829</v>
      </c>
      <c r="K662" s="2">
        <v>761</v>
      </c>
      <c r="L662" s="2">
        <v>7</v>
      </c>
      <c r="M662" s="7">
        <f t="shared" si="40"/>
        <v>5327</v>
      </c>
      <c r="N662" s="7">
        <f t="shared" si="41"/>
        <v>5803</v>
      </c>
      <c r="O662" s="2">
        <v>29</v>
      </c>
      <c r="P662" s="8">
        <f t="shared" si="42"/>
        <v>5832</v>
      </c>
      <c r="Q662" s="8">
        <f t="shared" si="43"/>
        <v>5774</v>
      </c>
      <c r="R662" s="2" t="s">
        <v>26</v>
      </c>
      <c r="S662" s="9">
        <f>VLOOKUP(P662,$T$2:U659,2,1)</f>
        <v>0.05</v>
      </c>
    </row>
    <row r="663" spans="1:19" x14ac:dyDescent="0.25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e">
        <f>VLOOKUP(F663,'Customer Info'!A655:I1154,2,0)</f>
        <v>#N/A</v>
      </c>
      <c r="H663" s="6" t="e">
        <f>VLOOKUP(F663,'Customer Info'!A655:I1154,3,0)</f>
        <v>#N/A</v>
      </c>
      <c r="I663" s="6" t="e">
        <f>VLOOKUP(F663,'Customer Info'!A655:I1154,5,0)</f>
        <v>#N/A</v>
      </c>
      <c r="J663" s="2">
        <v>5882</v>
      </c>
      <c r="K663" s="2">
        <v>5713</v>
      </c>
      <c r="L663" s="2">
        <v>7</v>
      </c>
      <c r="M663" s="7">
        <f t="shared" si="40"/>
        <v>39991</v>
      </c>
      <c r="N663" s="7">
        <f t="shared" si="41"/>
        <v>41174</v>
      </c>
      <c r="O663" s="2">
        <v>58</v>
      </c>
      <c r="P663" s="8">
        <f t="shared" si="42"/>
        <v>41232</v>
      </c>
      <c r="Q663" s="8">
        <f t="shared" si="43"/>
        <v>41116</v>
      </c>
      <c r="R663" s="2" t="s">
        <v>50</v>
      </c>
      <c r="S663" s="9">
        <f>VLOOKUP(P663,$T$2:U660,2,1)</f>
        <v>7.0000000000000007E-2</v>
      </c>
    </row>
    <row r="664" spans="1:19" x14ac:dyDescent="0.25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e">
        <f>VLOOKUP(F664,'Customer Info'!A656:I1155,2,0)</f>
        <v>#N/A</v>
      </c>
      <c r="H664" s="6" t="e">
        <f>VLOOKUP(F664,'Customer Info'!A656:I1155,3,0)</f>
        <v>#N/A</v>
      </c>
      <c r="I664" s="6" t="e">
        <f>VLOOKUP(F664,'Customer Info'!A656:I1155,5,0)</f>
        <v>#N/A</v>
      </c>
      <c r="J664" s="2">
        <v>77</v>
      </c>
      <c r="K664" s="2">
        <v>73</v>
      </c>
      <c r="L664" s="2">
        <v>2</v>
      </c>
      <c r="M664" s="7">
        <f t="shared" si="40"/>
        <v>146</v>
      </c>
      <c r="N664" s="7">
        <f t="shared" si="41"/>
        <v>154</v>
      </c>
      <c r="O664" s="2">
        <v>10</v>
      </c>
      <c r="P664" s="8">
        <f t="shared" si="42"/>
        <v>164</v>
      </c>
      <c r="Q664" s="8">
        <f t="shared" si="43"/>
        <v>144</v>
      </c>
      <c r="R664" s="2" t="s">
        <v>26</v>
      </c>
      <c r="S664" s="9">
        <f>VLOOKUP(P664,$T$2:U661,2,1)</f>
        <v>0.02</v>
      </c>
    </row>
    <row r="665" spans="1:19" x14ac:dyDescent="0.25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e">
        <f>VLOOKUP(F665,'Customer Info'!A657:I1156,2,0)</f>
        <v>#N/A</v>
      </c>
      <c r="H665" s="6" t="e">
        <f>VLOOKUP(F665,'Customer Info'!A657:I1156,3,0)</f>
        <v>#N/A</v>
      </c>
      <c r="I665" s="6" t="e">
        <f>VLOOKUP(F665,'Customer Info'!A657:I1156,5,0)</f>
        <v>#N/A</v>
      </c>
      <c r="J665" s="2">
        <v>6598</v>
      </c>
      <c r="K665" s="2">
        <v>6346</v>
      </c>
      <c r="L665" s="2">
        <v>1</v>
      </c>
      <c r="M665" s="7">
        <f t="shared" si="40"/>
        <v>6346</v>
      </c>
      <c r="N665" s="7">
        <f t="shared" si="41"/>
        <v>6598</v>
      </c>
      <c r="O665" s="2">
        <v>91</v>
      </c>
      <c r="P665" s="8">
        <f t="shared" si="42"/>
        <v>6689</v>
      </c>
      <c r="Q665" s="8">
        <f t="shared" si="43"/>
        <v>6507</v>
      </c>
      <c r="R665" s="2" t="s">
        <v>28</v>
      </c>
      <c r="S665" s="9">
        <f>VLOOKUP(P665,$T$2:U662,2,1)</f>
        <v>0.05</v>
      </c>
    </row>
    <row r="666" spans="1:19" x14ac:dyDescent="0.25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e">
        <f>VLOOKUP(F666,'Customer Info'!A658:I1157,2,0)</f>
        <v>#N/A</v>
      </c>
      <c r="H666" s="6" t="e">
        <f>VLOOKUP(F666,'Customer Info'!A658:I1157,3,0)</f>
        <v>#N/A</v>
      </c>
      <c r="I666" s="6" t="e">
        <f>VLOOKUP(F666,'Customer Info'!A658:I1157,5,0)</f>
        <v>#N/A</v>
      </c>
      <c r="J666" s="2">
        <v>664</v>
      </c>
      <c r="K666" s="2">
        <v>576</v>
      </c>
      <c r="L666" s="2">
        <v>4</v>
      </c>
      <c r="M666" s="7">
        <f t="shared" si="40"/>
        <v>2304</v>
      </c>
      <c r="N666" s="7">
        <f t="shared" si="41"/>
        <v>2656</v>
      </c>
      <c r="O666" s="2">
        <v>45</v>
      </c>
      <c r="P666" s="8">
        <f t="shared" si="42"/>
        <v>2701</v>
      </c>
      <c r="Q666" s="8">
        <f t="shared" si="43"/>
        <v>2611</v>
      </c>
      <c r="R666" s="2" t="s">
        <v>28</v>
      </c>
      <c r="S666" s="9">
        <f>VLOOKUP(P666,$T$2:U663,2,1)</f>
        <v>0.02</v>
      </c>
    </row>
    <row r="667" spans="1:19" x14ac:dyDescent="0.25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e">
        <f>VLOOKUP(F667,'Customer Info'!A659:I1158,2,0)</f>
        <v>#N/A</v>
      </c>
      <c r="H667" s="6" t="e">
        <f>VLOOKUP(F667,'Customer Info'!A659:I1158,3,0)</f>
        <v>#N/A</v>
      </c>
      <c r="I667" s="6" t="e">
        <f>VLOOKUP(F667,'Customer Info'!A659:I1158,5,0)</f>
        <v>#N/A</v>
      </c>
      <c r="J667" s="2">
        <v>139</v>
      </c>
      <c r="K667" s="2">
        <v>130</v>
      </c>
      <c r="L667" s="2">
        <v>7</v>
      </c>
      <c r="M667" s="7">
        <f t="shared" si="40"/>
        <v>910</v>
      </c>
      <c r="N667" s="7">
        <f t="shared" si="41"/>
        <v>973</v>
      </c>
      <c r="O667" s="2">
        <v>30</v>
      </c>
      <c r="P667" s="8">
        <f t="shared" si="42"/>
        <v>1003</v>
      </c>
      <c r="Q667" s="8">
        <f t="shared" si="43"/>
        <v>943</v>
      </c>
      <c r="R667" s="2" t="s">
        <v>50</v>
      </c>
      <c r="S667" s="9">
        <f>VLOOKUP(P667,$T$2:U664,2,1)</f>
        <v>0.02</v>
      </c>
    </row>
    <row r="668" spans="1:19" x14ac:dyDescent="0.25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e">
        <f>VLOOKUP(F668,'Customer Info'!A660:I1159,2,0)</f>
        <v>#N/A</v>
      </c>
      <c r="H668" s="6" t="e">
        <f>VLOOKUP(F668,'Customer Info'!A660:I1159,3,0)</f>
        <v>#N/A</v>
      </c>
      <c r="I668" s="6" t="e">
        <f>VLOOKUP(F668,'Customer Info'!A660:I1159,5,0)</f>
        <v>#N/A</v>
      </c>
      <c r="J668" s="2">
        <v>2466</v>
      </c>
      <c r="K668" s="2">
        <v>2350</v>
      </c>
      <c r="L668" s="2">
        <v>3</v>
      </c>
      <c r="M668" s="7">
        <f t="shared" si="40"/>
        <v>7050</v>
      </c>
      <c r="N668" s="7">
        <f t="shared" si="41"/>
        <v>7398</v>
      </c>
      <c r="O668" s="2">
        <v>38</v>
      </c>
      <c r="P668" s="8">
        <f t="shared" si="42"/>
        <v>7436</v>
      </c>
      <c r="Q668" s="8">
        <f t="shared" si="43"/>
        <v>7360</v>
      </c>
      <c r="R668" s="2" t="s">
        <v>28</v>
      </c>
      <c r="S668" s="9">
        <f>VLOOKUP(P668,$T$2:U665,2,1)</f>
        <v>0.05</v>
      </c>
    </row>
    <row r="669" spans="1:19" x14ac:dyDescent="0.25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e">
        <f>VLOOKUP(F669,'Customer Info'!A661:I1160,2,0)</f>
        <v>#N/A</v>
      </c>
      <c r="H669" s="6" t="e">
        <f>VLOOKUP(F669,'Customer Info'!A661:I1160,3,0)</f>
        <v>#N/A</v>
      </c>
      <c r="I669" s="6" t="e">
        <f>VLOOKUP(F669,'Customer Info'!A661:I1160,5,0)</f>
        <v>#N/A</v>
      </c>
      <c r="J669" s="2">
        <v>6717</v>
      </c>
      <c r="K669" s="2">
        <v>6288</v>
      </c>
      <c r="L669" s="2">
        <v>3</v>
      </c>
      <c r="M669" s="7">
        <f t="shared" si="40"/>
        <v>18864</v>
      </c>
      <c r="N669" s="7">
        <f t="shared" si="41"/>
        <v>20151</v>
      </c>
      <c r="O669" s="2">
        <v>44</v>
      </c>
      <c r="P669" s="8">
        <f t="shared" si="42"/>
        <v>20195</v>
      </c>
      <c r="Q669" s="8">
        <f t="shared" si="43"/>
        <v>20107</v>
      </c>
      <c r="R669" s="2" t="s">
        <v>26</v>
      </c>
      <c r="S669" s="9">
        <f>VLOOKUP(P669,$T$2:U666,2,1)</f>
        <v>0.05</v>
      </c>
    </row>
    <row r="670" spans="1:19" x14ac:dyDescent="0.25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e">
        <f>VLOOKUP(F670,'Customer Info'!A662:I1161,2,0)</f>
        <v>#N/A</v>
      </c>
      <c r="H670" s="6" t="e">
        <f>VLOOKUP(F670,'Customer Info'!A662:I1161,3,0)</f>
        <v>#N/A</v>
      </c>
      <c r="I670" s="6" t="e">
        <f>VLOOKUP(F670,'Customer Info'!A662:I1161,5,0)</f>
        <v>#N/A</v>
      </c>
      <c r="J670" s="2">
        <v>8651</v>
      </c>
      <c r="K670" s="2">
        <v>8081</v>
      </c>
      <c r="L670" s="2">
        <v>11</v>
      </c>
      <c r="M670" s="7">
        <f t="shared" si="40"/>
        <v>88891</v>
      </c>
      <c r="N670" s="7">
        <f t="shared" si="41"/>
        <v>95161</v>
      </c>
      <c r="O670" s="2">
        <v>27</v>
      </c>
      <c r="P670" s="8">
        <f t="shared" si="42"/>
        <v>95188</v>
      </c>
      <c r="Q670" s="8">
        <f t="shared" si="43"/>
        <v>95134</v>
      </c>
      <c r="R670" s="2" t="s">
        <v>28</v>
      </c>
      <c r="S670" s="9">
        <f>VLOOKUP(P670,$T$2:U667,2,1)</f>
        <v>0.09</v>
      </c>
    </row>
    <row r="671" spans="1:19" x14ac:dyDescent="0.25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e">
        <f>VLOOKUP(F671,'Customer Info'!A663:I1162,2,0)</f>
        <v>#N/A</v>
      </c>
      <c r="H671" s="6" t="e">
        <f>VLOOKUP(F671,'Customer Info'!A663:I1162,3,0)</f>
        <v>#N/A</v>
      </c>
      <c r="I671" s="6" t="e">
        <f>VLOOKUP(F671,'Customer Info'!A663:I1162,5,0)</f>
        <v>#N/A</v>
      </c>
      <c r="J671" s="2">
        <v>210</v>
      </c>
      <c r="K671" s="2">
        <v>193</v>
      </c>
      <c r="L671" s="2">
        <v>2</v>
      </c>
      <c r="M671" s="7">
        <f t="shared" si="40"/>
        <v>386</v>
      </c>
      <c r="N671" s="7">
        <f t="shared" si="41"/>
        <v>420</v>
      </c>
      <c r="O671" s="2">
        <v>23</v>
      </c>
      <c r="P671" s="8">
        <f t="shared" si="42"/>
        <v>443</v>
      </c>
      <c r="Q671" s="8">
        <f t="shared" si="43"/>
        <v>397</v>
      </c>
      <c r="R671" s="2" t="s">
        <v>28</v>
      </c>
      <c r="S671" s="9">
        <f>VLOOKUP(P671,$T$2:U668,2,1)</f>
        <v>0.02</v>
      </c>
    </row>
    <row r="672" spans="1:19" x14ac:dyDescent="0.25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e">
        <f>VLOOKUP(F672,'Customer Info'!A664:I1163,2,0)</f>
        <v>#N/A</v>
      </c>
      <c r="H672" s="6" t="e">
        <f>VLOOKUP(F672,'Customer Info'!A664:I1163,3,0)</f>
        <v>#N/A</v>
      </c>
      <c r="I672" s="6" t="e">
        <f>VLOOKUP(F672,'Customer Info'!A664:I1163,5,0)</f>
        <v>#N/A</v>
      </c>
      <c r="J672" s="2">
        <v>6012</v>
      </c>
      <c r="K672" s="2">
        <v>5677</v>
      </c>
      <c r="L672" s="2">
        <v>1</v>
      </c>
      <c r="M672" s="7">
        <f t="shared" si="40"/>
        <v>5677</v>
      </c>
      <c r="N672" s="7">
        <f t="shared" si="41"/>
        <v>6012</v>
      </c>
      <c r="O672" s="2">
        <v>44</v>
      </c>
      <c r="P672" s="8">
        <f t="shared" si="42"/>
        <v>6056</v>
      </c>
      <c r="Q672" s="8">
        <f t="shared" si="43"/>
        <v>5968</v>
      </c>
      <c r="R672" s="2" t="s">
        <v>28</v>
      </c>
      <c r="S672" s="9">
        <f>VLOOKUP(P672,$T$2:U669,2,1)</f>
        <v>0.05</v>
      </c>
    </row>
    <row r="673" spans="1:19" x14ac:dyDescent="0.25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e">
        <f>VLOOKUP(F673,'Customer Info'!A665:I1164,2,0)</f>
        <v>#N/A</v>
      </c>
      <c r="H673" s="6" t="e">
        <f>VLOOKUP(F673,'Customer Info'!A665:I1164,3,0)</f>
        <v>#N/A</v>
      </c>
      <c r="I673" s="6" t="e">
        <f>VLOOKUP(F673,'Customer Info'!A665:I1164,5,0)</f>
        <v>#N/A</v>
      </c>
      <c r="J673" s="2">
        <v>1635</v>
      </c>
      <c r="K673" s="2">
        <v>1573</v>
      </c>
      <c r="L673" s="2">
        <v>1</v>
      </c>
      <c r="M673" s="7">
        <f t="shared" si="40"/>
        <v>1573</v>
      </c>
      <c r="N673" s="7">
        <f t="shared" si="41"/>
        <v>1635</v>
      </c>
      <c r="O673" s="2">
        <v>52</v>
      </c>
      <c r="P673" s="8">
        <f t="shared" si="42"/>
        <v>1687</v>
      </c>
      <c r="Q673" s="8">
        <f t="shared" si="43"/>
        <v>1583</v>
      </c>
      <c r="R673" s="2" t="s">
        <v>50</v>
      </c>
      <c r="S673" s="9">
        <f>VLOOKUP(P673,$T$2:U670,2,1)</f>
        <v>0.02</v>
      </c>
    </row>
    <row r="674" spans="1:19" x14ac:dyDescent="0.25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e">
        <f>VLOOKUP(F674,'Customer Info'!A666:I1165,2,0)</f>
        <v>#N/A</v>
      </c>
      <c r="H674" s="6" t="e">
        <f>VLOOKUP(F674,'Customer Info'!A666:I1165,3,0)</f>
        <v>#N/A</v>
      </c>
      <c r="I674" s="6" t="e">
        <f>VLOOKUP(F674,'Customer Info'!A666:I1165,5,0)</f>
        <v>#N/A</v>
      </c>
      <c r="J674" s="2">
        <v>8026</v>
      </c>
      <c r="K674" s="2">
        <v>7572</v>
      </c>
      <c r="L674" s="2">
        <v>7</v>
      </c>
      <c r="M674" s="7">
        <f t="shared" si="40"/>
        <v>53004</v>
      </c>
      <c r="N674" s="7">
        <f t="shared" si="41"/>
        <v>56182</v>
      </c>
      <c r="O674" s="2">
        <v>86</v>
      </c>
      <c r="P674" s="8">
        <f t="shared" si="42"/>
        <v>56268</v>
      </c>
      <c r="Q674" s="8">
        <f t="shared" si="43"/>
        <v>56096</v>
      </c>
      <c r="R674" s="2" t="s">
        <v>26</v>
      </c>
      <c r="S674" s="9">
        <f>VLOOKUP(P674,$T$2:U671,2,1)</f>
        <v>0.09</v>
      </c>
    </row>
    <row r="675" spans="1:19" x14ac:dyDescent="0.25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e">
        <f>VLOOKUP(F675,'Customer Info'!A667:I1166,2,0)</f>
        <v>#N/A</v>
      </c>
      <c r="H675" s="6" t="e">
        <f>VLOOKUP(F675,'Customer Info'!A667:I1166,3,0)</f>
        <v>#N/A</v>
      </c>
      <c r="I675" s="6" t="e">
        <f>VLOOKUP(F675,'Customer Info'!A667:I1166,5,0)</f>
        <v>#N/A</v>
      </c>
      <c r="J675" s="2">
        <v>1246</v>
      </c>
      <c r="K675" s="2">
        <v>1164</v>
      </c>
      <c r="L675" s="2">
        <v>1</v>
      </c>
      <c r="M675" s="7">
        <f t="shared" si="40"/>
        <v>1164</v>
      </c>
      <c r="N675" s="7">
        <f t="shared" si="41"/>
        <v>1246</v>
      </c>
      <c r="O675" s="2">
        <v>85</v>
      </c>
      <c r="P675" s="8">
        <f t="shared" si="42"/>
        <v>1331</v>
      </c>
      <c r="Q675" s="8">
        <f t="shared" si="43"/>
        <v>1161</v>
      </c>
      <c r="R675" s="2" t="s">
        <v>50</v>
      </c>
      <c r="S675" s="9">
        <f>VLOOKUP(P675,$T$2:U672,2,1)</f>
        <v>0.02</v>
      </c>
    </row>
    <row r="676" spans="1:19" x14ac:dyDescent="0.25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e">
        <f>VLOOKUP(F676,'Customer Info'!A668:I1167,2,0)</f>
        <v>#N/A</v>
      </c>
      <c r="H676" s="6" t="e">
        <f>VLOOKUP(F676,'Customer Info'!A668:I1167,3,0)</f>
        <v>#N/A</v>
      </c>
      <c r="I676" s="6" t="e">
        <f>VLOOKUP(F676,'Customer Info'!A668:I1167,5,0)</f>
        <v>#N/A</v>
      </c>
      <c r="J676" s="2">
        <v>2874</v>
      </c>
      <c r="K676" s="2">
        <v>2583</v>
      </c>
      <c r="L676" s="2">
        <v>5</v>
      </c>
      <c r="M676" s="7">
        <f t="shared" si="40"/>
        <v>12915</v>
      </c>
      <c r="N676" s="7">
        <f t="shared" si="41"/>
        <v>14370</v>
      </c>
      <c r="O676" s="2">
        <v>96</v>
      </c>
      <c r="P676" s="8">
        <f t="shared" si="42"/>
        <v>14466</v>
      </c>
      <c r="Q676" s="8">
        <f t="shared" si="43"/>
        <v>14274</v>
      </c>
      <c r="R676" s="2" t="s">
        <v>28</v>
      </c>
      <c r="S676" s="9">
        <f>VLOOKUP(P676,$T$2:U673,2,1)</f>
        <v>0.05</v>
      </c>
    </row>
    <row r="677" spans="1:19" x14ac:dyDescent="0.25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e">
        <f>VLOOKUP(F677,'Customer Info'!A669:I1168,2,0)</f>
        <v>#N/A</v>
      </c>
      <c r="H677" s="6" t="e">
        <f>VLOOKUP(F677,'Customer Info'!A669:I1168,3,0)</f>
        <v>#N/A</v>
      </c>
      <c r="I677" s="6" t="e">
        <f>VLOOKUP(F677,'Customer Info'!A669:I1168,5,0)</f>
        <v>#N/A</v>
      </c>
      <c r="J677" s="2">
        <v>827</v>
      </c>
      <c r="K677" s="2">
        <v>788</v>
      </c>
      <c r="L677" s="2">
        <v>6</v>
      </c>
      <c r="M677" s="7">
        <f t="shared" si="40"/>
        <v>4728</v>
      </c>
      <c r="N677" s="7">
        <f t="shared" si="41"/>
        <v>4962</v>
      </c>
      <c r="O677" s="2">
        <v>62</v>
      </c>
      <c r="P677" s="8">
        <f t="shared" si="42"/>
        <v>5024</v>
      </c>
      <c r="Q677" s="8">
        <f t="shared" si="43"/>
        <v>4900</v>
      </c>
      <c r="R677" s="2" t="s">
        <v>28</v>
      </c>
      <c r="S677" s="9">
        <f>VLOOKUP(P677,$T$2:U674,2,1)</f>
        <v>0.05</v>
      </c>
    </row>
    <row r="678" spans="1:19" x14ac:dyDescent="0.25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e">
        <f>VLOOKUP(F678,'Customer Info'!A670:I1169,2,0)</f>
        <v>#N/A</v>
      </c>
      <c r="H678" s="6" t="e">
        <f>VLOOKUP(F678,'Customer Info'!A670:I1169,3,0)</f>
        <v>#N/A</v>
      </c>
      <c r="I678" s="6" t="e">
        <f>VLOOKUP(F678,'Customer Info'!A670:I1169,5,0)</f>
        <v>#N/A</v>
      </c>
      <c r="J678" s="2">
        <v>827</v>
      </c>
      <c r="K678" s="2">
        <v>788</v>
      </c>
      <c r="L678" s="2">
        <v>4</v>
      </c>
      <c r="M678" s="7">
        <f t="shared" si="40"/>
        <v>3152</v>
      </c>
      <c r="N678" s="7">
        <f t="shared" si="41"/>
        <v>3308</v>
      </c>
      <c r="O678" s="2">
        <v>68</v>
      </c>
      <c r="P678" s="8">
        <f t="shared" si="42"/>
        <v>3376</v>
      </c>
      <c r="Q678" s="8">
        <f t="shared" si="43"/>
        <v>3240</v>
      </c>
      <c r="R678" s="2" t="s">
        <v>26</v>
      </c>
      <c r="S678" s="9">
        <f>VLOOKUP(P678,$T$2:U675,2,1)</f>
        <v>0.02</v>
      </c>
    </row>
    <row r="679" spans="1:19" x14ac:dyDescent="0.25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e">
        <f>VLOOKUP(F679,'Customer Info'!A671:I1170,2,0)</f>
        <v>#N/A</v>
      </c>
      <c r="H679" s="6" t="e">
        <f>VLOOKUP(F679,'Customer Info'!A671:I1170,3,0)</f>
        <v>#N/A</v>
      </c>
      <c r="I679" s="6" t="e">
        <f>VLOOKUP(F679,'Customer Info'!A671:I1170,5,0)</f>
        <v>#N/A</v>
      </c>
      <c r="J679" s="2">
        <v>3224</v>
      </c>
      <c r="K679" s="2">
        <v>2901</v>
      </c>
      <c r="L679" s="2">
        <v>2</v>
      </c>
      <c r="M679" s="7">
        <f t="shared" si="40"/>
        <v>5802</v>
      </c>
      <c r="N679" s="7">
        <f t="shared" si="41"/>
        <v>6448</v>
      </c>
      <c r="O679" s="2">
        <v>57</v>
      </c>
      <c r="P679" s="8">
        <f t="shared" si="42"/>
        <v>6505</v>
      </c>
      <c r="Q679" s="8">
        <f t="shared" si="43"/>
        <v>6391</v>
      </c>
      <c r="R679" s="2" t="s">
        <v>28</v>
      </c>
      <c r="S679" s="9">
        <f>VLOOKUP(P679,$T$2:U676,2,1)</f>
        <v>0.05</v>
      </c>
    </row>
    <row r="680" spans="1:19" x14ac:dyDescent="0.25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e">
        <f>VLOOKUP(F680,'Customer Info'!A672:I1171,2,0)</f>
        <v>#N/A</v>
      </c>
      <c r="H680" s="6" t="e">
        <f>VLOOKUP(F680,'Customer Info'!A672:I1171,3,0)</f>
        <v>#N/A</v>
      </c>
      <c r="I680" s="6" t="e">
        <f>VLOOKUP(F680,'Customer Info'!A672:I1171,5,0)</f>
        <v>#N/A</v>
      </c>
      <c r="J680" s="2">
        <v>62</v>
      </c>
      <c r="K680" s="2">
        <v>58</v>
      </c>
      <c r="L680" s="2">
        <v>2</v>
      </c>
      <c r="M680" s="7">
        <f t="shared" si="40"/>
        <v>116</v>
      </c>
      <c r="N680" s="7">
        <f t="shared" si="41"/>
        <v>124</v>
      </c>
      <c r="O680" s="2">
        <v>10</v>
      </c>
      <c r="P680" s="8">
        <f t="shared" si="42"/>
        <v>134</v>
      </c>
      <c r="Q680" s="8">
        <f t="shared" si="43"/>
        <v>114</v>
      </c>
      <c r="R680" s="2" t="s">
        <v>28</v>
      </c>
      <c r="S680" s="9">
        <f>VLOOKUP(P680,$T$2:U677,2,1)</f>
        <v>0.02</v>
      </c>
    </row>
    <row r="681" spans="1:19" x14ac:dyDescent="0.25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e">
        <f>VLOOKUP(F681,'Customer Info'!A673:I1172,2,0)</f>
        <v>#N/A</v>
      </c>
      <c r="H681" s="6" t="e">
        <f>VLOOKUP(F681,'Customer Info'!A673:I1172,3,0)</f>
        <v>#N/A</v>
      </c>
      <c r="I681" s="6" t="e">
        <f>VLOOKUP(F681,'Customer Info'!A673:I1172,5,0)</f>
        <v>#N/A</v>
      </c>
      <c r="J681" s="2">
        <v>2759</v>
      </c>
      <c r="K681" s="2">
        <v>2628</v>
      </c>
      <c r="L681" s="2">
        <v>6</v>
      </c>
      <c r="M681" s="7">
        <f t="shared" si="40"/>
        <v>15768</v>
      </c>
      <c r="N681" s="7">
        <f t="shared" si="41"/>
        <v>16554</v>
      </c>
      <c r="O681" s="2">
        <v>67</v>
      </c>
      <c r="P681" s="8">
        <f t="shared" si="42"/>
        <v>16621</v>
      </c>
      <c r="Q681" s="8">
        <f t="shared" si="43"/>
        <v>16487</v>
      </c>
      <c r="R681" s="2" t="s">
        <v>28</v>
      </c>
      <c r="S681" s="9">
        <f>VLOOKUP(P681,$T$2:U678,2,1)</f>
        <v>0.05</v>
      </c>
    </row>
    <row r="682" spans="1:19" x14ac:dyDescent="0.25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e">
        <f>VLOOKUP(F682,'Customer Info'!A674:I1173,2,0)</f>
        <v>#N/A</v>
      </c>
      <c r="H682" s="6" t="e">
        <f>VLOOKUP(F682,'Customer Info'!A674:I1173,3,0)</f>
        <v>#N/A</v>
      </c>
      <c r="I682" s="6" t="e">
        <f>VLOOKUP(F682,'Customer Info'!A674:I1173,5,0)</f>
        <v>#N/A</v>
      </c>
      <c r="J682" s="2">
        <v>3256</v>
      </c>
      <c r="K682" s="2">
        <v>2959</v>
      </c>
      <c r="L682" s="2">
        <v>5</v>
      </c>
      <c r="M682" s="7">
        <f t="shared" si="40"/>
        <v>14795</v>
      </c>
      <c r="N682" s="7">
        <f t="shared" si="41"/>
        <v>16280</v>
      </c>
      <c r="O682" s="2">
        <v>34</v>
      </c>
      <c r="P682" s="8">
        <f t="shared" si="42"/>
        <v>16314</v>
      </c>
      <c r="Q682" s="8">
        <f t="shared" si="43"/>
        <v>16246</v>
      </c>
      <c r="R682" s="2" t="s">
        <v>56</v>
      </c>
      <c r="S682" s="9">
        <f>VLOOKUP(P682,$T$2:U679,2,1)</f>
        <v>0.05</v>
      </c>
    </row>
    <row r="683" spans="1:19" x14ac:dyDescent="0.25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e">
        <f>VLOOKUP(F683,'Customer Info'!A675:I1174,2,0)</f>
        <v>#N/A</v>
      </c>
      <c r="H683" s="6" t="e">
        <f>VLOOKUP(F683,'Customer Info'!A675:I1174,3,0)</f>
        <v>#N/A</v>
      </c>
      <c r="I683" s="6" t="e">
        <f>VLOOKUP(F683,'Customer Info'!A675:I1174,5,0)</f>
        <v>#N/A</v>
      </c>
      <c r="J683" s="2">
        <v>100</v>
      </c>
      <c r="K683" s="2">
        <v>95</v>
      </c>
      <c r="L683" s="2">
        <v>2</v>
      </c>
      <c r="M683" s="7">
        <f t="shared" si="40"/>
        <v>190</v>
      </c>
      <c r="N683" s="7">
        <f t="shared" si="41"/>
        <v>200</v>
      </c>
      <c r="O683" s="2">
        <v>10</v>
      </c>
      <c r="P683" s="8">
        <f t="shared" si="42"/>
        <v>210</v>
      </c>
      <c r="Q683" s="8">
        <f t="shared" si="43"/>
        <v>190</v>
      </c>
      <c r="R683" s="2" t="s">
        <v>50</v>
      </c>
      <c r="S683" s="9">
        <f>VLOOKUP(P683,$T$2:U680,2,1)</f>
        <v>0.02</v>
      </c>
    </row>
    <row r="684" spans="1:19" x14ac:dyDescent="0.25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e">
        <f>VLOOKUP(F684,'Customer Info'!A676:I1175,2,0)</f>
        <v>#N/A</v>
      </c>
      <c r="H684" s="6" t="e">
        <f>VLOOKUP(F684,'Customer Info'!A676:I1175,3,0)</f>
        <v>#N/A</v>
      </c>
      <c r="I684" s="6" t="e">
        <f>VLOOKUP(F684,'Customer Info'!A676:I1175,5,0)</f>
        <v>#N/A</v>
      </c>
      <c r="J684" s="2">
        <v>63</v>
      </c>
      <c r="K684" s="2">
        <v>58</v>
      </c>
      <c r="L684" s="2">
        <v>2</v>
      </c>
      <c r="M684" s="7">
        <f t="shared" si="40"/>
        <v>116</v>
      </c>
      <c r="N684" s="7">
        <f t="shared" si="41"/>
        <v>126</v>
      </c>
      <c r="O684" s="2">
        <v>10</v>
      </c>
      <c r="P684" s="8">
        <f t="shared" si="42"/>
        <v>136</v>
      </c>
      <c r="Q684" s="8">
        <f t="shared" si="43"/>
        <v>116</v>
      </c>
      <c r="R684" s="2" t="s">
        <v>28</v>
      </c>
      <c r="S684" s="9">
        <f>VLOOKUP(P684,$T$2:U681,2,1)</f>
        <v>0.02</v>
      </c>
    </row>
    <row r="685" spans="1:19" x14ac:dyDescent="0.25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e">
        <f>VLOOKUP(F685,'Customer Info'!A677:I1176,2,0)</f>
        <v>#N/A</v>
      </c>
      <c r="H685" s="6" t="e">
        <f>VLOOKUP(F685,'Customer Info'!A677:I1176,3,0)</f>
        <v>#N/A</v>
      </c>
      <c r="I685" s="6" t="e">
        <f>VLOOKUP(F685,'Customer Info'!A677:I1176,5,0)</f>
        <v>#N/A</v>
      </c>
      <c r="J685" s="2">
        <v>3224</v>
      </c>
      <c r="K685" s="2">
        <v>2984</v>
      </c>
      <c r="L685" s="2">
        <v>7</v>
      </c>
      <c r="M685" s="7">
        <f t="shared" si="40"/>
        <v>20888</v>
      </c>
      <c r="N685" s="7">
        <f t="shared" si="41"/>
        <v>22568</v>
      </c>
      <c r="O685" s="2">
        <v>52</v>
      </c>
      <c r="P685" s="8">
        <f t="shared" si="42"/>
        <v>22620</v>
      </c>
      <c r="Q685" s="8">
        <f t="shared" si="43"/>
        <v>22516</v>
      </c>
      <c r="R685" s="2" t="s">
        <v>26</v>
      </c>
      <c r="S685" s="9">
        <f>VLOOKUP(P685,$T$2:U682,2,1)</f>
        <v>0.05</v>
      </c>
    </row>
    <row r="686" spans="1:19" x14ac:dyDescent="0.25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e">
        <f>VLOOKUP(F686,'Customer Info'!A678:I1177,2,0)</f>
        <v>#N/A</v>
      </c>
      <c r="H686" s="6" t="e">
        <f>VLOOKUP(F686,'Customer Info'!A678:I1177,3,0)</f>
        <v>#N/A</v>
      </c>
      <c r="I686" s="6" t="e">
        <f>VLOOKUP(F686,'Customer Info'!A678:I1177,5,0)</f>
        <v>#N/A</v>
      </c>
      <c r="J686" s="2">
        <v>1587</v>
      </c>
      <c r="K686" s="2">
        <v>1428</v>
      </c>
      <c r="L686" s="2">
        <v>3</v>
      </c>
      <c r="M686" s="7">
        <f t="shared" si="40"/>
        <v>4284</v>
      </c>
      <c r="N686" s="7">
        <f t="shared" si="41"/>
        <v>4761</v>
      </c>
      <c r="O686" s="2">
        <v>76</v>
      </c>
      <c r="P686" s="8">
        <f t="shared" si="42"/>
        <v>4837</v>
      </c>
      <c r="Q686" s="8">
        <f t="shared" si="43"/>
        <v>4685</v>
      </c>
      <c r="R686" s="2" t="s">
        <v>28</v>
      </c>
      <c r="S686" s="9">
        <f>VLOOKUP(P686,$T$2:U683,2,1)</f>
        <v>0.02</v>
      </c>
    </row>
    <row r="687" spans="1:19" x14ac:dyDescent="0.25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e">
        <f>VLOOKUP(F687,'Customer Info'!A679:I1178,2,0)</f>
        <v>#N/A</v>
      </c>
      <c r="H687" s="6" t="e">
        <f>VLOOKUP(F687,'Customer Info'!A679:I1178,3,0)</f>
        <v>#N/A</v>
      </c>
      <c r="I687" s="6" t="e">
        <f>VLOOKUP(F687,'Customer Info'!A679:I1178,5,0)</f>
        <v>#N/A</v>
      </c>
      <c r="J687" s="2">
        <v>1169</v>
      </c>
      <c r="K687" s="2">
        <v>1103</v>
      </c>
      <c r="L687" s="2">
        <v>2</v>
      </c>
      <c r="M687" s="7">
        <f t="shared" si="40"/>
        <v>2206</v>
      </c>
      <c r="N687" s="7">
        <f t="shared" si="41"/>
        <v>2338</v>
      </c>
      <c r="O687" s="2">
        <v>26</v>
      </c>
      <c r="P687" s="8">
        <f t="shared" si="42"/>
        <v>2364</v>
      </c>
      <c r="Q687" s="8">
        <f t="shared" si="43"/>
        <v>2312</v>
      </c>
      <c r="R687" s="2" t="s">
        <v>50</v>
      </c>
      <c r="S687" s="9">
        <f>VLOOKUP(P687,$T$2:U684,2,1)</f>
        <v>0.02</v>
      </c>
    </row>
    <row r="688" spans="1:19" x14ac:dyDescent="0.25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e">
        <f>VLOOKUP(F688,'Customer Info'!A680:I1179,2,0)</f>
        <v>#N/A</v>
      </c>
      <c r="H688" s="6" t="e">
        <f>VLOOKUP(F688,'Customer Info'!A680:I1179,3,0)</f>
        <v>#N/A</v>
      </c>
      <c r="I688" s="6" t="e">
        <f>VLOOKUP(F688,'Customer Info'!A680:I1179,5,0)</f>
        <v>#N/A</v>
      </c>
      <c r="J688" s="2">
        <v>1721</v>
      </c>
      <c r="K688" s="2">
        <v>1640</v>
      </c>
      <c r="L688" s="2">
        <v>3</v>
      </c>
      <c r="M688" s="7">
        <f t="shared" si="40"/>
        <v>4920</v>
      </c>
      <c r="N688" s="7">
        <f t="shared" si="41"/>
        <v>5163</v>
      </c>
      <c r="O688" s="2">
        <v>89</v>
      </c>
      <c r="P688" s="8">
        <f t="shared" si="42"/>
        <v>5252</v>
      </c>
      <c r="Q688" s="8">
        <f t="shared" si="43"/>
        <v>5074</v>
      </c>
      <c r="R688" s="2" t="s">
        <v>28</v>
      </c>
      <c r="S688" s="9">
        <f>VLOOKUP(P688,$T$2:U685,2,1)</f>
        <v>0.05</v>
      </c>
    </row>
    <row r="689" spans="1:19" x14ac:dyDescent="0.25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e">
        <f>VLOOKUP(F689,'Customer Info'!A681:I1180,2,0)</f>
        <v>#N/A</v>
      </c>
      <c r="H689" s="6" t="e">
        <f>VLOOKUP(F689,'Customer Info'!A681:I1180,3,0)</f>
        <v>#N/A</v>
      </c>
      <c r="I689" s="6" t="e">
        <f>VLOOKUP(F689,'Customer Info'!A681:I1180,5,0)</f>
        <v>#N/A</v>
      </c>
      <c r="J689" s="2">
        <v>1734</v>
      </c>
      <c r="K689" s="2">
        <v>1702</v>
      </c>
      <c r="L689" s="2">
        <v>4</v>
      </c>
      <c r="M689" s="7">
        <f t="shared" si="40"/>
        <v>6808</v>
      </c>
      <c r="N689" s="7">
        <f t="shared" si="41"/>
        <v>6936</v>
      </c>
      <c r="O689" s="2">
        <v>89</v>
      </c>
      <c r="P689" s="8">
        <f t="shared" si="42"/>
        <v>7025</v>
      </c>
      <c r="Q689" s="8">
        <f t="shared" si="43"/>
        <v>6847</v>
      </c>
      <c r="R689" s="2" t="s">
        <v>50</v>
      </c>
      <c r="S689" s="9">
        <f>VLOOKUP(P689,$T$2:U686,2,1)</f>
        <v>0.05</v>
      </c>
    </row>
    <row r="690" spans="1:19" x14ac:dyDescent="0.25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e">
        <f>VLOOKUP(F690,'Customer Info'!A682:I1181,2,0)</f>
        <v>#N/A</v>
      </c>
      <c r="H690" s="6" t="e">
        <f>VLOOKUP(F690,'Customer Info'!A682:I1181,3,0)</f>
        <v>#N/A</v>
      </c>
      <c r="I690" s="6" t="e">
        <f>VLOOKUP(F690,'Customer Info'!A682:I1181,5,0)</f>
        <v>#N/A</v>
      </c>
      <c r="J690" s="2">
        <v>7609</v>
      </c>
      <c r="K690" s="2">
        <v>7248</v>
      </c>
      <c r="L690" s="2">
        <v>4</v>
      </c>
      <c r="M690" s="7">
        <f t="shared" si="40"/>
        <v>28992</v>
      </c>
      <c r="N690" s="7">
        <f t="shared" si="41"/>
        <v>30436</v>
      </c>
      <c r="O690" s="2">
        <v>27</v>
      </c>
      <c r="P690" s="8">
        <f t="shared" si="42"/>
        <v>30463</v>
      </c>
      <c r="Q690" s="8">
        <f t="shared" si="43"/>
        <v>30409</v>
      </c>
      <c r="R690" s="2" t="s">
        <v>26</v>
      </c>
      <c r="S690" s="9">
        <f>VLOOKUP(P690,$T$2:U687,2,1)</f>
        <v>7.0000000000000007E-2</v>
      </c>
    </row>
    <row r="691" spans="1:19" x14ac:dyDescent="0.25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e">
        <f>VLOOKUP(F691,'Customer Info'!A683:I1182,2,0)</f>
        <v>#N/A</v>
      </c>
      <c r="H691" s="6" t="e">
        <f>VLOOKUP(F691,'Customer Info'!A683:I1182,3,0)</f>
        <v>#N/A</v>
      </c>
      <c r="I691" s="6" t="e">
        <f>VLOOKUP(F691,'Customer Info'!A683:I1182,5,0)</f>
        <v>#N/A</v>
      </c>
      <c r="J691" s="2">
        <v>1181</v>
      </c>
      <c r="K691" s="2">
        <v>1136</v>
      </c>
      <c r="L691" s="2">
        <v>2</v>
      </c>
      <c r="M691" s="7">
        <f t="shared" si="40"/>
        <v>2272</v>
      </c>
      <c r="N691" s="7">
        <f t="shared" si="41"/>
        <v>2362</v>
      </c>
      <c r="O691" s="2">
        <v>70</v>
      </c>
      <c r="P691" s="8">
        <f t="shared" si="42"/>
        <v>2432</v>
      </c>
      <c r="Q691" s="8">
        <f t="shared" si="43"/>
        <v>2292</v>
      </c>
      <c r="R691" s="2" t="s">
        <v>28</v>
      </c>
      <c r="S691" s="9">
        <f>VLOOKUP(P691,$T$2:U688,2,1)</f>
        <v>0.02</v>
      </c>
    </row>
    <row r="692" spans="1:19" x14ac:dyDescent="0.25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e">
        <f>VLOOKUP(F692,'Customer Info'!A684:I1183,2,0)</f>
        <v>#N/A</v>
      </c>
      <c r="H692" s="6" t="e">
        <f>VLOOKUP(F692,'Customer Info'!A684:I1183,3,0)</f>
        <v>#N/A</v>
      </c>
      <c r="I692" s="6" t="e">
        <f>VLOOKUP(F692,'Customer Info'!A684:I1183,5,0)</f>
        <v>#N/A</v>
      </c>
      <c r="J692" s="2">
        <v>1585</v>
      </c>
      <c r="K692" s="2">
        <v>1495</v>
      </c>
      <c r="L692" s="2">
        <v>6</v>
      </c>
      <c r="M692" s="7">
        <f t="shared" si="40"/>
        <v>8970</v>
      </c>
      <c r="N692" s="7">
        <f t="shared" si="41"/>
        <v>9510</v>
      </c>
      <c r="O692" s="2">
        <v>47</v>
      </c>
      <c r="P692" s="8">
        <f t="shared" si="42"/>
        <v>9557</v>
      </c>
      <c r="Q692" s="8">
        <f t="shared" si="43"/>
        <v>9463</v>
      </c>
      <c r="R692" s="2" t="s">
        <v>28</v>
      </c>
      <c r="S692" s="9">
        <f>VLOOKUP(P692,$T$2:U689,2,1)</f>
        <v>0.05</v>
      </c>
    </row>
    <row r="693" spans="1:19" x14ac:dyDescent="0.25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e">
        <f>VLOOKUP(F693,'Customer Info'!A685:I1184,2,0)</f>
        <v>#N/A</v>
      </c>
      <c r="H693" s="6" t="e">
        <f>VLOOKUP(F693,'Customer Info'!A685:I1184,3,0)</f>
        <v>#N/A</v>
      </c>
      <c r="I693" s="6" t="e">
        <f>VLOOKUP(F693,'Customer Info'!A685:I1184,5,0)</f>
        <v>#N/A</v>
      </c>
      <c r="J693" s="2">
        <v>2644</v>
      </c>
      <c r="K693" s="2">
        <v>2425</v>
      </c>
      <c r="L693" s="2">
        <v>1</v>
      </c>
      <c r="M693" s="7">
        <f t="shared" si="40"/>
        <v>2425</v>
      </c>
      <c r="N693" s="7">
        <f t="shared" si="41"/>
        <v>2644</v>
      </c>
      <c r="O693" s="2">
        <v>24</v>
      </c>
      <c r="P693" s="8">
        <f t="shared" si="42"/>
        <v>2668</v>
      </c>
      <c r="Q693" s="8">
        <f t="shared" si="43"/>
        <v>2620</v>
      </c>
      <c r="R693" s="2" t="s">
        <v>28</v>
      </c>
      <c r="S693" s="9">
        <f>VLOOKUP(P693,$T$2:U690,2,1)</f>
        <v>0.02</v>
      </c>
    </row>
    <row r="694" spans="1:19" x14ac:dyDescent="0.25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e">
        <f>VLOOKUP(F694,'Customer Info'!A686:I1185,2,0)</f>
        <v>#N/A</v>
      </c>
      <c r="H694" s="6" t="e">
        <f>VLOOKUP(F694,'Customer Info'!A686:I1185,3,0)</f>
        <v>#N/A</v>
      </c>
      <c r="I694" s="6" t="e">
        <f>VLOOKUP(F694,'Customer Info'!A686:I1185,5,0)</f>
        <v>#N/A</v>
      </c>
      <c r="J694" s="2">
        <v>1332</v>
      </c>
      <c r="K694" s="2">
        <v>1209</v>
      </c>
      <c r="L694" s="2">
        <v>1</v>
      </c>
      <c r="M694" s="7">
        <f t="shared" si="40"/>
        <v>1209</v>
      </c>
      <c r="N694" s="7">
        <f t="shared" si="41"/>
        <v>1332</v>
      </c>
      <c r="O694" s="2">
        <v>63</v>
      </c>
      <c r="P694" s="8">
        <f t="shared" si="42"/>
        <v>1395</v>
      </c>
      <c r="Q694" s="8">
        <f t="shared" si="43"/>
        <v>1269</v>
      </c>
      <c r="R694" s="2" t="s">
        <v>50</v>
      </c>
      <c r="S694" s="9">
        <f>VLOOKUP(P694,$T$2:U691,2,1)</f>
        <v>0.02</v>
      </c>
    </row>
    <row r="695" spans="1:19" x14ac:dyDescent="0.25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e">
        <f>VLOOKUP(F695,'Customer Info'!A687:I1186,2,0)</f>
        <v>#N/A</v>
      </c>
      <c r="H695" s="6" t="e">
        <f>VLOOKUP(F695,'Customer Info'!A687:I1186,3,0)</f>
        <v>#N/A</v>
      </c>
      <c r="I695" s="6" t="e">
        <f>VLOOKUP(F695,'Customer Info'!A687:I1186,5,0)</f>
        <v>#N/A</v>
      </c>
      <c r="J695" s="2">
        <v>128</v>
      </c>
      <c r="K695" s="2">
        <v>115</v>
      </c>
      <c r="L695" s="2">
        <v>3</v>
      </c>
      <c r="M695" s="7">
        <f t="shared" si="40"/>
        <v>345</v>
      </c>
      <c r="N695" s="7">
        <f t="shared" si="41"/>
        <v>384</v>
      </c>
      <c r="O695" s="2">
        <v>30</v>
      </c>
      <c r="P695" s="8">
        <f t="shared" si="42"/>
        <v>414</v>
      </c>
      <c r="Q695" s="8">
        <f t="shared" si="43"/>
        <v>354</v>
      </c>
      <c r="R695" s="2" t="s">
        <v>28</v>
      </c>
      <c r="S695" s="9">
        <f>VLOOKUP(P695,$T$2:U692,2,1)</f>
        <v>0.02</v>
      </c>
    </row>
    <row r="696" spans="1:19" x14ac:dyDescent="0.25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e">
        <f>VLOOKUP(F696,'Customer Info'!A688:I1187,2,0)</f>
        <v>#N/A</v>
      </c>
      <c r="H696" s="6" t="e">
        <f>VLOOKUP(F696,'Customer Info'!A688:I1187,3,0)</f>
        <v>#N/A</v>
      </c>
      <c r="I696" s="6" t="e">
        <f>VLOOKUP(F696,'Customer Info'!A688:I1187,5,0)</f>
        <v>#N/A</v>
      </c>
      <c r="J696" s="2">
        <v>1441</v>
      </c>
      <c r="K696" s="2">
        <v>1360</v>
      </c>
      <c r="L696" s="2">
        <v>1</v>
      </c>
      <c r="M696" s="7">
        <f t="shared" si="40"/>
        <v>1360</v>
      </c>
      <c r="N696" s="7">
        <f t="shared" si="41"/>
        <v>1441</v>
      </c>
      <c r="O696" s="2">
        <v>22</v>
      </c>
      <c r="P696" s="8">
        <f t="shared" si="42"/>
        <v>1463</v>
      </c>
      <c r="Q696" s="8">
        <f t="shared" si="43"/>
        <v>1419</v>
      </c>
      <c r="R696" s="2" t="s">
        <v>26</v>
      </c>
      <c r="S696" s="9">
        <f>VLOOKUP(P696,$T$2:U693,2,1)</f>
        <v>0.02</v>
      </c>
    </row>
    <row r="697" spans="1:19" x14ac:dyDescent="0.25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e">
        <f>VLOOKUP(F697,'Customer Info'!A689:I1188,2,0)</f>
        <v>#N/A</v>
      </c>
      <c r="H697" s="6" t="e">
        <f>VLOOKUP(F697,'Customer Info'!A689:I1188,3,0)</f>
        <v>#N/A</v>
      </c>
      <c r="I697" s="6" t="e">
        <f>VLOOKUP(F697,'Customer Info'!A689:I1188,5,0)</f>
        <v>#N/A</v>
      </c>
      <c r="J697" s="2">
        <v>2501</v>
      </c>
      <c r="K697" s="2">
        <v>2361</v>
      </c>
      <c r="L697" s="2">
        <v>2</v>
      </c>
      <c r="M697" s="7">
        <f t="shared" si="40"/>
        <v>4722</v>
      </c>
      <c r="N697" s="7">
        <f t="shared" si="41"/>
        <v>5002</v>
      </c>
      <c r="O697" s="2">
        <v>42</v>
      </c>
      <c r="P697" s="8">
        <f t="shared" si="42"/>
        <v>5044</v>
      </c>
      <c r="Q697" s="8">
        <f t="shared" si="43"/>
        <v>4960</v>
      </c>
      <c r="R697" s="2" t="s">
        <v>28</v>
      </c>
      <c r="S697" s="9">
        <f>VLOOKUP(P697,$T$2:U694,2,1)</f>
        <v>0.05</v>
      </c>
    </row>
    <row r="698" spans="1:19" x14ac:dyDescent="0.25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e">
        <f>VLOOKUP(F698,'Customer Info'!A690:I1189,2,0)</f>
        <v>#N/A</v>
      </c>
      <c r="H698" s="6" t="e">
        <f>VLOOKUP(F698,'Customer Info'!A690:I1189,3,0)</f>
        <v>#N/A</v>
      </c>
      <c r="I698" s="6" t="e">
        <f>VLOOKUP(F698,'Customer Info'!A690:I1189,5,0)</f>
        <v>#N/A</v>
      </c>
      <c r="J698" s="2">
        <v>7623</v>
      </c>
      <c r="K698" s="2">
        <v>7064</v>
      </c>
      <c r="L698" s="2">
        <v>6</v>
      </c>
      <c r="M698" s="7">
        <f t="shared" si="40"/>
        <v>42384</v>
      </c>
      <c r="N698" s="7">
        <f t="shared" si="41"/>
        <v>45738</v>
      </c>
      <c r="O698" s="2">
        <v>91</v>
      </c>
      <c r="P698" s="8">
        <f t="shared" si="42"/>
        <v>45829</v>
      </c>
      <c r="Q698" s="8">
        <f t="shared" si="43"/>
        <v>45647</v>
      </c>
      <c r="R698" s="2" t="s">
        <v>28</v>
      </c>
      <c r="S698" s="9">
        <f>VLOOKUP(P698,$T$2:U695,2,1)</f>
        <v>7.0000000000000007E-2</v>
      </c>
    </row>
    <row r="699" spans="1:19" x14ac:dyDescent="0.25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e">
        <f>VLOOKUP(F699,'Customer Info'!A691:I1190,2,0)</f>
        <v>#N/A</v>
      </c>
      <c r="H699" s="6" t="e">
        <f>VLOOKUP(F699,'Customer Info'!A691:I1190,3,0)</f>
        <v>#N/A</v>
      </c>
      <c r="I699" s="6" t="e">
        <f>VLOOKUP(F699,'Customer Info'!A691:I1190,5,0)</f>
        <v>#N/A</v>
      </c>
      <c r="J699" s="2">
        <v>2503</v>
      </c>
      <c r="K699" s="2">
        <v>2454</v>
      </c>
      <c r="L699" s="2">
        <v>1</v>
      </c>
      <c r="M699" s="7">
        <f t="shared" si="40"/>
        <v>2454</v>
      </c>
      <c r="N699" s="7">
        <f t="shared" si="41"/>
        <v>2503</v>
      </c>
      <c r="O699" s="2">
        <v>81</v>
      </c>
      <c r="P699" s="8">
        <f t="shared" si="42"/>
        <v>2584</v>
      </c>
      <c r="Q699" s="8">
        <f t="shared" si="43"/>
        <v>2422</v>
      </c>
      <c r="R699" s="2" t="s">
        <v>28</v>
      </c>
      <c r="S699" s="9">
        <f>VLOOKUP(P699,$T$2:U696,2,1)</f>
        <v>0.02</v>
      </c>
    </row>
    <row r="700" spans="1:19" x14ac:dyDescent="0.25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e">
        <f>VLOOKUP(F700,'Customer Info'!A692:I1191,2,0)</f>
        <v>#N/A</v>
      </c>
      <c r="H700" s="6" t="e">
        <f>VLOOKUP(F700,'Customer Info'!A692:I1191,3,0)</f>
        <v>#N/A</v>
      </c>
      <c r="I700" s="6" t="e">
        <f>VLOOKUP(F700,'Customer Info'!A692:I1191,5,0)</f>
        <v>#N/A</v>
      </c>
      <c r="J700" s="2">
        <v>1686</v>
      </c>
      <c r="K700" s="2">
        <v>1591</v>
      </c>
      <c r="L700" s="2">
        <v>9</v>
      </c>
      <c r="M700" s="7">
        <f t="shared" si="40"/>
        <v>14319</v>
      </c>
      <c r="N700" s="7">
        <f t="shared" si="41"/>
        <v>15174</v>
      </c>
      <c r="O700" s="2">
        <v>29</v>
      </c>
      <c r="P700" s="8">
        <f t="shared" si="42"/>
        <v>15203</v>
      </c>
      <c r="Q700" s="8">
        <f t="shared" si="43"/>
        <v>15145</v>
      </c>
      <c r="R700" s="2" t="s">
        <v>28</v>
      </c>
      <c r="S700" s="9">
        <f>VLOOKUP(P700,$T$2:U697,2,1)</f>
        <v>0.05</v>
      </c>
    </row>
    <row r="701" spans="1:19" x14ac:dyDescent="0.25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e">
        <f>VLOOKUP(F701,'Customer Info'!A693:I1192,2,0)</f>
        <v>#N/A</v>
      </c>
      <c r="H701" s="6" t="e">
        <f>VLOOKUP(F701,'Customer Info'!A693:I1192,3,0)</f>
        <v>#N/A</v>
      </c>
      <c r="I701" s="6" t="e">
        <f>VLOOKUP(F701,'Customer Info'!A693:I1192,5,0)</f>
        <v>#N/A</v>
      </c>
      <c r="J701" s="2">
        <v>1911</v>
      </c>
      <c r="K701" s="2">
        <v>1785</v>
      </c>
      <c r="L701" s="2">
        <v>8</v>
      </c>
      <c r="M701" s="7">
        <f t="shared" si="40"/>
        <v>14280</v>
      </c>
      <c r="N701" s="7">
        <f t="shared" si="41"/>
        <v>15288</v>
      </c>
      <c r="O701" s="2">
        <v>48</v>
      </c>
      <c r="P701" s="8">
        <f t="shared" si="42"/>
        <v>15336</v>
      </c>
      <c r="Q701" s="8">
        <f t="shared" si="43"/>
        <v>15240</v>
      </c>
      <c r="R701" s="2" t="s">
        <v>50</v>
      </c>
      <c r="S701" s="9">
        <f>VLOOKUP(P701,$T$2:U698,2,1)</f>
        <v>0.05</v>
      </c>
    </row>
    <row r="702" spans="1:19" x14ac:dyDescent="0.25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e">
        <f>VLOOKUP(F702,'Customer Info'!A694:I1193,2,0)</f>
        <v>#N/A</v>
      </c>
      <c r="H702" s="6" t="e">
        <f>VLOOKUP(F702,'Customer Info'!A694:I1193,3,0)</f>
        <v>#N/A</v>
      </c>
      <c r="I702" s="6" t="e">
        <f>VLOOKUP(F702,'Customer Info'!A694:I1193,5,0)</f>
        <v>#N/A</v>
      </c>
      <c r="J702" s="2">
        <v>179</v>
      </c>
      <c r="K702" s="2">
        <v>166</v>
      </c>
      <c r="L702" s="2">
        <v>4</v>
      </c>
      <c r="M702" s="7">
        <f t="shared" si="40"/>
        <v>664</v>
      </c>
      <c r="N702" s="7">
        <f t="shared" si="41"/>
        <v>716</v>
      </c>
      <c r="O702" s="2">
        <v>30</v>
      </c>
      <c r="P702" s="8">
        <f t="shared" si="42"/>
        <v>746</v>
      </c>
      <c r="Q702" s="8">
        <f t="shared" si="43"/>
        <v>686</v>
      </c>
      <c r="R702" s="2" t="s">
        <v>28</v>
      </c>
      <c r="S702" s="9">
        <f>VLOOKUP(P702,$T$2:U699,2,1)</f>
        <v>0.02</v>
      </c>
    </row>
    <row r="703" spans="1:19" x14ac:dyDescent="0.25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e">
        <f>VLOOKUP(F703,'Customer Info'!A695:I1194,2,0)</f>
        <v>#N/A</v>
      </c>
      <c r="H703" s="6" t="e">
        <f>VLOOKUP(F703,'Customer Info'!A695:I1194,3,0)</f>
        <v>#N/A</v>
      </c>
      <c r="I703" s="6" t="e">
        <f>VLOOKUP(F703,'Customer Info'!A695:I1194,5,0)</f>
        <v>#N/A</v>
      </c>
      <c r="J703" s="2">
        <v>1048</v>
      </c>
      <c r="K703" s="2">
        <v>979</v>
      </c>
      <c r="L703" s="2">
        <v>11</v>
      </c>
      <c r="M703" s="7">
        <f t="shared" si="40"/>
        <v>10769</v>
      </c>
      <c r="N703" s="7">
        <f t="shared" si="41"/>
        <v>11528</v>
      </c>
      <c r="O703" s="2">
        <v>61</v>
      </c>
      <c r="P703" s="8">
        <f t="shared" si="42"/>
        <v>11589</v>
      </c>
      <c r="Q703" s="8">
        <f t="shared" si="43"/>
        <v>11467</v>
      </c>
      <c r="R703" s="2" t="s">
        <v>28</v>
      </c>
      <c r="S703" s="9">
        <f>VLOOKUP(P703,$T$2:U700,2,1)</f>
        <v>0.05</v>
      </c>
    </row>
    <row r="704" spans="1:19" x14ac:dyDescent="0.25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e">
        <f>VLOOKUP(F704,'Customer Info'!A696:I1195,2,0)</f>
        <v>#N/A</v>
      </c>
      <c r="H704" s="6" t="e">
        <f>VLOOKUP(F704,'Customer Info'!A696:I1195,3,0)</f>
        <v>#N/A</v>
      </c>
      <c r="I704" s="6" t="e">
        <f>VLOOKUP(F704,'Customer Info'!A696:I1195,5,0)</f>
        <v>#N/A</v>
      </c>
      <c r="J704" s="2">
        <v>167</v>
      </c>
      <c r="K704" s="2">
        <v>152</v>
      </c>
      <c r="L704" s="2">
        <v>1</v>
      </c>
      <c r="M704" s="7">
        <f t="shared" si="40"/>
        <v>152</v>
      </c>
      <c r="N704" s="7">
        <f t="shared" si="41"/>
        <v>167</v>
      </c>
      <c r="O704" s="2">
        <v>30</v>
      </c>
      <c r="P704" s="8">
        <f t="shared" si="42"/>
        <v>197</v>
      </c>
      <c r="Q704" s="8">
        <f t="shared" si="43"/>
        <v>137</v>
      </c>
      <c r="R704" s="2" t="s">
        <v>26</v>
      </c>
      <c r="S704" s="9">
        <f>VLOOKUP(P704,$T$2:U701,2,1)</f>
        <v>0.02</v>
      </c>
    </row>
    <row r="705" spans="1:19" x14ac:dyDescent="0.25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e">
        <f>VLOOKUP(F705,'Customer Info'!A697:I1196,2,0)</f>
        <v>#N/A</v>
      </c>
      <c r="H705" s="6" t="e">
        <f>VLOOKUP(F705,'Customer Info'!A697:I1196,3,0)</f>
        <v>#N/A</v>
      </c>
      <c r="I705" s="6" t="e">
        <f>VLOOKUP(F705,'Customer Info'!A697:I1196,5,0)</f>
        <v>#N/A</v>
      </c>
      <c r="J705" s="2">
        <v>2759</v>
      </c>
      <c r="K705" s="2">
        <v>2628</v>
      </c>
      <c r="L705" s="2">
        <v>13</v>
      </c>
      <c r="M705" s="7">
        <f t="shared" si="40"/>
        <v>34164</v>
      </c>
      <c r="N705" s="7">
        <f t="shared" si="41"/>
        <v>35867</v>
      </c>
      <c r="O705" s="2">
        <v>33</v>
      </c>
      <c r="P705" s="8">
        <f t="shared" si="42"/>
        <v>35900</v>
      </c>
      <c r="Q705" s="8">
        <f t="shared" si="43"/>
        <v>35834</v>
      </c>
      <c r="R705" s="2" t="s">
        <v>28</v>
      </c>
      <c r="S705" s="9">
        <f>VLOOKUP(P705,$T$2:U702,2,1)</f>
        <v>7.0000000000000007E-2</v>
      </c>
    </row>
    <row r="706" spans="1:19" x14ac:dyDescent="0.25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e">
        <f>VLOOKUP(F706,'Customer Info'!A698:I1197,2,0)</f>
        <v>#N/A</v>
      </c>
      <c r="H706" s="6" t="e">
        <f>VLOOKUP(F706,'Customer Info'!A698:I1197,3,0)</f>
        <v>#N/A</v>
      </c>
      <c r="I706" s="6" t="e">
        <f>VLOOKUP(F706,'Customer Info'!A698:I1197,5,0)</f>
        <v>#N/A</v>
      </c>
      <c r="J706" s="2">
        <v>8160</v>
      </c>
      <c r="K706" s="2">
        <v>7475</v>
      </c>
      <c r="L706" s="2">
        <v>2</v>
      </c>
      <c r="M706" s="7">
        <f t="shared" si="40"/>
        <v>14950</v>
      </c>
      <c r="N706" s="7">
        <f t="shared" si="41"/>
        <v>16320</v>
      </c>
      <c r="O706" s="2">
        <v>71</v>
      </c>
      <c r="P706" s="8">
        <f t="shared" si="42"/>
        <v>16391</v>
      </c>
      <c r="Q706" s="8">
        <f t="shared" si="43"/>
        <v>16249</v>
      </c>
      <c r="R706" s="2" t="s">
        <v>26</v>
      </c>
      <c r="S706" s="9">
        <f>VLOOKUP(P706,$T$2:U703,2,1)</f>
        <v>0.05</v>
      </c>
    </row>
    <row r="707" spans="1:19" x14ac:dyDescent="0.25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e">
        <f>VLOOKUP(F707,'Customer Info'!A699:I1198,2,0)</f>
        <v>#N/A</v>
      </c>
      <c r="H707" s="6" t="e">
        <f>VLOOKUP(F707,'Customer Info'!A699:I1198,3,0)</f>
        <v>#N/A</v>
      </c>
      <c r="I707" s="6" t="e">
        <f>VLOOKUP(F707,'Customer Info'!A699:I1198,5,0)</f>
        <v>#N/A</v>
      </c>
      <c r="J707" s="2">
        <v>82</v>
      </c>
      <c r="K707" s="2">
        <v>79</v>
      </c>
      <c r="L707" s="2">
        <v>2</v>
      </c>
      <c r="M707" s="7">
        <f t="shared" si="40"/>
        <v>158</v>
      </c>
      <c r="N707" s="7">
        <f t="shared" si="41"/>
        <v>164</v>
      </c>
      <c r="O707" s="2">
        <v>10</v>
      </c>
      <c r="P707" s="8">
        <f t="shared" si="42"/>
        <v>174</v>
      </c>
      <c r="Q707" s="8">
        <f t="shared" si="43"/>
        <v>154</v>
      </c>
      <c r="R707" s="2" t="s">
        <v>28</v>
      </c>
      <c r="S707" s="9">
        <f>VLOOKUP(P707,$T$2:U704,2,1)</f>
        <v>0.02</v>
      </c>
    </row>
    <row r="708" spans="1:19" x14ac:dyDescent="0.25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e">
        <f>VLOOKUP(F708,'Customer Info'!A700:I1199,2,0)</f>
        <v>#N/A</v>
      </c>
      <c r="H708" s="6" t="e">
        <f>VLOOKUP(F708,'Customer Info'!A700:I1199,3,0)</f>
        <v>#N/A</v>
      </c>
      <c r="I708" s="6" t="e">
        <f>VLOOKUP(F708,'Customer Info'!A700:I1199,5,0)</f>
        <v>#N/A</v>
      </c>
      <c r="J708" s="2">
        <v>1601</v>
      </c>
      <c r="K708" s="2">
        <v>1510</v>
      </c>
      <c r="L708" s="2">
        <v>3</v>
      </c>
      <c r="M708" s="7">
        <f t="shared" si="40"/>
        <v>4530</v>
      </c>
      <c r="N708" s="7">
        <f t="shared" si="41"/>
        <v>4803</v>
      </c>
      <c r="O708" s="2">
        <v>96</v>
      </c>
      <c r="P708" s="8">
        <f t="shared" si="42"/>
        <v>4899</v>
      </c>
      <c r="Q708" s="8">
        <f t="shared" si="43"/>
        <v>4707</v>
      </c>
      <c r="R708" s="2" t="s">
        <v>28</v>
      </c>
      <c r="S708" s="9">
        <f>VLOOKUP(P708,$T$2:U705,2,1)</f>
        <v>0.02</v>
      </c>
    </row>
    <row r="709" spans="1:19" x14ac:dyDescent="0.25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e">
        <f>VLOOKUP(F709,'Customer Info'!A701:I1200,2,0)</f>
        <v>#N/A</v>
      </c>
      <c r="H709" s="6" t="e">
        <f>VLOOKUP(F709,'Customer Info'!A701:I1200,3,0)</f>
        <v>#N/A</v>
      </c>
      <c r="I709" s="6" t="e">
        <f>VLOOKUP(F709,'Customer Info'!A701:I1200,5,0)</f>
        <v>#N/A</v>
      </c>
      <c r="J709" s="2">
        <v>81</v>
      </c>
      <c r="K709" s="2">
        <v>77</v>
      </c>
      <c r="L709" s="2">
        <v>1</v>
      </c>
      <c r="M709" s="7">
        <f t="shared" si="40"/>
        <v>77</v>
      </c>
      <c r="N709" s="7">
        <f t="shared" si="41"/>
        <v>81</v>
      </c>
      <c r="O709" s="2">
        <v>10</v>
      </c>
      <c r="P709" s="8">
        <f t="shared" si="42"/>
        <v>91</v>
      </c>
      <c r="Q709" s="8">
        <f t="shared" si="43"/>
        <v>71</v>
      </c>
      <c r="R709" s="2" t="s">
        <v>28</v>
      </c>
      <c r="S709" s="9">
        <f>VLOOKUP(P709,$T$2:U706,2,1)</f>
        <v>0.02</v>
      </c>
    </row>
    <row r="710" spans="1:19" x14ac:dyDescent="0.25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e">
        <f>VLOOKUP(F710,'Customer Info'!A702:I1201,2,0)</f>
        <v>#N/A</v>
      </c>
      <c r="H710" s="6" t="e">
        <f>VLOOKUP(F710,'Customer Info'!A702:I1201,3,0)</f>
        <v>#N/A</v>
      </c>
      <c r="I710" s="6" t="e">
        <f>VLOOKUP(F710,'Customer Info'!A702:I1201,5,0)</f>
        <v>#N/A</v>
      </c>
      <c r="J710" s="2">
        <v>1125</v>
      </c>
      <c r="K710" s="2">
        <v>1040</v>
      </c>
      <c r="L710" s="2">
        <v>2</v>
      </c>
      <c r="M710" s="7">
        <f t="shared" si="40"/>
        <v>2080</v>
      </c>
      <c r="N710" s="7">
        <f t="shared" si="41"/>
        <v>2250</v>
      </c>
      <c r="O710" s="2">
        <v>76</v>
      </c>
      <c r="P710" s="8">
        <f t="shared" si="42"/>
        <v>2326</v>
      </c>
      <c r="Q710" s="8">
        <f t="shared" si="43"/>
        <v>2174</v>
      </c>
      <c r="R710" s="2" t="s">
        <v>50</v>
      </c>
      <c r="S710" s="9">
        <f>VLOOKUP(P710,$T$2:U707,2,1)</f>
        <v>0.02</v>
      </c>
    </row>
    <row r="711" spans="1:19" x14ac:dyDescent="0.25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e">
        <f>VLOOKUP(F711,'Customer Info'!A703:I1202,2,0)</f>
        <v>#N/A</v>
      </c>
      <c r="H711" s="6" t="e">
        <f>VLOOKUP(F711,'Customer Info'!A703:I1202,3,0)</f>
        <v>#N/A</v>
      </c>
      <c r="I711" s="6" t="e">
        <f>VLOOKUP(F711,'Customer Info'!A703:I1202,5,0)</f>
        <v>#N/A</v>
      </c>
      <c r="J711" s="2">
        <v>6354</v>
      </c>
      <c r="K711" s="2">
        <v>5769</v>
      </c>
      <c r="L711" s="2">
        <v>3</v>
      </c>
      <c r="M711" s="7">
        <f t="shared" si="40"/>
        <v>17307</v>
      </c>
      <c r="N711" s="7">
        <f t="shared" si="41"/>
        <v>19062</v>
      </c>
      <c r="O711" s="2">
        <v>58</v>
      </c>
      <c r="P711" s="8">
        <f t="shared" si="42"/>
        <v>19120</v>
      </c>
      <c r="Q711" s="8">
        <f t="shared" si="43"/>
        <v>19004</v>
      </c>
      <c r="R711" s="2" t="s">
        <v>28</v>
      </c>
      <c r="S711" s="9">
        <f>VLOOKUP(P711,$T$2:U708,2,1)</f>
        <v>0.05</v>
      </c>
    </row>
    <row r="712" spans="1:19" x14ac:dyDescent="0.25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e">
        <f>VLOOKUP(F712,'Customer Info'!A704:I1203,2,0)</f>
        <v>#N/A</v>
      </c>
      <c r="H712" s="6" t="e">
        <f>VLOOKUP(F712,'Customer Info'!A704:I1203,3,0)</f>
        <v>#N/A</v>
      </c>
      <c r="I712" s="6" t="e">
        <f>VLOOKUP(F712,'Customer Info'!A704:I1203,5,0)</f>
        <v>#N/A</v>
      </c>
      <c r="J712" s="2">
        <v>1790</v>
      </c>
      <c r="K712" s="2">
        <v>1706</v>
      </c>
      <c r="L712" s="2">
        <v>2</v>
      </c>
      <c r="M712" s="7">
        <f t="shared" si="40"/>
        <v>3412</v>
      </c>
      <c r="N712" s="7">
        <f t="shared" si="41"/>
        <v>3580</v>
      </c>
      <c r="O712" s="2">
        <v>86</v>
      </c>
      <c r="P712" s="8">
        <f t="shared" si="42"/>
        <v>3666</v>
      </c>
      <c r="Q712" s="8">
        <f t="shared" si="43"/>
        <v>3494</v>
      </c>
      <c r="R712" s="2" t="s">
        <v>26</v>
      </c>
      <c r="S712" s="9">
        <f>VLOOKUP(P712,$T$2:U709,2,1)</f>
        <v>0.02</v>
      </c>
    </row>
    <row r="713" spans="1:19" x14ac:dyDescent="0.25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e">
        <f>VLOOKUP(F713,'Customer Info'!A705:I1204,2,0)</f>
        <v>#N/A</v>
      </c>
      <c r="H713" s="6" t="e">
        <f>VLOOKUP(F713,'Customer Info'!A705:I1204,3,0)</f>
        <v>#N/A</v>
      </c>
      <c r="I713" s="6" t="e">
        <f>VLOOKUP(F713,'Customer Info'!A705:I1204,5,0)</f>
        <v>#N/A</v>
      </c>
      <c r="J713" s="2">
        <v>805</v>
      </c>
      <c r="K713" s="2">
        <v>746</v>
      </c>
      <c r="L713" s="2">
        <v>2</v>
      </c>
      <c r="M713" s="7">
        <f t="shared" si="40"/>
        <v>1492</v>
      </c>
      <c r="N713" s="7">
        <f t="shared" si="41"/>
        <v>1610</v>
      </c>
      <c r="O713" s="2">
        <v>28</v>
      </c>
      <c r="P713" s="8">
        <f t="shared" si="42"/>
        <v>1638</v>
      </c>
      <c r="Q713" s="8">
        <f t="shared" si="43"/>
        <v>1582</v>
      </c>
      <c r="R713" s="2" t="s">
        <v>28</v>
      </c>
      <c r="S713" s="9">
        <f>VLOOKUP(P713,$T$2:U710,2,1)</f>
        <v>0.02</v>
      </c>
    </row>
    <row r="714" spans="1:19" x14ac:dyDescent="0.25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e">
        <f>VLOOKUP(F714,'Customer Info'!A706:I1205,2,0)</f>
        <v>#N/A</v>
      </c>
      <c r="H714" s="6" t="e">
        <f>VLOOKUP(F714,'Customer Info'!A706:I1205,3,0)</f>
        <v>#N/A</v>
      </c>
      <c r="I714" s="6" t="e">
        <f>VLOOKUP(F714,'Customer Info'!A706:I1205,5,0)</f>
        <v>#N/A</v>
      </c>
      <c r="J714" s="2">
        <v>92</v>
      </c>
      <c r="K714" s="2">
        <v>85</v>
      </c>
      <c r="L714" s="2">
        <v>1</v>
      </c>
      <c r="M714" s="7">
        <f t="shared" si="40"/>
        <v>85</v>
      </c>
      <c r="N714" s="7">
        <f t="shared" si="41"/>
        <v>92</v>
      </c>
      <c r="O714" s="2">
        <v>10</v>
      </c>
      <c r="P714" s="8">
        <f t="shared" si="42"/>
        <v>102</v>
      </c>
      <c r="Q714" s="8">
        <f t="shared" si="43"/>
        <v>82</v>
      </c>
      <c r="R714" s="2" t="s">
        <v>28</v>
      </c>
      <c r="S714" s="9">
        <f>VLOOKUP(P714,$T$2:U711,2,1)</f>
        <v>0.02</v>
      </c>
    </row>
    <row r="715" spans="1:19" x14ac:dyDescent="0.25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e">
        <f>VLOOKUP(F715,'Customer Info'!A707:I1206,2,0)</f>
        <v>#N/A</v>
      </c>
      <c r="H715" s="6" t="e">
        <f>VLOOKUP(F715,'Customer Info'!A707:I1206,3,0)</f>
        <v>#N/A</v>
      </c>
      <c r="I715" s="6" t="e">
        <f>VLOOKUP(F715,'Customer Info'!A707:I1206,5,0)</f>
        <v>#N/A</v>
      </c>
      <c r="J715" s="2">
        <v>1635</v>
      </c>
      <c r="K715" s="2">
        <v>1573</v>
      </c>
      <c r="L715" s="2">
        <v>2</v>
      </c>
      <c r="M715" s="7">
        <f t="shared" ref="M715:M778" si="44">K715*L715</f>
        <v>3146</v>
      </c>
      <c r="N715" s="7">
        <f t="shared" ref="N715:N778" si="45">J715*L715</f>
        <v>3270</v>
      </c>
      <c r="O715" s="2">
        <v>39</v>
      </c>
      <c r="P715" s="8">
        <f t="shared" ref="P715:P778" si="46">SUM(N715,O715)</f>
        <v>3309</v>
      </c>
      <c r="Q715" s="8">
        <f t="shared" ref="Q715:Q778" si="47">N715-O715</f>
        <v>3231</v>
      </c>
      <c r="R715" s="2" t="s">
        <v>50</v>
      </c>
      <c r="S715" s="9">
        <f>VLOOKUP(P715,$T$2:U712,2,1)</f>
        <v>0.02</v>
      </c>
    </row>
    <row r="716" spans="1:19" x14ac:dyDescent="0.25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e">
        <f>VLOOKUP(F716,'Customer Info'!A708:I1207,2,0)</f>
        <v>#N/A</v>
      </c>
      <c r="H716" s="6" t="e">
        <f>VLOOKUP(F716,'Customer Info'!A708:I1207,3,0)</f>
        <v>#N/A</v>
      </c>
      <c r="I716" s="6" t="e">
        <f>VLOOKUP(F716,'Customer Info'!A708:I1207,5,0)</f>
        <v>#N/A</v>
      </c>
      <c r="J716" s="2">
        <v>1686</v>
      </c>
      <c r="K716" s="2">
        <v>1591</v>
      </c>
      <c r="L716" s="2">
        <v>4</v>
      </c>
      <c r="M716" s="7">
        <f t="shared" si="44"/>
        <v>6364</v>
      </c>
      <c r="N716" s="7">
        <f t="shared" si="45"/>
        <v>6744</v>
      </c>
      <c r="O716" s="2">
        <v>35</v>
      </c>
      <c r="P716" s="8">
        <f t="shared" si="46"/>
        <v>6779</v>
      </c>
      <c r="Q716" s="8">
        <f t="shared" si="47"/>
        <v>6709</v>
      </c>
      <c r="R716" s="2" t="s">
        <v>28</v>
      </c>
      <c r="S716" s="9">
        <f>VLOOKUP(P716,$T$2:U713,2,1)</f>
        <v>0.05</v>
      </c>
    </row>
    <row r="717" spans="1:19" x14ac:dyDescent="0.25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e">
        <f>VLOOKUP(F717,'Customer Info'!A709:I1208,2,0)</f>
        <v>#N/A</v>
      </c>
      <c r="H717" s="6" t="e">
        <f>VLOOKUP(F717,'Customer Info'!A709:I1208,3,0)</f>
        <v>#N/A</v>
      </c>
      <c r="I717" s="6" t="e">
        <f>VLOOKUP(F717,'Customer Info'!A709:I1208,5,0)</f>
        <v>#N/A</v>
      </c>
      <c r="J717" s="2">
        <v>1623</v>
      </c>
      <c r="K717" s="2">
        <v>1546</v>
      </c>
      <c r="L717" s="2">
        <v>5</v>
      </c>
      <c r="M717" s="7">
        <f t="shared" si="44"/>
        <v>7730</v>
      </c>
      <c r="N717" s="7">
        <f t="shared" si="45"/>
        <v>8115</v>
      </c>
      <c r="O717" s="2">
        <v>99</v>
      </c>
      <c r="P717" s="8">
        <f t="shared" si="46"/>
        <v>8214</v>
      </c>
      <c r="Q717" s="8">
        <f t="shared" si="47"/>
        <v>8016</v>
      </c>
      <c r="R717" s="2" t="s">
        <v>28</v>
      </c>
      <c r="S717" s="9">
        <f>VLOOKUP(P717,$T$2:U714,2,1)</f>
        <v>0.05</v>
      </c>
    </row>
    <row r="718" spans="1:19" x14ac:dyDescent="0.25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e">
        <f>VLOOKUP(F718,'Customer Info'!A710:I1209,2,0)</f>
        <v>#N/A</v>
      </c>
      <c r="H718" s="6" t="e">
        <f>VLOOKUP(F718,'Customer Info'!A710:I1209,3,0)</f>
        <v>#N/A</v>
      </c>
      <c r="I718" s="6" t="e">
        <f>VLOOKUP(F718,'Customer Info'!A710:I1209,5,0)</f>
        <v>#N/A</v>
      </c>
      <c r="J718" s="2">
        <v>199</v>
      </c>
      <c r="K718" s="2">
        <v>176</v>
      </c>
      <c r="L718" s="2">
        <v>1</v>
      </c>
      <c r="M718" s="7">
        <f t="shared" si="44"/>
        <v>176</v>
      </c>
      <c r="N718" s="7">
        <f t="shared" si="45"/>
        <v>199</v>
      </c>
      <c r="O718" s="2">
        <v>30</v>
      </c>
      <c r="P718" s="8">
        <f t="shared" si="46"/>
        <v>229</v>
      </c>
      <c r="Q718" s="8">
        <f t="shared" si="47"/>
        <v>169</v>
      </c>
      <c r="R718" s="2" t="s">
        <v>28</v>
      </c>
      <c r="S718" s="9">
        <f>VLOOKUP(P718,$T$2:U715,2,1)</f>
        <v>0.02</v>
      </c>
    </row>
    <row r="719" spans="1:19" x14ac:dyDescent="0.25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e">
        <f>VLOOKUP(F719,'Customer Info'!A711:I1210,2,0)</f>
        <v>#N/A</v>
      </c>
      <c r="H719" s="6" t="e">
        <f>VLOOKUP(F719,'Customer Info'!A711:I1210,3,0)</f>
        <v>#N/A</v>
      </c>
      <c r="I719" s="6" t="e">
        <f>VLOOKUP(F719,'Customer Info'!A711:I1210,5,0)</f>
        <v>#N/A</v>
      </c>
      <c r="J719" s="2">
        <v>224</v>
      </c>
      <c r="K719" s="2">
        <v>210</v>
      </c>
      <c r="L719" s="2">
        <v>5</v>
      </c>
      <c r="M719" s="7">
        <f t="shared" si="44"/>
        <v>1050</v>
      </c>
      <c r="N719" s="7">
        <f t="shared" si="45"/>
        <v>1120</v>
      </c>
      <c r="O719" s="2">
        <v>41</v>
      </c>
      <c r="P719" s="8">
        <f t="shared" si="46"/>
        <v>1161</v>
      </c>
      <c r="Q719" s="8">
        <f t="shared" si="47"/>
        <v>1079</v>
      </c>
      <c r="R719" s="2" t="s">
        <v>28</v>
      </c>
      <c r="S719" s="9">
        <f>VLOOKUP(P719,$T$2:U716,2,1)</f>
        <v>0.02</v>
      </c>
    </row>
    <row r="720" spans="1:19" x14ac:dyDescent="0.25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e">
        <f>VLOOKUP(F720,'Customer Info'!A712:I1211,2,0)</f>
        <v>#N/A</v>
      </c>
      <c r="H720" s="6" t="e">
        <f>VLOOKUP(F720,'Customer Info'!A712:I1211,3,0)</f>
        <v>#N/A</v>
      </c>
      <c r="I720" s="6" t="e">
        <f>VLOOKUP(F720,'Customer Info'!A712:I1211,5,0)</f>
        <v>#N/A</v>
      </c>
      <c r="J720" s="2">
        <v>4846</v>
      </c>
      <c r="K720" s="2">
        <v>4492</v>
      </c>
      <c r="L720" s="2">
        <v>7</v>
      </c>
      <c r="M720" s="7">
        <f t="shared" si="44"/>
        <v>31444</v>
      </c>
      <c r="N720" s="7">
        <f t="shared" si="45"/>
        <v>33922</v>
      </c>
      <c r="O720" s="2">
        <v>86</v>
      </c>
      <c r="P720" s="8">
        <f t="shared" si="46"/>
        <v>34008</v>
      </c>
      <c r="Q720" s="8">
        <f t="shared" si="47"/>
        <v>33836</v>
      </c>
      <c r="R720" s="2" t="s">
        <v>28</v>
      </c>
      <c r="S720" s="9">
        <f>VLOOKUP(P720,$T$2:U717,2,1)</f>
        <v>7.0000000000000007E-2</v>
      </c>
    </row>
    <row r="721" spans="1:19" x14ac:dyDescent="0.25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e">
        <f>VLOOKUP(F721,'Customer Info'!A713:I1212,2,0)</f>
        <v>#N/A</v>
      </c>
      <c r="H721" s="6" t="e">
        <f>VLOOKUP(F721,'Customer Info'!A713:I1212,3,0)</f>
        <v>#N/A</v>
      </c>
      <c r="I721" s="6" t="e">
        <f>VLOOKUP(F721,'Customer Info'!A713:I1212,5,0)</f>
        <v>#N/A</v>
      </c>
      <c r="J721" s="2">
        <v>1845</v>
      </c>
      <c r="K721" s="2">
        <v>1742</v>
      </c>
      <c r="L721" s="2">
        <v>2</v>
      </c>
      <c r="M721" s="7">
        <f t="shared" si="44"/>
        <v>3484</v>
      </c>
      <c r="N721" s="7">
        <f t="shared" si="45"/>
        <v>3690</v>
      </c>
      <c r="O721" s="2">
        <v>92</v>
      </c>
      <c r="P721" s="8">
        <f t="shared" si="46"/>
        <v>3782</v>
      </c>
      <c r="Q721" s="8">
        <f t="shared" si="47"/>
        <v>3598</v>
      </c>
      <c r="R721" s="2" t="s">
        <v>26</v>
      </c>
      <c r="S721" s="9">
        <f>VLOOKUP(P721,$T$2:U718,2,1)</f>
        <v>0.02</v>
      </c>
    </row>
    <row r="722" spans="1:19" x14ac:dyDescent="0.25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e">
        <f>VLOOKUP(F722,'Customer Info'!A714:I1213,2,0)</f>
        <v>#N/A</v>
      </c>
      <c r="H722" s="6" t="e">
        <f>VLOOKUP(F722,'Customer Info'!A714:I1213,3,0)</f>
        <v>#N/A</v>
      </c>
      <c r="I722" s="6" t="e">
        <f>VLOOKUP(F722,'Customer Info'!A714:I1213,5,0)</f>
        <v>#N/A</v>
      </c>
      <c r="J722" s="2">
        <v>1385</v>
      </c>
      <c r="K722" s="2">
        <v>1295</v>
      </c>
      <c r="L722" s="2">
        <v>5</v>
      </c>
      <c r="M722" s="7">
        <f t="shared" si="44"/>
        <v>6475</v>
      </c>
      <c r="N722" s="7">
        <f t="shared" si="45"/>
        <v>6925</v>
      </c>
      <c r="O722" s="2">
        <v>25</v>
      </c>
      <c r="P722" s="8">
        <f t="shared" si="46"/>
        <v>6950</v>
      </c>
      <c r="Q722" s="8">
        <f t="shared" si="47"/>
        <v>6900</v>
      </c>
      <c r="R722" s="2" t="s">
        <v>50</v>
      </c>
      <c r="S722" s="9">
        <f>VLOOKUP(P722,$T$2:U719,2,1)</f>
        <v>0.05</v>
      </c>
    </row>
    <row r="723" spans="1:19" x14ac:dyDescent="0.25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e">
        <f>VLOOKUP(F723,'Customer Info'!A715:I1214,2,0)</f>
        <v>#N/A</v>
      </c>
      <c r="H723" s="6" t="e">
        <f>VLOOKUP(F723,'Customer Info'!A715:I1214,3,0)</f>
        <v>#N/A</v>
      </c>
      <c r="I723" s="6" t="e">
        <f>VLOOKUP(F723,'Customer Info'!A715:I1214,5,0)</f>
        <v>#N/A</v>
      </c>
      <c r="J723" s="2">
        <v>1169</v>
      </c>
      <c r="K723" s="2">
        <v>1072</v>
      </c>
      <c r="L723" s="2">
        <v>2</v>
      </c>
      <c r="M723" s="7">
        <f t="shared" si="44"/>
        <v>2144</v>
      </c>
      <c r="N723" s="7">
        <f t="shared" si="45"/>
        <v>2338</v>
      </c>
      <c r="O723" s="2">
        <v>41</v>
      </c>
      <c r="P723" s="8">
        <f t="shared" si="46"/>
        <v>2379</v>
      </c>
      <c r="Q723" s="8">
        <f t="shared" si="47"/>
        <v>2297</v>
      </c>
      <c r="R723" s="2" t="s">
        <v>50</v>
      </c>
      <c r="S723" s="9">
        <f>VLOOKUP(P723,$T$2:U720,2,1)</f>
        <v>0.02</v>
      </c>
    </row>
    <row r="724" spans="1:19" x14ac:dyDescent="0.25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e">
        <f>VLOOKUP(F724,'Customer Info'!A716:I1215,2,0)</f>
        <v>#N/A</v>
      </c>
      <c r="H724" s="6" t="e">
        <f>VLOOKUP(F724,'Customer Info'!A716:I1215,3,0)</f>
        <v>#N/A</v>
      </c>
      <c r="I724" s="6" t="e">
        <f>VLOOKUP(F724,'Customer Info'!A716:I1215,5,0)</f>
        <v>#N/A</v>
      </c>
      <c r="J724" s="2">
        <v>71</v>
      </c>
      <c r="K724" s="2">
        <v>64</v>
      </c>
      <c r="L724" s="2">
        <v>7</v>
      </c>
      <c r="M724" s="7">
        <f t="shared" si="44"/>
        <v>448</v>
      </c>
      <c r="N724" s="7">
        <f t="shared" si="45"/>
        <v>497</v>
      </c>
      <c r="O724" s="2">
        <v>10</v>
      </c>
      <c r="P724" s="8">
        <f t="shared" si="46"/>
        <v>507</v>
      </c>
      <c r="Q724" s="8">
        <f t="shared" si="47"/>
        <v>487</v>
      </c>
      <c r="R724" s="2" t="s">
        <v>50</v>
      </c>
      <c r="S724" s="9">
        <f>VLOOKUP(P724,$T$2:U721,2,1)</f>
        <v>0.02</v>
      </c>
    </row>
    <row r="725" spans="1:19" x14ac:dyDescent="0.25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e">
        <f>VLOOKUP(F725,'Customer Info'!A717:I1216,2,0)</f>
        <v>#N/A</v>
      </c>
      <c r="H725" s="6" t="e">
        <f>VLOOKUP(F725,'Customer Info'!A717:I1216,3,0)</f>
        <v>#N/A</v>
      </c>
      <c r="I725" s="6" t="e">
        <f>VLOOKUP(F725,'Customer Info'!A717:I1216,5,0)</f>
        <v>#N/A</v>
      </c>
      <c r="J725" s="2">
        <v>139</v>
      </c>
      <c r="K725" s="2">
        <v>133</v>
      </c>
      <c r="L725" s="2">
        <v>3</v>
      </c>
      <c r="M725" s="7">
        <f t="shared" si="44"/>
        <v>399</v>
      </c>
      <c r="N725" s="7">
        <f t="shared" si="45"/>
        <v>417</v>
      </c>
      <c r="O725" s="2">
        <v>30</v>
      </c>
      <c r="P725" s="8">
        <f t="shared" si="46"/>
        <v>447</v>
      </c>
      <c r="Q725" s="8">
        <f t="shared" si="47"/>
        <v>387</v>
      </c>
      <c r="R725" s="2" t="s">
        <v>50</v>
      </c>
      <c r="S725" s="9">
        <f>VLOOKUP(P725,$T$2:U722,2,1)</f>
        <v>0.02</v>
      </c>
    </row>
    <row r="726" spans="1:19" x14ac:dyDescent="0.25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e">
        <f>VLOOKUP(F726,'Customer Info'!A718:I1217,2,0)</f>
        <v>#N/A</v>
      </c>
      <c r="H726" s="6" t="e">
        <f>VLOOKUP(F726,'Customer Info'!A718:I1217,3,0)</f>
        <v>#N/A</v>
      </c>
      <c r="I726" s="6" t="e">
        <f>VLOOKUP(F726,'Customer Info'!A718:I1217,5,0)</f>
        <v>#N/A</v>
      </c>
      <c r="J726" s="2">
        <v>224</v>
      </c>
      <c r="K726" s="2">
        <v>210</v>
      </c>
      <c r="L726" s="2">
        <v>1</v>
      </c>
      <c r="M726" s="7">
        <f t="shared" si="44"/>
        <v>210</v>
      </c>
      <c r="N726" s="7">
        <f t="shared" si="45"/>
        <v>224</v>
      </c>
      <c r="O726" s="2">
        <v>97</v>
      </c>
      <c r="P726" s="8">
        <f t="shared" si="46"/>
        <v>321</v>
      </c>
      <c r="Q726" s="8">
        <f t="shared" si="47"/>
        <v>127</v>
      </c>
      <c r="R726" s="2" t="s">
        <v>50</v>
      </c>
      <c r="S726" s="9">
        <f>VLOOKUP(P726,$T$2:U723,2,1)</f>
        <v>0.02</v>
      </c>
    </row>
    <row r="727" spans="1:19" x14ac:dyDescent="0.25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e">
        <f>VLOOKUP(F727,'Customer Info'!A719:I1218,2,0)</f>
        <v>#N/A</v>
      </c>
      <c r="H727" s="6" t="e">
        <f>VLOOKUP(F727,'Customer Info'!A719:I1218,3,0)</f>
        <v>#N/A</v>
      </c>
      <c r="I727" s="6" t="e">
        <f>VLOOKUP(F727,'Customer Info'!A719:I1218,5,0)</f>
        <v>#N/A</v>
      </c>
      <c r="J727" s="2">
        <v>279</v>
      </c>
      <c r="K727" s="2">
        <v>254</v>
      </c>
      <c r="L727" s="2">
        <v>4</v>
      </c>
      <c r="M727" s="7">
        <f t="shared" si="44"/>
        <v>1016</v>
      </c>
      <c r="N727" s="7">
        <f t="shared" si="45"/>
        <v>1116</v>
      </c>
      <c r="O727" s="2">
        <v>78</v>
      </c>
      <c r="P727" s="8">
        <f t="shared" si="46"/>
        <v>1194</v>
      </c>
      <c r="Q727" s="8">
        <f t="shared" si="47"/>
        <v>1038</v>
      </c>
      <c r="R727" s="2" t="s">
        <v>50</v>
      </c>
      <c r="S727" s="9">
        <f>VLOOKUP(P727,$T$2:U724,2,1)</f>
        <v>0.02</v>
      </c>
    </row>
    <row r="728" spans="1:19" x14ac:dyDescent="0.25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e">
        <f>VLOOKUP(F728,'Customer Info'!A720:I1219,2,0)</f>
        <v>#N/A</v>
      </c>
      <c r="H728" s="6" t="e">
        <f>VLOOKUP(F728,'Customer Info'!A720:I1219,3,0)</f>
        <v>#N/A</v>
      </c>
      <c r="I728" s="6" t="e">
        <f>VLOOKUP(F728,'Customer Info'!A720:I1219,5,0)</f>
        <v>#N/A</v>
      </c>
      <c r="J728" s="2">
        <v>4904</v>
      </c>
      <c r="K728" s="2">
        <v>4499</v>
      </c>
      <c r="L728" s="2">
        <v>5</v>
      </c>
      <c r="M728" s="7">
        <f t="shared" si="44"/>
        <v>22495</v>
      </c>
      <c r="N728" s="7">
        <f t="shared" si="45"/>
        <v>24520</v>
      </c>
      <c r="O728" s="2">
        <v>82</v>
      </c>
      <c r="P728" s="8">
        <f t="shared" si="46"/>
        <v>24602</v>
      </c>
      <c r="Q728" s="8">
        <f t="shared" si="47"/>
        <v>24438</v>
      </c>
      <c r="R728" s="2" t="s">
        <v>28</v>
      </c>
      <c r="S728" s="9">
        <f>VLOOKUP(P728,$T$2:U725,2,1)</f>
        <v>0.05</v>
      </c>
    </row>
    <row r="729" spans="1:19" x14ac:dyDescent="0.25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e">
        <f>VLOOKUP(F729,'Customer Info'!A721:I1220,2,0)</f>
        <v>#N/A</v>
      </c>
      <c r="H729" s="6" t="e">
        <f>VLOOKUP(F729,'Customer Info'!A721:I1220,3,0)</f>
        <v>#N/A</v>
      </c>
      <c r="I729" s="6" t="e">
        <f>VLOOKUP(F729,'Customer Info'!A721:I1220,5,0)</f>
        <v>#N/A</v>
      </c>
      <c r="J729" s="2">
        <v>135</v>
      </c>
      <c r="K729" s="2">
        <v>129</v>
      </c>
      <c r="L729" s="2">
        <v>2</v>
      </c>
      <c r="M729" s="7">
        <f t="shared" si="44"/>
        <v>258</v>
      </c>
      <c r="N729" s="7">
        <f t="shared" si="45"/>
        <v>270</v>
      </c>
      <c r="O729" s="2">
        <v>30</v>
      </c>
      <c r="P729" s="8">
        <f t="shared" si="46"/>
        <v>300</v>
      </c>
      <c r="Q729" s="8">
        <f t="shared" si="47"/>
        <v>240</v>
      </c>
      <c r="R729" s="2" t="s">
        <v>28</v>
      </c>
      <c r="S729" s="9">
        <f>VLOOKUP(P729,$T$2:U726,2,1)</f>
        <v>0.02</v>
      </c>
    </row>
    <row r="730" spans="1:19" x14ac:dyDescent="0.25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e">
        <f>VLOOKUP(F730,'Customer Info'!A722:I1221,2,0)</f>
        <v>#N/A</v>
      </c>
      <c r="H730" s="6" t="e">
        <f>VLOOKUP(F730,'Customer Info'!A722:I1221,3,0)</f>
        <v>#N/A</v>
      </c>
      <c r="I730" s="6" t="e">
        <f>VLOOKUP(F730,'Customer Info'!A722:I1221,5,0)</f>
        <v>#N/A</v>
      </c>
      <c r="J730" s="2">
        <v>520</v>
      </c>
      <c r="K730" s="2">
        <v>477</v>
      </c>
      <c r="L730" s="2">
        <v>4</v>
      </c>
      <c r="M730" s="7">
        <f t="shared" si="44"/>
        <v>1908</v>
      </c>
      <c r="N730" s="7">
        <f t="shared" si="45"/>
        <v>2080</v>
      </c>
      <c r="O730" s="2">
        <v>67</v>
      </c>
      <c r="P730" s="8">
        <f t="shared" si="46"/>
        <v>2147</v>
      </c>
      <c r="Q730" s="8">
        <f t="shared" si="47"/>
        <v>2013</v>
      </c>
      <c r="R730" s="2" t="s">
        <v>28</v>
      </c>
      <c r="S730" s="9">
        <f>VLOOKUP(P730,$T$2:U727,2,1)</f>
        <v>0.02</v>
      </c>
    </row>
    <row r="731" spans="1:19" x14ac:dyDescent="0.25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e">
        <f>VLOOKUP(F731,'Customer Info'!A723:I1222,2,0)</f>
        <v>#N/A</v>
      </c>
      <c r="H731" s="6" t="e">
        <f>VLOOKUP(F731,'Customer Info'!A723:I1222,3,0)</f>
        <v>#N/A</v>
      </c>
      <c r="I731" s="6" t="e">
        <f>VLOOKUP(F731,'Customer Info'!A723:I1222,5,0)</f>
        <v>#N/A</v>
      </c>
      <c r="J731" s="2">
        <v>666</v>
      </c>
      <c r="K731" s="2">
        <v>641</v>
      </c>
      <c r="L731" s="2">
        <v>6</v>
      </c>
      <c r="M731" s="7">
        <f t="shared" si="44"/>
        <v>3846</v>
      </c>
      <c r="N731" s="7">
        <f t="shared" si="45"/>
        <v>3996</v>
      </c>
      <c r="O731" s="2">
        <v>30</v>
      </c>
      <c r="P731" s="8">
        <f t="shared" si="46"/>
        <v>4026</v>
      </c>
      <c r="Q731" s="8">
        <f t="shared" si="47"/>
        <v>3966</v>
      </c>
      <c r="R731" s="2" t="s">
        <v>50</v>
      </c>
      <c r="S731" s="9">
        <f>VLOOKUP(P731,$T$2:U728,2,1)</f>
        <v>0.02</v>
      </c>
    </row>
    <row r="732" spans="1:19" x14ac:dyDescent="0.25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e">
        <f>VLOOKUP(F732,'Customer Info'!A724:I1223,2,0)</f>
        <v>#N/A</v>
      </c>
      <c r="H732" s="6" t="e">
        <f>VLOOKUP(F732,'Customer Info'!A724:I1223,3,0)</f>
        <v>#N/A</v>
      </c>
      <c r="I732" s="6" t="e">
        <f>VLOOKUP(F732,'Customer Info'!A724:I1223,5,0)</f>
        <v>#N/A</v>
      </c>
      <c r="J732" s="2">
        <v>4577</v>
      </c>
      <c r="K732" s="2">
        <v>4285</v>
      </c>
      <c r="L732" s="2">
        <v>2</v>
      </c>
      <c r="M732" s="7">
        <f t="shared" si="44"/>
        <v>8570</v>
      </c>
      <c r="N732" s="7">
        <f t="shared" si="45"/>
        <v>9154</v>
      </c>
      <c r="O732" s="2">
        <v>20</v>
      </c>
      <c r="P732" s="8">
        <f t="shared" si="46"/>
        <v>9174</v>
      </c>
      <c r="Q732" s="8">
        <f t="shared" si="47"/>
        <v>9134</v>
      </c>
      <c r="R732" s="2" t="s">
        <v>28</v>
      </c>
      <c r="S732" s="9">
        <f>VLOOKUP(P732,$T$2:U729,2,1)</f>
        <v>0.05</v>
      </c>
    </row>
    <row r="733" spans="1:19" x14ac:dyDescent="0.25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e">
        <f>VLOOKUP(F733,'Customer Info'!A725:I1224,2,0)</f>
        <v>#N/A</v>
      </c>
      <c r="H733" s="6" t="e">
        <f>VLOOKUP(F733,'Customer Info'!A725:I1224,3,0)</f>
        <v>#N/A</v>
      </c>
      <c r="I733" s="6" t="e">
        <f>VLOOKUP(F733,'Customer Info'!A725:I1224,5,0)</f>
        <v>#N/A</v>
      </c>
      <c r="J733" s="2">
        <v>169</v>
      </c>
      <c r="K733" s="2">
        <v>160</v>
      </c>
      <c r="L733" s="2">
        <v>3</v>
      </c>
      <c r="M733" s="7">
        <f t="shared" si="44"/>
        <v>480</v>
      </c>
      <c r="N733" s="7">
        <f t="shared" si="45"/>
        <v>507</v>
      </c>
      <c r="O733" s="2">
        <v>30</v>
      </c>
      <c r="P733" s="8">
        <f t="shared" si="46"/>
        <v>537</v>
      </c>
      <c r="Q733" s="8">
        <f t="shared" si="47"/>
        <v>477</v>
      </c>
      <c r="R733" s="2" t="s">
        <v>50</v>
      </c>
      <c r="S733" s="9">
        <f>VLOOKUP(P733,$T$2:U730,2,1)</f>
        <v>0.02</v>
      </c>
    </row>
    <row r="734" spans="1:19" x14ac:dyDescent="0.25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e">
        <f>VLOOKUP(F734,'Customer Info'!A726:I1225,2,0)</f>
        <v>#N/A</v>
      </c>
      <c r="H734" s="6" t="e">
        <f>VLOOKUP(F734,'Customer Info'!A726:I1225,3,0)</f>
        <v>#N/A</v>
      </c>
      <c r="I734" s="6" t="e">
        <f>VLOOKUP(F734,'Customer Info'!A726:I1225,5,0)</f>
        <v>#N/A</v>
      </c>
      <c r="J734" s="2">
        <v>27691</v>
      </c>
      <c r="K734" s="2">
        <v>25616</v>
      </c>
      <c r="L734" s="2">
        <v>5</v>
      </c>
      <c r="M734" s="7">
        <f t="shared" si="44"/>
        <v>128080</v>
      </c>
      <c r="N734" s="7">
        <f t="shared" si="45"/>
        <v>138455</v>
      </c>
      <c r="O734" s="2">
        <v>57</v>
      </c>
      <c r="P734" s="8">
        <f t="shared" si="46"/>
        <v>138512</v>
      </c>
      <c r="Q734" s="8">
        <f t="shared" si="47"/>
        <v>138398</v>
      </c>
      <c r="R734" s="2" t="s">
        <v>56</v>
      </c>
      <c r="S734" s="9">
        <f>VLOOKUP(P734,$T$2:U731,2,1)</f>
        <v>0.12</v>
      </c>
    </row>
    <row r="735" spans="1:19" x14ac:dyDescent="0.25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e">
        <f>VLOOKUP(F735,'Customer Info'!A727:I1226,2,0)</f>
        <v>#N/A</v>
      </c>
      <c r="H735" s="6" t="e">
        <f>VLOOKUP(F735,'Customer Info'!A727:I1226,3,0)</f>
        <v>#N/A</v>
      </c>
      <c r="I735" s="6" t="e">
        <f>VLOOKUP(F735,'Customer Info'!A727:I1226,5,0)</f>
        <v>#N/A</v>
      </c>
      <c r="J735" s="2">
        <v>27691</v>
      </c>
      <c r="K735" s="2">
        <v>25616</v>
      </c>
      <c r="L735" s="2">
        <v>3</v>
      </c>
      <c r="M735" s="7">
        <f t="shared" si="44"/>
        <v>76848</v>
      </c>
      <c r="N735" s="7">
        <f t="shared" si="45"/>
        <v>83073</v>
      </c>
      <c r="O735" s="2">
        <v>97</v>
      </c>
      <c r="P735" s="8">
        <f t="shared" si="46"/>
        <v>83170</v>
      </c>
      <c r="Q735" s="8">
        <f t="shared" si="47"/>
        <v>82976</v>
      </c>
      <c r="R735" s="2" t="s">
        <v>28</v>
      </c>
      <c r="S735" s="9">
        <f>VLOOKUP(P735,$T$2:U732,2,1)</f>
        <v>0.09</v>
      </c>
    </row>
    <row r="736" spans="1:19" x14ac:dyDescent="0.25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e">
        <f>VLOOKUP(F736,'Customer Info'!A728:I1227,2,0)</f>
        <v>#N/A</v>
      </c>
      <c r="H736" s="6" t="e">
        <f>VLOOKUP(F736,'Customer Info'!A728:I1227,3,0)</f>
        <v>#N/A</v>
      </c>
      <c r="I736" s="6" t="e">
        <f>VLOOKUP(F736,'Customer Info'!A728:I1227,5,0)</f>
        <v>#N/A</v>
      </c>
      <c r="J736" s="2">
        <v>185</v>
      </c>
      <c r="K736" s="2">
        <v>174</v>
      </c>
      <c r="L736" s="2">
        <v>3</v>
      </c>
      <c r="M736" s="7">
        <f t="shared" si="44"/>
        <v>522</v>
      </c>
      <c r="N736" s="7">
        <f t="shared" si="45"/>
        <v>555</v>
      </c>
      <c r="O736" s="2">
        <v>30</v>
      </c>
      <c r="P736" s="8">
        <f t="shared" si="46"/>
        <v>585</v>
      </c>
      <c r="Q736" s="8">
        <f t="shared" si="47"/>
        <v>525</v>
      </c>
      <c r="R736" s="2" t="s">
        <v>28</v>
      </c>
      <c r="S736" s="9">
        <f>VLOOKUP(P736,$T$2:U733,2,1)</f>
        <v>0.02</v>
      </c>
    </row>
    <row r="737" spans="1:19" x14ac:dyDescent="0.25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e">
        <f>VLOOKUP(F737,'Customer Info'!A729:I1228,2,0)</f>
        <v>#N/A</v>
      </c>
      <c r="H737" s="6" t="e">
        <f>VLOOKUP(F737,'Customer Info'!A729:I1228,3,0)</f>
        <v>#N/A</v>
      </c>
      <c r="I737" s="6" t="e">
        <f>VLOOKUP(F737,'Customer Info'!A729:I1228,5,0)</f>
        <v>#N/A</v>
      </c>
      <c r="J737" s="2">
        <v>1637</v>
      </c>
      <c r="K737" s="2">
        <v>1532</v>
      </c>
      <c r="L737" s="2">
        <v>1</v>
      </c>
      <c r="M737" s="7">
        <f t="shared" si="44"/>
        <v>1532</v>
      </c>
      <c r="N737" s="7">
        <f t="shared" si="45"/>
        <v>1637</v>
      </c>
      <c r="O737" s="2">
        <v>75</v>
      </c>
      <c r="P737" s="8">
        <f t="shared" si="46"/>
        <v>1712</v>
      </c>
      <c r="Q737" s="8">
        <f t="shared" si="47"/>
        <v>1562</v>
      </c>
      <c r="R737" s="2" t="s">
        <v>26</v>
      </c>
      <c r="S737" s="9">
        <f>VLOOKUP(P737,$T$2:U734,2,1)</f>
        <v>0.02</v>
      </c>
    </row>
    <row r="738" spans="1:19" x14ac:dyDescent="0.25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e">
        <f>VLOOKUP(F738,'Customer Info'!A730:I1229,2,0)</f>
        <v>#N/A</v>
      </c>
      <c r="H738" s="6" t="e">
        <f>VLOOKUP(F738,'Customer Info'!A730:I1229,3,0)</f>
        <v>#N/A</v>
      </c>
      <c r="I738" s="6" t="e">
        <f>VLOOKUP(F738,'Customer Info'!A730:I1229,5,0)</f>
        <v>#N/A</v>
      </c>
      <c r="J738" s="2">
        <v>1569</v>
      </c>
      <c r="K738" s="2">
        <v>1466</v>
      </c>
      <c r="L738" s="2">
        <v>2</v>
      </c>
      <c r="M738" s="7">
        <f t="shared" si="44"/>
        <v>2932</v>
      </c>
      <c r="N738" s="7">
        <f t="shared" si="45"/>
        <v>3138</v>
      </c>
      <c r="O738" s="2">
        <v>95</v>
      </c>
      <c r="P738" s="8">
        <f t="shared" si="46"/>
        <v>3233</v>
      </c>
      <c r="Q738" s="8">
        <f t="shared" si="47"/>
        <v>3043</v>
      </c>
      <c r="R738" s="2" t="s">
        <v>28</v>
      </c>
      <c r="S738" s="9">
        <f>VLOOKUP(P738,$T$2:U735,2,1)</f>
        <v>0.02</v>
      </c>
    </row>
    <row r="739" spans="1:19" x14ac:dyDescent="0.25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e">
        <f>VLOOKUP(F739,'Customer Info'!A731:I1230,2,0)</f>
        <v>#N/A</v>
      </c>
      <c r="H739" s="6" t="e">
        <f>VLOOKUP(F739,'Customer Info'!A731:I1230,3,0)</f>
        <v>#N/A</v>
      </c>
      <c r="I739" s="6" t="e">
        <f>VLOOKUP(F739,'Customer Info'!A731:I1230,5,0)</f>
        <v>#N/A</v>
      </c>
      <c r="J739" s="2">
        <v>208</v>
      </c>
      <c r="K739" s="2">
        <v>187</v>
      </c>
      <c r="L739" s="2">
        <v>2</v>
      </c>
      <c r="M739" s="7">
        <f t="shared" si="44"/>
        <v>374</v>
      </c>
      <c r="N739" s="7">
        <f t="shared" si="45"/>
        <v>416</v>
      </c>
      <c r="O739" s="2">
        <v>85</v>
      </c>
      <c r="P739" s="8">
        <f t="shared" si="46"/>
        <v>501</v>
      </c>
      <c r="Q739" s="8">
        <f t="shared" si="47"/>
        <v>331</v>
      </c>
      <c r="R739" s="2" t="s">
        <v>28</v>
      </c>
      <c r="S739" s="9">
        <f>VLOOKUP(P739,$T$2:U736,2,1)</f>
        <v>0.02</v>
      </c>
    </row>
    <row r="740" spans="1:19" x14ac:dyDescent="0.25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e">
        <f>VLOOKUP(F740,'Customer Info'!A732:I1231,2,0)</f>
        <v>#N/A</v>
      </c>
      <c r="H740" s="6" t="e">
        <f>VLOOKUP(F740,'Customer Info'!A732:I1231,3,0)</f>
        <v>#N/A</v>
      </c>
      <c r="I740" s="6" t="e">
        <f>VLOOKUP(F740,'Customer Info'!A732:I1231,5,0)</f>
        <v>#N/A</v>
      </c>
      <c r="J740" s="2">
        <v>1017</v>
      </c>
      <c r="K740" s="2">
        <v>950</v>
      </c>
      <c r="L740" s="2">
        <v>2</v>
      </c>
      <c r="M740" s="7">
        <f t="shared" si="44"/>
        <v>1900</v>
      </c>
      <c r="N740" s="7">
        <f t="shared" si="45"/>
        <v>2034</v>
      </c>
      <c r="O740" s="2">
        <v>80</v>
      </c>
      <c r="P740" s="8">
        <f t="shared" si="46"/>
        <v>2114</v>
      </c>
      <c r="Q740" s="8">
        <f t="shared" si="47"/>
        <v>1954</v>
      </c>
      <c r="R740" s="2" t="s">
        <v>28</v>
      </c>
      <c r="S740" s="9">
        <f>VLOOKUP(P740,$T$2:U737,2,1)</f>
        <v>0.02</v>
      </c>
    </row>
    <row r="741" spans="1:19" x14ac:dyDescent="0.25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e">
        <f>VLOOKUP(F741,'Customer Info'!A733:I1232,2,0)</f>
        <v>#N/A</v>
      </c>
      <c r="H741" s="6" t="e">
        <f>VLOOKUP(F741,'Customer Info'!A733:I1232,3,0)</f>
        <v>#N/A</v>
      </c>
      <c r="I741" s="6" t="e">
        <f>VLOOKUP(F741,'Customer Info'!A733:I1232,5,0)</f>
        <v>#N/A</v>
      </c>
      <c r="J741" s="2">
        <v>7327</v>
      </c>
      <c r="K741" s="2">
        <v>6658</v>
      </c>
      <c r="L741" s="2">
        <v>3</v>
      </c>
      <c r="M741" s="7">
        <f t="shared" si="44"/>
        <v>19974</v>
      </c>
      <c r="N741" s="7">
        <f t="shared" si="45"/>
        <v>21981</v>
      </c>
      <c r="O741" s="2">
        <v>91</v>
      </c>
      <c r="P741" s="8">
        <f t="shared" si="46"/>
        <v>22072</v>
      </c>
      <c r="Q741" s="8">
        <f t="shared" si="47"/>
        <v>21890</v>
      </c>
      <c r="R741" s="2" t="s">
        <v>28</v>
      </c>
      <c r="S741" s="9">
        <f>VLOOKUP(P741,$T$2:U738,2,1)</f>
        <v>0.05</v>
      </c>
    </row>
    <row r="742" spans="1:19" x14ac:dyDescent="0.25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e">
        <f>VLOOKUP(F742,'Customer Info'!A734:I1233,2,0)</f>
        <v>#N/A</v>
      </c>
      <c r="H742" s="6" t="e">
        <f>VLOOKUP(F742,'Customer Info'!A734:I1233,3,0)</f>
        <v>#N/A</v>
      </c>
      <c r="I742" s="6" t="e">
        <f>VLOOKUP(F742,'Customer Info'!A734:I1233,5,0)</f>
        <v>#N/A</v>
      </c>
      <c r="J742" s="2">
        <v>1585</v>
      </c>
      <c r="K742" s="2">
        <v>1495</v>
      </c>
      <c r="L742" s="2">
        <v>8</v>
      </c>
      <c r="M742" s="7">
        <f t="shared" si="44"/>
        <v>11960</v>
      </c>
      <c r="N742" s="7">
        <f t="shared" si="45"/>
        <v>12680</v>
      </c>
      <c r="O742" s="2">
        <v>100</v>
      </c>
      <c r="P742" s="8">
        <f t="shared" si="46"/>
        <v>12780</v>
      </c>
      <c r="Q742" s="8">
        <f t="shared" si="47"/>
        <v>12580</v>
      </c>
      <c r="R742" s="2" t="s">
        <v>28</v>
      </c>
      <c r="S742" s="9">
        <f>VLOOKUP(P742,$T$2:U739,2,1)</f>
        <v>0.05</v>
      </c>
    </row>
    <row r="743" spans="1:19" x14ac:dyDescent="0.25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e">
        <f>VLOOKUP(F743,'Customer Info'!A735:I1234,2,0)</f>
        <v>#N/A</v>
      </c>
      <c r="H743" s="6" t="e">
        <f>VLOOKUP(F743,'Customer Info'!A735:I1234,3,0)</f>
        <v>#N/A</v>
      </c>
      <c r="I743" s="6" t="e">
        <f>VLOOKUP(F743,'Customer Info'!A735:I1234,5,0)</f>
        <v>#N/A</v>
      </c>
      <c r="J743" s="2">
        <v>405</v>
      </c>
      <c r="K743" s="2">
        <v>381</v>
      </c>
      <c r="L743" s="2">
        <v>2</v>
      </c>
      <c r="M743" s="7">
        <f t="shared" si="44"/>
        <v>762</v>
      </c>
      <c r="N743" s="7">
        <f t="shared" si="45"/>
        <v>810</v>
      </c>
      <c r="O743" s="2">
        <v>35</v>
      </c>
      <c r="P743" s="8">
        <f t="shared" si="46"/>
        <v>845</v>
      </c>
      <c r="Q743" s="8">
        <f t="shared" si="47"/>
        <v>775</v>
      </c>
      <c r="R743" s="2" t="s">
        <v>26</v>
      </c>
      <c r="S743" s="9">
        <f>VLOOKUP(P743,$T$2:U740,2,1)</f>
        <v>0.02</v>
      </c>
    </row>
    <row r="744" spans="1:19" x14ac:dyDescent="0.25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e">
        <f>VLOOKUP(F744,'Customer Info'!A736:I1235,2,0)</f>
        <v>#N/A</v>
      </c>
      <c r="H744" s="6" t="e">
        <f>VLOOKUP(F744,'Customer Info'!A736:I1235,3,0)</f>
        <v>#N/A</v>
      </c>
      <c r="I744" s="6" t="e">
        <f>VLOOKUP(F744,'Customer Info'!A736:I1235,5,0)</f>
        <v>#N/A</v>
      </c>
      <c r="J744" s="2">
        <v>1809</v>
      </c>
      <c r="K744" s="2">
        <v>1691</v>
      </c>
      <c r="L744" s="2">
        <v>6</v>
      </c>
      <c r="M744" s="7">
        <f t="shared" si="44"/>
        <v>10146</v>
      </c>
      <c r="N744" s="7">
        <f t="shared" si="45"/>
        <v>10854</v>
      </c>
      <c r="O744" s="2">
        <v>61</v>
      </c>
      <c r="P744" s="8">
        <f t="shared" si="46"/>
        <v>10915</v>
      </c>
      <c r="Q744" s="8">
        <f t="shared" si="47"/>
        <v>10793</v>
      </c>
      <c r="R744" s="2" t="s">
        <v>28</v>
      </c>
      <c r="S744" s="9">
        <f>VLOOKUP(P744,$T$2:U741,2,1)</f>
        <v>0.05</v>
      </c>
    </row>
    <row r="745" spans="1:19" x14ac:dyDescent="0.25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e">
        <f>VLOOKUP(F745,'Customer Info'!A737:I1236,2,0)</f>
        <v>#N/A</v>
      </c>
      <c r="H745" s="6" t="e">
        <f>VLOOKUP(F745,'Customer Info'!A737:I1236,3,0)</f>
        <v>#N/A</v>
      </c>
      <c r="I745" s="6" t="e">
        <f>VLOOKUP(F745,'Customer Info'!A737:I1236,5,0)</f>
        <v>#N/A</v>
      </c>
      <c r="J745" s="2">
        <v>1576</v>
      </c>
      <c r="K745" s="2">
        <v>1531</v>
      </c>
      <c r="L745" s="2">
        <v>2</v>
      </c>
      <c r="M745" s="7">
        <f t="shared" si="44"/>
        <v>3062</v>
      </c>
      <c r="N745" s="7">
        <f t="shared" si="45"/>
        <v>3152</v>
      </c>
      <c r="O745" s="2">
        <v>63</v>
      </c>
      <c r="P745" s="8">
        <f t="shared" si="46"/>
        <v>3215</v>
      </c>
      <c r="Q745" s="8">
        <f t="shared" si="47"/>
        <v>3089</v>
      </c>
      <c r="R745" s="2" t="s">
        <v>26</v>
      </c>
      <c r="S745" s="9">
        <f>VLOOKUP(P745,$T$2:U742,2,1)</f>
        <v>0.02</v>
      </c>
    </row>
    <row r="746" spans="1:19" x14ac:dyDescent="0.25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e">
        <f>VLOOKUP(F746,'Customer Info'!A738:I1237,2,0)</f>
        <v>#N/A</v>
      </c>
      <c r="H746" s="6" t="e">
        <f>VLOOKUP(F746,'Customer Info'!A738:I1237,3,0)</f>
        <v>#N/A</v>
      </c>
      <c r="I746" s="6" t="e">
        <f>VLOOKUP(F746,'Customer Info'!A738:I1237,5,0)</f>
        <v>#N/A</v>
      </c>
      <c r="J746" s="2">
        <v>1574</v>
      </c>
      <c r="K746" s="2">
        <v>1458</v>
      </c>
      <c r="L746" s="2">
        <v>1</v>
      </c>
      <c r="M746" s="7">
        <f t="shared" si="44"/>
        <v>1458</v>
      </c>
      <c r="N746" s="7">
        <f t="shared" si="45"/>
        <v>1574</v>
      </c>
      <c r="O746" s="2">
        <v>88</v>
      </c>
      <c r="P746" s="8">
        <f t="shared" si="46"/>
        <v>1662</v>
      </c>
      <c r="Q746" s="8">
        <f t="shared" si="47"/>
        <v>1486</v>
      </c>
      <c r="R746" s="2" t="s">
        <v>26</v>
      </c>
      <c r="S746" s="9">
        <f>VLOOKUP(P746,$T$2:U743,2,1)</f>
        <v>0.02</v>
      </c>
    </row>
    <row r="747" spans="1:19" x14ac:dyDescent="0.25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e">
        <f>VLOOKUP(F747,'Customer Info'!A739:I1238,2,0)</f>
        <v>#N/A</v>
      </c>
      <c r="H747" s="6" t="e">
        <f>VLOOKUP(F747,'Customer Info'!A739:I1238,3,0)</f>
        <v>#N/A</v>
      </c>
      <c r="I747" s="6" t="e">
        <f>VLOOKUP(F747,'Customer Info'!A739:I1238,5,0)</f>
        <v>#N/A</v>
      </c>
      <c r="J747" s="2">
        <v>809</v>
      </c>
      <c r="K747" s="2">
        <v>770</v>
      </c>
      <c r="L747" s="2">
        <v>7</v>
      </c>
      <c r="M747" s="7">
        <f t="shared" si="44"/>
        <v>5390</v>
      </c>
      <c r="N747" s="7">
        <f t="shared" si="45"/>
        <v>5663</v>
      </c>
      <c r="O747" s="2">
        <v>28</v>
      </c>
      <c r="P747" s="8">
        <f t="shared" si="46"/>
        <v>5691</v>
      </c>
      <c r="Q747" s="8">
        <f t="shared" si="47"/>
        <v>5635</v>
      </c>
      <c r="R747" s="2" t="s">
        <v>50</v>
      </c>
      <c r="S747" s="9">
        <f>VLOOKUP(P747,$T$2:U744,2,1)</f>
        <v>0.05</v>
      </c>
    </row>
    <row r="748" spans="1:19" x14ac:dyDescent="0.25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e">
        <f>VLOOKUP(F748,'Customer Info'!A740:I1239,2,0)</f>
        <v>#N/A</v>
      </c>
      <c r="H748" s="6" t="e">
        <f>VLOOKUP(F748,'Customer Info'!A740:I1239,3,0)</f>
        <v>#N/A</v>
      </c>
      <c r="I748" s="6" t="e">
        <f>VLOOKUP(F748,'Customer Info'!A740:I1239,5,0)</f>
        <v>#N/A</v>
      </c>
      <c r="J748" s="2">
        <v>2151</v>
      </c>
      <c r="K748" s="2">
        <v>2009</v>
      </c>
      <c r="L748" s="2">
        <v>4</v>
      </c>
      <c r="M748" s="7">
        <f t="shared" si="44"/>
        <v>8036</v>
      </c>
      <c r="N748" s="7">
        <f t="shared" si="45"/>
        <v>8604</v>
      </c>
      <c r="O748" s="2">
        <v>30</v>
      </c>
      <c r="P748" s="8">
        <f t="shared" si="46"/>
        <v>8634</v>
      </c>
      <c r="Q748" s="8">
        <f t="shared" si="47"/>
        <v>8574</v>
      </c>
      <c r="R748" s="2" t="s">
        <v>28</v>
      </c>
      <c r="S748" s="9">
        <f>VLOOKUP(P748,$T$2:U745,2,1)</f>
        <v>0.05</v>
      </c>
    </row>
    <row r="749" spans="1:19" x14ac:dyDescent="0.25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e">
        <f>VLOOKUP(F749,'Customer Info'!A741:I1240,2,0)</f>
        <v>#N/A</v>
      </c>
      <c r="H749" s="6" t="e">
        <f>VLOOKUP(F749,'Customer Info'!A741:I1240,3,0)</f>
        <v>#N/A</v>
      </c>
      <c r="I749" s="6" t="e">
        <f>VLOOKUP(F749,'Customer Info'!A741:I1240,5,0)</f>
        <v>#N/A</v>
      </c>
      <c r="J749" s="2">
        <v>199</v>
      </c>
      <c r="K749" s="2">
        <v>176</v>
      </c>
      <c r="L749" s="2">
        <v>7</v>
      </c>
      <c r="M749" s="7">
        <f t="shared" si="44"/>
        <v>1232</v>
      </c>
      <c r="N749" s="7">
        <f t="shared" si="45"/>
        <v>1393</v>
      </c>
      <c r="O749" s="2">
        <v>30</v>
      </c>
      <c r="P749" s="8">
        <f t="shared" si="46"/>
        <v>1423</v>
      </c>
      <c r="Q749" s="8">
        <f t="shared" si="47"/>
        <v>1363</v>
      </c>
      <c r="R749" s="2" t="s">
        <v>26</v>
      </c>
      <c r="S749" s="9">
        <f>VLOOKUP(P749,$T$2:U746,2,1)</f>
        <v>0.02</v>
      </c>
    </row>
    <row r="750" spans="1:19" x14ac:dyDescent="0.25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e">
        <f>VLOOKUP(F750,'Customer Info'!A742:I1241,2,0)</f>
        <v>#N/A</v>
      </c>
      <c r="H750" s="6" t="e">
        <f>VLOOKUP(F750,'Customer Info'!A742:I1241,3,0)</f>
        <v>#N/A</v>
      </c>
      <c r="I750" s="6" t="e">
        <f>VLOOKUP(F750,'Customer Info'!A742:I1241,5,0)</f>
        <v>#N/A</v>
      </c>
      <c r="J750" s="2">
        <v>3354</v>
      </c>
      <c r="K750" s="2">
        <v>3102</v>
      </c>
      <c r="L750" s="2">
        <v>9</v>
      </c>
      <c r="M750" s="7">
        <f t="shared" si="44"/>
        <v>27918</v>
      </c>
      <c r="N750" s="7">
        <f t="shared" si="45"/>
        <v>30186</v>
      </c>
      <c r="O750" s="2">
        <v>91</v>
      </c>
      <c r="P750" s="8">
        <f t="shared" si="46"/>
        <v>30277</v>
      </c>
      <c r="Q750" s="8">
        <f t="shared" si="47"/>
        <v>30095</v>
      </c>
      <c r="R750" s="2" t="s">
        <v>28</v>
      </c>
      <c r="S750" s="9">
        <f>VLOOKUP(P750,$T$2:U747,2,1)</f>
        <v>7.0000000000000007E-2</v>
      </c>
    </row>
    <row r="751" spans="1:19" x14ac:dyDescent="0.25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e">
        <f>VLOOKUP(F751,'Customer Info'!A743:I1242,2,0)</f>
        <v>#N/A</v>
      </c>
      <c r="H751" s="6" t="e">
        <f>VLOOKUP(F751,'Customer Info'!A743:I1242,3,0)</f>
        <v>#N/A</v>
      </c>
      <c r="I751" s="6" t="e">
        <f>VLOOKUP(F751,'Customer Info'!A743:I1242,5,0)</f>
        <v>#N/A</v>
      </c>
      <c r="J751" s="2">
        <v>914</v>
      </c>
      <c r="K751" s="2">
        <v>830</v>
      </c>
      <c r="L751" s="2">
        <v>2</v>
      </c>
      <c r="M751" s="7">
        <f t="shared" si="44"/>
        <v>1660</v>
      </c>
      <c r="N751" s="7">
        <f t="shared" si="45"/>
        <v>1828</v>
      </c>
      <c r="O751" s="2">
        <v>83</v>
      </c>
      <c r="P751" s="8">
        <f t="shared" si="46"/>
        <v>1911</v>
      </c>
      <c r="Q751" s="8">
        <f t="shared" si="47"/>
        <v>1745</v>
      </c>
      <c r="R751" s="2" t="s">
        <v>28</v>
      </c>
      <c r="S751" s="9">
        <f>VLOOKUP(P751,$T$2:U748,2,1)</f>
        <v>0.02</v>
      </c>
    </row>
    <row r="752" spans="1:19" x14ac:dyDescent="0.25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e">
        <f>VLOOKUP(F752,'Customer Info'!A744:I1243,2,0)</f>
        <v>#N/A</v>
      </c>
      <c r="H752" s="6" t="e">
        <f>VLOOKUP(F752,'Customer Info'!A744:I1243,3,0)</f>
        <v>#N/A</v>
      </c>
      <c r="I752" s="6" t="e">
        <f>VLOOKUP(F752,'Customer Info'!A744:I1243,5,0)</f>
        <v>#N/A</v>
      </c>
      <c r="J752" s="2">
        <v>474</v>
      </c>
      <c r="K752" s="2">
        <v>443</v>
      </c>
      <c r="L752" s="2">
        <v>6</v>
      </c>
      <c r="M752" s="7">
        <f t="shared" si="44"/>
        <v>2658</v>
      </c>
      <c r="N752" s="7">
        <f t="shared" si="45"/>
        <v>2844</v>
      </c>
      <c r="O752" s="2">
        <v>91</v>
      </c>
      <c r="P752" s="8">
        <f t="shared" si="46"/>
        <v>2935</v>
      </c>
      <c r="Q752" s="8">
        <f t="shared" si="47"/>
        <v>2753</v>
      </c>
      <c r="R752" s="2" t="s">
        <v>28</v>
      </c>
      <c r="S752" s="9">
        <f>VLOOKUP(P752,$T$2:U749,2,1)</f>
        <v>0.02</v>
      </c>
    </row>
    <row r="753" spans="1:19" x14ac:dyDescent="0.25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e">
        <f>VLOOKUP(F753,'Customer Info'!A745:I1244,2,0)</f>
        <v>#N/A</v>
      </c>
      <c r="H753" s="6" t="e">
        <f>VLOOKUP(F753,'Customer Info'!A745:I1244,3,0)</f>
        <v>#N/A</v>
      </c>
      <c r="I753" s="6" t="e">
        <f>VLOOKUP(F753,'Customer Info'!A745:I1244,5,0)</f>
        <v>#N/A</v>
      </c>
      <c r="J753" s="2">
        <v>6585</v>
      </c>
      <c r="K753" s="2">
        <v>6105</v>
      </c>
      <c r="L753" s="2">
        <v>9</v>
      </c>
      <c r="M753" s="7">
        <f t="shared" si="44"/>
        <v>54945</v>
      </c>
      <c r="N753" s="7">
        <f t="shared" si="45"/>
        <v>59265</v>
      </c>
      <c r="O753" s="2">
        <v>52</v>
      </c>
      <c r="P753" s="8">
        <f t="shared" si="46"/>
        <v>59317</v>
      </c>
      <c r="Q753" s="8">
        <f t="shared" si="47"/>
        <v>59213</v>
      </c>
      <c r="R753" s="2" t="s">
        <v>28</v>
      </c>
      <c r="S753" s="9">
        <f>VLOOKUP(P753,$T$2:U750,2,1)</f>
        <v>0.09</v>
      </c>
    </row>
    <row r="754" spans="1:19" x14ac:dyDescent="0.25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e">
        <f>VLOOKUP(F754,'Customer Info'!A746:I1245,2,0)</f>
        <v>#N/A</v>
      </c>
      <c r="H754" s="6" t="e">
        <f>VLOOKUP(F754,'Customer Info'!A746:I1245,3,0)</f>
        <v>#N/A</v>
      </c>
      <c r="I754" s="6" t="e">
        <f>VLOOKUP(F754,'Customer Info'!A746:I1245,5,0)</f>
        <v>#N/A</v>
      </c>
      <c r="J754" s="2">
        <v>139</v>
      </c>
      <c r="K754" s="2">
        <v>133</v>
      </c>
      <c r="L754" s="2">
        <v>3</v>
      </c>
      <c r="M754" s="7">
        <f t="shared" si="44"/>
        <v>399</v>
      </c>
      <c r="N754" s="7">
        <f t="shared" si="45"/>
        <v>417</v>
      </c>
      <c r="O754" s="2">
        <v>30</v>
      </c>
      <c r="P754" s="8">
        <f t="shared" si="46"/>
        <v>447</v>
      </c>
      <c r="Q754" s="8">
        <f t="shared" si="47"/>
        <v>387</v>
      </c>
      <c r="R754" s="2" t="s">
        <v>28</v>
      </c>
      <c r="S754" s="9">
        <f>VLOOKUP(P754,$T$2:U751,2,1)</f>
        <v>0.02</v>
      </c>
    </row>
    <row r="755" spans="1:19" x14ac:dyDescent="0.25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e">
        <f>VLOOKUP(F755,'Customer Info'!A747:I1246,2,0)</f>
        <v>#N/A</v>
      </c>
      <c r="H755" s="6" t="e">
        <f>VLOOKUP(F755,'Customer Info'!A747:I1246,3,0)</f>
        <v>#N/A</v>
      </c>
      <c r="I755" s="6" t="e">
        <f>VLOOKUP(F755,'Customer Info'!A747:I1246,5,0)</f>
        <v>#N/A</v>
      </c>
      <c r="J755" s="2">
        <v>2808</v>
      </c>
      <c r="K755" s="2">
        <v>2674</v>
      </c>
      <c r="L755" s="2">
        <v>4</v>
      </c>
      <c r="M755" s="7">
        <f t="shared" si="44"/>
        <v>10696</v>
      </c>
      <c r="N755" s="7">
        <f t="shared" si="45"/>
        <v>11232</v>
      </c>
      <c r="O755" s="2">
        <v>47</v>
      </c>
      <c r="P755" s="8">
        <f t="shared" si="46"/>
        <v>11279</v>
      </c>
      <c r="Q755" s="8">
        <f t="shared" si="47"/>
        <v>11185</v>
      </c>
      <c r="R755" s="2" t="s">
        <v>50</v>
      </c>
      <c r="S755" s="9">
        <f>VLOOKUP(P755,$T$2:U752,2,1)</f>
        <v>0.05</v>
      </c>
    </row>
    <row r="756" spans="1:19" x14ac:dyDescent="0.25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e">
        <f>VLOOKUP(F756,'Customer Info'!A748:I1247,2,0)</f>
        <v>#N/A</v>
      </c>
      <c r="H756" s="6" t="e">
        <f>VLOOKUP(F756,'Customer Info'!A748:I1247,3,0)</f>
        <v>#N/A</v>
      </c>
      <c r="I756" s="6" t="e">
        <f>VLOOKUP(F756,'Customer Info'!A748:I1247,5,0)</f>
        <v>#N/A</v>
      </c>
      <c r="J756" s="2">
        <v>2907</v>
      </c>
      <c r="K756" s="2">
        <v>2667</v>
      </c>
      <c r="L756" s="2">
        <v>3</v>
      </c>
      <c r="M756" s="7">
        <f t="shared" si="44"/>
        <v>8001</v>
      </c>
      <c r="N756" s="7">
        <f t="shared" si="45"/>
        <v>8721</v>
      </c>
      <c r="O756" s="2">
        <v>59</v>
      </c>
      <c r="P756" s="8">
        <f t="shared" si="46"/>
        <v>8780</v>
      </c>
      <c r="Q756" s="8">
        <f t="shared" si="47"/>
        <v>8662</v>
      </c>
      <c r="R756" s="2" t="s">
        <v>50</v>
      </c>
      <c r="S756" s="9">
        <f>VLOOKUP(P756,$T$2:U753,2,1)</f>
        <v>0.05</v>
      </c>
    </row>
    <row r="757" spans="1:19" x14ac:dyDescent="0.25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e">
        <f>VLOOKUP(F757,'Customer Info'!A749:I1248,2,0)</f>
        <v>#N/A</v>
      </c>
      <c r="H757" s="6" t="e">
        <f>VLOOKUP(F757,'Customer Info'!A749:I1248,3,0)</f>
        <v>#N/A</v>
      </c>
      <c r="I757" s="6" t="e">
        <f>VLOOKUP(F757,'Customer Info'!A749:I1248,5,0)</f>
        <v>#N/A</v>
      </c>
      <c r="J757" s="2">
        <v>851</v>
      </c>
      <c r="K757" s="2">
        <v>773</v>
      </c>
      <c r="L757" s="2">
        <v>6</v>
      </c>
      <c r="M757" s="7">
        <f t="shared" si="44"/>
        <v>4638</v>
      </c>
      <c r="N757" s="7">
        <f t="shared" si="45"/>
        <v>5106</v>
      </c>
      <c r="O757" s="2">
        <v>62</v>
      </c>
      <c r="P757" s="8">
        <f t="shared" si="46"/>
        <v>5168</v>
      </c>
      <c r="Q757" s="8">
        <f t="shared" si="47"/>
        <v>5044</v>
      </c>
      <c r="R757" s="2" t="s">
        <v>28</v>
      </c>
      <c r="S757" s="9">
        <f>VLOOKUP(P757,$T$2:U754,2,1)</f>
        <v>0.05</v>
      </c>
    </row>
    <row r="758" spans="1:19" x14ac:dyDescent="0.25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e">
        <f>VLOOKUP(F758,'Customer Info'!A750:I1249,2,0)</f>
        <v>#N/A</v>
      </c>
      <c r="H758" s="6" t="e">
        <f>VLOOKUP(F758,'Customer Info'!A750:I1249,3,0)</f>
        <v>#N/A</v>
      </c>
      <c r="I758" s="6" t="e">
        <f>VLOOKUP(F758,'Customer Info'!A750:I1249,5,0)</f>
        <v>#N/A</v>
      </c>
      <c r="J758" s="2">
        <v>2222</v>
      </c>
      <c r="K758" s="2">
        <v>2081</v>
      </c>
      <c r="L758" s="2">
        <v>4</v>
      </c>
      <c r="M758" s="7">
        <f t="shared" si="44"/>
        <v>8324</v>
      </c>
      <c r="N758" s="7">
        <f t="shared" si="45"/>
        <v>8888</v>
      </c>
      <c r="O758" s="2">
        <v>88</v>
      </c>
      <c r="P758" s="8">
        <f t="shared" si="46"/>
        <v>8976</v>
      </c>
      <c r="Q758" s="8">
        <f t="shared" si="47"/>
        <v>8800</v>
      </c>
      <c r="R758" s="2" t="s">
        <v>26</v>
      </c>
      <c r="S758" s="9">
        <f>VLOOKUP(P758,$T$2:U755,2,1)</f>
        <v>0.05</v>
      </c>
    </row>
    <row r="759" spans="1:19" x14ac:dyDescent="0.25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e">
        <f>VLOOKUP(F759,'Customer Info'!A751:I1250,2,0)</f>
        <v>#N/A</v>
      </c>
      <c r="H759" s="6" t="e">
        <f>VLOOKUP(F759,'Customer Info'!A751:I1250,3,0)</f>
        <v>#N/A</v>
      </c>
      <c r="I759" s="6" t="e">
        <f>VLOOKUP(F759,'Customer Info'!A751:I1250,5,0)</f>
        <v>#N/A</v>
      </c>
      <c r="J759" s="2">
        <v>6274</v>
      </c>
      <c r="K759" s="2">
        <v>6093</v>
      </c>
      <c r="L759" s="2">
        <v>4</v>
      </c>
      <c r="M759" s="7">
        <f t="shared" si="44"/>
        <v>24372</v>
      </c>
      <c r="N759" s="7">
        <f t="shared" si="45"/>
        <v>25096</v>
      </c>
      <c r="O759" s="2">
        <v>77</v>
      </c>
      <c r="P759" s="8">
        <f t="shared" si="46"/>
        <v>25173</v>
      </c>
      <c r="Q759" s="8">
        <f t="shared" si="47"/>
        <v>25019</v>
      </c>
      <c r="R759" s="2" t="s">
        <v>26</v>
      </c>
      <c r="S759" s="9">
        <f>VLOOKUP(P759,$T$2:U756,2,1)</f>
        <v>7.0000000000000007E-2</v>
      </c>
    </row>
    <row r="760" spans="1:19" x14ac:dyDescent="0.25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e">
        <f>VLOOKUP(F760,'Customer Info'!A752:I1251,2,0)</f>
        <v>#N/A</v>
      </c>
      <c r="H760" s="6" t="e">
        <f>VLOOKUP(F760,'Customer Info'!A752:I1251,3,0)</f>
        <v>#N/A</v>
      </c>
      <c r="I760" s="6" t="e">
        <f>VLOOKUP(F760,'Customer Info'!A752:I1251,5,0)</f>
        <v>#N/A</v>
      </c>
      <c r="J760" s="2">
        <v>8752</v>
      </c>
      <c r="K760" s="2">
        <v>7877</v>
      </c>
      <c r="L760" s="2">
        <v>4</v>
      </c>
      <c r="M760" s="7">
        <f t="shared" si="44"/>
        <v>31508</v>
      </c>
      <c r="N760" s="7">
        <f t="shared" si="45"/>
        <v>35008</v>
      </c>
      <c r="O760" s="2">
        <v>20</v>
      </c>
      <c r="P760" s="8">
        <f t="shared" si="46"/>
        <v>35028</v>
      </c>
      <c r="Q760" s="8">
        <f t="shared" si="47"/>
        <v>34988</v>
      </c>
      <c r="R760" s="2" t="s">
        <v>50</v>
      </c>
      <c r="S760" s="9">
        <f>VLOOKUP(P760,$T$2:U757,2,1)</f>
        <v>7.0000000000000007E-2</v>
      </c>
    </row>
    <row r="761" spans="1:19" x14ac:dyDescent="0.25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e">
        <f>VLOOKUP(F761,'Customer Info'!A753:I1252,2,0)</f>
        <v>#N/A</v>
      </c>
      <c r="H761" s="6" t="e">
        <f>VLOOKUP(F761,'Customer Info'!A753:I1252,3,0)</f>
        <v>#N/A</v>
      </c>
      <c r="I761" s="6" t="e">
        <f>VLOOKUP(F761,'Customer Info'!A753:I1252,5,0)</f>
        <v>#N/A</v>
      </c>
      <c r="J761" s="2">
        <v>96</v>
      </c>
      <c r="K761" s="2">
        <v>87</v>
      </c>
      <c r="L761" s="2">
        <v>4</v>
      </c>
      <c r="M761" s="7">
        <f t="shared" si="44"/>
        <v>348</v>
      </c>
      <c r="N761" s="7">
        <f t="shared" si="45"/>
        <v>384</v>
      </c>
      <c r="O761" s="2">
        <v>10</v>
      </c>
      <c r="P761" s="8">
        <f t="shared" si="46"/>
        <v>394</v>
      </c>
      <c r="Q761" s="8">
        <f t="shared" si="47"/>
        <v>374</v>
      </c>
      <c r="R761" s="2" t="s">
        <v>28</v>
      </c>
      <c r="S761" s="9">
        <f>VLOOKUP(P761,$T$2:U758,2,1)</f>
        <v>0.02</v>
      </c>
    </row>
    <row r="762" spans="1:19" x14ac:dyDescent="0.25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e">
        <f>VLOOKUP(F762,'Customer Info'!A754:I1253,2,0)</f>
        <v>#N/A</v>
      </c>
      <c r="H762" s="6" t="e">
        <f>VLOOKUP(F762,'Customer Info'!A754:I1253,3,0)</f>
        <v>#N/A</v>
      </c>
      <c r="I762" s="6" t="e">
        <f>VLOOKUP(F762,'Customer Info'!A754:I1253,5,0)</f>
        <v>#N/A</v>
      </c>
      <c r="J762" s="2">
        <v>5894</v>
      </c>
      <c r="K762" s="2">
        <v>5621</v>
      </c>
      <c r="L762" s="2">
        <v>5</v>
      </c>
      <c r="M762" s="7">
        <f t="shared" si="44"/>
        <v>28105</v>
      </c>
      <c r="N762" s="7">
        <f t="shared" si="45"/>
        <v>29470</v>
      </c>
      <c r="O762" s="2">
        <v>84</v>
      </c>
      <c r="P762" s="8">
        <f t="shared" si="46"/>
        <v>29554</v>
      </c>
      <c r="Q762" s="8">
        <f t="shared" si="47"/>
        <v>29386</v>
      </c>
      <c r="R762" s="2" t="s">
        <v>50</v>
      </c>
      <c r="S762" s="9">
        <f>VLOOKUP(P762,$T$2:U759,2,1)</f>
        <v>7.0000000000000007E-2</v>
      </c>
    </row>
    <row r="763" spans="1:19" x14ac:dyDescent="0.25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e">
        <f>VLOOKUP(F763,'Customer Info'!A755:I1254,2,0)</f>
        <v>#N/A</v>
      </c>
      <c r="H763" s="6" t="e">
        <f>VLOOKUP(F763,'Customer Info'!A755:I1254,3,0)</f>
        <v>#N/A</v>
      </c>
      <c r="I763" s="6" t="e">
        <f>VLOOKUP(F763,'Customer Info'!A755:I1254,5,0)</f>
        <v>#N/A</v>
      </c>
      <c r="J763" s="2">
        <v>1717</v>
      </c>
      <c r="K763" s="2">
        <v>1652</v>
      </c>
      <c r="L763" s="2">
        <v>5</v>
      </c>
      <c r="M763" s="7">
        <f t="shared" si="44"/>
        <v>8260</v>
      </c>
      <c r="N763" s="7">
        <f t="shared" si="45"/>
        <v>8585</v>
      </c>
      <c r="O763" s="2">
        <v>31</v>
      </c>
      <c r="P763" s="8">
        <f t="shared" si="46"/>
        <v>8616</v>
      </c>
      <c r="Q763" s="8">
        <f t="shared" si="47"/>
        <v>8554</v>
      </c>
      <c r="R763" s="2" t="s">
        <v>50</v>
      </c>
      <c r="S763" s="9">
        <f>VLOOKUP(P763,$T$2:U760,2,1)</f>
        <v>0.05</v>
      </c>
    </row>
    <row r="764" spans="1:19" x14ac:dyDescent="0.25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e">
        <f>VLOOKUP(F764,'Customer Info'!A756:I1255,2,0)</f>
        <v>#N/A</v>
      </c>
      <c r="H764" s="6" t="e">
        <f>VLOOKUP(F764,'Customer Info'!A756:I1255,3,0)</f>
        <v>#N/A</v>
      </c>
      <c r="I764" s="6" t="e">
        <f>VLOOKUP(F764,'Customer Info'!A756:I1255,5,0)</f>
        <v>#N/A</v>
      </c>
      <c r="J764" s="2">
        <v>1413</v>
      </c>
      <c r="K764" s="2">
        <v>1334</v>
      </c>
      <c r="L764" s="2">
        <v>3</v>
      </c>
      <c r="M764" s="7">
        <f t="shared" si="44"/>
        <v>4002</v>
      </c>
      <c r="N764" s="7">
        <f t="shared" si="45"/>
        <v>4239</v>
      </c>
      <c r="O764" s="2">
        <v>87</v>
      </c>
      <c r="P764" s="8">
        <f t="shared" si="46"/>
        <v>4326</v>
      </c>
      <c r="Q764" s="8">
        <f t="shared" si="47"/>
        <v>4152</v>
      </c>
      <c r="R764" s="2" t="s">
        <v>28</v>
      </c>
      <c r="S764" s="9">
        <f>VLOOKUP(P764,$T$2:U761,2,1)</f>
        <v>0.02</v>
      </c>
    </row>
    <row r="765" spans="1:19" x14ac:dyDescent="0.25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e">
        <f>VLOOKUP(F765,'Customer Info'!A757:I1256,2,0)</f>
        <v>#N/A</v>
      </c>
      <c r="H765" s="6" t="e">
        <f>VLOOKUP(F765,'Customer Info'!A757:I1256,3,0)</f>
        <v>#N/A</v>
      </c>
      <c r="I765" s="6" t="e">
        <f>VLOOKUP(F765,'Customer Info'!A757:I1256,5,0)</f>
        <v>#N/A</v>
      </c>
      <c r="J765" s="2">
        <v>3053</v>
      </c>
      <c r="K765" s="2">
        <v>2937</v>
      </c>
      <c r="L765" s="2">
        <v>1</v>
      </c>
      <c r="M765" s="7">
        <f t="shared" si="44"/>
        <v>2937</v>
      </c>
      <c r="N765" s="7">
        <f t="shared" si="45"/>
        <v>3053</v>
      </c>
      <c r="O765" s="2">
        <v>27</v>
      </c>
      <c r="P765" s="8">
        <f t="shared" si="46"/>
        <v>3080</v>
      </c>
      <c r="Q765" s="8">
        <f t="shared" si="47"/>
        <v>3026</v>
      </c>
      <c r="R765" s="2" t="s">
        <v>28</v>
      </c>
      <c r="S765" s="9">
        <f>VLOOKUP(P765,$T$2:U762,2,1)</f>
        <v>0.02</v>
      </c>
    </row>
    <row r="766" spans="1:19" x14ac:dyDescent="0.25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e">
        <f>VLOOKUP(F766,'Customer Info'!A758:I1257,2,0)</f>
        <v>#N/A</v>
      </c>
      <c r="H766" s="6" t="e">
        <f>VLOOKUP(F766,'Customer Info'!A758:I1257,3,0)</f>
        <v>#N/A</v>
      </c>
      <c r="I766" s="6" t="e">
        <f>VLOOKUP(F766,'Customer Info'!A758:I1257,5,0)</f>
        <v>#N/A</v>
      </c>
      <c r="J766" s="2">
        <v>7922</v>
      </c>
      <c r="K766" s="2">
        <v>7328</v>
      </c>
      <c r="L766" s="2">
        <v>2</v>
      </c>
      <c r="M766" s="7">
        <f t="shared" si="44"/>
        <v>14656</v>
      </c>
      <c r="N766" s="7">
        <f t="shared" si="45"/>
        <v>15844</v>
      </c>
      <c r="O766" s="2">
        <v>28</v>
      </c>
      <c r="P766" s="8">
        <f t="shared" si="46"/>
        <v>15872</v>
      </c>
      <c r="Q766" s="8">
        <f t="shared" si="47"/>
        <v>15816</v>
      </c>
      <c r="R766" s="2" t="s">
        <v>28</v>
      </c>
      <c r="S766" s="9">
        <f>VLOOKUP(P766,$T$2:U763,2,1)</f>
        <v>0.05</v>
      </c>
    </row>
    <row r="767" spans="1:19" x14ac:dyDescent="0.25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e">
        <f>VLOOKUP(F767,'Customer Info'!A759:I1258,2,0)</f>
        <v>#N/A</v>
      </c>
      <c r="H767" s="6" t="e">
        <f>VLOOKUP(F767,'Customer Info'!A759:I1258,3,0)</f>
        <v>#N/A</v>
      </c>
      <c r="I767" s="6" t="e">
        <f>VLOOKUP(F767,'Customer Info'!A759:I1258,5,0)</f>
        <v>#N/A</v>
      </c>
      <c r="J767" s="2">
        <v>27691</v>
      </c>
      <c r="K767" s="2">
        <v>25616</v>
      </c>
      <c r="L767" s="2">
        <v>8</v>
      </c>
      <c r="M767" s="7">
        <f t="shared" si="44"/>
        <v>204928</v>
      </c>
      <c r="N767" s="7">
        <f t="shared" si="45"/>
        <v>221528</v>
      </c>
      <c r="O767" s="2">
        <v>39</v>
      </c>
      <c r="P767" s="8">
        <f t="shared" si="46"/>
        <v>221567</v>
      </c>
      <c r="Q767" s="8">
        <f t="shared" si="47"/>
        <v>221489</v>
      </c>
      <c r="R767" s="2" t="s">
        <v>28</v>
      </c>
      <c r="S767" s="9">
        <f>VLOOKUP(P767,$T$2:U764,2,1)</f>
        <v>0.12</v>
      </c>
    </row>
    <row r="768" spans="1:19" x14ac:dyDescent="0.25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e">
        <f>VLOOKUP(F768,'Customer Info'!A760:I1259,2,0)</f>
        <v>#N/A</v>
      </c>
      <c r="H768" s="6" t="e">
        <f>VLOOKUP(F768,'Customer Info'!A760:I1259,3,0)</f>
        <v>#N/A</v>
      </c>
      <c r="I768" s="6" t="e">
        <f>VLOOKUP(F768,'Customer Info'!A760:I1259,5,0)</f>
        <v>#N/A</v>
      </c>
      <c r="J768" s="2">
        <v>6717</v>
      </c>
      <c r="K768" s="2">
        <v>6288</v>
      </c>
      <c r="L768" s="2">
        <v>6</v>
      </c>
      <c r="M768" s="7">
        <f t="shared" si="44"/>
        <v>37728</v>
      </c>
      <c r="N768" s="7">
        <f t="shared" si="45"/>
        <v>40302</v>
      </c>
      <c r="O768" s="2">
        <v>54</v>
      </c>
      <c r="P768" s="8">
        <f t="shared" si="46"/>
        <v>40356</v>
      </c>
      <c r="Q768" s="8">
        <f t="shared" si="47"/>
        <v>40248</v>
      </c>
      <c r="R768" s="2" t="s">
        <v>28</v>
      </c>
      <c r="S768" s="9">
        <f>VLOOKUP(P768,$T$2:U765,2,1)</f>
        <v>7.0000000000000007E-2</v>
      </c>
    </row>
    <row r="769" spans="1:19" x14ac:dyDescent="0.25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e">
        <f>VLOOKUP(F769,'Customer Info'!A761:I1260,2,0)</f>
        <v>#N/A</v>
      </c>
      <c r="H769" s="6" t="e">
        <f>VLOOKUP(F769,'Customer Info'!A761:I1260,3,0)</f>
        <v>#N/A</v>
      </c>
      <c r="I769" s="6" t="e">
        <f>VLOOKUP(F769,'Customer Info'!A761:I1260,5,0)</f>
        <v>#N/A</v>
      </c>
      <c r="J769" s="2">
        <v>3354</v>
      </c>
      <c r="K769" s="2">
        <v>3102</v>
      </c>
      <c r="L769" s="2">
        <v>4</v>
      </c>
      <c r="M769" s="7">
        <f t="shared" si="44"/>
        <v>12408</v>
      </c>
      <c r="N769" s="7">
        <f t="shared" si="45"/>
        <v>13416</v>
      </c>
      <c r="O769" s="2">
        <v>93</v>
      </c>
      <c r="P769" s="8">
        <f t="shared" si="46"/>
        <v>13509</v>
      </c>
      <c r="Q769" s="8">
        <f t="shared" si="47"/>
        <v>13323</v>
      </c>
      <c r="R769" s="2" t="s">
        <v>28</v>
      </c>
      <c r="S769" s="9">
        <f>VLOOKUP(P769,$T$2:U766,2,1)</f>
        <v>0.05</v>
      </c>
    </row>
    <row r="770" spans="1:19" x14ac:dyDescent="0.25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e">
        <f>VLOOKUP(F770,'Customer Info'!A762:I1261,2,0)</f>
        <v>#N/A</v>
      </c>
      <c r="H770" s="6" t="e">
        <f>VLOOKUP(F770,'Customer Info'!A762:I1261,3,0)</f>
        <v>#N/A</v>
      </c>
      <c r="I770" s="6" t="e">
        <f>VLOOKUP(F770,'Customer Info'!A762:I1261,5,0)</f>
        <v>#N/A</v>
      </c>
      <c r="J770" s="2">
        <v>1453</v>
      </c>
      <c r="K770" s="2">
        <v>1411</v>
      </c>
      <c r="L770" s="2">
        <v>2</v>
      </c>
      <c r="M770" s="7">
        <f t="shared" si="44"/>
        <v>2822</v>
      </c>
      <c r="N770" s="7">
        <f t="shared" si="45"/>
        <v>2906</v>
      </c>
      <c r="O770" s="2">
        <v>76</v>
      </c>
      <c r="P770" s="8">
        <f t="shared" si="46"/>
        <v>2982</v>
      </c>
      <c r="Q770" s="8">
        <f t="shared" si="47"/>
        <v>2830</v>
      </c>
      <c r="R770" s="2" t="s">
        <v>28</v>
      </c>
      <c r="S770" s="9">
        <f>VLOOKUP(P770,$T$2:U767,2,1)</f>
        <v>0.02</v>
      </c>
    </row>
    <row r="771" spans="1:19" x14ac:dyDescent="0.25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e">
        <f>VLOOKUP(F771,'Customer Info'!A763:I1262,2,0)</f>
        <v>#N/A</v>
      </c>
      <c r="H771" s="6" t="e">
        <f>VLOOKUP(F771,'Customer Info'!A763:I1262,3,0)</f>
        <v>#N/A</v>
      </c>
      <c r="I771" s="6" t="e">
        <f>VLOOKUP(F771,'Customer Info'!A763:I1262,5,0)</f>
        <v>#N/A</v>
      </c>
      <c r="J771" s="2">
        <v>681</v>
      </c>
      <c r="K771" s="2">
        <v>642</v>
      </c>
      <c r="L771" s="2">
        <v>2</v>
      </c>
      <c r="M771" s="7">
        <f t="shared" si="44"/>
        <v>1284</v>
      </c>
      <c r="N771" s="7">
        <f t="shared" si="45"/>
        <v>1362</v>
      </c>
      <c r="O771" s="2">
        <v>58</v>
      </c>
      <c r="P771" s="8">
        <f t="shared" si="46"/>
        <v>1420</v>
      </c>
      <c r="Q771" s="8">
        <f t="shared" si="47"/>
        <v>1304</v>
      </c>
      <c r="R771" s="2" t="s">
        <v>28</v>
      </c>
      <c r="S771" s="9">
        <f>VLOOKUP(P771,$T$2:U768,2,1)</f>
        <v>0.02</v>
      </c>
    </row>
    <row r="772" spans="1:19" x14ac:dyDescent="0.25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e">
        <f>VLOOKUP(F772,'Customer Info'!A764:I1263,2,0)</f>
        <v>#N/A</v>
      </c>
      <c r="H772" s="6" t="e">
        <f>VLOOKUP(F772,'Customer Info'!A764:I1263,3,0)</f>
        <v>#N/A</v>
      </c>
      <c r="I772" s="6" t="e">
        <f>VLOOKUP(F772,'Customer Info'!A764:I1263,5,0)</f>
        <v>#N/A</v>
      </c>
      <c r="J772" s="2">
        <v>68</v>
      </c>
      <c r="K772" s="2">
        <v>63</v>
      </c>
      <c r="L772" s="2">
        <v>4</v>
      </c>
      <c r="M772" s="7">
        <f t="shared" si="44"/>
        <v>252</v>
      </c>
      <c r="N772" s="7">
        <f t="shared" si="45"/>
        <v>272</v>
      </c>
      <c r="O772" s="2">
        <v>10</v>
      </c>
      <c r="P772" s="8">
        <f t="shared" si="46"/>
        <v>282</v>
      </c>
      <c r="Q772" s="8">
        <f t="shared" si="47"/>
        <v>262</v>
      </c>
      <c r="R772" s="2" t="s">
        <v>28</v>
      </c>
      <c r="S772" s="9">
        <f>VLOOKUP(P772,$T$2:U769,2,1)</f>
        <v>0.02</v>
      </c>
    </row>
    <row r="773" spans="1:19" x14ac:dyDescent="0.25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e">
        <f>VLOOKUP(F773,'Customer Info'!A765:I1264,2,0)</f>
        <v>#N/A</v>
      </c>
      <c r="H773" s="6" t="e">
        <f>VLOOKUP(F773,'Customer Info'!A765:I1264,3,0)</f>
        <v>#N/A</v>
      </c>
      <c r="I773" s="6" t="e">
        <f>VLOOKUP(F773,'Customer Info'!A765:I1264,5,0)</f>
        <v>#N/A</v>
      </c>
      <c r="J773" s="2">
        <v>8160</v>
      </c>
      <c r="K773" s="2">
        <v>7475</v>
      </c>
      <c r="L773" s="2">
        <v>3</v>
      </c>
      <c r="M773" s="7">
        <f t="shared" si="44"/>
        <v>22425</v>
      </c>
      <c r="N773" s="7">
        <f t="shared" si="45"/>
        <v>24480</v>
      </c>
      <c r="O773" s="2">
        <v>59</v>
      </c>
      <c r="P773" s="8">
        <f t="shared" si="46"/>
        <v>24539</v>
      </c>
      <c r="Q773" s="8">
        <f t="shared" si="47"/>
        <v>24421</v>
      </c>
      <c r="R773" s="2" t="s">
        <v>28</v>
      </c>
      <c r="S773" s="9">
        <f>VLOOKUP(P773,$T$2:U770,2,1)</f>
        <v>0.05</v>
      </c>
    </row>
    <row r="774" spans="1:19" x14ac:dyDescent="0.25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e">
        <f>VLOOKUP(F774,'Customer Info'!A766:I1265,2,0)</f>
        <v>#N/A</v>
      </c>
      <c r="H774" s="6" t="e">
        <f>VLOOKUP(F774,'Customer Info'!A766:I1265,3,0)</f>
        <v>#N/A</v>
      </c>
      <c r="I774" s="6" t="e">
        <f>VLOOKUP(F774,'Customer Info'!A766:I1265,5,0)</f>
        <v>#N/A</v>
      </c>
      <c r="J774" s="2">
        <v>1968</v>
      </c>
      <c r="K774" s="2">
        <v>1821</v>
      </c>
      <c r="L774" s="2">
        <v>3</v>
      </c>
      <c r="M774" s="7">
        <f t="shared" si="44"/>
        <v>5463</v>
      </c>
      <c r="N774" s="7">
        <f t="shared" si="45"/>
        <v>5904</v>
      </c>
      <c r="O774" s="2">
        <v>99</v>
      </c>
      <c r="P774" s="8">
        <f t="shared" si="46"/>
        <v>6003</v>
      </c>
      <c r="Q774" s="8">
        <f t="shared" si="47"/>
        <v>5805</v>
      </c>
      <c r="R774" s="2" t="s">
        <v>28</v>
      </c>
      <c r="S774" s="9">
        <f>VLOOKUP(P774,$T$2:U771,2,1)</f>
        <v>0.05</v>
      </c>
    </row>
    <row r="775" spans="1:19" x14ac:dyDescent="0.25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e">
        <f>VLOOKUP(F775,'Customer Info'!A767:I1266,2,0)</f>
        <v>#N/A</v>
      </c>
      <c r="H775" s="6" t="e">
        <f>VLOOKUP(F775,'Customer Info'!A767:I1266,3,0)</f>
        <v>#N/A</v>
      </c>
      <c r="I775" s="6" t="e">
        <f>VLOOKUP(F775,'Customer Info'!A767:I1266,5,0)</f>
        <v>#N/A</v>
      </c>
      <c r="J775" s="2">
        <v>2808</v>
      </c>
      <c r="K775" s="2">
        <v>2674</v>
      </c>
      <c r="L775" s="2">
        <v>4</v>
      </c>
      <c r="M775" s="7">
        <f t="shared" si="44"/>
        <v>10696</v>
      </c>
      <c r="N775" s="7">
        <f t="shared" si="45"/>
        <v>11232</v>
      </c>
      <c r="O775" s="2">
        <v>61</v>
      </c>
      <c r="P775" s="8">
        <f t="shared" si="46"/>
        <v>11293</v>
      </c>
      <c r="Q775" s="8">
        <f t="shared" si="47"/>
        <v>11171</v>
      </c>
      <c r="R775" s="2" t="s">
        <v>50</v>
      </c>
      <c r="S775" s="9">
        <f>VLOOKUP(P775,$T$2:U772,2,1)</f>
        <v>0.05</v>
      </c>
    </row>
    <row r="776" spans="1:19" x14ac:dyDescent="0.25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e">
        <f>VLOOKUP(F776,'Customer Info'!A768:I1267,2,0)</f>
        <v>#N/A</v>
      </c>
      <c r="H776" s="6" t="e">
        <f>VLOOKUP(F776,'Customer Info'!A768:I1267,3,0)</f>
        <v>#N/A</v>
      </c>
      <c r="I776" s="6" t="e">
        <f>VLOOKUP(F776,'Customer Info'!A768:I1267,5,0)</f>
        <v>#N/A</v>
      </c>
      <c r="J776" s="2">
        <v>516</v>
      </c>
      <c r="K776" s="2">
        <v>473</v>
      </c>
      <c r="L776" s="2">
        <v>2</v>
      </c>
      <c r="M776" s="7">
        <f t="shared" si="44"/>
        <v>946</v>
      </c>
      <c r="N776" s="7">
        <f t="shared" si="45"/>
        <v>1032</v>
      </c>
      <c r="O776" s="2">
        <v>51</v>
      </c>
      <c r="P776" s="8">
        <f t="shared" si="46"/>
        <v>1083</v>
      </c>
      <c r="Q776" s="8">
        <f t="shared" si="47"/>
        <v>981</v>
      </c>
      <c r="R776" s="2" t="s">
        <v>28</v>
      </c>
      <c r="S776" s="9">
        <f>VLOOKUP(P776,$T$2:U773,2,1)</f>
        <v>0.02</v>
      </c>
    </row>
    <row r="777" spans="1:19" x14ac:dyDescent="0.25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e">
        <f>VLOOKUP(F777,'Customer Info'!A769:I1268,2,0)</f>
        <v>#N/A</v>
      </c>
      <c r="H777" s="6" t="e">
        <f>VLOOKUP(F777,'Customer Info'!A769:I1268,3,0)</f>
        <v>#N/A</v>
      </c>
      <c r="I777" s="6" t="e">
        <f>VLOOKUP(F777,'Customer Info'!A769:I1268,5,0)</f>
        <v>#N/A</v>
      </c>
      <c r="J777" s="2">
        <v>2602</v>
      </c>
      <c r="K777" s="2">
        <v>2363</v>
      </c>
      <c r="L777" s="2">
        <v>3</v>
      </c>
      <c r="M777" s="7">
        <f t="shared" si="44"/>
        <v>7089</v>
      </c>
      <c r="N777" s="7">
        <f t="shared" si="45"/>
        <v>7806</v>
      </c>
      <c r="O777" s="2">
        <v>63</v>
      </c>
      <c r="P777" s="8">
        <f t="shared" si="46"/>
        <v>7869</v>
      </c>
      <c r="Q777" s="8">
        <f t="shared" si="47"/>
        <v>7743</v>
      </c>
      <c r="R777" s="2" t="s">
        <v>50</v>
      </c>
      <c r="S777" s="9">
        <f>VLOOKUP(P777,$T$2:U774,2,1)</f>
        <v>0.05</v>
      </c>
    </row>
    <row r="778" spans="1:19" x14ac:dyDescent="0.25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e">
        <f>VLOOKUP(F778,'Customer Info'!A770:I1269,2,0)</f>
        <v>#N/A</v>
      </c>
      <c r="H778" s="6" t="e">
        <f>VLOOKUP(F778,'Customer Info'!A770:I1269,3,0)</f>
        <v>#N/A</v>
      </c>
      <c r="I778" s="6" t="e">
        <f>VLOOKUP(F778,'Customer Info'!A770:I1269,5,0)</f>
        <v>#N/A</v>
      </c>
      <c r="J778" s="2">
        <v>1654</v>
      </c>
      <c r="K778" s="2">
        <v>1577</v>
      </c>
      <c r="L778" s="2">
        <v>2</v>
      </c>
      <c r="M778" s="7">
        <f t="shared" si="44"/>
        <v>3154</v>
      </c>
      <c r="N778" s="7">
        <f t="shared" si="45"/>
        <v>3308</v>
      </c>
      <c r="O778" s="2">
        <v>32</v>
      </c>
      <c r="P778" s="8">
        <f t="shared" si="46"/>
        <v>3340</v>
      </c>
      <c r="Q778" s="8">
        <f t="shared" si="47"/>
        <v>3276</v>
      </c>
      <c r="R778" s="2" t="s">
        <v>56</v>
      </c>
      <c r="S778" s="9">
        <f>VLOOKUP(P778,$T$2:U775,2,1)</f>
        <v>0.02</v>
      </c>
    </row>
    <row r="779" spans="1:19" x14ac:dyDescent="0.25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e">
        <f>VLOOKUP(F779,'Customer Info'!A771:I1270,2,0)</f>
        <v>#N/A</v>
      </c>
      <c r="H779" s="6" t="e">
        <f>VLOOKUP(F779,'Customer Info'!A771:I1270,3,0)</f>
        <v>#N/A</v>
      </c>
      <c r="I779" s="6" t="e">
        <f>VLOOKUP(F779,'Customer Info'!A771:I1270,5,0)</f>
        <v>#N/A</v>
      </c>
      <c r="J779" s="2">
        <v>1808</v>
      </c>
      <c r="K779" s="2">
        <v>1740</v>
      </c>
      <c r="L779" s="2">
        <v>2</v>
      </c>
      <c r="M779" s="7">
        <f t="shared" ref="M779:M842" si="48">K779*L779</f>
        <v>3480</v>
      </c>
      <c r="N779" s="7">
        <f t="shared" ref="N779:N842" si="49">J779*L779</f>
        <v>3616</v>
      </c>
      <c r="O779" s="2">
        <v>35</v>
      </c>
      <c r="P779" s="8">
        <f t="shared" ref="P779:P842" si="50">SUM(N779,O779)</f>
        <v>3651</v>
      </c>
      <c r="Q779" s="8">
        <f t="shared" ref="Q779:Q842" si="51">N779-O779</f>
        <v>3581</v>
      </c>
      <c r="R779" s="2" t="s">
        <v>28</v>
      </c>
      <c r="S779" s="9">
        <f>VLOOKUP(P779,$T$2:U776,2,1)</f>
        <v>0.02</v>
      </c>
    </row>
    <row r="780" spans="1:19" x14ac:dyDescent="0.25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e">
        <f>VLOOKUP(F780,'Customer Info'!A772:I1271,2,0)</f>
        <v>#N/A</v>
      </c>
      <c r="H780" s="6" t="e">
        <f>VLOOKUP(F780,'Customer Info'!A772:I1271,3,0)</f>
        <v>#N/A</v>
      </c>
      <c r="I780" s="6" t="e">
        <f>VLOOKUP(F780,'Customer Info'!A772:I1271,5,0)</f>
        <v>#N/A</v>
      </c>
      <c r="J780" s="2">
        <v>6012</v>
      </c>
      <c r="K780" s="2">
        <v>5677</v>
      </c>
      <c r="L780" s="2">
        <v>3</v>
      </c>
      <c r="M780" s="7">
        <f t="shared" si="48"/>
        <v>17031</v>
      </c>
      <c r="N780" s="7">
        <f t="shared" si="49"/>
        <v>18036</v>
      </c>
      <c r="O780" s="2">
        <v>75</v>
      </c>
      <c r="P780" s="8">
        <f t="shared" si="50"/>
        <v>18111</v>
      </c>
      <c r="Q780" s="8">
        <f t="shared" si="51"/>
        <v>17961</v>
      </c>
      <c r="R780" s="2" t="s">
        <v>28</v>
      </c>
      <c r="S780" s="9">
        <f>VLOOKUP(P780,$T$2:U777,2,1)</f>
        <v>0.05</v>
      </c>
    </row>
    <row r="781" spans="1:19" x14ac:dyDescent="0.25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e">
        <f>VLOOKUP(F781,'Customer Info'!A773:I1272,2,0)</f>
        <v>#N/A</v>
      </c>
      <c r="H781" s="6" t="e">
        <f>VLOOKUP(F781,'Customer Info'!A773:I1272,3,0)</f>
        <v>#N/A</v>
      </c>
      <c r="I781" s="6" t="e">
        <f>VLOOKUP(F781,'Customer Info'!A773:I1272,5,0)</f>
        <v>#N/A</v>
      </c>
      <c r="J781" s="2">
        <v>2960</v>
      </c>
      <c r="K781" s="2">
        <v>2635</v>
      </c>
      <c r="L781" s="2">
        <v>4</v>
      </c>
      <c r="M781" s="7">
        <f t="shared" si="48"/>
        <v>10540</v>
      </c>
      <c r="N781" s="7">
        <f t="shared" si="49"/>
        <v>11840</v>
      </c>
      <c r="O781" s="2">
        <v>34</v>
      </c>
      <c r="P781" s="8">
        <f t="shared" si="50"/>
        <v>11874</v>
      </c>
      <c r="Q781" s="8">
        <f t="shared" si="51"/>
        <v>11806</v>
      </c>
      <c r="R781" s="2" t="s">
        <v>28</v>
      </c>
      <c r="S781" s="9">
        <f>VLOOKUP(P781,$T$2:U778,2,1)</f>
        <v>0.05</v>
      </c>
    </row>
    <row r="782" spans="1:19" x14ac:dyDescent="0.25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e">
        <f>VLOOKUP(F782,'Customer Info'!A774:I1273,2,0)</f>
        <v>#N/A</v>
      </c>
      <c r="H782" s="6" t="e">
        <f>VLOOKUP(F782,'Customer Info'!A774:I1273,3,0)</f>
        <v>#N/A</v>
      </c>
      <c r="I782" s="6" t="e">
        <f>VLOOKUP(F782,'Customer Info'!A774:I1273,5,0)</f>
        <v>#N/A</v>
      </c>
      <c r="J782" s="2">
        <v>63</v>
      </c>
      <c r="K782" s="2">
        <v>59</v>
      </c>
      <c r="L782" s="2">
        <v>4</v>
      </c>
      <c r="M782" s="7">
        <f t="shared" si="48"/>
        <v>236</v>
      </c>
      <c r="N782" s="7">
        <f t="shared" si="49"/>
        <v>252</v>
      </c>
      <c r="O782" s="2">
        <v>10</v>
      </c>
      <c r="P782" s="8">
        <f t="shared" si="50"/>
        <v>262</v>
      </c>
      <c r="Q782" s="8">
        <f t="shared" si="51"/>
        <v>242</v>
      </c>
      <c r="R782" s="2" t="s">
        <v>50</v>
      </c>
      <c r="S782" s="9">
        <f>VLOOKUP(P782,$T$2:U779,2,1)</f>
        <v>0.02</v>
      </c>
    </row>
    <row r="783" spans="1:19" x14ac:dyDescent="0.25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e">
        <f>VLOOKUP(F783,'Customer Info'!A775:I1274,2,0)</f>
        <v>#N/A</v>
      </c>
      <c r="H783" s="6" t="e">
        <f>VLOOKUP(F783,'Customer Info'!A775:I1274,3,0)</f>
        <v>#N/A</v>
      </c>
      <c r="I783" s="6" t="e">
        <f>VLOOKUP(F783,'Customer Info'!A775:I1274,5,0)</f>
        <v>#N/A</v>
      </c>
      <c r="J783" s="2">
        <v>37949</v>
      </c>
      <c r="K783" s="2">
        <v>34816</v>
      </c>
      <c r="L783" s="2">
        <v>1</v>
      </c>
      <c r="M783" s="7">
        <f t="shared" si="48"/>
        <v>34816</v>
      </c>
      <c r="N783" s="7">
        <f t="shared" si="49"/>
        <v>37949</v>
      </c>
      <c r="O783" s="2">
        <v>49</v>
      </c>
      <c r="P783" s="8">
        <f t="shared" si="50"/>
        <v>37998</v>
      </c>
      <c r="Q783" s="8">
        <f t="shared" si="51"/>
        <v>37900</v>
      </c>
      <c r="R783" s="2" t="s">
        <v>28</v>
      </c>
      <c r="S783" s="9">
        <f>VLOOKUP(P783,$T$2:U780,2,1)</f>
        <v>7.0000000000000007E-2</v>
      </c>
    </row>
    <row r="784" spans="1:19" x14ac:dyDescent="0.25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e">
        <f>VLOOKUP(F784,'Customer Info'!A776:I1275,2,0)</f>
        <v>#N/A</v>
      </c>
      <c r="H784" s="6" t="e">
        <f>VLOOKUP(F784,'Customer Info'!A776:I1275,3,0)</f>
        <v>#N/A</v>
      </c>
      <c r="I784" s="6" t="e">
        <f>VLOOKUP(F784,'Customer Info'!A776:I1275,5,0)</f>
        <v>#N/A</v>
      </c>
      <c r="J784" s="2">
        <v>6611</v>
      </c>
      <c r="K784" s="2">
        <v>5943</v>
      </c>
      <c r="L784" s="2">
        <v>1</v>
      </c>
      <c r="M784" s="7">
        <f t="shared" si="48"/>
        <v>5943</v>
      </c>
      <c r="N784" s="7">
        <f t="shared" si="49"/>
        <v>6611</v>
      </c>
      <c r="O784" s="2">
        <v>83</v>
      </c>
      <c r="P784" s="8">
        <f t="shared" si="50"/>
        <v>6694</v>
      </c>
      <c r="Q784" s="8">
        <f t="shared" si="51"/>
        <v>6528</v>
      </c>
      <c r="R784" s="2" t="s">
        <v>50</v>
      </c>
      <c r="S784" s="9">
        <f>VLOOKUP(P784,$T$2:U781,2,1)</f>
        <v>0.05</v>
      </c>
    </row>
    <row r="785" spans="1:19" x14ac:dyDescent="0.25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e">
        <f>VLOOKUP(F785,'Customer Info'!A777:I1276,2,0)</f>
        <v>#N/A</v>
      </c>
      <c r="H785" s="6" t="e">
        <f>VLOOKUP(F785,'Customer Info'!A777:I1276,3,0)</f>
        <v>#N/A</v>
      </c>
      <c r="I785" s="6" t="e">
        <f>VLOOKUP(F785,'Customer Info'!A777:I1276,5,0)</f>
        <v>#N/A</v>
      </c>
      <c r="J785" s="2">
        <v>7623</v>
      </c>
      <c r="K785" s="2">
        <v>7064</v>
      </c>
      <c r="L785" s="2">
        <v>4</v>
      </c>
      <c r="M785" s="7">
        <f t="shared" si="48"/>
        <v>28256</v>
      </c>
      <c r="N785" s="7">
        <f t="shared" si="49"/>
        <v>30492</v>
      </c>
      <c r="O785" s="2">
        <v>42</v>
      </c>
      <c r="P785" s="8">
        <f t="shared" si="50"/>
        <v>30534</v>
      </c>
      <c r="Q785" s="8">
        <f t="shared" si="51"/>
        <v>30450</v>
      </c>
      <c r="R785" s="2" t="s">
        <v>28</v>
      </c>
      <c r="S785" s="9">
        <f>VLOOKUP(P785,$T$2:U782,2,1)</f>
        <v>7.0000000000000007E-2</v>
      </c>
    </row>
    <row r="786" spans="1:19" x14ac:dyDescent="0.25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e">
        <f>VLOOKUP(F786,'Customer Info'!A778:I1277,2,0)</f>
        <v>#N/A</v>
      </c>
      <c r="H786" s="6" t="e">
        <f>VLOOKUP(F786,'Customer Info'!A778:I1277,3,0)</f>
        <v>#N/A</v>
      </c>
      <c r="I786" s="6" t="e">
        <f>VLOOKUP(F786,'Customer Info'!A778:I1277,5,0)</f>
        <v>#N/A</v>
      </c>
      <c r="J786" s="2">
        <v>36778</v>
      </c>
      <c r="K786" s="2">
        <v>34709</v>
      </c>
      <c r="L786" s="2">
        <v>10</v>
      </c>
      <c r="M786" s="7">
        <f t="shared" si="48"/>
        <v>347090</v>
      </c>
      <c r="N786" s="7">
        <f t="shared" si="49"/>
        <v>367780</v>
      </c>
      <c r="O786" s="2">
        <v>66</v>
      </c>
      <c r="P786" s="8">
        <f t="shared" si="50"/>
        <v>367846</v>
      </c>
      <c r="Q786" s="8">
        <f t="shared" si="51"/>
        <v>367714</v>
      </c>
      <c r="R786" s="2" t="s">
        <v>28</v>
      </c>
      <c r="S786" s="9">
        <f>VLOOKUP(P786,$T$2:U783,2,1)</f>
        <v>0.15</v>
      </c>
    </row>
    <row r="787" spans="1:19" x14ac:dyDescent="0.25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e">
        <f>VLOOKUP(F787,'Customer Info'!A779:I1278,2,0)</f>
        <v>#N/A</v>
      </c>
      <c r="H787" s="6" t="e">
        <f>VLOOKUP(F787,'Customer Info'!A779:I1278,3,0)</f>
        <v>#N/A</v>
      </c>
      <c r="I787" s="6" t="e">
        <f>VLOOKUP(F787,'Customer Info'!A779:I1278,5,0)</f>
        <v>#N/A</v>
      </c>
      <c r="J787" s="2">
        <v>1845</v>
      </c>
      <c r="K787" s="2">
        <v>1742</v>
      </c>
      <c r="L787" s="2">
        <v>4</v>
      </c>
      <c r="M787" s="7">
        <f t="shared" si="48"/>
        <v>6968</v>
      </c>
      <c r="N787" s="7">
        <f t="shared" si="49"/>
        <v>7380</v>
      </c>
      <c r="O787" s="2">
        <v>83</v>
      </c>
      <c r="P787" s="8">
        <f t="shared" si="50"/>
        <v>7463</v>
      </c>
      <c r="Q787" s="8">
        <f t="shared" si="51"/>
        <v>7297</v>
      </c>
      <c r="R787" s="2" t="s">
        <v>28</v>
      </c>
      <c r="S787" s="9">
        <f>VLOOKUP(P787,$T$2:U784,2,1)</f>
        <v>0.05</v>
      </c>
    </row>
    <row r="788" spans="1:19" x14ac:dyDescent="0.25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e">
        <f>VLOOKUP(F788,'Customer Info'!A780:I1279,2,0)</f>
        <v>#N/A</v>
      </c>
      <c r="H788" s="6" t="e">
        <f>VLOOKUP(F788,'Customer Info'!A780:I1279,3,0)</f>
        <v>#N/A</v>
      </c>
      <c r="I788" s="6" t="e">
        <f>VLOOKUP(F788,'Customer Info'!A780:I1279,5,0)</f>
        <v>#N/A</v>
      </c>
      <c r="J788" s="2">
        <v>1556</v>
      </c>
      <c r="K788" s="2">
        <v>1414</v>
      </c>
      <c r="L788" s="2">
        <v>3</v>
      </c>
      <c r="M788" s="7">
        <f t="shared" si="48"/>
        <v>4242</v>
      </c>
      <c r="N788" s="7">
        <f t="shared" si="49"/>
        <v>4668</v>
      </c>
      <c r="O788" s="2">
        <v>90</v>
      </c>
      <c r="P788" s="8">
        <f t="shared" si="50"/>
        <v>4758</v>
      </c>
      <c r="Q788" s="8">
        <f t="shared" si="51"/>
        <v>4578</v>
      </c>
      <c r="R788" s="2" t="s">
        <v>28</v>
      </c>
      <c r="S788" s="9">
        <f>VLOOKUP(P788,$T$2:U785,2,1)</f>
        <v>0.02</v>
      </c>
    </row>
    <row r="789" spans="1:19" x14ac:dyDescent="0.25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e">
        <f>VLOOKUP(F789,'Customer Info'!A781:I1280,2,0)</f>
        <v>#N/A</v>
      </c>
      <c r="H789" s="6" t="e">
        <f>VLOOKUP(F789,'Customer Info'!A781:I1280,3,0)</f>
        <v>#N/A</v>
      </c>
      <c r="I789" s="6" t="e">
        <f>VLOOKUP(F789,'Customer Info'!A781:I1280,5,0)</f>
        <v>#N/A</v>
      </c>
      <c r="J789" s="2">
        <v>474</v>
      </c>
      <c r="K789" s="2">
        <v>443</v>
      </c>
      <c r="L789" s="2">
        <v>5</v>
      </c>
      <c r="M789" s="7">
        <f t="shared" si="48"/>
        <v>2215</v>
      </c>
      <c r="N789" s="7">
        <f t="shared" si="49"/>
        <v>2370</v>
      </c>
      <c r="O789" s="2">
        <v>29</v>
      </c>
      <c r="P789" s="8">
        <f t="shared" si="50"/>
        <v>2399</v>
      </c>
      <c r="Q789" s="8">
        <f t="shared" si="51"/>
        <v>2341</v>
      </c>
      <c r="R789" s="2" t="s">
        <v>50</v>
      </c>
      <c r="S789" s="9">
        <f>VLOOKUP(P789,$T$2:U786,2,1)</f>
        <v>0.02</v>
      </c>
    </row>
    <row r="790" spans="1:19" x14ac:dyDescent="0.25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e">
        <f>VLOOKUP(F790,'Customer Info'!A782:I1281,2,0)</f>
        <v>#N/A</v>
      </c>
      <c r="H790" s="6" t="e">
        <f>VLOOKUP(F790,'Customer Info'!A782:I1281,3,0)</f>
        <v>#N/A</v>
      </c>
      <c r="I790" s="6" t="e">
        <f>VLOOKUP(F790,'Customer Info'!A782:I1281,5,0)</f>
        <v>#N/A</v>
      </c>
      <c r="J790" s="2">
        <v>4704</v>
      </c>
      <c r="K790" s="2">
        <v>4361</v>
      </c>
      <c r="L790" s="2">
        <v>1</v>
      </c>
      <c r="M790" s="7">
        <f t="shared" si="48"/>
        <v>4361</v>
      </c>
      <c r="N790" s="7">
        <f t="shared" si="49"/>
        <v>4704</v>
      </c>
      <c r="O790" s="2">
        <v>48</v>
      </c>
      <c r="P790" s="8">
        <f t="shared" si="50"/>
        <v>4752</v>
      </c>
      <c r="Q790" s="8">
        <f t="shared" si="51"/>
        <v>4656</v>
      </c>
      <c r="R790" s="2" t="s">
        <v>26</v>
      </c>
      <c r="S790" s="9">
        <f>VLOOKUP(P790,$T$2:U787,2,1)</f>
        <v>0.02</v>
      </c>
    </row>
    <row r="791" spans="1:19" x14ac:dyDescent="0.25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e">
        <f>VLOOKUP(F791,'Customer Info'!A783:I1282,2,0)</f>
        <v>#N/A</v>
      </c>
      <c r="H791" s="6" t="e">
        <f>VLOOKUP(F791,'Customer Info'!A783:I1282,3,0)</f>
        <v>#N/A</v>
      </c>
      <c r="I791" s="6" t="e">
        <f>VLOOKUP(F791,'Customer Info'!A783:I1282,5,0)</f>
        <v>#N/A</v>
      </c>
      <c r="J791" s="2">
        <v>8869</v>
      </c>
      <c r="K791" s="2">
        <v>7906</v>
      </c>
      <c r="L791" s="2">
        <v>1</v>
      </c>
      <c r="M791" s="7">
        <f t="shared" si="48"/>
        <v>7906</v>
      </c>
      <c r="N791" s="7">
        <f t="shared" si="49"/>
        <v>8869</v>
      </c>
      <c r="O791" s="2">
        <v>60</v>
      </c>
      <c r="P791" s="8">
        <f t="shared" si="50"/>
        <v>8929</v>
      </c>
      <c r="Q791" s="8">
        <f t="shared" si="51"/>
        <v>8809</v>
      </c>
      <c r="R791" s="2" t="s">
        <v>28</v>
      </c>
      <c r="S791" s="9">
        <f>VLOOKUP(P791,$T$2:U788,2,1)</f>
        <v>0.05</v>
      </c>
    </row>
    <row r="792" spans="1:19" x14ac:dyDescent="0.25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e">
        <f>VLOOKUP(F792,'Customer Info'!A784:I1283,2,0)</f>
        <v>#N/A</v>
      </c>
      <c r="H792" s="6" t="e">
        <f>VLOOKUP(F792,'Customer Info'!A784:I1283,3,0)</f>
        <v>#N/A</v>
      </c>
      <c r="I792" s="6" t="e">
        <f>VLOOKUP(F792,'Customer Info'!A784:I1283,5,0)</f>
        <v>#N/A</v>
      </c>
      <c r="J792" s="2">
        <v>472</v>
      </c>
      <c r="K792" s="2">
        <v>432</v>
      </c>
      <c r="L792" s="2">
        <v>7</v>
      </c>
      <c r="M792" s="7">
        <f t="shared" si="48"/>
        <v>3024</v>
      </c>
      <c r="N792" s="7">
        <f t="shared" si="49"/>
        <v>3304</v>
      </c>
      <c r="O792" s="2">
        <v>91</v>
      </c>
      <c r="P792" s="8">
        <f t="shared" si="50"/>
        <v>3395</v>
      </c>
      <c r="Q792" s="8">
        <f t="shared" si="51"/>
        <v>3213</v>
      </c>
      <c r="R792" s="2" t="s">
        <v>50</v>
      </c>
      <c r="S792" s="9">
        <f>VLOOKUP(P792,$T$2:U789,2,1)</f>
        <v>0.02</v>
      </c>
    </row>
    <row r="793" spans="1:19" x14ac:dyDescent="0.25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e">
        <f>VLOOKUP(F793,'Customer Info'!A785:I1284,2,0)</f>
        <v>#N/A</v>
      </c>
      <c r="H793" s="6" t="e">
        <f>VLOOKUP(F793,'Customer Info'!A785:I1284,3,0)</f>
        <v>#N/A</v>
      </c>
      <c r="I793" s="6" t="e">
        <f>VLOOKUP(F793,'Customer Info'!A785:I1284,5,0)</f>
        <v>#N/A</v>
      </c>
      <c r="J793" s="2">
        <v>4798</v>
      </c>
      <c r="K793" s="2">
        <v>4448</v>
      </c>
      <c r="L793" s="2">
        <v>5</v>
      </c>
      <c r="M793" s="7">
        <f t="shared" si="48"/>
        <v>22240</v>
      </c>
      <c r="N793" s="7">
        <f t="shared" si="49"/>
        <v>23990</v>
      </c>
      <c r="O793" s="2">
        <v>64</v>
      </c>
      <c r="P793" s="8">
        <f t="shared" si="50"/>
        <v>24054</v>
      </c>
      <c r="Q793" s="8">
        <f t="shared" si="51"/>
        <v>23926</v>
      </c>
      <c r="R793" s="2" t="s">
        <v>50</v>
      </c>
      <c r="S793" s="9">
        <f>VLOOKUP(P793,$T$2:U790,2,1)</f>
        <v>0.05</v>
      </c>
    </row>
    <row r="794" spans="1:19" x14ac:dyDescent="0.25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e">
        <f>VLOOKUP(F794,'Customer Info'!A786:I1285,2,0)</f>
        <v>#N/A</v>
      </c>
      <c r="H794" s="6" t="e">
        <f>VLOOKUP(F794,'Customer Info'!A786:I1285,3,0)</f>
        <v>#N/A</v>
      </c>
      <c r="I794" s="6" t="e">
        <f>VLOOKUP(F794,'Customer Info'!A786:I1285,5,0)</f>
        <v>#N/A</v>
      </c>
      <c r="J794" s="2">
        <v>4737</v>
      </c>
      <c r="K794" s="2">
        <v>4473</v>
      </c>
      <c r="L794" s="2">
        <v>4</v>
      </c>
      <c r="M794" s="7">
        <f t="shared" si="48"/>
        <v>17892</v>
      </c>
      <c r="N794" s="7">
        <f t="shared" si="49"/>
        <v>18948</v>
      </c>
      <c r="O794" s="2">
        <v>34</v>
      </c>
      <c r="P794" s="8">
        <f t="shared" si="50"/>
        <v>18982</v>
      </c>
      <c r="Q794" s="8">
        <f t="shared" si="51"/>
        <v>18914</v>
      </c>
      <c r="R794" s="2" t="s">
        <v>28</v>
      </c>
      <c r="S794" s="9">
        <f>VLOOKUP(P794,$T$2:U791,2,1)</f>
        <v>0.05</v>
      </c>
    </row>
    <row r="795" spans="1:19" x14ac:dyDescent="0.25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e">
        <f>VLOOKUP(F795,'Customer Info'!A787:I1286,2,0)</f>
        <v>#N/A</v>
      </c>
      <c r="H795" s="6" t="e">
        <f>VLOOKUP(F795,'Customer Info'!A787:I1286,3,0)</f>
        <v>#N/A</v>
      </c>
      <c r="I795" s="6" t="e">
        <f>VLOOKUP(F795,'Customer Info'!A787:I1286,5,0)</f>
        <v>#N/A</v>
      </c>
      <c r="J795" s="2">
        <v>7212</v>
      </c>
      <c r="K795" s="2">
        <v>6737</v>
      </c>
      <c r="L795" s="2">
        <v>5</v>
      </c>
      <c r="M795" s="7">
        <f t="shared" si="48"/>
        <v>33685</v>
      </c>
      <c r="N795" s="7">
        <f t="shared" si="49"/>
        <v>36060</v>
      </c>
      <c r="O795" s="2">
        <v>93</v>
      </c>
      <c r="P795" s="8">
        <f t="shared" si="50"/>
        <v>36153</v>
      </c>
      <c r="Q795" s="8">
        <f t="shared" si="51"/>
        <v>35967</v>
      </c>
      <c r="R795" s="2" t="s">
        <v>26</v>
      </c>
      <c r="S795" s="9">
        <f>VLOOKUP(P795,$T$2:U792,2,1)</f>
        <v>7.0000000000000007E-2</v>
      </c>
    </row>
    <row r="796" spans="1:19" x14ac:dyDescent="0.25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e">
        <f>VLOOKUP(F796,'Customer Info'!A788:I1287,2,0)</f>
        <v>#N/A</v>
      </c>
      <c r="H796" s="6" t="e">
        <f>VLOOKUP(F796,'Customer Info'!A788:I1287,3,0)</f>
        <v>#N/A</v>
      </c>
      <c r="I796" s="6" t="e">
        <f>VLOOKUP(F796,'Customer Info'!A788:I1287,5,0)</f>
        <v>#N/A</v>
      </c>
      <c r="J796" s="2">
        <v>131</v>
      </c>
      <c r="K796" s="2">
        <v>124</v>
      </c>
      <c r="L796" s="2">
        <v>3</v>
      </c>
      <c r="M796" s="7">
        <f t="shared" si="48"/>
        <v>372</v>
      </c>
      <c r="N796" s="7">
        <f t="shared" si="49"/>
        <v>393</v>
      </c>
      <c r="O796" s="2">
        <v>30</v>
      </c>
      <c r="P796" s="8">
        <f t="shared" si="50"/>
        <v>423</v>
      </c>
      <c r="Q796" s="8">
        <f t="shared" si="51"/>
        <v>363</v>
      </c>
      <c r="R796" s="2" t="s">
        <v>28</v>
      </c>
      <c r="S796" s="9">
        <f>VLOOKUP(P796,$T$2:U793,2,1)</f>
        <v>0.02</v>
      </c>
    </row>
    <row r="797" spans="1:19" x14ac:dyDescent="0.25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e">
        <f>VLOOKUP(F797,'Customer Info'!A789:I1288,2,0)</f>
        <v>#N/A</v>
      </c>
      <c r="H797" s="6" t="e">
        <f>VLOOKUP(F797,'Customer Info'!A789:I1288,3,0)</f>
        <v>#N/A</v>
      </c>
      <c r="I797" s="6" t="e">
        <f>VLOOKUP(F797,'Customer Info'!A789:I1288,5,0)</f>
        <v>#N/A</v>
      </c>
      <c r="J797" s="2">
        <v>7001</v>
      </c>
      <c r="K797" s="2">
        <v>6476</v>
      </c>
      <c r="L797" s="2">
        <v>8</v>
      </c>
      <c r="M797" s="7">
        <f t="shared" si="48"/>
        <v>51808</v>
      </c>
      <c r="N797" s="7">
        <f t="shared" si="49"/>
        <v>56008</v>
      </c>
      <c r="O797" s="2">
        <v>34</v>
      </c>
      <c r="P797" s="8">
        <f t="shared" si="50"/>
        <v>56042</v>
      </c>
      <c r="Q797" s="8">
        <f t="shared" si="51"/>
        <v>55974</v>
      </c>
      <c r="R797" s="2" t="s">
        <v>28</v>
      </c>
      <c r="S797" s="9">
        <f>VLOOKUP(P797,$T$2:U794,2,1)</f>
        <v>0.09</v>
      </c>
    </row>
    <row r="798" spans="1:19" x14ac:dyDescent="0.25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e">
        <f>VLOOKUP(F798,'Customer Info'!A790:I1289,2,0)</f>
        <v>#N/A</v>
      </c>
      <c r="H798" s="6" t="e">
        <f>VLOOKUP(F798,'Customer Info'!A790:I1289,3,0)</f>
        <v>#N/A</v>
      </c>
      <c r="I798" s="6" t="e">
        <f>VLOOKUP(F798,'Customer Info'!A790:I1289,5,0)</f>
        <v>#N/A</v>
      </c>
      <c r="J798" s="2">
        <v>9306</v>
      </c>
      <c r="K798" s="2">
        <v>8461</v>
      </c>
      <c r="L798" s="2">
        <v>1</v>
      </c>
      <c r="M798" s="7">
        <f t="shared" si="48"/>
        <v>8461</v>
      </c>
      <c r="N798" s="7">
        <f t="shared" si="49"/>
        <v>9306</v>
      </c>
      <c r="O798" s="2">
        <v>85</v>
      </c>
      <c r="P798" s="8">
        <f t="shared" si="50"/>
        <v>9391</v>
      </c>
      <c r="Q798" s="8">
        <f t="shared" si="51"/>
        <v>9221</v>
      </c>
      <c r="R798" s="2" t="s">
        <v>28</v>
      </c>
      <c r="S798" s="9">
        <f>VLOOKUP(P798,$T$2:U795,2,1)</f>
        <v>0.05</v>
      </c>
    </row>
    <row r="799" spans="1:19" x14ac:dyDescent="0.25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e">
        <f>VLOOKUP(F799,'Customer Info'!A791:I1290,2,0)</f>
        <v>#N/A</v>
      </c>
      <c r="H799" s="6" t="e">
        <f>VLOOKUP(F799,'Customer Info'!A791:I1290,3,0)</f>
        <v>#N/A</v>
      </c>
      <c r="I799" s="6" t="e">
        <f>VLOOKUP(F799,'Customer Info'!A791:I1290,5,0)</f>
        <v>#N/A</v>
      </c>
      <c r="J799" s="2">
        <v>1717</v>
      </c>
      <c r="K799" s="2">
        <v>1652</v>
      </c>
      <c r="L799" s="2">
        <v>3</v>
      </c>
      <c r="M799" s="7">
        <f t="shared" si="48"/>
        <v>4956</v>
      </c>
      <c r="N799" s="7">
        <f t="shared" si="49"/>
        <v>5151</v>
      </c>
      <c r="O799" s="2">
        <v>69</v>
      </c>
      <c r="P799" s="8">
        <f t="shared" si="50"/>
        <v>5220</v>
      </c>
      <c r="Q799" s="8">
        <f t="shared" si="51"/>
        <v>5082</v>
      </c>
      <c r="R799" s="2" t="s">
        <v>28</v>
      </c>
      <c r="S799" s="9">
        <f>VLOOKUP(P799,$T$2:U796,2,1)</f>
        <v>0.05</v>
      </c>
    </row>
    <row r="800" spans="1:19" x14ac:dyDescent="0.25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e">
        <f>VLOOKUP(F800,'Customer Info'!A792:I1291,2,0)</f>
        <v>#N/A</v>
      </c>
      <c r="H800" s="6" t="e">
        <f>VLOOKUP(F800,'Customer Info'!A792:I1291,3,0)</f>
        <v>#N/A</v>
      </c>
      <c r="I800" s="6" t="e">
        <f>VLOOKUP(F800,'Customer Info'!A792:I1291,5,0)</f>
        <v>#N/A</v>
      </c>
      <c r="J800" s="2">
        <v>97</v>
      </c>
      <c r="K800" s="2">
        <v>92</v>
      </c>
      <c r="L800" s="2">
        <v>6</v>
      </c>
      <c r="M800" s="7">
        <f t="shared" si="48"/>
        <v>552</v>
      </c>
      <c r="N800" s="7">
        <f t="shared" si="49"/>
        <v>582</v>
      </c>
      <c r="O800" s="2">
        <v>10</v>
      </c>
      <c r="P800" s="8">
        <f t="shared" si="50"/>
        <v>592</v>
      </c>
      <c r="Q800" s="8">
        <f t="shared" si="51"/>
        <v>572</v>
      </c>
      <c r="R800" s="2" t="s">
        <v>50</v>
      </c>
      <c r="S800" s="9">
        <f>VLOOKUP(P800,$T$2:U797,2,1)</f>
        <v>0.02</v>
      </c>
    </row>
    <row r="801" spans="1:19" x14ac:dyDescent="0.25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e">
        <f>VLOOKUP(F801,'Customer Info'!A793:I1292,2,0)</f>
        <v>#N/A</v>
      </c>
      <c r="H801" s="6" t="e">
        <f>VLOOKUP(F801,'Customer Info'!A793:I1292,3,0)</f>
        <v>#N/A</v>
      </c>
      <c r="I801" s="6" t="e">
        <f>VLOOKUP(F801,'Customer Info'!A793:I1292,5,0)</f>
        <v>#N/A</v>
      </c>
      <c r="J801" s="2">
        <v>2551</v>
      </c>
      <c r="K801" s="2">
        <v>2456</v>
      </c>
      <c r="L801" s="2">
        <v>2</v>
      </c>
      <c r="M801" s="7">
        <f t="shared" si="48"/>
        <v>4912</v>
      </c>
      <c r="N801" s="7">
        <f t="shared" si="49"/>
        <v>5102</v>
      </c>
      <c r="O801" s="2">
        <v>86</v>
      </c>
      <c r="P801" s="8">
        <f t="shared" si="50"/>
        <v>5188</v>
      </c>
      <c r="Q801" s="8">
        <f t="shared" si="51"/>
        <v>5016</v>
      </c>
      <c r="R801" s="2" t="s">
        <v>28</v>
      </c>
      <c r="S801" s="9">
        <f>VLOOKUP(P801,$T$2:U798,2,1)</f>
        <v>0.05</v>
      </c>
    </row>
    <row r="802" spans="1:19" x14ac:dyDescent="0.25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e">
        <f>VLOOKUP(F802,'Customer Info'!A794:I1293,2,0)</f>
        <v>#N/A</v>
      </c>
      <c r="H802" s="6" t="e">
        <f>VLOOKUP(F802,'Customer Info'!A794:I1293,3,0)</f>
        <v>#N/A</v>
      </c>
      <c r="I802" s="6" t="e">
        <f>VLOOKUP(F802,'Customer Info'!A794:I1293,5,0)</f>
        <v>#N/A</v>
      </c>
      <c r="J802" s="2">
        <v>992</v>
      </c>
      <c r="K802" s="2">
        <v>928</v>
      </c>
      <c r="L802" s="2">
        <v>1</v>
      </c>
      <c r="M802" s="7">
        <f t="shared" si="48"/>
        <v>928</v>
      </c>
      <c r="N802" s="7">
        <f t="shared" si="49"/>
        <v>992</v>
      </c>
      <c r="O802" s="2">
        <v>77</v>
      </c>
      <c r="P802" s="8">
        <f t="shared" si="50"/>
        <v>1069</v>
      </c>
      <c r="Q802" s="8">
        <f t="shared" si="51"/>
        <v>915</v>
      </c>
      <c r="R802" s="2" t="s">
        <v>28</v>
      </c>
      <c r="S802" s="9">
        <f>VLOOKUP(P802,$T$2:U799,2,1)</f>
        <v>0.02</v>
      </c>
    </row>
    <row r="803" spans="1:19" x14ac:dyDescent="0.25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e">
        <f>VLOOKUP(F803,'Customer Info'!A795:I1294,2,0)</f>
        <v>#N/A</v>
      </c>
      <c r="H803" s="6" t="e">
        <f>VLOOKUP(F803,'Customer Info'!A795:I1294,3,0)</f>
        <v>#N/A</v>
      </c>
      <c r="I803" s="6" t="e">
        <f>VLOOKUP(F803,'Customer Info'!A795:I1294,5,0)</f>
        <v>#N/A</v>
      </c>
      <c r="J803" s="2">
        <v>7065</v>
      </c>
      <c r="K803" s="2">
        <v>6545</v>
      </c>
      <c r="L803" s="2">
        <v>1</v>
      </c>
      <c r="M803" s="7">
        <f t="shared" si="48"/>
        <v>6545</v>
      </c>
      <c r="N803" s="7">
        <f t="shared" si="49"/>
        <v>7065</v>
      </c>
      <c r="O803" s="2">
        <v>63</v>
      </c>
      <c r="P803" s="8">
        <f t="shared" si="50"/>
        <v>7128</v>
      </c>
      <c r="Q803" s="8">
        <f t="shared" si="51"/>
        <v>7002</v>
      </c>
      <c r="R803" s="2" t="s">
        <v>26</v>
      </c>
      <c r="S803" s="9">
        <f>VLOOKUP(P803,$T$2:U800,2,1)</f>
        <v>0.05</v>
      </c>
    </row>
    <row r="804" spans="1:19" x14ac:dyDescent="0.25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e">
        <f>VLOOKUP(F804,'Customer Info'!A796:I1295,2,0)</f>
        <v>#N/A</v>
      </c>
      <c r="H804" s="6" t="e">
        <f>VLOOKUP(F804,'Customer Info'!A796:I1295,3,0)</f>
        <v>#N/A</v>
      </c>
      <c r="I804" s="6" t="e">
        <f>VLOOKUP(F804,'Customer Info'!A796:I1295,5,0)</f>
        <v>#N/A</v>
      </c>
      <c r="J804" s="2">
        <v>2155</v>
      </c>
      <c r="K804" s="2">
        <v>2014</v>
      </c>
      <c r="L804" s="2">
        <v>3</v>
      </c>
      <c r="M804" s="7">
        <f t="shared" si="48"/>
        <v>6042</v>
      </c>
      <c r="N804" s="7">
        <f t="shared" si="49"/>
        <v>6465</v>
      </c>
      <c r="O804" s="2">
        <v>62</v>
      </c>
      <c r="P804" s="8">
        <f t="shared" si="50"/>
        <v>6527</v>
      </c>
      <c r="Q804" s="8">
        <f t="shared" si="51"/>
        <v>6403</v>
      </c>
      <c r="R804" s="2" t="s">
        <v>28</v>
      </c>
      <c r="S804" s="9">
        <f>VLOOKUP(P804,$T$2:U801,2,1)</f>
        <v>0.05</v>
      </c>
    </row>
    <row r="805" spans="1:19" x14ac:dyDescent="0.25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e">
        <f>VLOOKUP(F805,'Customer Info'!A797:I1296,2,0)</f>
        <v>#N/A</v>
      </c>
      <c r="H805" s="6" t="e">
        <f>VLOOKUP(F805,'Customer Info'!A797:I1296,3,0)</f>
        <v>#N/A</v>
      </c>
      <c r="I805" s="6" t="e">
        <f>VLOOKUP(F805,'Customer Info'!A797:I1296,5,0)</f>
        <v>#N/A</v>
      </c>
      <c r="J805" s="2">
        <v>130</v>
      </c>
      <c r="K805" s="2">
        <v>122</v>
      </c>
      <c r="L805" s="2">
        <v>3</v>
      </c>
      <c r="M805" s="7">
        <f t="shared" si="48"/>
        <v>366</v>
      </c>
      <c r="N805" s="7">
        <f t="shared" si="49"/>
        <v>390</v>
      </c>
      <c r="O805" s="2">
        <v>30</v>
      </c>
      <c r="P805" s="8">
        <f t="shared" si="50"/>
        <v>420</v>
      </c>
      <c r="Q805" s="8">
        <f t="shared" si="51"/>
        <v>360</v>
      </c>
      <c r="R805" s="2" t="s">
        <v>28</v>
      </c>
      <c r="S805" s="9">
        <f>VLOOKUP(P805,$T$2:U802,2,1)</f>
        <v>0.02</v>
      </c>
    </row>
    <row r="806" spans="1:19" x14ac:dyDescent="0.25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e">
        <f>VLOOKUP(F806,'Customer Info'!A798:I1297,2,0)</f>
        <v>#N/A</v>
      </c>
      <c r="H806" s="6" t="e">
        <f>VLOOKUP(F806,'Customer Info'!A798:I1297,3,0)</f>
        <v>#N/A</v>
      </c>
      <c r="I806" s="6" t="e">
        <f>VLOOKUP(F806,'Customer Info'!A798:I1297,5,0)</f>
        <v>#N/A</v>
      </c>
      <c r="J806" s="2">
        <v>63</v>
      </c>
      <c r="K806" s="2">
        <v>59</v>
      </c>
      <c r="L806" s="2">
        <v>7</v>
      </c>
      <c r="M806" s="7">
        <f t="shared" si="48"/>
        <v>413</v>
      </c>
      <c r="N806" s="7">
        <f t="shared" si="49"/>
        <v>441</v>
      </c>
      <c r="O806" s="2">
        <v>10</v>
      </c>
      <c r="P806" s="8">
        <f t="shared" si="50"/>
        <v>451</v>
      </c>
      <c r="Q806" s="8">
        <f t="shared" si="51"/>
        <v>431</v>
      </c>
      <c r="R806" s="2" t="s">
        <v>28</v>
      </c>
      <c r="S806" s="9">
        <f>VLOOKUP(P806,$T$2:U803,2,1)</f>
        <v>0.02</v>
      </c>
    </row>
    <row r="807" spans="1:19" x14ac:dyDescent="0.25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e">
        <f>VLOOKUP(F807,'Customer Info'!A799:I1298,2,0)</f>
        <v>#N/A</v>
      </c>
      <c r="H807" s="6" t="e">
        <f>VLOOKUP(F807,'Customer Info'!A799:I1298,3,0)</f>
        <v>#N/A</v>
      </c>
      <c r="I807" s="6" t="e">
        <f>VLOOKUP(F807,'Customer Info'!A799:I1298,5,0)</f>
        <v>#N/A</v>
      </c>
      <c r="J807" s="2">
        <v>679</v>
      </c>
      <c r="K807" s="2">
        <v>654</v>
      </c>
      <c r="L807" s="2">
        <v>1</v>
      </c>
      <c r="M807" s="7">
        <f t="shared" si="48"/>
        <v>654</v>
      </c>
      <c r="N807" s="7">
        <f t="shared" si="49"/>
        <v>679</v>
      </c>
      <c r="O807" s="2">
        <v>85</v>
      </c>
      <c r="P807" s="8">
        <f t="shared" si="50"/>
        <v>764</v>
      </c>
      <c r="Q807" s="8">
        <f t="shared" si="51"/>
        <v>594</v>
      </c>
      <c r="R807" s="2" t="s">
        <v>26</v>
      </c>
      <c r="S807" s="9">
        <f>VLOOKUP(P807,$T$2:U804,2,1)</f>
        <v>0.02</v>
      </c>
    </row>
    <row r="808" spans="1:19" x14ac:dyDescent="0.25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e">
        <f>VLOOKUP(F808,'Customer Info'!A800:I1299,2,0)</f>
        <v>#N/A</v>
      </c>
      <c r="H808" s="6" t="e">
        <f>VLOOKUP(F808,'Customer Info'!A800:I1299,3,0)</f>
        <v>#N/A</v>
      </c>
      <c r="I808" s="6" t="e">
        <f>VLOOKUP(F808,'Customer Info'!A800:I1299,5,0)</f>
        <v>#N/A</v>
      </c>
      <c r="J808" s="2">
        <v>887</v>
      </c>
      <c r="K808" s="2">
        <v>814</v>
      </c>
      <c r="L808" s="2">
        <v>4</v>
      </c>
      <c r="M808" s="7">
        <f t="shared" si="48"/>
        <v>3256</v>
      </c>
      <c r="N808" s="7">
        <f t="shared" si="49"/>
        <v>3548</v>
      </c>
      <c r="O808" s="2">
        <v>91</v>
      </c>
      <c r="P808" s="8">
        <f t="shared" si="50"/>
        <v>3639</v>
      </c>
      <c r="Q808" s="8">
        <f t="shared" si="51"/>
        <v>3457</v>
      </c>
      <c r="R808" s="2" t="s">
        <v>56</v>
      </c>
      <c r="S808" s="9">
        <f>VLOOKUP(P808,$T$2:U805,2,1)</f>
        <v>0.02</v>
      </c>
    </row>
    <row r="809" spans="1:19" x14ac:dyDescent="0.25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e">
        <f>VLOOKUP(F809,'Customer Info'!A801:I1300,2,0)</f>
        <v>#N/A</v>
      </c>
      <c r="H809" s="6" t="e">
        <f>VLOOKUP(F809,'Customer Info'!A801:I1300,3,0)</f>
        <v>#N/A</v>
      </c>
      <c r="I809" s="6" t="e">
        <f>VLOOKUP(F809,'Customer Info'!A801:I1300,5,0)</f>
        <v>#N/A</v>
      </c>
      <c r="J809" s="2">
        <v>1700</v>
      </c>
      <c r="K809" s="2">
        <v>1620</v>
      </c>
      <c r="L809" s="2">
        <v>6</v>
      </c>
      <c r="M809" s="7">
        <f t="shared" si="48"/>
        <v>9720</v>
      </c>
      <c r="N809" s="7">
        <f t="shared" si="49"/>
        <v>10200</v>
      </c>
      <c r="O809" s="2">
        <v>22</v>
      </c>
      <c r="P809" s="8">
        <f t="shared" si="50"/>
        <v>10222</v>
      </c>
      <c r="Q809" s="8">
        <f t="shared" si="51"/>
        <v>10178</v>
      </c>
      <c r="R809" s="2" t="s">
        <v>50</v>
      </c>
      <c r="S809" s="9">
        <f>VLOOKUP(P809,$T$2:U806,2,1)</f>
        <v>0.05</v>
      </c>
    </row>
    <row r="810" spans="1:19" x14ac:dyDescent="0.25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e">
        <f>VLOOKUP(F810,'Customer Info'!A802:I1301,2,0)</f>
        <v>#N/A</v>
      </c>
      <c r="H810" s="6" t="e">
        <f>VLOOKUP(F810,'Customer Info'!A802:I1301,3,0)</f>
        <v>#N/A</v>
      </c>
      <c r="I810" s="6" t="e">
        <f>VLOOKUP(F810,'Customer Info'!A802:I1301,5,0)</f>
        <v>#N/A</v>
      </c>
      <c r="J810" s="2">
        <v>4577</v>
      </c>
      <c r="K810" s="2">
        <v>4280</v>
      </c>
      <c r="L810" s="2">
        <v>4</v>
      </c>
      <c r="M810" s="7">
        <f t="shared" si="48"/>
        <v>17120</v>
      </c>
      <c r="N810" s="7">
        <f t="shared" si="49"/>
        <v>18308</v>
      </c>
      <c r="O810" s="2">
        <v>42</v>
      </c>
      <c r="P810" s="8">
        <f t="shared" si="50"/>
        <v>18350</v>
      </c>
      <c r="Q810" s="8">
        <f t="shared" si="51"/>
        <v>18266</v>
      </c>
      <c r="R810" s="2" t="s">
        <v>50</v>
      </c>
      <c r="S810" s="9">
        <f>VLOOKUP(P810,$T$2:U807,2,1)</f>
        <v>0.05</v>
      </c>
    </row>
    <row r="811" spans="1:19" x14ac:dyDescent="0.25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e">
        <f>VLOOKUP(F811,'Customer Info'!A803:I1302,2,0)</f>
        <v>#N/A</v>
      </c>
      <c r="H811" s="6" t="e">
        <f>VLOOKUP(F811,'Customer Info'!A803:I1302,3,0)</f>
        <v>#N/A</v>
      </c>
      <c r="I811" s="6" t="e">
        <f>VLOOKUP(F811,'Customer Info'!A803:I1302,5,0)</f>
        <v>#N/A</v>
      </c>
      <c r="J811" s="2">
        <v>1568</v>
      </c>
      <c r="K811" s="2">
        <v>1495</v>
      </c>
      <c r="L811" s="2">
        <v>2</v>
      </c>
      <c r="M811" s="7">
        <f t="shared" si="48"/>
        <v>2990</v>
      </c>
      <c r="N811" s="7">
        <f t="shared" si="49"/>
        <v>3136</v>
      </c>
      <c r="O811" s="2">
        <v>75</v>
      </c>
      <c r="P811" s="8">
        <f t="shared" si="50"/>
        <v>3211</v>
      </c>
      <c r="Q811" s="8">
        <f t="shared" si="51"/>
        <v>3061</v>
      </c>
      <c r="R811" s="2" t="s">
        <v>28</v>
      </c>
      <c r="S811" s="9">
        <f>VLOOKUP(P811,$T$2:U808,2,1)</f>
        <v>0.02</v>
      </c>
    </row>
    <row r="812" spans="1:19" x14ac:dyDescent="0.25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e">
        <f>VLOOKUP(F812,'Customer Info'!A804:I1303,2,0)</f>
        <v>#N/A</v>
      </c>
      <c r="H812" s="6" t="e">
        <f>VLOOKUP(F812,'Customer Info'!A804:I1303,3,0)</f>
        <v>#N/A</v>
      </c>
      <c r="I812" s="6" t="e">
        <f>VLOOKUP(F812,'Customer Info'!A804:I1303,5,0)</f>
        <v>#N/A</v>
      </c>
      <c r="J812" s="2">
        <v>142</v>
      </c>
      <c r="K812" s="2">
        <v>134</v>
      </c>
      <c r="L812" s="2">
        <v>4</v>
      </c>
      <c r="M812" s="7">
        <f t="shared" si="48"/>
        <v>536</v>
      </c>
      <c r="N812" s="7">
        <f t="shared" si="49"/>
        <v>568</v>
      </c>
      <c r="O812" s="2">
        <v>30</v>
      </c>
      <c r="P812" s="8">
        <f t="shared" si="50"/>
        <v>598</v>
      </c>
      <c r="Q812" s="8">
        <f t="shared" si="51"/>
        <v>538</v>
      </c>
      <c r="R812" s="2" t="s">
        <v>50</v>
      </c>
      <c r="S812" s="9">
        <f>VLOOKUP(P812,$T$2:U809,2,1)</f>
        <v>0.02</v>
      </c>
    </row>
    <row r="813" spans="1:19" x14ac:dyDescent="0.25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e">
        <f>VLOOKUP(F813,'Customer Info'!A805:I1304,2,0)</f>
        <v>#N/A</v>
      </c>
      <c r="H813" s="6" t="e">
        <f>VLOOKUP(F813,'Customer Info'!A805:I1304,3,0)</f>
        <v>#N/A</v>
      </c>
      <c r="I813" s="6" t="e">
        <f>VLOOKUP(F813,'Customer Info'!A805:I1304,5,0)</f>
        <v>#N/A</v>
      </c>
      <c r="J813" s="2">
        <v>1169</v>
      </c>
      <c r="K813" s="2">
        <v>1072</v>
      </c>
      <c r="L813" s="2">
        <v>1</v>
      </c>
      <c r="M813" s="7">
        <f t="shared" si="48"/>
        <v>1072</v>
      </c>
      <c r="N813" s="7">
        <f t="shared" si="49"/>
        <v>1169</v>
      </c>
      <c r="O813" s="2">
        <v>50</v>
      </c>
      <c r="P813" s="8">
        <f t="shared" si="50"/>
        <v>1219</v>
      </c>
      <c r="Q813" s="8">
        <f t="shared" si="51"/>
        <v>1119</v>
      </c>
      <c r="R813" s="2" t="s">
        <v>28</v>
      </c>
      <c r="S813" s="9">
        <f>VLOOKUP(P813,$T$2:U810,2,1)</f>
        <v>0.02</v>
      </c>
    </row>
    <row r="814" spans="1:19" x14ac:dyDescent="0.25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e">
        <f>VLOOKUP(F814,'Customer Info'!A806:I1305,2,0)</f>
        <v>#N/A</v>
      </c>
      <c r="H814" s="6" t="e">
        <f>VLOOKUP(F814,'Customer Info'!A806:I1305,3,0)</f>
        <v>#N/A</v>
      </c>
      <c r="I814" s="6" t="e">
        <f>VLOOKUP(F814,'Customer Info'!A806:I1305,5,0)</f>
        <v>#N/A</v>
      </c>
      <c r="J814" s="2">
        <v>1901</v>
      </c>
      <c r="K814" s="2">
        <v>1810</v>
      </c>
      <c r="L814" s="2">
        <v>3</v>
      </c>
      <c r="M814" s="7">
        <f t="shared" si="48"/>
        <v>5430</v>
      </c>
      <c r="N814" s="7">
        <f t="shared" si="49"/>
        <v>5703</v>
      </c>
      <c r="O814" s="2">
        <v>60</v>
      </c>
      <c r="P814" s="8">
        <f t="shared" si="50"/>
        <v>5763</v>
      </c>
      <c r="Q814" s="8">
        <f t="shared" si="51"/>
        <v>5643</v>
      </c>
      <c r="R814" s="2" t="s">
        <v>50</v>
      </c>
      <c r="S814" s="9">
        <f>VLOOKUP(P814,$T$2:U811,2,1)</f>
        <v>0.05</v>
      </c>
    </row>
    <row r="815" spans="1:19" x14ac:dyDescent="0.25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e">
        <f>VLOOKUP(F815,'Customer Info'!A807:I1306,2,0)</f>
        <v>#N/A</v>
      </c>
      <c r="H815" s="6" t="e">
        <f>VLOOKUP(F815,'Customer Info'!A807:I1306,3,0)</f>
        <v>#N/A</v>
      </c>
      <c r="I815" s="6" t="e">
        <f>VLOOKUP(F815,'Customer Info'!A807:I1306,5,0)</f>
        <v>#N/A</v>
      </c>
      <c r="J815" s="2">
        <v>2697</v>
      </c>
      <c r="K815" s="2">
        <v>2498</v>
      </c>
      <c r="L815" s="2">
        <v>8</v>
      </c>
      <c r="M815" s="7">
        <f t="shared" si="48"/>
        <v>19984</v>
      </c>
      <c r="N815" s="7">
        <f t="shared" si="49"/>
        <v>21576</v>
      </c>
      <c r="O815" s="2">
        <v>24</v>
      </c>
      <c r="P815" s="8">
        <f t="shared" si="50"/>
        <v>21600</v>
      </c>
      <c r="Q815" s="8">
        <f t="shared" si="51"/>
        <v>21552</v>
      </c>
      <c r="R815" s="2" t="s">
        <v>50</v>
      </c>
      <c r="S815" s="9">
        <f>VLOOKUP(P815,$T$2:U812,2,1)</f>
        <v>0.05</v>
      </c>
    </row>
    <row r="816" spans="1:19" x14ac:dyDescent="0.25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e">
        <f>VLOOKUP(F816,'Customer Info'!A808:I1307,2,0)</f>
        <v>#N/A</v>
      </c>
      <c r="H816" s="6" t="e">
        <f>VLOOKUP(F816,'Customer Info'!A808:I1307,3,0)</f>
        <v>#N/A</v>
      </c>
      <c r="I816" s="6" t="e">
        <f>VLOOKUP(F816,'Customer Info'!A808:I1307,5,0)</f>
        <v>#N/A</v>
      </c>
      <c r="J816" s="2">
        <v>1878</v>
      </c>
      <c r="K816" s="2">
        <v>1790</v>
      </c>
      <c r="L816" s="2">
        <v>6</v>
      </c>
      <c r="M816" s="7">
        <f t="shared" si="48"/>
        <v>10740</v>
      </c>
      <c r="N816" s="7">
        <f t="shared" si="49"/>
        <v>11268</v>
      </c>
      <c r="O816" s="2">
        <v>67</v>
      </c>
      <c r="P816" s="8">
        <f t="shared" si="50"/>
        <v>11335</v>
      </c>
      <c r="Q816" s="8">
        <f t="shared" si="51"/>
        <v>11201</v>
      </c>
      <c r="R816" s="2" t="s">
        <v>28</v>
      </c>
      <c r="S816" s="9">
        <f>VLOOKUP(P816,$T$2:U813,2,1)</f>
        <v>0.05</v>
      </c>
    </row>
    <row r="817" spans="1:19" x14ac:dyDescent="0.25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e">
        <f>VLOOKUP(F817,'Customer Info'!A809:I1308,2,0)</f>
        <v>#N/A</v>
      </c>
      <c r="H817" s="6" t="e">
        <f>VLOOKUP(F817,'Customer Info'!A809:I1308,3,0)</f>
        <v>#N/A</v>
      </c>
      <c r="I817" s="6" t="e">
        <f>VLOOKUP(F817,'Customer Info'!A809:I1308,5,0)</f>
        <v>#N/A</v>
      </c>
      <c r="J817" s="2">
        <v>60</v>
      </c>
      <c r="K817" s="2">
        <v>58</v>
      </c>
      <c r="L817" s="2">
        <v>9</v>
      </c>
      <c r="M817" s="7">
        <f t="shared" si="48"/>
        <v>522</v>
      </c>
      <c r="N817" s="7">
        <f t="shared" si="49"/>
        <v>540</v>
      </c>
      <c r="O817" s="2">
        <v>10</v>
      </c>
      <c r="P817" s="8">
        <f t="shared" si="50"/>
        <v>550</v>
      </c>
      <c r="Q817" s="8">
        <f t="shared" si="51"/>
        <v>530</v>
      </c>
      <c r="R817" s="2" t="s">
        <v>28</v>
      </c>
      <c r="S817" s="9">
        <f>VLOOKUP(P817,$T$2:U814,2,1)</f>
        <v>0.02</v>
      </c>
    </row>
    <row r="818" spans="1:19" x14ac:dyDescent="0.25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e">
        <f>VLOOKUP(F818,'Customer Info'!A810:I1309,2,0)</f>
        <v>#N/A</v>
      </c>
      <c r="H818" s="6" t="e">
        <f>VLOOKUP(F818,'Customer Info'!A810:I1309,3,0)</f>
        <v>#N/A</v>
      </c>
      <c r="I818" s="6" t="e">
        <f>VLOOKUP(F818,'Customer Info'!A810:I1309,5,0)</f>
        <v>#N/A</v>
      </c>
      <c r="J818" s="2">
        <v>2365</v>
      </c>
      <c r="K818" s="2">
        <v>2232</v>
      </c>
      <c r="L818" s="2">
        <v>1</v>
      </c>
      <c r="M818" s="7">
        <f t="shared" si="48"/>
        <v>2232</v>
      </c>
      <c r="N818" s="7">
        <f t="shared" si="49"/>
        <v>2365</v>
      </c>
      <c r="O818" s="2">
        <v>91</v>
      </c>
      <c r="P818" s="8">
        <f t="shared" si="50"/>
        <v>2456</v>
      </c>
      <c r="Q818" s="8">
        <f t="shared" si="51"/>
        <v>2274</v>
      </c>
      <c r="R818" s="2" t="s">
        <v>28</v>
      </c>
      <c r="S818" s="9">
        <f>VLOOKUP(P818,$T$2:U815,2,1)</f>
        <v>0.02</v>
      </c>
    </row>
    <row r="819" spans="1:19" x14ac:dyDescent="0.25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e">
        <f>VLOOKUP(F819,'Customer Info'!A811:I1310,2,0)</f>
        <v>#N/A</v>
      </c>
      <c r="H819" s="6" t="e">
        <f>VLOOKUP(F819,'Customer Info'!A811:I1310,3,0)</f>
        <v>#N/A</v>
      </c>
      <c r="I819" s="6" t="e">
        <f>VLOOKUP(F819,'Customer Info'!A811:I1310,5,0)</f>
        <v>#N/A</v>
      </c>
      <c r="J819" s="2">
        <v>1306</v>
      </c>
      <c r="K819" s="2">
        <v>1197</v>
      </c>
      <c r="L819" s="2">
        <v>7</v>
      </c>
      <c r="M819" s="7">
        <f t="shared" si="48"/>
        <v>8379</v>
      </c>
      <c r="N819" s="7">
        <f t="shared" si="49"/>
        <v>9142</v>
      </c>
      <c r="O819" s="2">
        <v>81</v>
      </c>
      <c r="P819" s="8">
        <f t="shared" si="50"/>
        <v>9223</v>
      </c>
      <c r="Q819" s="8">
        <f t="shared" si="51"/>
        <v>9061</v>
      </c>
      <c r="R819" s="2" t="s">
        <v>26</v>
      </c>
      <c r="S819" s="9">
        <f>VLOOKUP(P819,$T$2:U816,2,1)</f>
        <v>0.05</v>
      </c>
    </row>
    <row r="820" spans="1:19" x14ac:dyDescent="0.25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e">
        <f>VLOOKUP(F820,'Customer Info'!A812:I1311,2,0)</f>
        <v>#N/A</v>
      </c>
      <c r="H820" s="6" t="e">
        <f>VLOOKUP(F820,'Customer Info'!A812:I1311,3,0)</f>
        <v>#N/A</v>
      </c>
      <c r="I820" s="6" t="e">
        <f>VLOOKUP(F820,'Customer Info'!A812:I1311,5,0)</f>
        <v>#N/A</v>
      </c>
      <c r="J820" s="2">
        <v>793</v>
      </c>
      <c r="K820" s="2">
        <v>755</v>
      </c>
      <c r="L820" s="2">
        <v>3</v>
      </c>
      <c r="M820" s="7">
        <f t="shared" si="48"/>
        <v>2265</v>
      </c>
      <c r="N820" s="7">
        <f t="shared" si="49"/>
        <v>2379</v>
      </c>
      <c r="O820" s="2">
        <v>64</v>
      </c>
      <c r="P820" s="8">
        <f t="shared" si="50"/>
        <v>2443</v>
      </c>
      <c r="Q820" s="8">
        <f t="shared" si="51"/>
        <v>2315</v>
      </c>
      <c r="R820" s="2" t="s">
        <v>50</v>
      </c>
      <c r="S820" s="9">
        <f>VLOOKUP(P820,$T$2:U817,2,1)</f>
        <v>0.02</v>
      </c>
    </row>
    <row r="821" spans="1:19" x14ac:dyDescent="0.25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e">
        <f>VLOOKUP(F821,'Customer Info'!A813:I1312,2,0)</f>
        <v>#N/A</v>
      </c>
      <c r="H821" s="6" t="e">
        <f>VLOOKUP(F821,'Customer Info'!A813:I1312,3,0)</f>
        <v>#N/A</v>
      </c>
      <c r="I821" s="6" t="e">
        <f>VLOOKUP(F821,'Customer Info'!A813:I1312,5,0)</f>
        <v>#N/A</v>
      </c>
      <c r="J821" s="2">
        <v>185</v>
      </c>
      <c r="K821" s="2">
        <v>174</v>
      </c>
      <c r="L821" s="2">
        <v>3</v>
      </c>
      <c r="M821" s="7">
        <f t="shared" si="48"/>
        <v>522</v>
      </c>
      <c r="N821" s="7">
        <f t="shared" si="49"/>
        <v>555</v>
      </c>
      <c r="O821" s="2">
        <v>30</v>
      </c>
      <c r="P821" s="8">
        <f t="shared" si="50"/>
        <v>585</v>
      </c>
      <c r="Q821" s="8">
        <f t="shared" si="51"/>
        <v>525</v>
      </c>
      <c r="R821" s="2" t="s">
        <v>26</v>
      </c>
      <c r="S821" s="9">
        <f>VLOOKUP(P821,$T$2:U818,2,1)</f>
        <v>0.02</v>
      </c>
    </row>
    <row r="822" spans="1:19" x14ac:dyDescent="0.25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e">
        <f>VLOOKUP(F822,'Customer Info'!A814:I1313,2,0)</f>
        <v>#N/A</v>
      </c>
      <c r="H822" s="6" t="e">
        <f>VLOOKUP(F822,'Customer Info'!A814:I1313,3,0)</f>
        <v>#N/A</v>
      </c>
      <c r="I822" s="6" t="e">
        <f>VLOOKUP(F822,'Customer Info'!A814:I1313,5,0)</f>
        <v>#N/A</v>
      </c>
      <c r="J822" s="2">
        <v>2843</v>
      </c>
      <c r="K822" s="2">
        <v>2735</v>
      </c>
      <c r="L822" s="2">
        <v>7</v>
      </c>
      <c r="M822" s="7">
        <f t="shared" si="48"/>
        <v>19145</v>
      </c>
      <c r="N822" s="7">
        <f t="shared" si="49"/>
        <v>19901</v>
      </c>
      <c r="O822" s="2">
        <v>80</v>
      </c>
      <c r="P822" s="8">
        <f t="shared" si="50"/>
        <v>19981</v>
      </c>
      <c r="Q822" s="8">
        <f t="shared" si="51"/>
        <v>19821</v>
      </c>
      <c r="R822" s="2" t="s">
        <v>50</v>
      </c>
      <c r="S822" s="9">
        <f>VLOOKUP(P822,$T$2:U819,2,1)</f>
        <v>0.05</v>
      </c>
    </row>
    <row r="823" spans="1:19" x14ac:dyDescent="0.25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e">
        <f>VLOOKUP(F823,'Customer Info'!A815:I1314,2,0)</f>
        <v>#N/A</v>
      </c>
      <c r="H823" s="6" t="e">
        <f>VLOOKUP(F823,'Customer Info'!A815:I1314,3,0)</f>
        <v>#N/A</v>
      </c>
      <c r="I823" s="6" t="e">
        <f>VLOOKUP(F823,'Customer Info'!A815:I1314,5,0)</f>
        <v>#N/A</v>
      </c>
      <c r="J823" s="2">
        <v>183</v>
      </c>
      <c r="K823" s="2">
        <v>172</v>
      </c>
      <c r="L823" s="2">
        <v>2</v>
      </c>
      <c r="M823" s="7">
        <f t="shared" si="48"/>
        <v>344</v>
      </c>
      <c r="N823" s="7">
        <f t="shared" si="49"/>
        <v>366</v>
      </c>
      <c r="O823" s="2">
        <v>30</v>
      </c>
      <c r="P823" s="8">
        <f t="shared" si="50"/>
        <v>396</v>
      </c>
      <c r="Q823" s="8">
        <f t="shared" si="51"/>
        <v>336</v>
      </c>
      <c r="R823" s="2" t="s">
        <v>50</v>
      </c>
      <c r="S823" s="9">
        <f>VLOOKUP(P823,$T$2:U820,2,1)</f>
        <v>0.02</v>
      </c>
    </row>
    <row r="824" spans="1:19" x14ac:dyDescent="0.25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e">
        <f>VLOOKUP(F824,'Customer Info'!A816:I1315,2,0)</f>
        <v>#N/A</v>
      </c>
      <c r="H824" s="6" t="e">
        <f>VLOOKUP(F824,'Customer Info'!A816:I1315,3,0)</f>
        <v>#N/A</v>
      </c>
      <c r="I824" s="6" t="e">
        <f>VLOOKUP(F824,'Customer Info'!A816:I1315,5,0)</f>
        <v>#N/A</v>
      </c>
      <c r="J824" s="2">
        <v>1125</v>
      </c>
      <c r="K824" s="2">
        <v>1040</v>
      </c>
      <c r="L824" s="2">
        <v>2</v>
      </c>
      <c r="M824" s="7">
        <f t="shared" si="48"/>
        <v>2080</v>
      </c>
      <c r="N824" s="7">
        <f t="shared" si="49"/>
        <v>2250</v>
      </c>
      <c r="O824" s="2">
        <v>29</v>
      </c>
      <c r="P824" s="8">
        <f t="shared" si="50"/>
        <v>2279</v>
      </c>
      <c r="Q824" s="8">
        <f t="shared" si="51"/>
        <v>2221</v>
      </c>
      <c r="R824" s="2" t="s">
        <v>28</v>
      </c>
      <c r="S824" s="9">
        <f>VLOOKUP(P824,$T$2:U821,2,1)</f>
        <v>0.02</v>
      </c>
    </row>
    <row r="825" spans="1:19" x14ac:dyDescent="0.25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e">
        <f>VLOOKUP(F825,'Customer Info'!A817:I1316,2,0)</f>
        <v>#N/A</v>
      </c>
      <c r="H825" s="6" t="e">
        <f>VLOOKUP(F825,'Customer Info'!A817:I1316,3,0)</f>
        <v>#N/A</v>
      </c>
      <c r="I825" s="6" t="e">
        <f>VLOOKUP(F825,'Customer Info'!A817:I1316,5,0)</f>
        <v>#N/A</v>
      </c>
      <c r="J825" s="2">
        <v>1103</v>
      </c>
      <c r="K825" s="2">
        <v>1030</v>
      </c>
      <c r="L825" s="2">
        <v>4</v>
      </c>
      <c r="M825" s="7">
        <f t="shared" si="48"/>
        <v>4120</v>
      </c>
      <c r="N825" s="7">
        <f t="shared" si="49"/>
        <v>4412</v>
      </c>
      <c r="O825" s="2">
        <v>92</v>
      </c>
      <c r="P825" s="8">
        <f t="shared" si="50"/>
        <v>4504</v>
      </c>
      <c r="Q825" s="8">
        <f t="shared" si="51"/>
        <v>4320</v>
      </c>
      <c r="R825" s="2" t="s">
        <v>28</v>
      </c>
      <c r="S825" s="9">
        <f>VLOOKUP(P825,$T$2:U822,2,1)</f>
        <v>0.02</v>
      </c>
    </row>
    <row r="826" spans="1:19" x14ac:dyDescent="0.25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e">
        <f>VLOOKUP(F826,'Customer Info'!A818:I1317,2,0)</f>
        <v>#N/A</v>
      </c>
      <c r="H826" s="6" t="e">
        <f>VLOOKUP(F826,'Customer Info'!A818:I1317,3,0)</f>
        <v>#N/A</v>
      </c>
      <c r="I826" s="6" t="e">
        <f>VLOOKUP(F826,'Customer Info'!A818:I1317,5,0)</f>
        <v>#N/A</v>
      </c>
      <c r="J826" s="2">
        <v>2243</v>
      </c>
      <c r="K826" s="2">
        <v>2000</v>
      </c>
      <c r="L826" s="2">
        <v>4</v>
      </c>
      <c r="M826" s="7">
        <f t="shared" si="48"/>
        <v>8000</v>
      </c>
      <c r="N826" s="7">
        <f t="shared" si="49"/>
        <v>8972</v>
      </c>
      <c r="O826" s="2">
        <v>20</v>
      </c>
      <c r="P826" s="8">
        <f t="shared" si="50"/>
        <v>8992</v>
      </c>
      <c r="Q826" s="8">
        <f t="shared" si="51"/>
        <v>8952</v>
      </c>
      <c r="R826" s="2" t="s">
        <v>26</v>
      </c>
      <c r="S826" s="9">
        <f>VLOOKUP(P826,$T$2:U823,2,1)</f>
        <v>0.05</v>
      </c>
    </row>
    <row r="827" spans="1:19" x14ac:dyDescent="0.25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e">
        <f>VLOOKUP(F827,'Customer Info'!A819:I1318,2,0)</f>
        <v>#N/A</v>
      </c>
      <c r="H827" s="6" t="e">
        <f>VLOOKUP(F827,'Customer Info'!A819:I1318,3,0)</f>
        <v>#N/A</v>
      </c>
      <c r="I827" s="6" t="e">
        <f>VLOOKUP(F827,'Customer Info'!A819:I1318,5,0)</f>
        <v>#N/A</v>
      </c>
      <c r="J827" s="2">
        <v>185</v>
      </c>
      <c r="K827" s="2">
        <v>171</v>
      </c>
      <c r="L827" s="2">
        <v>3</v>
      </c>
      <c r="M827" s="7">
        <f t="shared" si="48"/>
        <v>513</v>
      </c>
      <c r="N827" s="7">
        <f t="shared" si="49"/>
        <v>555</v>
      </c>
      <c r="O827" s="2">
        <v>30</v>
      </c>
      <c r="P827" s="8">
        <f t="shared" si="50"/>
        <v>585</v>
      </c>
      <c r="Q827" s="8">
        <f t="shared" si="51"/>
        <v>525</v>
      </c>
      <c r="R827" s="2" t="s">
        <v>28</v>
      </c>
      <c r="S827" s="9">
        <f>VLOOKUP(P827,$T$2:U824,2,1)</f>
        <v>0.02</v>
      </c>
    </row>
    <row r="828" spans="1:19" x14ac:dyDescent="0.25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e">
        <f>VLOOKUP(F828,'Customer Info'!A820:I1319,2,0)</f>
        <v>#N/A</v>
      </c>
      <c r="H828" s="6" t="e">
        <f>VLOOKUP(F828,'Customer Info'!A820:I1319,3,0)</f>
        <v>#N/A</v>
      </c>
      <c r="I828" s="6" t="e">
        <f>VLOOKUP(F828,'Customer Info'!A820:I1319,5,0)</f>
        <v>#N/A</v>
      </c>
      <c r="J828" s="2">
        <v>4784</v>
      </c>
      <c r="K828" s="2">
        <v>4518</v>
      </c>
      <c r="L828" s="2">
        <v>1</v>
      </c>
      <c r="M828" s="7">
        <f t="shared" si="48"/>
        <v>4518</v>
      </c>
      <c r="N828" s="7">
        <f t="shared" si="49"/>
        <v>4784</v>
      </c>
      <c r="O828" s="2">
        <v>32</v>
      </c>
      <c r="P828" s="8">
        <f t="shared" si="50"/>
        <v>4816</v>
      </c>
      <c r="Q828" s="8">
        <f t="shared" si="51"/>
        <v>4752</v>
      </c>
      <c r="R828" s="2" t="s">
        <v>50</v>
      </c>
      <c r="S828" s="9">
        <f>VLOOKUP(P828,$T$2:U825,2,1)</f>
        <v>0.02</v>
      </c>
    </row>
    <row r="829" spans="1:19" x14ac:dyDescent="0.25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e">
        <f>VLOOKUP(F829,'Customer Info'!A821:I1320,2,0)</f>
        <v>#N/A</v>
      </c>
      <c r="H829" s="6" t="e">
        <f>VLOOKUP(F829,'Customer Info'!A821:I1320,3,0)</f>
        <v>#N/A</v>
      </c>
      <c r="I829" s="6" t="e">
        <f>VLOOKUP(F829,'Customer Info'!A821:I1320,5,0)</f>
        <v>#N/A</v>
      </c>
      <c r="J829" s="2">
        <v>1512</v>
      </c>
      <c r="K829" s="2">
        <v>1497</v>
      </c>
      <c r="L829" s="2">
        <v>4</v>
      </c>
      <c r="M829" s="7">
        <f t="shared" si="48"/>
        <v>5988</v>
      </c>
      <c r="N829" s="7">
        <f t="shared" si="49"/>
        <v>6048</v>
      </c>
      <c r="O829" s="2">
        <v>93</v>
      </c>
      <c r="P829" s="8">
        <f t="shared" si="50"/>
        <v>6141</v>
      </c>
      <c r="Q829" s="8">
        <f t="shared" si="51"/>
        <v>5955</v>
      </c>
      <c r="R829" s="2" t="s">
        <v>26</v>
      </c>
      <c r="S829" s="9">
        <f>VLOOKUP(P829,$T$2:U826,2,1)</f>
        <v>0.05</v>
      </c>
    </row>
    <row r="830" spans="1:19" x14ac:dyDescent="0.25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e">
        <f>VLOOKUP(F830,'Customer Info'!A822:I1321,2,0)</f>
        <v>#N/A</v>
      </c>
      <c r="H830" s="6" t="e">
        <f>VLOOKUP(F830,'Customer Info'!A822:I1321,3,0)</f>
        <v>#N/A</v>
      </c>
      <c r="I830" s="6" t="e">
        <f>VLOOKUP(F830,'Customer Info'!A822:I1321,5,0)</f>
        <v>#N/A</v>
      </c>
      <c r="J830" s="2">
        <v>4784</v>
      </c>
      <c r="K830" s="2">
        <v>4518</v>
      </c>
      <c r="L830" s="2">
        <v>1</v>
      </c>
      <c r="M830" s="7">
        <f t="shared" si="48"/>
        <v>4518</v>
      </c>
      <c r="N830" s="7">
        <f t="shared" si="49"/>
        <v>4784</v>
      </c>
      <c r="O830" s="2">
        <v>26</v>
      </c>
      <c r="P830" s="8">
        <f t="shared" si="50"/>
        <v>4810</v>
      </c>
      <c r="Q830" s="8">
        <f t="shared" si="51"/>
        <v>4758</v>
      </c>
      <c r="R830" s="2" t="s">
        <v>26</v>
      </c>
      <c r="S830" s="9">
        <f>VLOOKUP(P830,$T$2:U827,2,1)</f>
        <v>0.02</v>
      </c>
    </row>
    <row r="831" spans="1:19" x14ac:dyDescent="0.25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e">
        <f>VLOOKUP(F831,'Customer Info'!A823:I1322,2,0)</f>
        <v>#N/A</v>
      </c>
      <c r="H831" s="6" t="e">
        <f>VLOOKUP(F831,'Customer Info'!A823:I1322,3,0)</f>
        <v>#N/A</v>
      </c>
      <c r="I831" s="6" t="e">
        <f>VLOOKUP(F831,'Customer Info'!A823:I1322,5,0)</f>
        <v>#N/A</v>
      </c>
      <c r="J831" s="2">
        <v>127</v>
      </c>
      <c r="K831" s="2">
        <v>116</v>
      </c>
      <c r="L831" s="2">
        <v>2</v>
      </c>
      <c r="M831" s="7">
        <f t="shared" si="48"/>
        <v>232</v>
      </c>
      <c r="N831" s="7">
        <f t="shared" si="49"/>
        <v>254</v>
      </c>
      <c r="O831" s="2">
        <v>30</v>
      </c>
      <c r="P831" s="8">
        <f t="shared" si="50"/>
        <v>284</v>
      </c>
      <c r="Q831" s="8">
        <f t="shared" si="51"/>
        <v>224</v>
      </c>
      <c r="R831" s="2" t="s">
        <v>56</v>
      </c>
      <c r="S831" s="9">
        <f>VLOOKUP(P831,$T$2:U828,2,1)</f>
        <v>0.02</v>
      </c>
    </row>
    <row r="832" spans="1:19" x14ac:dyDescent="0.25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e">
        <f>VLOOKUP(F832,'Customer Info'!A824:I1323,2,0)</f>
        <v>#N/A</v>
      </c>
      <c r="H832" s="6" t="e">
        <f>VLOOKUP(F832,'Customer Info'!A824:I1323,3,0)</f>
        <v>#N/A</v>
      </c>
      <c r="I832" s="6" t="e">
        <f>VLOOKUP(F832,'Customer Info'!A824:I1323,5,0)</f>
        <v>#N/A</v>
      </c>
      <c r="J832" s="2">
        <v>6012</v>
      </c>
      <c r="K832" s="2">
        <v>5677</v>
      </c>
      <c r="L832" s="2">
        <v>3</v>
      </c>
      <c r="M832" s="7">
        <f t="shared" si="48"/>
        <v>17031</v>
      </c>
      <c r="N832" s="7">
        <f t="shared" si="49"/>
        <v>18036</v>
      </c>
      <c r="O832" s="2">
        <v>82</v>
      </c>
      <c r="P832" s="8">
        <f t="shared" si="50"/>
        <v>18118</v>
      </c>
      <c r="Q832" s="8">
        <f t="shared" si="51"/>
        <v>17954</v>
      </c>
      <c r="R832" s="2" t="s">
        <v>28</v>
      </c>
      <c r="S832" s="9">
        <f>VLOOKUP(P832,$T$2:U829,2,1)</f>
        <v>0.05</v>
      </c>
    </row>
    <row r="833" spans="1:19" x14ac:dyDescent="0.25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e">
        <f>VLOOKUP(F833,'Customer Info'!A825:I1324,2,0)</f>
        <v>#N/A</v>
      </c>
      <c r="H833" s="6" t="e">
        <f>VLOOKUP(F833,'Customer Info'!A825:I1324,3,0)</f>
        <v>#N/A</v>
      </c>
      <c r="I833" s="6" t="e">
        <f>VLOOKUP(F833,'Customer Info'!A825:I1324,5,0)</f>
        <v>#N/A</v>
      </c>
      <c r="J833" s="2">
        <v>8619</v>
      </c>
      <c r="K833" s="2">
        <v>7759</v>
      </c>
      <c r="L833" s="2">
        <v>5</v>
      </c>
      <c r="M833" s="7">
        <f t="shared" si="48"/>
        <v>38795</v>
      </c>
      <c r="N833" s="7">
        <f t="shared" si="49"/>
        <v>43095</v>
      </c>
      <c r="O833" s="2">
        <v>58</v>
      </c>
      <c r="P833" s="8">
        <f t="shared" si="50"/>
        <v>43153</v>
      </c>
      <c r="Q833" s="8">
        <f t="shared" si="51"/>
        <v>43037</v>
      </c>
      <c r="R833" s="2" t="s">
        <v>56</v>
      </c>
      <c r="S833" s="9">
        <f>VLOOKUP(P833,$T$2:U830,2,1)</f>
        <v>7.0000000000000007E-2</v>
      </c>
    </row>
    <row r="834" spans="1:19" x14ac:dyDescent="0.25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e">
        <f>VLOOKUP(F834,'Customer Info'!A826:I1325,2,0)</f>
        <v>#N/A</v>
      </c>
      <c r="H834" s="6" t="e">
        <f>VLOOKUP(F834,'Customer Info'!A826:I1325,3,0)</f>
        <v>#N/A</v>
      </c>
      <c r="I834" s="6" t="e">
        <f>VLOOKUP(F834,'Customer Info'!A826:I1325,5,0)</f>
        <v>#N/A</v>
      </c>
      <c r="J834" s="2">
        <v>3224</v>
      </c>
      <c r="K834" s="2">
        <v>2901</v>
      </c>
      <c r="L834" s="2">
        <v>4</v>
      </c>
      <c r="M834" s="7">
        <f t="shared" si="48"/>
        <v>11604</v>
      </c>
      <c r="N834" s="7">
        <f t="shared" si="49"/>
        <v>12896</v>
      </c>
      <c r="O834" s="2">
        <v>48</v>
      </c>
      <c r="P834" s="8">
        <f t="shared" si="50"/>
        <v>12944</v>
      </c>
      <c r="Q834" s="8">
        <f t="shared" si="51"/>
        <v>12848</v>
      </c>
      <c r="R834" s="2" t="s">
        <v>28</v>
      </c>
      <c r="S834" s="9">
        <f>VLOOKUP(P834,$T$2:U831,2,1)</f>
        <v>0.05</v>
      </c>
    </row>
    <row r="835" spans="1:19" x14ac:dyDescent="0.25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e">
        <f>VLOOKUP(F835,'Customer Info'!A827:I1326,2,0)</f>
        <v>#N/A</v>
      </c>
      <c r="H835" s="6" t="e">
        <f>VLOOKUP(F835,'Customer Info'!A827:I1326,3,0)</f>
        <v>#N/A</v>
      </c>
      <c r="I835" s="6" t="e">
        <f>VLOOKUP(F835,'Customer Info'!A827:I1326,5,0)</f>
        <v>#N/A</v>
      </c>
      <c r="J835" s="2">
        <v>1601</v>
      </c>
      <c r="K835" s="2">
        <v>1510</v>
      </c>
      <c r="L835" s="2">
        <v>1</v>
      </c>
      <c r="M835" s="7">
        <f t="shared" si="48"/>
        <v>1510</v>
      </c>
      <c r="N835" s="7">
        <f t="shared" si="49"/>
        <v>1601</v>
      </c>
      <c r="O835" s="2">
        <v>95</v>
      </c>
      <c r="P835" s="8">
        <f t="shared" si="50"/>
        <v>1696</v>
      </c>
      <c r="Q835" s="8">
        <f t="shared" si="51"/>
        <v>1506</v>
      </c>
      <c r="R835" s="2" t="s">
        <v>50</v>
      </c>
      <c r="S835" s="9">
        <f>VLOOKUP(P835,$T$2:U832,2,1)</f>
        <v>0.02</v>
      </c>
    </row>
    <row r="836" spans="1:19" x14ac:dyDescent="0.25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e">
        <f>VLOOKUP(F836,'Customer Info'!A828:I1327,2,0)</f>
        <v>#N/A</v>
      </c>
      <c r="H836" s="6" t="e">
        <f>VLOOKUP(F836,'Customer Info'!A828:I1327,3,0)</f>
        <v>#N/A</v>
      </c>
      <c r="I836" s="6" t="e">
        <f>VLOOKUP(F836,'Customer Info'!A828:I1327,5,0)</f>
        <v>#N/A</v>
      </c>
      <c r="J836" s="2">
        <v>145</v>
      </c>
      <c r="K836" s="2">
        <v>130</v>
      </c>
      <c r="L836" s="2">
        <v>2</v>
      </c>
      <c r="M836" s="7">
        <f t="shared" si="48"/>
        <v>260</v>
      </c>
      <c r="N836" s="7">
        <f t="shared" si="49"/>
        <v>290</v>
      </c>
      <c r="O836" s="2">
        <v>30</v>
      </c>
      <c r="P836" s="8">
        <f t="shared" si="50"/>
        <v>320</v>
      </c>
      <c r="Q836" s="8">
        <f t="shared" si="51"/>
        <v>260</v>
      </c>
      <c r="R836" s="2" t="s">
        <v>28</v>
      </c>
      <c r="S836" s="9">
        <f>VLOOKUP(P836,$T$2:U833,2,1)</f>
        <v>0.02</v>
      </c>
    </row>
    <row r="837" spans="1:19" x14ac:dyDescent="0.25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e">
        <f>VLOOKUP(F837,'Customer Info'!A829:I1328,2,0)</f>
        <v>#N/A</v>
      </c>
      <c r="H837" s="6" t="e">
        <f>VLOOKUP(F837,'Customer Info'!A829:I1328,3,0)</f>
        <v>#N/A</v>
      </c>
      <c r="I837" s="6" t="e">
        <f>VLOOKUP(F837,'Customer Info'!A829:I1328,5,0)</f>
        <v>#N/A</v>
      </c>
      <c r="J837" s="2">
        <v>2083</v>
      </c>
      <c r="K837" s="2">
        <v>2004</v>
      </c>
      <c r="L837" s="2">
        <v>6</v>
      </c>
      <c r="M837" s="7">
        <f t="shared" si="48"/>
        <v>12024</v>
      </c>
      <c r="N837" s="7">
        <f t="shared" si="49"/>
        <v>12498</v>
      </c>
      <c r="O837" s="2">
        <v>33</v>
      </c>
      <c r="P837" s="8">
        <f t="shared" si="50"/>
        <v>12531</v>
      </c>
      <c r="Q837" s="8">
        <f t="shared" si="51"/>
        <v>12465</v>
      </c>
      <c r="R837" s="2" t="s">
        <v>28</v>
      </c>
      <c r="S837" s="9">
        <f>VLOOKUP(P837,$T$2:U834,2,1)</f>
        <v>0.05</v>
      </c>
    </row>
    <row r="838" spans="1:19" x14ac:dyDescent="0.25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e">
        <f>VLOOKUP(F838,'Customer Info'!A830:I1329,2,0)</f>
        <v>#N/A</v>
      </c>
      <c r="H838" s="6" t="e">
        <f>VLOOKUP(F838,'Customer Info'!A830:I1329,3,0)</f>
        <v>#N/A</v>
      </c>
      <c r="I838" s="6" t="e">
        <f>VLOOKUP(F838,'Customer Info'!A830:I1329,5,0)</f>
        <v>#N/A</v>
      </c>
      <c r="J838" s="2">
        <v>1358</v>
      </c>
      <c r="K838" s="2">
        <v>1294</v>
      </c>
      <c r="L838" s="2">
        <v>7</v>
      </c>
      <c r="M838" s="7">
        <f t="shared" si="48"/>
        <v>9058</v>
      </c>
      <c r="N838" s="7">
        <f t="shared" si="49"/>
        <v>9506</v>
      </c>
      <c r="O838" s="2">
        <v>70</v>
      </c>
      <c r="P838" s="8">
        <f t="shared" si="50"/>
        <v>9576</v>
      </c>
      <c r="Q838" s="8">
        <f t="shared" si="51"/>
        <v>9436</v>
      </c>
      <c r="R838" s="2" t="s">
        <v>28</v>
      </c>
      <c r="S838" s="9">
        <f>VLOOKUP(P838,$T$2:U835,2,1)</f>
        <v>0.05</v>
      </c>
    </row>
    <row r="839" spans="1:19" x14ac:dyDescent="0.25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e">
        <f>VLOOKUP(F839,'Customer Info'!A831:I1330,2,0)</f>
        <v>#N/A</v>
      </c>
      <c r="H839" s="6" t="e">
        <f>VLOOKUP(F839,'Customer Info'!A831:I1330,3,0)</f>
        <v>#N/A</v>
      </c>
      <c r="I839" s="6" t="e">
        <f>VLOOKUP(F839,'Customer Info'!A831:I1330,5,0)</f>
        <v>#N/A</v>
      </c>
      <c r="J839" s="2">
        <v>793</v>
      </c>
      <c r="K839" s="2">
        <v>755</v>
      </c>
      <c r="L839" s="2">
        <v>11</v>
      </c>
      <c r="M839" s="7">
        <f t="shared" si="48"/>
        <v>8305</v>
      </c>
      <c r="N839" s="7">
        <f t="shared" si="49"/>
        <v>8723</v>
      </c>
      <c r="O839" s="2">
        <v>85</v>
      </c>
      <c r="P839" s="8">
        <f t="shared" si="50"/>
        <v>8808</v>
      </c>
      <c r="Q839" s="8">
        <f t="shared" si="51"/>
        <v>8638</v>
      </c>
      <c r="R839" s="2" t="s">
        <v>28</v>
      </c>
      <c r="S839" s="9">
        <f>VLOOKUP(P839,$T$2:U836,2,1)</f>
        <v>0.05</v>
      </c>
    </row>
    <row r="840" spans="1:19" x14ac:dyDescent="0.25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e">
        <f>VLOOKUP(F840,'Customer Info'!A832:I1331,2,0)</f>
        <v>#N/A</v>
      </c>
      <c r="H840" s="6" t="e">
        <f>VLOOKUP(F840,'Customer Info'!A832:I1331,3,0)</f>
        <v>#N/A</v>
      </c>
      <c r="I840" s="6" t="e">
        <f>VLOOKUP(F840,'Customer Info'!A832:I1331,5,0)</f>
        <v>#N/A</v>
      </c>
      <c r="J840" s="2">
        <v>829</v>
      </c>
      <c r="K840" s="2">
        <v>761</v>
      </c>
      <c r="L840" s="2">
        <v>6</v>
      </c>
      <c r="M840" s="7">
        <f t="shared" si="48"/>
        <v>4566</v>
      </c>
      <c r="N840" s="7">
        <f t="shared" si="49"/>
        <v>4974</v>
      </c>
      <c r="O840" s="2">
        <v>87</v>
      </c>
      <c r="P840" s="8">
        <f t="shared" si="50"/>
        <v>5061</v>
      </c>
      <c r="Q840" s="8">
        <f t="shared" si="51"/>
        <v>4887</v>
      </c>
      <c r="R840" s="2" t="s">
        <v>28</v>
      </c>
      <c r="S840" s="9">
        <f>VLOOKUP(P840,$T$2:U837,2,1)</f>
        <v>0.05</v>
      </c>
    </row>
    <row r="841" spans="1:19" x14ac:dyDescent="0.25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e">
        <f>VLOOKUP(F841,'Customer Info'!A833:I1332,2,0)</f>
        <v>#N/A</v>
      </c>
      <c r="H841" s="6" t="e">
        <f>VLOOKUP(F841,'Customer Info'!A833:I1332,3,0)</f>
        <v>#N/A</v>
      </c>
      <c r="I841" s="6" t="e">
        <f>VLOOKUP(F841,'Customer Info'!A833:I1332,5,0)</f>
        <v>#N/A</v>
      </c>
      <c r="J841" s="2">
        <v>3256</v>
      </c>
      <c r="K841" s="2">
        <v>3044</v>
      </c>
      <c r="L841" s="2">
        <v>8</v>
      </c>
      <c r="M841" s="7">
        <f t="shared" si="48"/>
        <v>24352</v>
      </c>
      <c r="N841" s="7">
        <f t="shared" si="49"/>
        <v>26048</v>
      </c>
      <c r="O841" s="2">
        <v>96</v>
      </c>
      <c r="P841" s="8">
        <f t="shared" si="50"/>
        <v>26144</v>
      </c>
      <c r="Q841" s="8">
        <f t="shared" si="51"/>
        <v>25952</v>
      </c>
      <c r="R841" s="2" t="s">
        <v>56</v>
      </c>
      <c r="S841" s="9">
        <f>VLOOKUP(P841,$T$2:U838,2,1)</f>
        <v>7.0000000000000007E-2</v>
      </c>
    </row>
    <row r="842" spans="1:19" x14ac:dyDescent="0.25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e">
        <f>VLOOKUP(F842,'Customer Info'!A834:I1333,2,0)</f>
        <v>#N/A</v>
      </c>
      <c r="H842" s="6" t="e">
        <f>VLOOKUP(F842,'Customer Info'!A834:I1333,3,0)</f>
        <v>#N/A</v>
      </c>
      <c r="I842" s="6" t="e">
        <f>VLOOKUP(F842,'Customer Info'!A834:I1333,5,0)</f>
        <v>#N/A</v>
      </c>
      <c r="J842" s="2">
        <v>2829</v>
      </c>
      <c r="K842" s="2">
        <v>2596</v>
      </c>
      <c r="L842" s="2">
        <v>1</v>
      </c>
      <c r="M842" s="7">
        <f t="shared" si="48"/>
        <v>2596</v>
      </c>
      <c r="N842" s="7">
        <f t="shared" si="49"/>
        <v>2829</v>
      </c>
      <c r="O842" s="2">
        <v>20</v>
      </c>
      <c r="P842" s="8">
        <f t="shared" si="50"/>
        <v>2849</v>
      </c>
      <c r="Q842" s="8">
        <f t="shared" si="51"/>
        <v>2809</v>
      </c>
      <c r="R842" s="2" t="s">
        <v>50</v>
      </c>
      <c r="S842" s="9">
        <f>VLOOKUP(P842,$T$2:U839,2,1)</f>
        <v>0.02</v>
      </c>
    </row>
    <row r="843" spans="1:19" x14ac:dyDescent="0.25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e">
        <f>VLOOKUP(F843,'Customer Info'!A835:I1334,2,0)</f>
        <v>#N/A</v>
      </c>
      <c r="H843" s="6" t="e">
        <f>VLOOKUP(F843,'Customer Info'!A835:I1334,3,0)</f>
        <v>#N/A</v>
      </c>
      <c r="I843" s="6" t="e">
        <f>VLOOKUP(F843,'Customer Info'!A835:I1334,5,0)</f>
        <v>#N/A</v>
      </c>
      <c r="J843" s="2">
        <v>288</v>
      </c>
      <c r="K843" s="2">
        <v>264</v>
      </c>
      <c r="L843" s="2">
        <v>3</v>
      </c>
      <c r="M843" s="7">
        <f t="shared" ref="M843:M906" si="52">K843*L843</f>
        <v>792</v>
      </c>
      <c r="N843" s="7">
        <f t="shared" ref="N843:N906" si="53">J843*L843</f>
        <v>864</v>
      </c>
      <c r="O843" s="2">
        <v>65</v>
      </c>
      <c r="P843" s="8">
        <f t="shared" ref="P843:P906" si="54">SUM(N843,O843)</f>
        <v>929</v>
      </c>
      <c r="Q843" s="8">
        <f t="shared" ref="Q843:Q906" si="55">N843-O843</f>
        <v>799</v>
      </c>
      <c r="R843" s="2" t="s">
        <v>28</v>
      </c>
      <c r="S843" s="9">
        <f>VLOOKUP(P843,$T$2:U840,2,1)</f>
        <v>0.02</v>
      </c>
    </row>
    <row r="844" spans="1:19" x14ac:dyDescent="0.25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e">
        <f>VLOOKUP(F844,'Customer Info'!A836:I1335,2,0)</f>
        <v>#N/A</v>
      </c>
      <c r="H844" s="6" t="e">
        <f>VLOOKUP(F844,'Customer Info'!A836:I1335,3,0)</f>
        <v>#N/A</v>
      </c>
      <c r="I844" s="6" t="e">
        <f>VLOOKUP(F844,'Customer Info'!A836:I1335,5,0)</f>
        <v>#N/A</v>
      </c>
      <c r="J844" s="2">
        <v>1321</v>
      </c>
      <c r="K844" s="2">
        <v>1211</v>
      </c>
      <c r="L844" s="2">
        <v>9</v>
      </c>
      <c r="M844" s="7">
        <f t="shared" si="52"/>
        <v>10899</v>
      </c>
      <c r="N844" s="7">
        <f t="shared" si="53"/>
        <v>11889</v>
      </c>
      <c r="O844" s="2">
        <v>28</v>
      </c>
      <c r="P844" s="8">
        <f t="shared" si="54"/>
        <v>11917</v>
      </c>
      <c r="Q844" s="8">
        <f t="shared" si="55"/>
        <v>11861</v>
      </c>
      <c r="R844" s="2" t="s">
        <v>28</v>
      </c>
      <c r="S844" s="9">
        <f>VLOOKUP(P844,$T$2:U841,2,1)</f>
        <v>0.05</v>
      </c>
    </row>
    <row r="845" spans="1:19" x14ac:dyDescent="0.25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e">
        <f>VLOOKUP(F845,'Customer Info'!A837:I1336,2,0)</f>
        <v>#N/A</v>
      </c>
      <c r="H845" s="6" t="e">
        <f>VLOOKUP(F845,'Customer Info'!A837:I1336,3,0)</f>
        <v>#N/A</v>
      </c>
      <c r="I845" s="6" t="e">
        <f>VLOOKUP(F845,'Customer Info'!A837:I1336,5,0)</f>
        <v>#N/A</v>
      </c>
      <c r="J845" s="2">
        <v>2453</v>
      </c>
      <c r="K845" s="2">
        <v>2336</v>
      </c>
      <c r="L845" s="2">
        <v>2</v>
      </c>
      <c r="M845" s="7">
        <f t="shared" si="52"/>
        <v>4672</v>
      </c>
      <c r="N845" s="7">
        <f t="shared" si="53"/>
        <v>4906</v>
      </c>
      <c r="O845" s="2">
        <v>45</v>
      </c>
      <c r="P845" s="8">
        <f t="shared" si="54"/>
        <v>4951</v>
      </c>
      <c r="Q845" s="8">
        <f t="shared" si="55"/>
        <v>4861</v>
      </c>
      <c r="R845" s="2" t="s">
        <v>28</v>
      </c>
      <c r="S845" s="9">
        <f>VLOOKUP(P845,$T$2:U842,2,1)</f>
        <v>0.02</v>
      </c>
    </row>
    <row r="846" spans="1:19" x14ac:dyDescent="0.25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e">
        <f>VLOOKUP(F846,'Customer Info'!A838:I1337,2,0)</f>
        <v>#N/A</v>
      </c>
      <c r="H846" s="6" t="e">
        <f>VLOOKUP(F846,'Customer Info'!A838:I1337,3,0)</f>
        <v>#N/A</v>
      </c>
      <c r="I846" s="6" t="e">
        <f>VLOOKUP(F846,'Customer Info'!A838:I1337,5,0)</f>
        <v>#N/A</v>
      </c>
      <c r="J846" s="2">
        <v>2442</v>
      </c>
      <c r="K846" s="2">
        <v>2304</v>
      </c>
      <c r="L846" s="2">
        <v>4</v>
      </c>
      <c r="M846" s="7">
        <f t="shared" si="52"/>
        <v>9216</v>
      </c>
      <c r="N846" s="7">
        <f t="shared" si="53"/>
        <v>9768</v>
      </c>
      <c r="O846" s="2">
        <v>21</v>
      </c>
      <c r="P846" s="8">
        <f t="shared" si="54"/>
        <v>9789</v>
      </c>
      <c r="Q846" s="8">
        <f t="shared" si="55"/>
        <v>9747</v>
      </c>
      <c r="R846" s="2" t="s">
        <v>50</v>
      </c>
      <c r="S846" s="9">
        <f>VLOOKUP(P846,$T$2:U843,2,1)</f>
        <v>0.05</v>
      </c>
    </row>
    <row r="847" spans="1:19" x14ac:dyDescent="0.25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e">
        <f>VLOOKUP(F847,'Customer Info'!A839:I1338,2,0)</f>
        <v>#N/A</v>
      </c>
      <c r="H847" s="6" t="e">
        <f>VLOOKUP(F847,'Customer Info'!A839:I1338,3,0)</f>
        <v>#N/A</v>
      </c>
      <c r="I847" s="6" t="e">
        <f>VLOOKUP(F847,'Customer Info'!A839:I1338,5,0)</f>
        <v>#N/A</v>
      </c>
      <c r="J847" s="2">
        <v>6060</v>
      </c>
      <c r="K847" s="2">
        <v>6002</v>
      </c>
      <c r="L847" s="2">
        <v>9</v>
      </c>
      <c r="M847" s="7">
        <f t="shared" si="52"/>
        <v>54018</v>
      </c>
      <c r="N847" s="7">
        <f t="shared" si="53"/>
        <v>54540</v>
      </c>
      <c r="O847" s="2">
        <v>100</v>
      </c>
      <c r="P847" s="8">
        <f t="shared" si="54"/>
        <v>54640</v>
      </c>
      <c r="Q847" s="8">
        <f t="shared" si="55"/>
        <v>54440</v>
      </c>
      <c r="R847" s="2" t="s">
        <v>28</v>
      </c>
      <c r="S847" s="9">
        <f>VLOOKUP(P847,$T$2:U844,2,1)</f>
        <v>0.09</v>
      </c>
    </row>
    <row r="848" spans="1:19" x14ac:dyDescent="0.25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e">
        <f>VLOOKUP(F848,'Customer Info'!A840:I1339,2,0)</f>
        <v>#N/A</v>
      </c>
      <c r="H848" s="6" t="e">
        <f>VLOOKUP(F848,'Customer Info'!A840:I1339,3,0)</f>
        <v>#N/A</v>
      </c>
      <c r="I848" s="6" t="e">
        <f>VLOOKUP(F848,'Customer Info'!A840:I1339,5,0)</f>
        <v>#N/A</v>
      </c>
      <c r="J848" s="2">
        <v>1568</v>
      </c>
      <c r="K848" s="2">
        <v>1495</v>
      </c>
      <c r="L848" s="2">
        <v>1</v>
      </c>
      <c r="M848" s="7">
        <f t="shared" si="52"/>
        <v>1495</v>
      </c>
      <c r="N848" s="7">
        <f t="shared" si="53"/>
        <v>1568</v>
      </c>
      <c r="O848" s="2">
        <v>86</v>
      </c>
      <c r="P848" s="8">
        <f t="shared" si="54"/>
        <v>1654</v>
      </c>
      <c r="Q848" s="8">
        <f t="shared" si="55"/>
        <v>1482</v>
      </c>
      <c r="R848" s="2" t="s">
        <v>28</v>
      </c>
      <c r="S848" s="9">
        <f>VLOOKUP(P848,$T$2:U845,2,1)</f>
        <v>0.02</v>
      </c>
    </row>
    <row r="849" spans="1:19" x14ac:dyDescent="0.25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e">
        <f>VLOOKUP(F849,'Customer Info'!A841:I1340,2,0)</f>
        <v>#N/A</v>
      </c>
      <c r="H849" s="6" t="e">
        <f>VLOOKUP(F849,'Customer Info'!A841:I1340,3,0)</f>
        <v>#N/A</v>
      </c>
      <c r="I849" s="6" t="e">
        <f>VLOOKUP(F849,'Customer Info'!A841:I1340,5,0)</f>
        <v>#N/A</v>
      </c>
      <c r="J849" s="2">
        <v>6611</v>
      </c>
      <c r="K849" s="2">
        <v>5943</v>
      </c>
      <c r="L849" s="2">
        <v>2</v>
      </c>
      <c r="M849" s="7">
        <f t="shared" si="52"/>
        <v>11886</v>
      </c>
      <c r="N849" s="7">
        <f t="shared" si="53"/>
        <v>13222</v>
      </c>
      <c r="O849" s="2">
        <v>99</v>
      </c>
      <c r="P849" s="8">
        <f t="shared" si="54"/>
        <v>13321</v>
      </c>
      <c r="Q849" s="8">
        <f t="shared" si="55"/>
        <v>13123</v>
      </c>
      <c r="R849" s="2" t="s">
        <v>50</v>
      </c>
      <c r="S849" s="9">
        <f>VLOOKUP(P849,$T$2:U846,2,1)</f>
        <v>0.05</v>
      </c>
    </row>
    <row r="850" spans="1:19" x14ac:dyDescent="0.25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e">
        <f>VLOOKUP(F850,'Customer Info'!A842:I1341,2,0)</f>
        <v>#N/A</v>
      </c>
      <c r="H850" s="6" t="e">
        <f>VLOOKUP(F850,'Customer Info'!A842:I1341,3,0)</f>
        <v>#N/A</v>
      </c>
      <c r="I850" s="6" t="e">
        <f>VLOOKUP(F850,'Customer Info'!A842:I1341,5,0)</f>
        <v>#N/A</v>
      </c>
      <c r="J850" s="2">
        <v>2243</v>
      </c>
      <c r="K850" s="2">
        <v>2000</v>
      </c>
      <c r="L850" s="2">
        <v>2</v>
      </c>
      <c r="M850" s="7">
        <f t="shared" si="52"/>
        <v>4000</v>
      </c>
      <c r="N850" s="7">
        <f t="shared" si="53"/>
        <v>4486</v>
      </c>
      <c r="O850" s="2">
        <v>46</v>
      </c>
      <c r="P850" s="8">
        <f t="shared" si="54"/>
        <v>4532</v>
      </c>
      <c r="Q850" s="8">
        <f t="shared" si="55"/>
        <v>4440</v>
      </c>
      <c r="R850" s="2" t="s">
        <v>28</v>
      </c>
      <c r="S850" s="9">
        <f>VLOOKUP(P850,$T$2:U847,2,1)</f>
        <v>0.02</v>
      </c>
    </row>
    <row r="851" spans="1:19" x14ac:dyDescent="0.25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e">
        <f>VLOOKUP(F851,'Customer Info'!A843:I1342,2,0)</f>
        <v>#N/A</v>
      </c>
      <c r="H851" s="6" t="e">
        <f>VLOOKUP(F851,'Customer Info'!A843:I1342,3,0)</f>
        <v>#N/A</v>
      </c>
      <c r="I851" s="6" t="e">
        <f>VLOOKUP(F851,'Customer Info'!A843:I1342,5,0)</f>
        <v>#N/A</v>
      </c>
      <c r="J851" s="2">
        <v>1498</v>
      </c>
      <c r="K851" s="2">
        <v>1335</v>
      </c>
      <c r="L851" s="2">
        <v>2</v>
      </c>
      <c r="M851" s="7">
        <f t="shared" si="52"/>
        <v>2670</v>
      </c>
      <c r="N851" s="7">
        <f t="shared" si="53"/>
        <v>2996</v>
      </c>
      <c r="O851" s="2">
        <v>54</v>
      </c>
      <c r="P851" s="8">
        <f t="shared" si="54"/>
        <v>3050</v>
      </c>
      <c r="Q851" s="8">
        <f t="shared" si="55"/>
        <v>2942</v>
      </c>
      <c r="R851" s="2" t="s">
        <v>28</v>
      </c>
      <c r="S851" s="9">
        <f>VLOOKUP(P851,$T$2:U848,2,1)</f>
        <v>0.02</v>
      </c>
    </row>
    <row r="852" spans="1:19" x14ac:dyDescent="0.25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e">
        <f>VLOOKUP(F852,'Customer Info'!A844:I1343,2,0)</f>
        <v>#N/A</v>
      </c>
      <c r="H852" s="6" t="e">
        <f>VLOOKUP(F852,'Customer Info'!A844:I1343,3,0)</f>
        <v>#N/A</v>
      </c>
      <c r="I852" s="6" t="e">
        <f>VLOOKUP(F852,'Customer Info'!A844:I1343,5,0)</f>
        <v>#N/A</v>
      </c>
      <c r="J852" s="2">
        <v>147</v>
      </c>
      <c r="K852" s="2">
        <v>138</v>
      </c>
      <c r="L852" s="2">
        <v>2</v>
      </c>
      <c r="M852" s="7">
        <f t="shared" si="52"/>
        <v>276</v>
      </c>
      <c r="N852" s="7">
        <f t="shared" si="53"/>
        <v>294</v>
      </c>
      <c r="O852" s="2">
        <v>30</v>
      </c>
      <c r="P852" s="8">
        <f t="shared" si="54"/>
        <v>324</v>
      </c>
      <c r="Q852" s="8">
        <f t="shared" si="55"/>
        <v>264</v>
      </c>
      <c r="R852" s="2" t="s">
        <v>28</v>
      </c>
      <c r="S852" s="9">
        <f>VLOOKUP(P852,$T$2:U849,2,1)</f>
        <v>0.02</v>
      </c>
    </row>
    <row r="853" spans="1:19" x14ac:dyDescent="0.25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e">
        <f>VLOOKUP(F853,'Customer Info'!A845:I1344,2,0)</f>
        <v>#N/A</v>
      </c>
      <c r="H853" s="6" t="e">
        <f>VLOOKUP(F853,'Customer Info'!A845:I1344,3,0)</f>
        <v>#N/A</v>
      </c>
      <c r="I853" s="6" t="e">
        <f>VLOOKUP(F853,'Customer Info'!A845:I1344,5,0)</f>
        <v>#N/A</v>
      </c>
      <c r="J853" s="2">
        <v>166</v>
      </c>
      <c r="K853" s="2">
        <v>149</v>
      </c>
      <c r="L853" s="2">
        <v>3</v>
      </c>
      <c r="M853" s="7">
        <f t="shared" si="52"/>
        <v>447</v>
      </c>
      <c r="N853" s="7">
        <f t="shared" si="53"/>
        <v>498</v>
      </c>
      <c r="O853" s="2">
        <v>30</v>
      </c>
      <c r="P853" s="8">
        <f t="shared" si="54"/>
        <v>528</v>
      </c>
      <c r="Q853" s="8">
        <f t="shared" si="55"/>
        <v>468</v>
      </c>
      <c r="R853" s="2" t="s">
        <v>28</v>
      </c>
      <c r="S853" s="9">
        <f>VLOOKUP(P853,$T$2:U850,2,1)</f>
        <v>0.02</v>
      </c>
    </row>
    <row r="854" spans="1:19" x14ac:dyDescent="0.25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e">
        <f>VLOOKUP(F854,'Customer Info'!A846:I1345,2,0)</f>
        <v>#N/A</v>
      </c>
      <c r="H854" s="6" t="e">
        <f>VLOOKUP(F854,'Customer Info'!A846:I1345,3,0)</f>
        <v>#N/A</v>
      </c>
      <c r="I854" s="6" t="e">
        <f>VLOOKUP(F854,'Customer Info'!A846:I1345,5,0)</f>
        <v>#N/A</v>
      </c>
      <c r="J854" s="2">
        <v>288</v>
      </c>
      <c r="K854" s="2">
        <v>264</v>
      </c>
      <c r="L854" s="2">
        <v>12</v>
      </c>
      <c r="M854" s="7">
        <f t="shared" si="52"/>
        <v>3168</v>
      </c>
      <c r="N854" s="7">
        <f t="shared" si="53"/>
        <v>3456</v>
      </c>
      <c r="O854" s="2">
        <v>87</v>
      </c>
      <c r="P854" s="8">
        <f t="shared" si="54"/>
        <v>3543</v>
      </c>
      <c r="Q854" s="8">
        <f t="shared" si="55"/>
        <v>3369</v>
      </c>
      <c r="R854" s="2" t="s">
        <v>28</v>
      </c>
      <c r="S854" s="9">
        <f>VLOOKUP(P854,$T$2:U851,2,1)</f>
        <v>0.02</v>
      </c>
    </row>
    <row r="855" spans="1:19" x14ac:dyDescent="0.25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e">
        <f>VLOOKUP(F855,'Customer Info'!A847:I1346,2,0)</f>
        <v>#N/A</v>
      </c>
      <c r="H855" s="6" t="e">
        <f>VLOOKUP(F855,'Customer Info'!A847:I1346,3,0)</f>
        <v>#N/A</v>
      </c>
      <c r="I855" s="6" t="e">
        <f>VLOOKUP(F855,'Customer Info'!A847:I1346,5,0)</f>
        <v>#N/A</v>
      </c>
      <c r="J855" s="2">
        <v>6701</v>
      </c>
      <c r="K855" s="2">
        <v>6384</v>
      </c>
      <c r="L855" s="2">
        <v>3</v>
      </c>
      <c r="M855" s="7">
        <f t="shared" si="52"/>
        <v>19152</v>
      </c>
      <c r="N855" s="7">
        <f t="shared" si="53"/>
        <v>20103</v>
      </c>
      <c r="O855" s="2">
        <v>72</v>
      </c>
      <c r="P855" s="8">
        <f t="shared" si="54"/>
        <v>20175</v>
      </c>
      <c r="Q855" s="8">
        <f t="shared" si="55"/>
        <v>20031</v>
      </c>
      <c r="R855" s="2" t="s">
        <v>50</v>
      </c>
      <c r="S855" s="9">
        <f>VLOOKUP(P855,$T$2:U852,2,1)</f>
        <v>0.05</v>
      </c>
    </row>
    <row r="856" spans="1:19" x14ac:dyDescent="0.25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e">
        <f>VLOOKUP(F856,'Customer Info'!A848:I1347,2,0)</f>
        <v>#N/A</v>
      </c>
      <c r="H856" s="6" t="e">
        <f>VLOOKUP(F856,'Customer Info'!A848:I1347,3,0)</f>
        <v>#N/A</v>
      </c>
      <c r="I856" s="6" t="e">
        <f>VLOOKUP(F856,'Customer Info'!A848:I1347,5,0)</f>
        <v>#N/A</v>
      </c>
      <c r="J856" s="2">
        <v>393</v>
      </c>
      <c r="K856" s="2">
        <v>374</v>
      </c>
      <c r="L856" s="2">
        <v>1</v>
      </c>
      <c r="M856" s="7">
        <f t="shared" si="52"/>
        <v>374</v>
      </c>
      <c r="N856" s="7">
        <f t="shared" si="53"/>
        <v>393</v>
      </c>
      <c r="O856" s="2">
        <v>21</v>
      </c>
      <c r="P856" s="8">
        <f t="shared" si="54"/>
        <v>414</v>
      </c>
      <c r="Q856" s="8">
        <f t="shared" si="55"/>
        <v>372</v>
      </c>
      <c r="R856" s="2" t="s">
        <v>28</v>
      </c>
      <c r="S856" s="9">
        <f>VLOOKUP(P856,$T$2:U853,2,1)</f>
        <v>0.02</v>
      </c>
    </row>
    <row r="857" spans="1:19" x14ac:dyDescent="0.25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e">
        <f>VLOOKUP(F857,'Customer Info'!A849:I1348,2,0)</f>
        <v>#N/A</v>
      </c>
      <c r="H857" s="6" t="e">
        <f>VLOOKUP(F857,'Customer Info'!A849:I1348,3,0)</f>
        <v>#N/A</v>
      </c>
      <c r="I857" s="6" t="e">
        <f>VLOOKUP(F857,'Customer Info'!A849:I1348,5,0)</f>
        <v>#N/A</v>
      </c>
      <c r="J857" s="2">
        <v>4904</v>
      </c>
      <c r="K857" s="2">
        <v>4499</v>
      </c>
      <c r="L857" s="2">
        <v>3</v>
      </c>
      <c r="M857" s="7">
        <f t="shared" si="52"/>
        <v>13497</v>
      </c>
      <c r="N857" s="7">
        <f t="shared" si="53"/>
        <v>14712</v>
      </c>
      <c r="O857" s="2">
        <v>82</v>
      </c>
      <c r="P857" s="8">
        <f t="shared" si="54"/>
        <v>14794</v>
      </c>
      <c r="Q857" s="8">
        <f t="shared" si="55"/>
        <v>14630</v>
      </c>
      <c r="R857" s="2" t="s">
        <v>28</v>
      </c>
      <c r="S857" s="9">
        <f>VLOOKUP(P857,$T$2:U854,2,1)</f>
        <v>0.05</v>
      </c>
    </row>
    <row r="858" spans="1:19" x14ac:dyDescent="0.25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e">
        <f>VLOOKUP(F858,'Customer Info'!A850:I1349,2,0)</f>
        <v>#N/A</v>
      </c>
      <c r="H858" s="6" t="e">
        <f>VLOOKUP(F858,'Customer Info'!A850:I1349,3,0)</f>
        <v>#N/A</v>
      </c>
      <c r="I858" s="6" t="e">
        <f>VLOOKUP(F858,'Customer Info'!A850:I1349,5,0)</f>
        <v>#N/A</v>
      </c>
      <c r="J858" s="2">
        <v>78</v>
      </c>
      <c r="K858" s="2">
        <v>74</v>
      </c>
      <c r="L858" s="2">
        <v>7</v>
      </c>
      <c r="M858" s="7">
        <f t="shared" si="52"/>
        <v>518</v>
      </c>
      <c r="N858" s="7">
        <f t="shared" si="53"/>
        <v>546</v>
      </c>
      <c r="O858" s="2">
        <v>10</v>
      </c>
      <c r="P858" s="8">
        <f t="shared" si="54"/>
        <v>556</v>
      </c>
      <c r="Q858" s="8">
        <f t="shared" si="55"/>
        <v>536</v>
      </c>
      <c r="R858" s="2" t="s">
        <v>28</v>
      </c>
      <c r="S858" s="9">
        <f>VLOOKUP(P858,$T$2:U855,2,1)</f>
        <v>0.02</v>
      </c>
    </row>
    <row r="859" spans="1:19" x14ac:dyDescent="0.25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e">
        <f>VLOOKUP(F859,'Customer Info'!A851:I1350,2,0)</f>
        <v>#N/A</v>
      </c>
      <c r="H859" s="6" t="e">
        <f>VLOOKUP(F859,'Customer Info'!A851:I1350,3,0)</f>
        <v>#N/A</v>
      </c>
      <c r="I859" s="6" t="e">
        <f>VLOOKUP(F859,'Customer Info'!A851:I1350,5,0)</f>
        <v>#N/A</v>
      </c>
      <c r="J859" s="2">
        <v>63</v>
      </c>
      <c r="K859" s="2">
        <v>59</v>
      </c>
      <c r="L859" s="2">
        <v>3</v>
      </c>
      <c r="M859" s="7">
        <f t="shared" si="52"/>
        <v>177</v>
      </c>
      <c r="N859" s="7">
        <f t="shared" si="53"/>
        <v>189</v>
      </c>
      <c r="O859" s="2">
        <v>10</v>
      </c>
      <c r="P859" s="8">
        <f t="shared" si="54"/>
        <v>199</v>
      </c>
      <c r="Q859" s="8">
        <f t="shared" si="55"/>
        <v>179</v>
      </c>
      <c r="R859" s="2" t="s">
        <v>28</v>
      </c>
      <c r="S859" s="9">
        <f>VLOOKUP(P859,$T$2:U856,2,1)</f>
        <v>0.02</v>
      </c>
    </row>
    <row r="860" spans="1:19" x14ac:dyDescent="0.25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e">
        <f>VLOOKUP(F860,'Customer Info'!A852:I1351,2,0)</f>
        <v>#N/A</v>
      </c>
      <c r="H860" s="6" t="e">
        <f>VLOOKUP(F860,'Customer Info'!A852:I1351,3,0)</f>
        <v>#N/A</v>
      </c>
      <c r="I860" s="6" t="e">
        <f>VLOOKUP(F860,'Customer Info'!A852:I1351,5,0)</f>
        <v>#N/A</v>
      </c>
      <c r="J860" s="2">
        <v>1790</v>
      </c>
      <c r="K860" s="2">
        <v>1706</v>
      </c>
      <c r="L860" s="2">
        <v>4</v>
      </c>
      <c r="M860" s="7">
        <f t="shared" si="52"/>
        <v>6824</v>
      </c>
      <c r="N860" s="7">
        <f t="shared" si="53"/>
        <v>7160</v>
      </c>
      <c r="O860" s="2">
        <v>57</v>
      </c>
      <c r="P860" s="8">
        <f t="shared" si="54"/>
        <v>7217</v>
      </c>
      <c r="Q860" s="8">
        <f t="shared" si="55"/>
        <v>7103</v>
      </c>
      <c r="R860" s="2" t="s">
        <v>28</v>
      </c>
      <c r="S860" s="9">
        <f>VLOOKUP(P860,$T$2:U857,2,1)</f>
        <v>0.05</v>
      </c>
    </row>
    <row r="861" spans="1:19" x14ac:dyDescent="0.25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e">
        <f>VLOOKUP(F861,'Customer Info'!A853:I1352,2,0)</f>
        <v>#N/A</v>
      </c>
      <c r="H861" s="6" t="e">
        <f>VLOOKUP(F861,'Customer Info'!A853:I1352,3,0)</f>
        <v>#N/A</v>
      </c>
      <c r="I861" s="6" t="e">
        <f>VLOOKUP(F861,'Customer Info'!A853:I1352,5,0)</f>
        <v>#N/A</v>
      </c>
      <c r="J861" s="2">
        <v>726</v>
      </c>
      <c r="K861" s="2">
        <v>646</v>
      </c>
      <c r="L861" s="2">
        <v>1</v>
      </c>
      <c r="M861" s="7">
        <f t="shared" si="52"/>
        <v>646</v>
      </c>
      <c r="N861" s="7">
        <f t="shared" si="53"/>
        <v>726</v>
      </c>
      <c r="O861" s="2">
        <v>55</v>
      </c>
      <c r="P861" s="8">
        <f t="shared" si="54"/>
        <v>781</v>
      </c>
      <c r="Q861" s="8">
        <f t="shared" si="55"/>
        <v>671</v>
      </c>
      <c r="R861" s="2" t="s">
        <v>50</v>
      </c>
      <c r="S861" s="9">
        <f>VLOOKUP(P861,$T$2:U858,2,1)</f>
        <v>0.02</v>
      </c>
    </row>
    <row r="862" spans="1:19" x14ac:dyDescent="0.25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e">
        <f>VLOOKUP(F862,'Customer Info'!A854:I1353,2,0)</f>
        <v>#N/A</v>
      </c>
      <c r="H862" s="6" t="e">
        <f>VLOOKUP(F862,'Customer Info'!A854:I1353,3,0)</f>
        <v>#N/A</v>
      </c>
      <c r="I862" s="6" t="e">
        <f>VLOOKUP(F862,'Customer Info'!A854:I1353,5,0)</f>
        <v>#N/A</v>
      </c>
      <c r="J862" s="2">
        <v>1916</v>
      </c>
      <c r="K862" s="2">
        <v>1844</v>
      </c>
      <c r="L862" s="2">
        <v>3</v>
      </c>
      <c r="M862" s="7">
        <f t="shared" si="52"/>
        <v>5532</v>
      </c>
      <c r="N862" s="7">
        <f t="shared" si="53"/>
        <v>5748</v>
      </c>
      <c r="O862" s="2">
        <v>97</v>
      </c>
      <c r="P862" s="8">
        <f t="shared" si="54"/>
        <v>5845</v>
      </c>
      <c r="Q862" s="8">
        <f t="shared" si="55"/>
        <v>5651</v>
      </c>
      <c r="R862" s="2" t="s">
        <v>28</v>
      </c>
      <c r="S862" s="9">
        <f>VLOOKUP(P862,$T$2:U859,2,1)</f>
        <v>0.05</v>
      </c>
    </row>
    <row r="863" spans="1:19" x14ac:dyDescent="0.25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e">
        <f>VLOOKUP(F863,'Customer Info'!A855:I1354,2,0)</f>
        <v>#N/A</v>
      </c>
      <c r="H863" s="6" t="e">
        <f>VLOOKUP(F863,'Customer Info'!A855:I1354,3,0)</f>
        <v>#N/A</v>
      </c>
      <c r="I863" s="6" t="e">
        <f>VLOOKUP(F863,'Customer Info'!A855:I1354,5,0)</f>
        <v>#N/A</v>
      </c>
      <c r="J863" s="2">
        <v>73</v>
      </c>
      <c r="K863" s="2">
        <v>65</v>
      </c>
      <c r="L863" s="2">
        <v>1</v>
      </c>
      <c r="M863" s="7">
        <f t="shared" si="52"/>
        <v>65</v>
      </c>
      <c r="N863" s="7">
        <f t="shared" si="53"/>
        <v>73</v>
      </c>
      <c r="O863" s="2">
        <v>10</v>
      </c>
      <c r="P863" s="8">
        <f t="shared" si="54"/>
        <v>83</v>
      </c>
      <c r="Q863" s="8">
        <f t="shared" si="55"/>
        <v>63</v>
      </c>
      <c r="R863" s="2" t="s">
        <v>26</v>
      </c>
      <c r="S863" s="9">
        <f>VLOOKUP(P863,$T$2:U860,2,1)</f>
        <v>0.02</v>
      </c>
    </row>
    <row r="864" spans="1:19" x14ac:dyDescent="0.25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e">
        <f>VLOOKUP(F864,'Customer Info'!A856:I1355,2,0)</f>
        <v>#N/A</v>
      </c>
      <c r="H864" s="6" t="e">
        <f>VLOOKUP(F864,'Customer Info'!A856:I1355,3,0)</f>
        <v>#N/A</v>
      </c>
      <c r="I864" s="6" t="e">
        <f>VLOOKUP(F864,'Customer Info'!A856:I1355,5,0)</f>
        <v>#N/A</v>
      </c>
      <c r="J864" s="2">
        <v>4246</v>
      </c>
      <c r="K864" s="2">
        <v>3857</v>
      </c>
      <c r="L864" s="2">
        <v>2</v>
      </c>
      <c r="M864" s="7">
        <f t="shared" si="52"/>
        <v>7714</v>
      </c>
      <c r="N864" s="7">
        <f t="shared" si="53"/>
        <v>8492</v>
      </c>
      <c r="O864" s="2">
        <v>93</v>
      </c>
      <c r="P864" s="8">
        <f t="shared" si="54"/>
        <v>8585</v>
      </c>
      <c r="Q864" s="8">
        <f t="shared" si="55"/>
        <v>8399</v>
      </c>
      <c r="R864" s="2" t="s">
        <v>50</v>
      </c>
      <c r="S864" s="9">
        <f>VLOOKUP(P864,$T$2:U861,2,1)</f>
        <v>0.05</v>
      </c>
    </row>
    <row r="865" spans="1:19" x14ac:dyDescent="0.25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e">
        <f>VLOOKUP(F865,'Customer Info'!A857:I1356,2,0)</f>
        <v>#N/A</v>
      </c>
      <c r="H865" s="6" t="e">
        <f>VLOOKUP(F865,'Customer Info'!A857:I1356,3,0)</f>
        <v>#N/A</v>
      </c>
      <c r="I865" s="6" t="e">
        <f>VLOOKUP(F865,'Customer Info'!A857:I1356,5,0)</f>
        <v>#N/A</v>
      </c>
      <c r="J865" s="2">
        <v>93</v>
      </c>
      <c r="K865" s="2">
        <v>86</v>
      </c>
      <c r="L865" s="2">
        <v>7</v>
      </c>
      <c r="M865" s="7">
        <f t="shared" si="52"/>
        <v>602</v>
      </c>
      <c r="N865" s="7">
        <f t="shared" si="53"/>
        <v>651</v>
      </c>
      <c r="O865" s="2">
        <v>10</v>
      </c>
      <c r="P865" s="8">
        <f t="shared" si="54"/>
        <v>661</v>
      </c>
      <c r="Q865" s="8">
        <f t="shared" si="55"/>
        <v>641</v>
      </c>
      <c r="R865" s="2" t="s">
        <v>28</v>
      </c>
      <c r="S865" s="9">
        <f>VLOOKUP(P865,$T$2:U862,2,1)</f>
        <v>0.02</v>
      </c>
    </row>
    <row r="866" spans="1:19" x14ac:dyDescent="0.25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e">
        <f>VLOOKUP(F866,'Customer Info'!A858:I1357,2,0)</f>
        <v>#N/A</v>
      </c>
      <c r="H866" s="6" t="e">
        <f>VLOOKUP(F866,'Customer Info'!A858:I1357,3,0)</f>
        <v>#N/A</v>
      </c>
      <c r="I866" s="6" t="e">
        <f>VLOOKUP(F866,'Customer Info'!A858:I1357,5,0)</f>
        <v>#N/A</v>
      </c>
      <c r="J866" s="2">
        <v>2078</v>
      </c>
      <c r="K866" s="2">
        <v>1871</v>
      </c>
      <c r="L866" s="2">
        <v>2</v>
      </c>
      <c r="M866" s="7">
        <f t="shared" si="52"/>
        <v>3742</v>
      </c>
      <c r="N866" s="7">
        <f t="shared" si="53"/>
        <v>4156</v>
      </c>
      <c r="O866" s="2">
        <v>45</v>
      </c>
      <c r="P866" s="8">
        <f t="shared" si="54"/>
        <v>4201</v>
      </c>
      <c r="Q866" s="8">
        <f t="shared" si="55"/>
        <v>4111</v>
      </c>
      <c r="R866" s="2" t="s">
        <v>50</v>
      </c>
      <c r="S866" s="9">
        <f>VLOOKUP(P866,$T$2:U863,2,1)</f>
        <v>0.02</v>
      </c>
    </row>
    <row r="867" spans="1:19" x14ac:dyDescent="0.25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e">
        <f>VLOOKUP(F867,'Customer Info'!A859:I1358,2,0)</f>
        <v>#N/A</v>
      </c>
      <c r="H867" s="6" t="e">
        <f>VLOOKUP(F867,'Customer Info'!A859:I1358,3,0)</f>
        <v>#N/A</v>
      </c>
      <c r="I867" s="6" t="e">
        <f>VLOOKUP(F867,'Customer Info'!A859:I1358,5,0)</f>
        <v>#N/A</v>
      </c>
      <c r="J867" s="2">
        <v>1413</v>
      </c>
      <c r="K867" s="2">
        <v>1334</v>
      </c>
      <c r="L867" s="2">
        <v>2</v>
      </c>
      <c r="M867" s="7">
        <f t="shared" si="52"/>
        <v>2668</v>
      </c>
      <c r="N867" s="7">
        <f t="shared" si="53"/>
        <v>2826</v>
      </c>
      <c r="O867" s="2">
        <v>93</v>
      </c>
      <c r="P867" s="8">
        <f t="shared" si="54"/>
        <v>2919</v>
      </c>
      <c r="Q867" s="8">
        <f t="shared" si="55"/>
        <v>2733</v>
      </c>
      <c r="R867" s="2" t="s">
        <v>28</v>
      </c>
      <c r="S867" s="9">
        <f>VLOOKUP(P867,$T$2:U864,2,1)</f>
        <v>0.02</v>
      </c>
    </row>
    <row r="868" spans="1:19" x14ac:dyDescent="0.25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e">
        <f>VLOOKUP(F868,'Customer Info'!A860:I1359,2,0)</f>
        <v>#N/A</v>
      </c>
      <c r="H868" s="6" t="e">
        <f>VLOOKUP(F868,'Customer Info'!A860:I1359,3,0)</f>
        <v>#N/A</v>
      </c>
      <c r="I868" s="6" t="e">
        <f>VLOOKUP(F868,'Customer Info'!A860:I1359,5,0)</f>
        <v>#N/A</v>
      </c>
      <c r="J868" s="2">
        <v>6951</v>
      </c>
      <c r="K868" s="2">
        <v>6620</v>
      </c>
      <c r="L868" s="2">
        <v>1</v>
      </c>
      <c r="M868" s="7">
        <f t="shared" si="52"/>
        <v>6620</v>
      </c>
      <c r="N868" s="7">
        <f t="shared" si="53"/>
        <v>6951</v>
      </c>
      <c r="O868" s="2">
        <v>97</v>
      </c>
      <c r="P868" s="8">
        <f t="shared" si="54"/>
        <v>7048</v>
      </c>
      <c r="Q868" s="8">
        <f t="shared" si="55"/>
        <v>6854</v>
      </c>
      <c r="R868" s="2" t="s">
        <v>28</v>
      </c>
      <c r="S868" s="9">
        <f>VLOOKUP(P868,$T$2:U865,2,1)</f>
        <v>0.05</v>
      </c>
    </row>
    <row r="869" spans="1:19" x14ac:dyDescent="0.25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e">
        <f>VLOOKUP(F869,'Customer Info'!A861:I1360,2,0)</f>
        <v>#N/A</v>
      </c>
      <c r="H869" s="6" t="e">
        <f>VLOOKUP(F869,'Customer Info'!A861:I1360,3,0)</f>
        <v>#N/A</v>
      </c>
      <c r="I869" s="6" t="e">
        <f>VLOOKUP(F869,'Customer Info'!A861:I1360,5,0)</f>
        <v>#N/A</v>
      </c>
      <c r="J869" s="2">
        <v>1585</v>
      </c>
      <c r="K869" s="2">
        <v>1495</v>
      </c>
      <c r="L869" s="2">
        <v>1</v>
      </c>
      <c r="M869" s="7">
        <f t="shared" si="52"/>
        <v>1495</v>
      </c>
      <c r="N869" s="7">
        <f t="shared" si="53"/>
        <v>1585</v>
      </c>
      <c r="O869" s="2">
        <v>77</v>
      </c>
      <c r="P869" s="8">
        <f t="shared" si="54"/>
        <v>1662</v>
      </c>
      <c r="Q869" s="8">
        <f t="shared" si="55"/>
        <v>1508</v>
      </c>
      <c r="R869" s="2" t="s">
        <v>50</v>
      </c>
      <c r="S869" s="9">
        <f>VLOOKUP(P869,$T$2:U866,2,1)</f>
        <v>0.02</v>
      </c>
    </row>
    <row r="870" spans="1:19" x14ac:dyDescent="0.25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e">
        <f>VLOOKUP(F870,'Customer Info'!A862:I1361,2,0)</f>
        <v>#N/A</v>
      </c>
      <c r="H870" s="6" t="e">
        <f>VLOOKUP(F870,'Customer Info'!A862:I1361,3,0)</f>
        <v>#N/A</v>
      </c>
      <c r="I870" s="6" t="e">
        <f>VLOOKUP(F870,'Customer Info'!A862:I1361,5,0)</f>
        <v>#N/A</v>
      </c>
      <c r="J870" s="2">
        <v>63</v>
      </c>
      <c r="K870" s="2">
        <v>59</v>
      </c>
      <c r="L870" s="2">
        <v>7</v>
      </c>
      <c r="M870" s="7">
        <f t="shared" si="52"/>
        <v>413</v>
      </c>
      <c r="N870" s="7">
        <f t="shared" si="53"/>
        <v>441</v>
      </c>
      <c r="O870" s="2">
        <v>10</v>
      </c>
      <c r="P870" s="8">
        <f t="shared" si="54"/>
        <v>451</v>
      </c>
      <c r="Q870" s="8">
        <f t="shared" si="55"/>
        <v>431</v>
      </c>
      <c r="R870" s="2" t="s">
        <v>50</v>
      </c>
      <c r="S870" s="9">
        <f>VLOOKUP(P870,$T$2:U867,2,1)</f>
        <v>0.02</v>
      </c>
    </row>
    <row r="871" spans="1:19" x14ac:dyDescent="0.25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e">
        <f>VLOOKUP(F871,'Customer Info'!A863:I1362,2,0)</f>
        <v>#N/A</v>
      </c>
      <c r="H871" s="6" t="e">
        <f>VLOOKUP(F871,'Customer Info'!A863:I1362,3,0)</f>
        <v>#N/A</v>
      </c>
      <c r="I871" s="6" t="e">
        <f>VLOOKUP(F871,'Customer Info'!A863:I1362,5,0)</f>
        <v>#N/A</v>
      </c>
      <c r="J871" s="2">
        <v>25658</v>
      </c>
      <c r="K871" s="2">
        <v>24466</v>
      </c>
      <c r="L871" s="2">
        <v>5</v>
      </c>
      <c r="M871" s="7">
        <f t="shared" si="52"/>
        <v>122330</v>
      </c>
      <c r="N871" s="7">
        <f t="shared" si="53"/>
        <v>128290</v>
      </c>
      <c r="O871" s="2">
        <v>66</v>
      </c>
      <c r="P871" s="8">
        <f t="shared" si="54"/>
        <v>128356</v>
      </c>
      <c r="Q871" s="8">
        <f t="shared" si="55"/>
        <v>128224</v>
      </c>
      <c r="R871" s="2" t="s">
        <v>28</v>
      </c>
      <c r="S871" s="9">
        <f>VLOOKUP(P871,$T$2:U868,2,1)</f>
        <v>0.12</v>
      </c>
    </row>
    <row r="872" spans="1:19" x14ac:dyDescent="0.25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e">
        <f>VLOOKUP(F872,'Customer Info'!A864:I1363,2,0)</f>
        <v>#N/A</v>
      </c>
      <c r="H872" s="6" t="e">
        <f>VLOOKUP(F872,'Customer Info'!A864:I1363,3,0)</f>
        <v>#N/A</v>
      </c>
      <c r="I872" s="6" t="e">
        <f>VLOOKUP(F872,'Customer Info'!A864:I1363,5,0)</f>
        <v>#N/A</v>
      </c>
      <c r="J872" s="2">
        <v>2907</v>
      </c>
      <c r="K872" s="2">
        <v>2667</v>
      </c>
      <c r="L872" s="2">
        <v>1</v>
      </c>
      <c r="M872" s="7">
        <f t="shared" si="52"/>
        <v>2667</v>
      </c>
      <c r="N872" s="7">
        <f t="shared" si="53"/>
        <v>2907</v>
      </c>
      <c r="O872" s="2">
        <v>80</v>
      </c>
      <c r="P872" s="8">
        <f t="shared" si="54"/>
        <v>2987</v>
      </c>
      <c r="Q872" s="8">
        <f t="shared" si="55"/>
        <v>2827</v>
      </c>
      <c r="R872" s="2" t="s">
        <v>26</v>
      </c>
      <c r="S872" s="9">
        <f>VLOOKUP(P872,$T$2:U869,2,1)</f>
        <v>0.02</v>
      </c>
    </row>
    <row r="873" spans="1:19" x14ac:dyDescent="0.25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e">
        <f>VLOOKUP(F873,'Customer Info'!A865:I1364,2,0)</f>
        <v>#N/A</v>
      </c>
      <c r="H873" s="6" t="e">
        <f>VLOOKUP(F873,'Customer Info'!A865:I1364,3,0)</f>
        <v>#N/A</v>
      </c>
      <c r="I873" s="6" t="e">
        <f>VLOOKUP(F873,'Customer Info'!A865:I1364,5,0)</f>
        <v>#N/A</v>
      </c>
      <c r="J873" s="2">
        <v>3041</v>
      </c>
      <c r="K873" s="2">
        <v>2927</v>
      </c>
      <c r="L873" s="2">
        <v>6</v>
      </c>
      <c r="M873" s="7">
        <f t="shared" si="52"/>
        <v>17562</v>
      </c>
      <c r="N873" s="7">
        <f t="shared" si="53"/>
        <v>18246</v>
      </c>
      <c r="O873" s="2">
        <v>94</v>
      </c>
      <c r="P873" s="8">
        <f t="shared" si="54"/>
        <v>18340</v>
      </c>
      <c r="Q873" s="8">
        <f t="shared" si="55"/>
        <v>18152</v>
      </c>
      <c r="R873" s="2" t="s">
        <v>26</v>
      </c>
      <c r="S873" s="9">
        <f>VLOOKUP(P873,$T$2:U870,2,1)</f>
        <v>0.05</v>
      </c>
    </row>
    <row r="874" spans="1:19" x14ac:dyDescent="0.25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e">
        <f>VLOOKUP(F874,'Customer Info'!A866:I1365,2,0)</f>
        <v>#N/A</v>
      </c>
      <c r="H874" s="6" t="e">
        <f>VLOOKUP(F874,'Customer Info'!A866:I1365,3,0)</f>
        <v>#N/A</v>
      </c>
      <c r="I874" s="6" t="e">
        <f>VLOOKUP(F874,'Customer Info'!A866:I1365,5,0)</f>
        <v>#N/A</v>
      </c>
      <c r="J874" s="2">
        <v>658</v>
      </c>
      <c r="K874" s="2">
        <v>615</v>
      </c>
      <c r="L874" s="2">
        <v>6</v>
      </c>
      <c r="M874" s="7">
        <f t="shared" si="52"/>
        <v>3690</v>
      </c>
      <c r="N874" s="7">
        <f t="shared" si="53"/>
        <v>3948</v>
      </c>
      <c r="O874" s="2">
        <v>92</v>
      </c>
      <c r="P874" s="8">
        <f t="shared" si="54"/>
        <v>4040</v>
      </c>
      <c r="Q874" s="8">
        <f t="shared" si="55"/>
        <v>3856</v>
      </c>
      <c r="R874" s="2" t="s">
        <v>28</v>
      </c>
      <c r="S874" s="9">
        <f>VLOOKUP(P874,$T$2:U871,2,1)</f>
        <v>0.02</v>
      </c>
    </row>
    <row r="875" spans="1:19" x14ac:dyDescent="0.25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e">
        <f>VLOOKUP(F875,'Customer Info'!A867:I1366,2,0)</f>
        <v>#N/A</v>
      </c>
      <c r="H875" s="6" t="e">
        <f>VLOOKUP(F875,'Customer Info'!A867:I1366,3,0)</f>
        <v>#N/A</v>
      </c>
      <c r="I875" s="6" t="e">
        <f>VLOOKUP(F875,'Customer Info'!A867:I1366,5,0)</f>
        <v>#N/A</v>
      </c>
      <c r="J875" s="2">
        <v>127</v>
      </c>
      <c r="K875" s="2">
        <v>116</v>
      </c>
      <c r="L875" s="2">
        <v>2</v>
      </c>
      <c r="M875" s="7">
        <f t="shared" si="52"/>
        <v>232</v>
      </c>
      <c r="N875" s="7">
        <f t="shared" si="53"/>
        <v>254</v>
      </c>
      <c r="O875" s="2">
        <v>30</v>
      </c>
      <c r="P875" s="8">
        <f t="shared" si="54"/>
        <v>284</v>
      </c>
      <c r="Q875" s="8">
        <f t="shared" si="55"/>
        <v>224</v>
      </c>
      <c r="R875" s="2" t="s">
        <v>28</v>
      </c>
      <c r="S875" s="9">
        <f>VLOOKUP(P875,$T$2:U872,2,1)</f>
        <v>0.02</v>
      </c>
    </row>
    <row r="876" spans="1:19" x14ac:dyDescent="0.25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e">
        <f>VLOOKUP(F876,'Customer Info'!A868:I1367,2,0)</f>
        <v>#N/A</v>
      </c>
      <c r="H876" s="6" t="e">
        <f>VLOOKUP(F876,'Customer Info'!A868:I1367,3,0)</f>
        <v>#N/A</v>
      </c>
      <c r="I876" s="6" t="e">
        <f>VLOOKUP(F876,'Customer Info'!A868:I1367,5,0)</f>
        <v>#N/A</v>
      </c>
      <c r="J876" s="2">
        <v>38328</v>
      </c>
      <c r="K876" s="2">
        <v>35164</v>
      </c>
      <c r="L876" s="2">
        <v>2</v>
      </c>
      <c r="M876" s="7">
        <f t="shared" si="52"/>
        <v>70328</v>
      </c>
      <c r="N876" s="7">
        <f t="shared" si="53"/>
        <v>76656</v>
      </c>
      <c r="O876" s="2">
        <v>72</v>
      </c>
      <c r="P876" s="8">
        <f t="shared" si="54"/>
        <v>76728</v>
      </c>
      <c r="Q876" s="8">
        <f t="shared" si="55"/>
        <v>76584</v>
      </c>
      <c r="R876" s="2" t="s">
        <v>28</v>
      </c>
      <c r="S876" s="9">
        <f>VLOOKUP(P876,$T$2:U873,2,1)</f>
        <v>0.09</v>
      </c>
    </row>
    <row r="877" spans="1:19" x14ac:dyDescent="0.25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e">
        <f>VLOOKUP(F877,'Customer Info'!A869:I1368,2,0)</f>
        <v>#N/A</v>
      </c>
      <c r="H877" s="6" t="e">
        <f>VLOOKUP(F877,'Customer Info'!A869:I1368,3,0)</f>
        <v>#N/A</v>
      </c>
      <c r="I877" s="6" t="e">
        <f>VLOOKUP(F877,'Customer Info'!A869:I1368,5,0)</f>
        <v>#N/A</v>
      </c>
      <c r="J877" s="2">
        <v>138</v>
      </c>
      <c r="K877" s="2">
        <v>128</v>
      </c>
      <c r="L877" s="2">
        <v>3</v>
      </c>
      <c r="M877" s="7">
        <f t="shared" si="52"/>
        <v>384</v>
      </c>
      <c r="N877" s="7">
        <f t="shared" si="53"/>
        <v>414</v>
      </c>
      <c r="O877" s="2">
        <v>30</v>
      </c>
      <c r="P877" s="8">
        <f t="shared" si="54"/>
        <v>444</v>
      </c>
      <c r="Q877" s="8">
        <f t="shared" si="55"/>
        <v>384</v>
      </c>
      <c r="R877" s="2" t="s">
        <v>50</v>
      </c>
      <c r="S877" s="9">
        <f>VLOOKUP(P877,$T$2:U874,2,1)</f>
        <v>0.02</v>
      </c>
    </row>
    <row r="878" spans="1:19" x14ac:dyDescent="0.25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e">
        <f>VLOOKUP(F878,'Customer Info'!A870:I1369,2,0)</f>
        <v>#N/A</v>
      </c>
      <c r="H878" s="6" t="e">
        <f>VLOOKUP(F878,'Customer Info'!A870:I1369,3,0)</f>
        <v>#N/A</v>
      </c>
      <c r="I878" s="6" t="e">
        <f>VLOOKUP(F878,'Customer Info'!A870:I1369,5,0)</f>
        <v>#N/A</v>
      </c>
      <c r="J878" s="2">
        <v>1186</v>
      </c>
      <c r="K878" s="2">
        <v>1141</v>
      </c>
      <c r="L878" s="2">
        <v>2</v>
      </c>
      <c r="M878" s="7">
        <f t="shared" si="52"/>
        <v>2282</v>
      </c>
      <c r="N878" s="7">
        <f t="shared" si="53"/>
        <v>2372</v>
      </c>
      <c r="O878" s="2">
        <v>39</v>
      </c>
      <c r="P878" s="8">
        <f t="shared" si="54"/>
        <v>2411</v>
      </c>
      <c r="Q878" s="8">
        <f t="shared" si="55"/>
        <v>2333</v>
      </c>
      <c r="R878" s="2" t="s">
        <v>50</v>
      </c>
      <c r="S878" s="9">
        <f>VLOOKUP(P878,$T$2:U875,2,1)</f>
        <v>0.02</v>
      </c>
    </row>
    <row r="879" spans="1:19" x14ac:dyDescent="0.25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e">
        <f>VLOOKUP(F879,'Customer Info'!A871:I1370,2,0)</f>
        <v>#N/A</v>
      </c>
      <c r="H879" s="6" t="e">
        <f>VLOOKUP(F879,'Customer Info'!A871:I1370,3,0)</f>
        <v>#N/A</v>
      </c>
      <c r="I879" s="6" t="e">
        <f>VLOOKUP(F879,'Customer Info'!A871:I1370,5,0)</f>
        <v>#N/A</v>
      </c>
      <c r="J879" s="2">
        <v>2042</v>
      </c>
      <c r="K879" s="2">
        <v>1965</v>
      </c>
      <c r="L879" s="2">
        <v>2</v>
      </c>
      <c r="M879" s="7">
        <f t="shared" si="52"/>
        <v>3930</v>
      </c>
      <c r="N879" s="7">
        <f t="shared" si="53"/>
        <v>4084</v>
      </c>
      <c r="O879" s="2">
        <v>72</v>
      </c>
      <c r="P879" s="8">
        <f t="shared" si="54"/>
        <v>4156</v>
      </c>
      <c r="Q879" s="8">
        <f t="shared" si="55"/>
        <v>4012</v>
      </c>
      <c r="R879" s="2" t="s">
        <v>26</v>
      </c>
      <c r="S879" s="9">
        <f>VLOOKUP(P879,$T$2:U876,2,1)</f>
        <v>0.02</v>
      </c>
    </row>
    <row r="880" spans="1:19" x14ac:dyDescent="0.25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e">
        <f>VLOOKUP(F880,'Customer Info'!A872:I1371,2,0)</f>
        <v>#N/A</v>
      </c>
      <c r="H880" s="6" t="e">
        <f>VLOOKUP(F880,'Customer Info'!A872:I1371,3,0)</f>
        <v>#N/A</v>
      </c>
      <c r="I880" s="6" t="e">
        <f>VLOOKUP(F880,'Customer Info'!A872:I1371,5,0)</f>
        <v>#N/A</v>
      </c>
      <c r="J880" s="2">
        <v>60</v>
      </c>
      <c r="K880" s="2">
        <v>55</v>
      </c>
      <c r="L880" s="2">
        <v>4</v>
      </c>
      <c r="M880" s="7">
        <f t="shared" si="52"/>
        <v>220</v>
      </c>
      <c r="N880" s="7">
        <f t="shared" si="53"/>
        <v>240</v>
      </c>
      <c r="O880" s="2">
        <v>10</v>
      </c>
      <c r="P880" s="8">
        <f t="shared" si="54"/>
        <v>250</v>
      </c>
      <c r="Q880" s="8">
        <f t="shared" si="55"/>
        <v>230</v>
      </c>
      <c r="R880" s="2" t="s">
        <v>28</v>
      </c>
      <c r="S880" s="9">
        <f>VLOOKUP(P880,$T$2:U877,2,1)</f>
        <v>0.02</v>
      </c>
    </row>
    <row r="881" spans="1:19" x14ac:dyDescent="0.25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e">
        <f>VLOOKUP(F881,'Customer Info'!A873:I1372,2,0)</f>
        <v>#N/A</v>
      </c>
      <c r="H881" s="6" t="e">
        <f>VLOOKUP(F881,'Customer Info'!A873:I1372,3,0)</f>
        <v>#N/A</v>
      </c>
      <c r="I881" s="6" t="e">
        <f>VLOOKUP(F881,'Customer Info'!A873:I1372,5,0)</f>
        <v>#N/A</v>
      </c>
      <c r="J881" s="2">
        <v>2857</v>
      </c>
      <c r="K881" s="2">
        <v>2622</v>
      </c>
      <c r="L881" s="2">
        <v>6</v>
      </c>
      <c r="M881" s="7">
        <f t="shared" si="52"/>
        <v>15732</v>
      </c>
      <c r="N881" s="7">
        <f t="shared" si="53"/>
        <v>17142</v>
      </c>
      <c r="O881" s="2">
        <v>45</v>
      </c>
      <c r="P881" s="8">
        <f t="shared" si="54"/>
        <v>17187</v>
      </c>
      <c r="Q881" s="8">
        <f t="shared" si="55"/>
        <v>17097</v>
      </c>
      <c r="R881" s="2" t="s">
        <v>28</v>
      </c>
      <c r="S881" s="9">
        <f>VLOOKUP(P881,$T$2:U878,2,1)</f>
        <v>0.05</v>
      </c>
    </row>
    <row r="882" spans="1:19" x14ac:dyDescent="0.25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e">
        <f>VLOOKUP(F882,'Customer Info'!A874:I1373,2,0)</f>
        <v>#N/A</v>
      </c>
      <c r="H882" s="6" t="e">
        <f>VLOOKUP(F882,'Customer Info'!A874:I1373,3,0)</f>
        <v>#N/A</v>
      </c>
      <c r="I882" s="6" t="e">
        <f>VLOOKUP(F882,'Customer Info'!A874:I1373,5,0)</f>
        <v>#N/A</v>
      </c>
      <c r="J882" s="2">
        <v>127</v>
      </c>
      <c r="K882" s="2">
        <v>116</v>
      </c>
      <c r="L882" s="2">
        <v>1</v>
      </c>
      <c r="M882" s="7">
        <f t="shared" si="52"/>
        <v>116</v>
      </c>
      <c r="N882" s="7">
        <f t="shared" si="53"/>
        <v>127</v>
      </c>
      <c r="O882" s="2">
        <v>30</v>
      </c>
      <c r="P882" s="8">
        <f t="shared" si="54"/>
        <v>157</v>
      </c>
      <c r="Q882" s="8">
        <f t="shared" si="55"/>
        <v>97</v>
      </c>
      <c r="R882" s="2" t="s">
        <v>50</v>
      </c>
      <c r="S882" s="9">
        <f>VLOOKUP(P882,$T$2:U879,2,1)</f>
        <v>0.02</v>
      </c>
    </row>
    <row r="883" spans="1:19" x14ac:dyDescent="0.25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e">
        <f>VLOOKUP(F883,'Customer Info'!A875:I1374,2,0)</f>
        <v>#N/A</v>
      </c>
      <c r="H883" s="6" t="e">
        <f>VLOOKUP(F883,'Customer Info'!A875:I1374,3,0)</f>
        <v>#N/A</v>
      </c>
      <c r="I883" s="6" t="e">
        <f>VLOOKUP(F883,'Customer Info'!A875:I1374,5,0)</f>
        <v>#N/A</v>
      </c>
      <c r="J883" s="2">
        <v>1983</v>
      </c>
      <c r="K883" s="2">
        <v>1908</v>
      </c>
      <c r="L883" s="2">
        <v>1</v>
      </c>
      <c r="M883" s="7">
        <f t="shared" si="52"/>
        <v>1908</v>
      </c>
      <c r="N883" s="7">
        <f t="shared" si="53"/>
        <v>1983</v>
      </c>
      <c r="O883" s="2">
        <v>57</v>
      </c>
      <c r="P883" s="8">
        <f t="shared" si="54"/>
        <v>2040</v>
      </c>
      <c r="Q883" s="8">
        <f t="shared" si="55"/>
        <v>1926</v>
      </c>
      <c r="R883" s="2" t="s">
        <v>26</v>
      </c>
      <c r="S883" s="9">
        <f>VLOOKUP(P883,$T$2:U880,2,1)</f>
        <v>0.02</v>
      </c>
    </row>
    <row r="884" spans="1:19" x14ac:dyDescent="0.25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e">
        <f>VLOOKUP(F884,'Customer Info'!A876:I1375,2,0)</f>
        <v>#N/A</v>
      </c>
      <c r="H884" s="6" t="e">
        <f>VLOOKUP(F884,'Customer Info'!A876:I1375,3,0)</f>
        <v>#N/A</v>
      </c>
      <c r="I884" s="6" t="e">
        <f>VLOOKUP(F884,'Customer Info'!A876:I1375,5,0)</f>
        <v>#N/A</v>
      </c>
      <c r="J884" s="2">
        <v>97</v>
      </c>
      <c r="K884" s="2">
        <v>92</v>
      </c>
      <c r="L884" s="2">
        <v>2</v>
      </c>
      <c r="M884" s="7">
        <f t="shared" si="52"/>
        <v>184</v>
      </c>
      <c r="N884" s="7">
        <f t="shared" si="53"/>
        <v>194</v>
      </c>
      <c r="O884" s="2">
        <v>10</v>
      </c>
      <c r="P884" s="8">
        <f t="shared" si="54"/>
        <v>204</v>
      </c>
      <c r="Q884" s="8">
        <f t="shared" si="55"/>
        <v>184</v>
      </c>
      <c r="R884" s="2" t="s">
        <v>28</v>
      </c>
      <c r="S884" s="9">
        <f>VLOOKUP(P884,$T$2:U881,2,1)</f>
        <v>0.02</v>
      </c>
    </row>
    <row r="885" spans="1:19" x14ac:dyDescent="0.25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e">
        <f>VLOOKUP(F885,'Customer Info'!A877:I1376,2,0)</f>
        <v>#N/A</v>
      </c>
      <c r="H885" s="6" t="e">
        <f>VLOOKUP(F885,'Customer Info'!A877:I1376,3,0)</f>
        <v>#N/A</v>
      </c>
      <c r="I885" s="6" t="e">
        <f>VLOOKUP(F885,'Customer Info'!A877:I1376,5,0)</f>
        <v>#N/A</v>
      </c>
      <c r="J885" s="2">
        <v>887</v>
      </c>
      <c r="K885" s="2">
        <v>814</v>
      </c>
      <c r="L885" s="2">
        <v>5</v>
      </c>
      <c r="M885" s="7">
        <f t="shared" si="52"/>
        <v>4070</v>
      </c>
      <c r="N885" s="7">
        <f t="shared" si="53"/>
        <v>4435</v>
      </c>
      <c r="O885" s="2">
        <v>24</v>
      </c>
      <c r="P885" s="8">
        <f t="shared" si="54"/>
        <v>4459</v>
      </c>
      <c r="Q885" s="8">
        <f t="shared" si="55"/>
        <v>4411</v>
      </c>
      <c r="R885" s="2" t="s">
        <v>28</v>
      </c>
      <c r="S885" s="9">
        <f>VLOOKUP(P885,$T$2:U882,2,1)</f>
        <v>0.02</v>
      </c>
    </row>
    <row r="886" spans="1:19" x14ac:dyDescent="0.25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e">
        <f>VLOOKUP(F886,'Customer Info'!A878:I1377,2,0)</f>
        <v>#N/A</v>
      </c>
      <c r="H886" s="6" t="e">
        <f>VLOOKUP(F886,'Customer Info'!A878:I1377,3,0)</f>
        <v>#N/A</v>
      </c>
      <c r="I886" s="6" t="e">
        <f>VLOOKUP(F886,'Customer Info'!A878:I1377,5,0)</f>
        <v>#N/A</v>
      </c>
      <c r="J886" s="2">
        <v>5882</v>
      </c>
      <c r="K886" s="2">
        <v>5713</v>
      </c>
      <c r="L886" s="2">
        <v>2</v>
      </c>
      <c r="M886" s="7">
        <f t="shared" si="52"/>
        <v>11426</v>
      </c>
      <c r="N886" s="7">
        <f t="shared" si="53"/>
        <v>11764</v>
      </c>
      <c r="O886" s="2">
        <v>95</v>
      </c>
      <c r="P886" s="8">
        <f t="shared" si="54"/>
        <v>11859</v>
      </c>
      <c r="Q886" s="8">
        <f t="shared" si="55"/>
        <v>11669</v>
      </c>
      <c r="R886" s="2" t="s">
        <v>28</v>
      </c>
      <c r="S886" s="9">
        <f>VLOOKUP(P886,$T$2:U883,2,1)</f>
        <v>0.05</v>
      </c>
    </row>
    <row r="887" spans="1:19" x14ac:dyDescent="0.25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e">
        <f>VLOOKUP(F887,'Customer Info'!A879:I1378,2,0)</f>
        <v>#N/A</v>
      </c>
      <c r="H887" s="6" t="e">
        <f>VLOOKUP(F887,'Customer Info'!A879:I1378,3,0)</f>
        <v>#N/A</v>
      </c>
      <c r="I887" s="6" t="e">
        <f>VLOOKUP(F887,'Customer Info'!A879:I1378,5,0)</f>
        <v>#N/A</v>
      </c>
      <c r="J887" s="2">
        <v>2078</v>
      </c>
      <c r="K887" s="2">
        <v>1871</v>
      </c>
      <c r="L887" s="2">
        <v>1</v>
      </c>
      <c r="M887" s="7">
        <f t="shared" si="52"/>
        <v>1871</v>
      </c>
      <c r="N887" s="7">
        <f t="shared" si="53"/>
        <v>2078</v>
      </c>
      <c r="O887" s="2">
        <v>55</v>
      </c>
      <c r="P887" s="8">
        <f t="shared" si="54"/>
        <v>2133</v>
      </c>
      <c r="Q887" s="8">
        <f t="shared" si="55"/>
        <v>2023</v>
      </c>
      <c r="R887" s="2" t="s">
        <v>28</v>
      </c>
      <c r="S887" s="9">
        <f>VLOOKUP(P887,$T$2:U884,2,1)</f>
        <v>0.02</v>
      </c>
    </row>
    <row r="888" spans="1:19" x14ac:dyDescent="0.25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e">
        <f>VLOOKUP(F888,'Customer Info'!A880:I1379,2,0)</f>
        <v>#N/A</v>
      </c>
      <c r="H888" s="6" t="e">
        <f>VLOOKUP(F888,'Customer Info'!A880:I1379,3,0)</f>
        <v>#N/A</v>
      </c>
      <c r="I888" s="6" t="e">
        <f>VLOOKUP(F888,'Customer Info'!A880:I1379,5,0)</f>
        <v>#N/A</v>
      </c>
      <c r="J888" s="2">
        <v>2310</v>
      </c>
      <c r="K888" s="2">
        <v>2040</v>
      </c>
      <c r="L888" s="2">
        <v>3</v>
      </c>
      <c r="M888" s="7">
        <f t="shared" si="52"/>
        <v>6120</v>
      </c>
      <c r="N888" s="7">
        <f t="shared" si="53"/>
        <v>6930</v>
      </c>
      <c r="O888" s="2">
        <v>74</v>
      </c>
      <c r="P888" s="8">
        <f t="shared" si="54"/>
        <v>7004</v>
      </c>
      <c r="Q888" s="8">
        <f t="shared" si="55"/>
        <v>6856</v>
      </c>
      <c r="R888" s="2" t="s">
        <v>28</v>
      </c>
      <c r="S888" s="9">
        <f>VLOOKUP(P888,$T$2:U885,2,1)</f>
        <v>0.05</v>
      </c>
    </row>
    <row r="889" spans="1:19" x14ac:dyDescent="0.25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e">
        <f>VLOOKUP(F889,'Customer Info'!A881:I1380,2,0)</f>
        <v>#N/A</v>
      </c>
      <c r="H889" s="6" t="e">
        <f>VLOOKUP(F889,'Customer Info'!A881:I1380,3,0)</f>
        <v>#N/A</v>
      </c>
      <c r="I889" s="6" t="e">
        <f>VLOOKUP(F889,'Customer Info'!A881:I1380,5,0)</f>
        <v>#N/A</v>
      </c>
      <c r="J889" s="2">
        <v>5909</v>
      </c>
      <c r="K889" s="2">
        <v>5528</v>
      </c>
      <c r="L889" s="2">
        <v>3</v>
      </c>
      <c r="M889" s="7">
        <f t="shared" si="52"/>
        <v>16584</v>
      </c>
      <c r="N889" s="7">
        <f t="shared" si="53"/>
        <v>17727</v>
      </c>
      <c r="O889" s="2">
        <v>87</v>
      </c>
      <c r="P889" s="8">
        <f t="shared" si="54"/>
        <v>17814</v>
      </c>
      <c r="Q889" s="8">
        <f t="shared" si="55"/>
        <v>17640</v>
      </c>
      <c r="R889" s="2" t="s">
        <v>28</v>
      </c>
      <c r="S889" s="9">
        <f>VLOOKUP(P889,$T$2:U886,2,1)</f>
        <v>0.05</v>
      </c>
    </row>
    <row r="890" spans="1:19" x14ac:dyDescent="0.25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e">
        <f>VLOOKUP(F890,'Customer Info'!A882:I1381,2,0)</f>
        <v>#N/A</v>
      </c>
      <c r="H890" s="6" t="e">
        <f>VLOOKUP(F890,'Customer Info'!A882:I1381,3,0)</f>
        <v>#N/A</v>
      </c>
      <c r="I890" s="6" t="e">
        <f>VLOOKUP(F890,'Customer Info'!A882:I1381,5,0)</f>
        <v>#N/A</v>
      </c>
      <c r="J890" s="2">
        <v>472</v>
      </c>
      <c r="K890" s="2">
        <v>432</v>
      </c>
      <c r="L890" s="2">
        <v>3</v>
      </c>
      <c r="M890" s="7">
        <f t="shared" si="52"/>
        <v>1296</v>
      </c>
      <c r="N890" s="7">
        <f t="shared" si="53"/>
        <v>1416</v>
      </c>
      <c r="O890" s="2">
        <v>55</v>
      </c>
      <c r="P890" s="8">
        <f t="shared" si="54"/>
        <v>1471</v>
      </c>
      <c r="Q890" s="8">
        <f t="shared" si="55"/>
        <v>1361</v>
      </c>
      <c r="R890" s="2" t="s">
        <v>50</v>
      </c>
      <c r="S890" s="9">
        <f>VLOOKUP(P890,$T$2:U887,2,1)</f>
        <v>0.02</v>
      </c>
    </row>
    <row r="891" spans="1:19" x14ac:dyDescent="0.25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e">
        <f>VLOOKUP(F891,'Customer Info'!A883:I1382,2,0)</f>
        <v>#N/A</v>
      </c>
      <c r="H891" s="6" t="e">
        <f>VLOOKUP(F891,'Customer Info'!A883:I1382,3,0)</f>
        <v>#N/A</v>
      </c>
      <c r="I891" s="6" t="e">
        <f>VLOOKUP(F891,'Customer Info'!A883:I1382,5,0)</f>
        <v>#N/A</v>
      </c>
      <c r="J891" s="2">
        <v>393</v>
      </c>
      <c r="K891" s="2">
        <v>374</v>
      </c>
      <c r="L891" s="2">
        <v>2</v>
      </c>
      <c r="M891" s="7">
        <f t="shared" si="52"/>
        <v>748</v>
      </c>
      <c r="N891" s="7">
        <f t="shared" si="53"/>
        <v>786</v>
      </c>
      <c r="O891" s="2">
        <v>27</v>
      </c>
      <c r="P891" s="8">
        <f t="shared" si="54"/>
        <v>813</v>
      </c>
      <c r="Q891" s="8">
        <f t="shared" si="55"/>
        <v>759</v>
      </c>
      <c r="R891" s="2" t="s">
        <v>50</v>
      </c>
      <c r="S891" s="9">
        <f>VLOOKUP(P891,$T$2:U888,2,1)</f>
        <v>0.02</v>
      </c>
    </row>
    <row r="892" spans="1:19" x14ac:dyDescent="0.25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e">
        <f>VLOOKUP(F892,'Customer Info'!A884:I1383,2,0)</f>
        <v>#N/A</v>
      </c>
      <c r="H892" s="6" t="e">
        <f>VLOOKUP(F892,'Customer Info'!A884:I1383,3,0)</f>
        <v>#N/A</v>
      </c>
      <c r="I892" s="6" t="e">
        <f>VLOOKUP(F892,'Customer Info'!A884:I1383,5,0)</f>
        <v>#N/A</v>
      </c>
      <c r="J892" s="2">
        <v>9214</v>
      </c>
      <c r="K892" s="2">
        <v>8295</v>
      </c>
      <c r="L892" s="2">
        <v>2</v>
      </c>
      <c r="M892" s="7">
        <f t="shared" si="52"/>
        <v>16590</v>
      </c>
      <c r="N892" s="7">
        <f t="shared" si="53"/>
        <v>18428</v>
      </c>
      <c r="O892" s="2">
        <v>38</v>
      </c>
      <c r="P892" s="8">
        <f t="shared" si="54"/>
        <v>18466</v>
      </c>
      <c r="Q892" s="8">
        <f t="shared" si="55"/>
        <v>18390</v>
      </c>
      <c r="R892" s="2" t="s">
        <v>28</v>
      </c>
      <c r="S892" s="9">
        <f>VLOOKUP(P892,$T$2:U889,2,1)</f>
        <v>0.05</v>
      </c>
    </row>
    <row r="893" spans="1:19" x14ac:dyDescent="0.25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e">
        <f>VLOOKUP(F893,'Customer Info'!A885:I1384,2,0)</f>
        <v>#N/A</v>
      </c>
      <c r="H893" s="6" t="e">
        <f>VLOOKUP(F893,'Customer Info'!A885:I1384,3,0)</f>
        <v>#N/A</v>
      </c>
      <c r="I893" s="6" t="e">
        <f>VLOOKUP(F893,'Customer Info'!A885:I1384,5,0)</f>
        <v>#N/A</v>
      </c>
      <c r="J893" s="2">
        <v>130</v>
      </c>
      <c r="K893" s="2">
        <v>122</v>
      </c>
      <c r="L893" s="2">
        <v>5</v>
      </c>
      <c r="M893" s="7">
        <f t="shared" si="52"/>
        <v>610</v>
      </c>
      <c r="N893" s="7">
        <f t="shared" si="53"/>
        <v>650</v>
      </c>
      <c r="O893" s="2">
        <v>30</v>
      </c>
      <c r="P893" s="8">
        <f t="shared" si="54"/>
        <v>680</v>
      </c>
      <c r="Q893" s="8">
        <f t="shared" si="55"/>
        <v>620</v>
      </c>
      <c r="R893" s="2" t="s">
        <v>50</v>
      </c>
      <c r="S893" s="9">
        <f>VLOOKUP(P893,$T$2:U890,2,1)</f>
        <v>0.02</v>
      </c>
    </row>
    <row r="894" spans="1:19" x14ac:dyDescent="0.25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e">
        <f>VLOOKUP(F894,'Customer Info'!A886:I1385,2,0)</f>
        <v>#N/A</v>
      </c>
      <c r="H894" s="6" t="e">
        <f>VLOOKUP(F894,'Customer Info'!A886:I1385,3,0)</f>
        <v>#N/A</v>
      </c>
      <c r="I894" s="6" t="e">
        <f>VLOOKUP(F894,'Customer Info'!A886:I1385,5,0)</f>
        <v>#N/A</v>
      </c>
      <c r="J894" s="2">
        <v>2205</v>
      </c>
      <c r="K894" s="2">
        <v>2061</v>
      </c>
      <c r="L894" s="2">
        <v>4</v>
      </c>
      <c r="M894" s="7">
        <f t="shared" si="52"/>
        <v>8244</v>
      </c>
      <c r="N894" s="7">
        <f t="shared" si="53"/>
        <v>8820</v>
      </c>
      <c r="O894" s="2">
        <v>62</v>
      </c>
      <c r="P894" s="8">
        <f t="shared" si="54"/>
        <v>8882</v>
      </c>
      <c r="Q894" s="8">
        <f t="shared" si="55"/>
        <v>8758</v>
      </c>
      <c r="R894" s="2" t="s">
        <v>28</v>
      </c>
      <c r="S894" s="9">
        <f>VLOOKUP(P894,$T$2:U891,2,1)</f>
        <v>0.05</v>
      </c>
    </row>
    <row r="895" spans="1:19" x14ac:dyDescent="0.25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e">
        <f>VLOOKUP(F895,'Customer Info'!A887:I1386,2,0)</f>
        <v>#N/A</v>
      </c>
      <c r="H895" s="6" t="e">
        <f>VLOOKUP(F895,'Customer Info'!A887:I1386,3,0)</f>
        <v>#N/A</v>
      </c>
      <c r="I895" s="6" t="e">
        <f>VLOOKUP(F895,'Customer Info'!A887:I1386,5,0)</f>
        <v>#N/A</v>
      </c>
      <c r="J895" s="2">
        <v>1704</v>
      </c>
      <c r="K895" s="2">
        <v>1624</v>
      </c>
      <c r="L895" s="2">
        <v>2</v>
      </c>
      <c r="M895" s="7">
        <f t="shared" si="52"/>
        <v>3248</v>
      </c>
      <c r="N895" s="7">
        <f t="shared" si="53"/>
        <v>3408</v>
      </c>
      <c r="O895" s="2">
        <v>85</v>
      </c>
      <c r="P895" s="8">
        <f t="shared" si="54"/>
        <v>3493</v>
      </c>
      <c r="Q895" s="8">
        <f t="shared" si="55"/>
        <v>3323</v>
      </c>
      <c r="R895" s="2" t="s">
        <v>50</v>
      </c>
      <c r="S895" s="9">
        <f>VLOOKUP(P895,$T$2:U892,2,1)</f>
        <v>0.02</v>
      </c>
    </row>
    <row r="896" spans="1:19" x14ac:dyDescent="0.25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e">
        <f>VLOOKUP(F896,'Customer Info'!A888:I1387,2,0)</f>
        <v>#N/A</v>
      </c>
      <c r="H896" s="6" t="e">
        <f>VLOOKUP(F896,'Customer Info'!A888:I1387,3,0)</f>
        <v>#N/A</v>
      </c>
      <c r="I896" s="6" t="e">
        <f>VLOOKUP(F896,'Customer Info'!A888:I1387,5,0)</f>
        <v>#N/A</v>
      </c>
      <c r="J896" s="2">
        <v>60</v>
      </c>
      <c r="K896" s="2">
        <v>57</v>
      </c>
      <c r="L896" s="2">
        <v>2</v>
      </c>
      <c r="M896" s="7">
        <f t="shared" si="52"/>
        <v>114</v>
      </c>
      <c r="N896" s="7">
        <f t="shared" si="53"/>
        <v>120</v>
      </c>
      <c r="O896" s="2">
        <v>10</v>
      </c>
      <c r="P896" s="8">
        <f t="shared" si="54"/>
        <v>130</v>
      </c>
      <c r="Q896" s="8">
        <f t="shared" si="55"/>
        <v>110</v>
      </c>
      <c r="R896" s="2" t="s">
        <v>28</v>
      </c>
      <c r="S896" s="9">
        <f>VLOOKUP(P896,$T$2:U893,2,1)</f>
        <v>0.02</v>
      </c>
    </row>
    <row r="897" spans="1:19" x14ac:dyDescent="0.25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e">
        <f>VLOOKUP(F897,'Customer Info'!A889:I1388,2,0)</f>
        <v>#N/A</v>
      </c>
      <c r="H897" s="6" t="e">
        <f>VLOOKUP(F897,'Customer Info'!A889:I1388,3,0)</f>
        <v>#N/A</v>
      </c>
      <c r="I897" s="6" t="e">
        <f>VLOOKUP(F897,'Customer Info'!A889:I1388,5,0)</f>
        <v>#N/A</v>
      </c>
      <c r="J897" s="2">
        <v>141</v>
      </c>
      <c r="K897" s="2">
        <v>131</v>
      </c>
      <c r="L897" s="2">
        <v>5</v>
      </c>
      <c r="M897" s="7">
        <f t="shared" si="52"/>
        <v>655</v>
      </c>
      <c r="N897" s="7">
        <f t="shared" si="53"/>
        <v>705</v>
      </c>
      <c r="O897" s="2">
        <v>30</v>
      </c>
      <c r="P897" s="8">
        <f t="shared" si="54"/>
        <v>735</v>
      </c>
      <c r="Q897" s="8">
        <f t="shared" si="55"/>
        <v>675</v>
      </c>
      <c r="R897" s="2" t="s">
        <v>28</v>
      </c>
      <c r="S897" s="9">
        <f>VLOOKUP(P897,$T$2:U894,2,1)</f>
        <v>0.02</v>
      </c>
    </row>
    <row r="898" spans="1:19" x14ac:dyDescent="0.25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e">
        <f>VLOOKUP(F898,'Customer Info'!A890:I1389,2,0)</f>
        <v>#N/A</v>
      </c>
      <c r="H898" s="6" t="e">
        <f>VLOOKUP(F898,'Customer Info'!A890:I1389,3,0)</f>
        <v>#N/A</v>
      </c>
      <c r="I898" s="6" t="e">
        <f>VLOOKUP(F898,'Customer Info'!A890:I1389,5,0)</f>
        <v>#N/A</v>
      </c>
      <c r="J898" s="2">
        <v>1048</v>
      </c>
      <c r="K898" s="2">
        <v>979</v>
      </c>
      <c r="L898" s="2">
        <v>5</v>
      </c>
      <c r="M898" s="7">
        <f t="shared" si="52"/>
        <v>4895</v>
      </c>
      <c r="N898" s="7">
        <f t="shared" si="53"/>
        <v>5240</v>
      </c>
      <c r="O898" s="2">
        <v>22</v>
      </c>
      <c r="P898" s="8">
        <f t="shared" si="54"/>
        <v>5262</v>
      </c>
      <c r="Q898" s="8">
        <f t="shared" si="55"/>
        <v>5218</v>
      </c>
      <c r="R898" s="2" t="s">
        <v>28</v>
      </c>
      <c r="S898" s="9">
        <f>VLOOKUP(P898,$T$2:U895,2,1)</f>
        <v>0.05</v>
      </c>
    </row>
    <row r="899" spans="1:19" x14ac:dyDescent="0.25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e">
        <f>VLOOKUP(F899,'Customer Info'!A891:I1390,2,0)</f>
        <v>#N/A</v>
      </c>
      <c r="H899" s="6" t="e">
        <f>VLOOKUP(F899,'Customer Info'!A891:I1390,3,0)</f>
        <v>#N/A</v>
      </c>
      <c r="I899" s="6" t="e">
        <f>VLOOKUP(F899,'Customer Info'!A891:I1390,5,0)</f>
        <v>#N/A</v>
      </c>
      <c r="J899" s="2">
        <v>7508</v>
      </c>
      <c r="K899" s="2">
        <v>6956</v>
      </c>
      <c r="L899" s="2">
        <v>4</v>
      </c>
      <c r="M899" s="7">
        <f t="shared" si="52"/>
        <v>27824</v>
      </c>
      <c r="N899" s="7">
        <f t="shared" si="53"/>
        <v>30032</v>
      </c>
      <c r="O899" s="2">
        <v>94</v>
      </c>
      <c r="P899" s="8">
        <f t="shared" si="54"/>
        <v>30126</v>
      </c>
      <c r="Q899" s="8">
        <f t="shared" si="55"/>
        <v>29938</v>
      </c>
      <c r="R899" s="2" t="s">
        <v>28</v>
      </c>
      <c r="S899" s="9">
        <f>VLOOKUP(P899,$T$2:U896,2,1)</f>
        <v>7.0000000000000007E-2</v>
      </c>
    </row>
    <row r="900" spans="1:19" x14ac:dyDescent="0.25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e">
        <f>VLOOKUP(F900,'Customer Info'!A892:I1391,2,0)</f>
        <v>#N/A</v>
      </c>
      <c r="H900" s="6" t="e">
        <f>VLOOKUP(F900,'Customer Info'!A892:I1391,3,0)</f>
        <v>#N/A</v>
      </c>
      <c r="I900" s="6" t="e">
        <f>VLOOKUP(F900,'Customer Info'!A892:I1391,5,0)</f>
        <v>#N/A</v>
      </c>
      <c r="J900" s="2">
        <v>805</v>
      </c>
      <c r="K900" s="2">
        <v>746</v>
      </c>
      <c r="L900" s="2">
        <v>9</v>
      </c>
      <c r="M900" s="7">
        <f t="shared" si="52"/>
        <v>6714</v>
      </c>
      <c r="N900" s="7">
        <f t="shared" si="53"/>
        <v>7245</v>
      </c>
      <c r="O900" s="2">
        <v>82</v>
      </c>
      <c r="P900" s="8">
        <f t="shared" si="54"/>
        <v>7327</v>
      </c>
      <c r="Q900" s="8">
        <f t="shared" si="55"/>
        <v>7163</v>
      </c>
      <c r="R900" s="2" t="s">
        <v>28</v>
      </c>
      <c r="S900" s="9">
        <f>VLOOKUP(P900,$T$2:U897,2,1)</f>
        <v>0.05</v>
      </c>
    </row>
    <row r="901" spans="1:19" x14ac:dyDescent="0.25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e">
        <f>VLOOKUP(F901,'Customer Info'!A893:I1392,2,0)</f>
        <v>#N/A</v>
      </c>
      <c r="H901" s="6" t="e">
        <f>VLOOKUP(F901,'Customer Info'!A893:I1392,3,0)</f>
        <v>#N/A</v>
      </c>
      <c r="I901" s="6" t="e">
        <f>VLOOKUP(F901,'Customer Info'!A893:I1392,5,0)</f>
        <v>#N/A</v>
      </c>
      <c r="J901" s="2">
        <v>73</v>
      </c>
      <c r="K901" s="2">
        <v>65</v>
      </c>
      <c r="L901" s="2">
        <v>3</v>
      </c>
      <c r="M901" s="7">
        <f t="shared" si="52"/>
        <v>195</v>
      </c>
      <c r="N901" s="7">
        <f t="shared" si="53"/>
        <v>219</v>
      </c>
      <c r="O901" s="2">
        <v>10</v>
      </c>
      <c r="P901" s="8">
        <f t="shared" si="54"/>
        <v>229</v>
      </c>
      <c r="Q901" s="8">
        <f t="shared" si="55"/>
        <v>209</v>
      </c>
      <c r="R901" s="2" t="s">
        <v>50</v>
      </c>
      <c r="S901" s="9">
        <f>VLOOKUP(P901,$T$2:U898,2,1)</f>
        <v>0.02</v>
      </c>
    </row>
    <row r="902" spans="1:19" x14ac:dyDescent="0.25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e">
        <f>VLOOKUP(F902,'Customer Info'!A894:I1393,2,0)</f>
        <v>#N/A</v>
      </c>
      <c r="H902" s="6" t="e">
        <f>VLOOKUP(F902,'Customer Info'!A894:I1393,3,0)</f>
        <v>#N/A</v>
      </c>
      <c r="I902" s="6" t="e">
        <f>VLOOKUP(F902,'Customer Info'!A894:I1393,5,0)</f>
        <v>#N/A</v>
      </c>
      <c r="J902" s="2">
        <v>4487</v>
      </c>
      <c r="K902" s="2">
        <v>4201</v>
      </c>
      <c r="L902" s="2">
        <v>2</v>
      </c>
      <c r="M902" s="7">
        <f t="shared" si="52"/>
        <v>8402</v>
      </c>
      <c r="N902" s="7">
        <f t="shared" si="53"/>
        <v>8974</v>
      </c>
      <c r="O902" s="2">
        <v>36</v>
      </c>
      <c r="P902" s="8">
        <f t="shared" si="54"/>
        <v>9010</v>
      </c>
      <c r="Q902" s="8">
        <f t="shared" si="55"/>
        <v>8938</v>
      </c>
      <c r="R902" s="2" t="s">
        <v>28</v>
      </c>
      <c r="S902" s="9">
        <f>VLOOKUP(P902,$T$2:U899,2,1)</f>
        <v>0.05</v>
      </c>
    </row>
    <row r="903" spans="1:19" x14ac:dyDescent="0.25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e">
        <f>VLOOKUP(F903,'Customer Info'!A895:I1394,2,0)</f>
        <v>#N/A</v>
      </c>
      <c r="H903" s="6" t="e">
        <f>VLOOKUP(F903,'Customer Info'!A895:I1394,3,0)</f>
        <v>#N/A</v>
      </c>
      <c r="I903" s="6" t="e">
        <f>VLOOKUP(F903,'Customer Info'!A895:I1394,5,0)</f>
        <v>#N/A</v>
      </c>
      <c r="J903" s="2">
        <v>147</v>
      </c>
      <c r="K903" s="2">
        <v>138</v>
      </c>
      <c r="L903" s="2">
        <v>6</v>
      </c>
      <c r="M903" s="7">
        <f t="shared" si="52"/>
        <v>828</v>
      </c>
      <c r="N903" s="7">
        <f t="shared" si="53"/>
        <v>882</v>
      </c>
      <c r="O903" s="2">
        <v>30</v>
      </c>
      <c r="P903" s="8">
        <f t="shared" si="54"/>
        <v>912</v>
      </c>
      <c r="Q903" s="8">
        <f t="shared" si="55"/>
        <v>852</v>
      </c>
      <c r="R903" s="2" t="s">
        <v>28</v>
      </c>
      <c r="S903" s="9">
        <f>VLOOKUP(P903,$T$2:U900,2,1)</f>
        <v>0.02</v>
      </c>
    </row>
    <row r="904" spans="1:19" x14ac:dyDescent="0.25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e">
        <f>VLOOKUP(F904,'Customer Info'!A896:I1395,2,0)</f>
        <v>#N/A</v>
      </c>
      <c r="H904" s="6" t="e">
        <f>VLOOKUP(F904,'Customer Info'!A896:I1395,3,0)</f>
        <v>#N/A</v>
      </c>
      <c r="I904" s="6" t="e">
        <f>VLOOKUP(F904,'Customer Info'!A896:I1395,5,0)</f>
        <v>#N/A</v>
      </c>
      <c r="J904" s="2">
        <v>166</v>
      </c>
      <c r="K904" s="2">
        <v>149</v>
      </c>
      <c r="L904" s="2">
        <v>2</v>
      </c>
      <c r="M904" s="7">
        <f t="shared" si="52"/>
        <v>298</v>
      </c>
      <c r="N904" s="7">
        <f t="shared" si="53"/>
        <v>332</v>
      </c>
      <c r="O904" s="2">
        <v>30</v>
      </c>
      <c r="P904" s="8">
        <f t="shared" si="54"/>
        <v>362</v>
      </c>
      <c r="Q904" s="8">
        <f t="shared" si="55"/>
        <v>302</v>
      </c>
      <c r="R904" s="2" t="s">
        <v>50</v>
      </c>
      <c r="S904" s="9">
        <f>VLOOKUP(P904,$T$2:U901,2,1)</f>
        <v>0.02</v>
      </c>
    </row>
    <row r="905" spans="1:19" x14ac:dyDescent="0.25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e">
        <f>VLOOKUP(F905,'Customer Info'!A897:I1396,2,0)</f>
        <v>#N/A</v>
      </c>
      <c r="H905" s="6" t="e">
        <f>VLOOKUP(F905,'Customer Info'!A897:I1396,3,0)</f>
        <v>#N/A</v>
      </c>
      <c r="I905" s="6" t="e">
        <f>VLOOKUP(F905,'Customer Info'!A897:I1396,5,0)</f>
        <v>#N/A</v>
      </c>
      <c r="J905" s="2">
        <v>954</v>
      </c>
      <c r="K905" s="2">
        <v>901</v>
      </c>
      <c r="L905" s="2">
        <v>2</v>
      </c>
      <c r="M905" s="7">
        <f t="shared" si="52"/>
        <v>1802</v>
      </c>
      <c r="N905" s="7">
        <f t="shared" si="53"/>
        <v>1908</v>
      </c>
      <c r="O905" s="2">
        <v>86</v>
      </c>
      <c r="P905" s="8">
        <f t="shared" si="54"/>
        <v>1994</v>
      </c>
      <c r="Q905" s="8">
        <f t="shared" si="55"/>
        <v>1822</v>
      </c>
      <c r="R905" s="2" t="s">
        <v>28</v>
      </c>
      <c r="S905" s="9">
        <f>VLOOKUP(P905,$T$2:U902,2,1)</f>
        <v>0.02</v>
      </c>
    </row>
    <row r="906" spans="1:19" x14ac:dyDescent="0.25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e">
        <f>VLOOKUP(F906,'Customer Info'!A898:I1397,2,0)</f>
        <v>#N/A</v>
      </c>
      <c r="H906" s="6" t="e">
        <f>VLOOKUP(F906,'Customer Info'!A898:I1397,3,0)</f>
        <v>#N/A</v>
      </c>
      <c r="I906" s="6" t="e">
        <f>VLOOKUP(F906,'Customer Info'!A898:I1397,5,0)</f>
        <v>#N/A</v>
      </c>
      <c r="J906" s="2">
        <v>743</v>
      </c>
      <c r="K906" s="2">
        <v>694</v>
      </c>
      <c r="L906" s="2">
        <v>11</v>
      </c>
      <c r="M906" s="7">
        <f t="shared" si="52"/>
        <v>7634</v>
      </c>
      <c r="N906" s="7">
        <f t="shared" si="53"/>
        <v>8173</v>
      </c>
      <c r="O906" s="2">
        <v>43</v>
      </c>
      <c r="P906" s="8">
        <f t="shared" si="54"/>
        <v>8216</v>
      </c>
      <c r="Q906" s="8">
        <f t="shared" si="55"/>
        <v>8130</v>
      </c>
      <c r="R906" s="2" t="s">
        <v>28</v>
      </c>
      <c r="S906" s="9">
        <f>VLOOKUP(P906,$T$2:U903,2,1)</f>
        <v>0.05</v>
      </c>
    </row>
    <row r="907" spans="1:19" x14ac:dyDescent="0.25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e">
        <f>VLOOKUP(F907,'Customer Info'!A899:I1398,2,0)</f>
        <v>#N/A</v>
      </c>
      <c r="H907" s="6" t="e">
        <f>VLOOKUP(F907,'Customer Info'!A899:I1398,3,0)</f>
        <v>#N/A</v>
      </c>
      <c r="I907" s="6" t="e">
        <f>VLOOKUP(F907,'Customer Info'!A899:I1398,5,0)</f>
        <v>#N/A</v>
      </c>
      <c r="J907" s="2">
        <v>7691</v>
      </c>
      <c r="K907" s="2">
        <v>7255</v>
      </c>
      <c r="L907" s="2">
        <v>3</v>
      </c>
      <c r="M907" s="7">
        <f t="shared" ref="M907:M970" si="56">K907*L907</f>
        <v>21765</v>
      </c>
      <c r="N907" s="7">
        <f t="shared" ref="N907:N970" si="57">J907*L907</f>
        <v>23073</v>
      </c>
      <c r="O907" s="2">
        <v>84</v>
      </c>
      <c r="P907" s="8">
        <f t="shared" ref="P907:P970" si="58">SUM(N907,O907)</f>
        <v>23157</v>
      </c>
      <c r="Q907" s="8">
        <f t="shared" ref="Q907:Q970" si="59">N907-O907</f>
        <v>22989</v>
      </c>
      <c r="R907" s="2" t="s">
        <v>56</v>
      </c>
      <c r="S907" s="9">
        <f>VLOOKUP(P907,$T$2:U904,2,1)</f>
        <v>0.05</v>
      </c>
    </row>
    <row r="908" spans="1:19" x14ac:dyDescent="0.25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e">
        <f>VLOOKUP(F908,'Customer Info'!A900:I1399,2,0)</f>
        <v>#N/A</v>
      </c>
      <c r="H908" s="6" t="e">
        <f>VLOOKUP(F908,'Customer Info'!A900:I1399,3,0)</f>
        <v>#N/A</v>
      </c>
      <c r="I908" s="6" t="e">
        <f>VLOOKUP(F908,'Customer Info'!A900:I1399,5,0)</f>
        <v>#N/A</v>
      </c>
      <c r="J908" s="2">
        <v>6717</v>
      </c>
      <c r="K908" s="2">
        <v>6288</v>
      </c>
      <c r="L908" s="2">
        <v>7</v>
      </c>
      <c r="M908" s="7">
        <f t="shared" si="56"/>
        <v>44016</v>
      </c>
      <c r="N908" s="7">
        <f t="shared" si="57"/>
        <v>47019</v>
      </c>
      <c r="O908" s="2">
        <v>96</v>
      </c>
      <c r="P908" s="8">
        <f t="shared" si="58"/>
        <v>47115</v>
      </c>
      <c r="Q908" s="8">
        <f t="shared" si="59"/>
        <v>46923</v>
      </c>
      <c r="R908" s="2" t="s">
        <v>50</v>
      </c>
      <c r="S908" s="9">
        <f>VLOOKUP(P908,$T$2:U905,2,1)</f>
        <v>7.0000000000000007E-2</v>
      </c>
    </row>
    <row r="909" spans="1:19" x14ac:dyDescent="0.25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e">
        <f>VLOOKUP(F909,'Customer Info'!A901:I1400,2,0)</f>
        <v>#N/A</v>
      </c>
      <c r="H909" s="6" t="e">
        <f>VLOOKUP(F909,'Customer Info'!A901:I1400,3,0)</f>
        <v>#N/A</v>
      </c>
      <c r="I909" s="6" t="e">
        <f>VLOOKUP(F909,'Customer Info'!A901:I1400,5,0)</f>
        <v>#N/A</v>
      </c>
      <c r="J909" s="2">
        <v>743</v>
      </c>
      <c r="K909" s="2">
        <v>694</v>
      </c>
      <c r="L909" s="2">
        <v>1</v>
      </c>
      <c r="M909" s="7">
        <f t="shared" si="56"/>
        <v>694</v>
      </c>
      <c r="N909" s="7">
        <f t="shared" si="57"/>
        <v>743</v>
      </c>
      <c r="O909" s="2">
        <v>98</v>
      </c>
      <c r="P909" s="8">
        <f t="shared" si="58"/>
        <v>841</v>
      </c>
      <c r="Q909" s="8">
        <f t="shared" si="59"/>
        <v>645</v>
      </c>
      <c r="R909" s="2" t="s">
        <v>26</v>
      </c>
      <c r="S909" s="9">
        <f>VLOOKUP(P909,$T$2:U906,2,1)</f>
        <v>0.02</v>
      </c>
    </row>
    <row r="910" spans="1:19" x14ac:dyDescent="0.25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e">
        <f>VLOOKUP(F910,'Customer Info'!A902:I1401,2,0)</f>
        <v>#N/A</v>
      </c>
      <c r="H910" s="6" t="e">
        <f>VLOOKUP(F910,'Customer Info'!A902:I1401,3,0)</f>
        <v>#N/A</v>
      </c>
      <c r="I910" s="6" t="e">
        <f>VLOOKUP(F910,'Customer Info'!A902:I1401,5,0)</f>
        <v>#N/A</v>
      </c>
      <c r="J910" s="2">
        <v>69</v>
      </c>
      <c r="K910" s="2">
        <v>64</v>
      </c>
      <c r="L910" s="2">
        <v>1</v>
      </c>
      <c r="M910" s="7">
        <f t="shared" si="56"/>
        <v>64</v>
      </c>
      <c r="N910" s="7">
        <f t="shared" si="57"/>
        <v>69</v>
      </c>
      <c r="O910" s="2">
        <v>10</v>
      </c>
      <c r="P910" s="8">
        <f t="shared" si="58"/>
        <v>79</v>
      </c>
      <c r="Q910" s="8">
        <f t="shared" si="59"/>
        <v>59</v>
      </c>
      <c r="R910" s="2" t="s">
        <v>28</v>
      </c>
      <c r="S910" s="9">
        <f>VLOOKUP(P910,$T$2:U907,2,1)</f>
        <v>0.02</v>
      </c>
    </row>
    <row r="911" spans="1:19" x14ac:dyDescent="0.25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e">
        <f>VLOOKUP(F911,'Customer Info'!A903:I1402,2,0)</f>
        <v>#N/A</v>
      </c>
      <c r="H911" s="6" t="e">
        <f>VLOOKUP(F911,'Customer Info'!A903:I1402,3,0)</f>
        <v>#N/A</v>
      </c>
      <c r="I911" s="6" t="e">
        <f>VLOOKUP(F911,'Customer Info'!A903:I1402,5,0)</f>
        <v>#N/A</v>
      </c>
      <c r="J911" s="2">
        <v>130</v>
      </c>
      <c r="K911" s="2">
        <v>122</v>
      </c>
      <c r="L911" s="2">
        <v>2</v>
      </c>
      <c r="M911" s="7">
        <f t="shared" si="56"/>
        <v>244</v>
      </c>
      <c r="N911" s="7">
        <f t="shared" si="57"/>
        <v>260</v>
      </c>
      <c r="O911" s="2">
        <v>30</v>
      </c>
      <c r="P911" s="8">
        <f t="shared" si="58"/>
        <v>290</v>
      </c>
      <c r="Q911" s="8">
        <f t="shared" si="59"/>
        <v>230</v>
      </c>
      <c r="R911" s="2" t="s">
        <v>50</v>
      </c>
      <c r="S911" s="9">
        <f>VLOOKUP(P911,$T$2:U908,2,1)</f>
        <v>0.02</v>
      </c>
    </row>
    <row r="912" spans="1:19" x14ac:dyDescent="0.25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e">
        <f>VLOOKUP(F912,'Customer Info'!A904:I1403,2,0)</f>
        <v>#N/A</v>
      </c>
      <c r="H912" s="6" t="e">
        <f>VLOOKUP(F912,'Customer Info'!A904:I1403,3,0)</f>
        <v>#N/A</v>
      </c>
      <c r="I912" s="6" t="e">
        <f>VLOOKUP(F912,'Customer Info'!A904:I1403,5,0)</f>
        <v>#N/A</v>
      </c>
      <c r="J912" s="2">
        <v>37949</v>
      </c>
      <c r="K912" s="2">
        <v>34816</v>
      </c>
      <c r="L912" s="2">
        <v>2</v>
      </c>
      <c r="M912" s="7">
        <f t="shared" si="56"/>
        <v>69632</v>
      </c>
      <c r="N912" s="7">
        <f t="shared" si="57"/>
        <v>75898</v>
      </c>
      <c r="O912" s="2">
        <v>99</v>
      </c>
      <c r="P912" s="8">
        <f t="shared" si="58"/>
        <v>75997</v>
      </c>
      <c r="Q912" s="8">
        <f t="shared" si="59"/>
        <v>75799</v>
      </c>
      <c r="R912" s="2" t="s">
        <v>28</v>
      </c>
      <c r="S912" s="9">
        <f>VLOOKUP(P912,$T$2:U909,2,1)</f>
        <v>0.09</v>
      </c>
    </row>
    <row r="913" spans="1:19" x14ac:dyDescent="0.25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e">
        <f>VLOOKUP(F913,'Customer Info'!A905:I1404,2,0)</f>
        <v>#N/A</v>
      </c>
      <c r="H913" s="6" t="e">
        <f>VLOOKUP(F913,'Customer Info'!A905:I1404,3,0)</f>
        <v>#N/A</v>
      </c>
      <c r="I913" s="6" t="e">
        <f>VLOOKUP(F913,'Customer Info'!A905:I1404,5,0)</f>
        <v>#N/A</v>
      </c>
      <c r="J913" s="2">
        <v>139</v>
      </c>
      <c r="K913" s="2">
        <v>133</v>
      </c>
      <c r="L913" s="2">
        <v>1</v>
      </c>
      <c r="M913" s="7">
        <f t="shared" si="56"/>
        <v>133</v>
      </c>
      <c r="N913" s="7">
        <f t="shared" si="57"/>
        <v>139</v>
      </c>
      <c r="O913" s="2">
        <v>30</v>
      </c>
      <c r="P913" s="8">
        <f t="shared" si="58"/>
        <v>169</v>
      </c>
      <c r="Q913" s="8">
        <f t="shared" si="59"/>
        <v>109</v>
      </c>
      <c r="R913" s="2" t="s">
        <v>50</v>
      </c>
      <c r="S913" s="9">
        <f>VLOOKUP(P913,$T$2:U910,2,1)</f>
        <v>0.02</v>
      </c>
    </row>
    <row r="914" spans="1:19" x14ac:dyDescent="0.25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e">
        <f>VLOOKUP(F914,'Customer Info'!A906:I1405,2,0)</f>
        <v>#N/A</v>
      </c>
      <c r="H914" s="6" t="e">
        <f>VLOOKUP(F914,'Customer Info'!A906:I1405,3,0)</f>
        <v>#N/A</v>
      </c>
      <c r="I914" s="6" t="e">
        <f>VLOOKUP(F914,'Customer Info'!A906:I1405,5,0)</f>
        <v>#N/A</v>
      </c>
      <c r="J914" s="2">
        <v>37949</v>
      </c>
      <c r="K914" s="2">
        <v>34816</v>
      </c>
      <c r="L914" s="2">
        <v>7</v>
      </c>
      <c r="M914" s="7">
        <f t="shared" si="56"/>
        <v>243712</v>
      </c>
      <c r="N914" s="7">
        <f t="shared" si="57"/>
        <v>265643</v>
      </c>
      <c r="O914" s="2">
        <v>36</v>
      </c>
      <c r="P914" s="8">
        <f t="shared" si="58"/>
        <v>265679</v>
      </c>
      <c r="Q914" s="8">
        <f t="shared" si="59"/>
        <v>265607</v>
      </c>
      <c r="R914" s="2" t="s">
        <v>50</v>
      </c>
      <c r="S914" s="9">
        <f>VLOOKUP(P914,$T$2:U911,2,1)</f>
        <v>0.15</v>
      </c>
    </row>
    <row r="915" spans="1:19" x14ac:dyDescent="0.25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e">
        <f>VLOOKUP(F915,'Customer Info'!A907:I1406,2,0)</f>
        <v>#N/A</v>
      </c>
      <c r="H915" s="6" t="e">
        <f>VLOOKUP(F915,'Customer Info'!A907:I1406,3,0)</f>
        <v>#N/A</v>
      </c>
      <c r="I915" s="6" t="e">
        <f>VLOOKUP(F915,'Customer Info'!A907:I1406,5,0)</f>
        <v>#N/A</v>
      </c>
      <c r="J915" s="2">
        <v>63</v>
      </c>
      <c r="K915" s="2">
        <v>59</v>
      </c>
      <c r="L915" s="2">
        <v>1</v>
      </c>
      <c r="M915" s="7">
        <f t="shared" si="56"/>
        <v>59</v>
      </c>
      <c r="N915" s="7">
        <f t="shared" si="57"/>
        <v>63</v>
      </c>
      <c r="O915" s="2">
        <v>10</v>
      </c>
      <c r="P915" s="8">
        <f t="shared" si="58"/>
        <v>73</v>
      </c>
      <c r="Q915" s="8">
        <f t="shared" si="59"/>
        <v>53</v>
      </c>
      <c r="R915" s="2" t="s">
        <v>56</v>
      </c>
      <c r="S915" s="9">
        <f>VLOOKUP(P915,$T$2:U912,2,1)</f>
        <v>0.02</v>
      </c>
    </row>
    <row r="916" spans="1:19" x14ac:dyDescent="0.25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e">
        <f>VLOOKUP(F916,'Customer Info'!A908:I1407,2,0)</f>
        <v>#N/A</v>
      </c>
      <c r="H916" s="6" t="e">
        <f>VLOOKUP(F916,'Customer Info'!A908:I1407,3,0)</f>
        <v>#N/A</v>
      </c>
      <c r="I916" s="6" t="e">
        <f>VLOOKUP(F916,'Customer Info'!A908:I1407,5,0)</f>
        <v>#N/A</v>
      </c>
      <c r="J916" s="2">
        <v>1210</v>
      </c>
      <c r="K916" s="2">
        <v>1164</v>
      </c>
      <c r="L916" s="2">
        <v>4</v>
      </c>
      <c r="M916" s="7">
        <f t="shared" si="56"/>
        <v>4656</v>
      </c>
      <c r="N916" s="7">
        <f t="shared" si="57"/>
        <v>4840</v>
      </c>
      <c r="O916" s="2">
        <v>24</v>
      </c>
      <c r="P916" s="8">
        <f t="shared" si="58"/>
        <v>4864</v>
      </c>
      <c r="Q916" s="8">
        <f t="shared" si="59"/>
        <v>4816</v>
      </c>
      <c r="R916" s="2" t="s">
        <v>28</v>
      </c>
      <c r="S916" s="9">
        <f>VLOOKUP(P916,$T$2:U913,2,1)</f>
        <v>0.02</v>
      </c>
    </row>
    <row r="917" spans="1:19" x14ac:dyDescent="0.25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e">
        <f>VLOOKUP(F917,'Customer Info'!A909:I1408,2,0)</f>
        <v>#N/A</v>
      </c>
      <c r="H917" s="6" t="e">
        <f>VLOOKUP(F917,'Customer Info'!A909:I1408,3,0)</f>
        <v>#N/A</v>
      </c>
      <c r="I917" s="6" t="e">
        <f>VLOOKUP(F917,'Customer Info'!A909:I1408,5,0)</f>
        <v>#N/A</v>
      </c>
      <c r="J917" s="2">
        <v>6520</v>
      </c>
      <c r="K917" s="2">
        <v>5985</v>
      </c>
      <c r="L917" s="2">
        <v>3</v>
      </c>
      <c r="M917" s="7">
        <f t="shared" si="56"/>
        <v>17955</v>
      </c>
      <c r="N917" s="7">
        <f t="shared" si="57"/>
        <v>19560</v>
      </c>
      <c r="O917" s="2">
        <v>100</v>
      </c>
      <c r="P917" s="8">
        <f t="shared" si="58"/>
        <v>19660</v>
      </c>
      <c r="Q917" s="8">
        <f t="shared" si="59"/>
        <v>19460</v>
      </c>
      <c r="R917" s="2" t="s">
        <v>28</v>
      </c>
      <c r="S917" s="9">
        <f>VLOOKUP(P917,$T$2:U914,2,1)</f>
        <v>0.05</v>
      </c>
    </row>
    <row r="918" spans="1:19" x14ac:dyDescent="0.25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e">
        <f>VLOOKUP(F918,'Customer Info'!A910:I1409,2,0)</f>
        <v>#N/A</v>
      </c>
      <c r="H918" s="6" t="e">
        <f>VLOOKUP(F918,'Customer Info'!A910:I1409,3,0)</f>
        <v>#N/A</v>
      </c>
      <c r="I918" s="6" t="e">
        <f>VLOOKUP(F918,'Customer Info'!A910:I1409,5,0)</f>
        <v>#N/A</v>
      </c>
      <c r="J918" s="2">
        <v>1911</v>
      </c>
      <c r="K918" s="2">
        <v>1785</v>
      </c>
      <c r="L918" s="2">
        <v>4</v>
      </c>
      <c r="M918" s="7">
        <f t="shared" si="56"/>
        <v>7140</v>
      </c>
      <c r="N918" s="7">
        <f t="shared" si="57"/>
        <v>7644</v>
      </c>
      <c r="O918" s="2">
        <v>39</v>
      </c>
      <c r="P918" s="8">
        <f t="shared" si="58"/>
        <v>7683</v>
      </c>
      <c r="Q918" s="8">
        <f t="shared" si="59"/>
        <v>7605</v>
      </c>
      <c r="R918" s="2" t="s">
        <v>50</v>
      </c>
      <c r="S918" s="9">
        <f>VLOOKUP(P918,$T$2:U915,2,1)</f>
        <v>0.05</v>
      </c>
    </row>
    <row r="919" spans="1:19" x14ac:dyDescent="0.25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e">
        <f>VLOOKUP(F919,'Customer Info'!A911:I1410,2,0)</f>
        <v>#N/A</v>
      </c>
      <c r="H919" s="6" t="e">
        <f>VLOOKUP(F919,'Customer Info'!A911:I1410,3,0)</f>
        <v>#N/A</v>
      </c>
      <c r="I919" s="6" t="e">
        <f>VLOOKUP(F919,'Customer Info'!A911:I1410,5,0)</f>
        <v>#N/A</v>
      </c>
      <c r="J919" s="2">
        <v>2540</v>
      </c>
      <c r="K919" s="2">
        <v>2397</v>
      </c>
      <c r="L919" s="2">
        <v>2</v>
      </c>
      <c r="M919" s="7">
        <f t="shared" si="56"/>
        <v>4794</v>
      </c>
      <c r="N919" s="7">
        <f t="shared" si="57"/>
        <v>5080</v>
      </c>
      <c r="O919" s="2">
        <v>20</v>
      </c>
      <c r="P919" s="8">
        <f t="shared" si="58"/>
        <v>5100</v>
      </c>
      <c r="Q919" s="8">
        <f t="shared" si="59"/>
        <v>5060</v>
      </c>
      <c r="R919" s="2" t="s">
        <v>28</v>
      </c>
      <c r="S919" s="9">
        <f>VLOOKUP(P919,$T$2:U916,2,1)</f>
        <v>0.05</v>
      </c>
    </row>
    <row r="920" spans="1:19" x14ac:dyDescent="0.25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e">
        <f>VLOOKUP(F920,'Customer Info'!A912:I1411,2,0)</f>
        <v>#N/A</v>
      </c>
      <c r="H920" s="6" t="e">
        <f>VLOOKUP(F920,'Customer Info'!A912:I1411,3,0)</f>
        <v>#N/A</v>
      </c>
      <c r="I920" s="6" t="e">
        <f>VLOOKUP(F920,'Customer Info'!A912:I1411,5,0)</f>
        <v>#N/A</v>
      </c>
      <c r="J920" s="2">
        <v>1556</v>
      </c>
      <c r="K920" s="2">
        <v>1414</v>
      </c>
      <c r="L920" s="2">
        <v>2</v>
      </c>
      <c r="M920" s="7">
        <f t="shared" si="56"/>
        <v>2828</v>
      </c>
      <c r="N920" s="7">
        <f t="shared" si="57"/>
        <v>3112</v>
      </c>
      <c r="O920" s="2">
        <v>60</v>
      </c>
      <c r="P920" s="8">
        <f t="shared" si="58"/>
        <v>3172</v>
      </c>
      <c r="Q920" s="8">
        <f t="shared" si="59"/>
        <v>3052</v>
      </c>
      <c r="R920" s="2" t="s">
        <v>28</v>
      </c>
      <c r="S920" s="9">
        <f>VLOOKUP(P920,$T$2:U917,2,1)</f>
        <v>0.02</v>
      </c>
    </row>
    <row r="921" spans="1:19" x14ac:dyDescent="0.25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e">
        <f>VLOOKUP(F921,'Customer Info'!A913:I1412,2,0)</f>
        <v>#N/A</v>
      </c>
      <c r="H921" s="6" t="e">
        <f>VLOOKUP(F921,'Customer Info'!A913:I1412,3,0)</f>
        <v>#N/A</v>
      </c>
      <c r="I921" s="6" t="e">
        <f>VLOOKUP(F921,'Customer Info'!A913:I1412,5,0)</f>
        <v>#N/A</v>
      </c>
      <c r="J921" s="2">
        <v>511</v>
      </c>
      <c r="K921" s="2">
        <v>477</v>
      </c>
      <c r="L921" s="2">
        <v>2</v>
      </c>
      <c r="M921" s="7">
        <f t="shared" si="56"/>
        <v>954</v>
      </c>
      <c r="N921" s="7">
        <f t="shared" si="57"/>
        <v>1022</v>
      </c>
      <c r="O921" s="2">
        <v>84</v>
      </c>
      <c r="P921" s="8">
        <f t="shared" si="58"/>
        <v>1106</v>
      </c>
      <c r="Q921" s="8">
        <f t="shared" si="59"/>
        <v>938</v>
      </c>
      <c r="R921" s="2" t="s">
        <v>26</v>
      </c>
      <c r="S921" s="9">
        <f>VLOOKUP(P921,$T$2:U918,2,1)</f>
        <v>0.02</v>
      </c>
    </row>
    <row r="922" spans="1:19" x14ac:dyDescent="0.25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e">
        <f>VLOOKUP(F922,'Customer Info'!A914:I1413,2,0)</f>
        <v>#N/A</v>
      </c>
      <c r="H922" s="6" t="e">
        <f>VLOOKUP(F922,'Customer Info'!A914:I1413,3,0)</f>
        <v>#N/A</v>
      </c>
      <c r="I922" s="6" t="e">
        <f>VLOOKUP(F922,'Customer Info'!A914:I1413,5,0)</f>
        <v>#N/A</v>
      </c>
      <c r="J922" s="2">
        <v>3341</v>
      </c>
      <c r="K922" s="2">
        <v>3152</v>
      </c>
      <c r="L922" s="2">
        <v>4</v>
      </c>
      <c r="M922" s="7">
        <f t="shared" si="56"/>
        <v>12608</v>
      </c>
      <c r="N922" s="7">
        <f t="shared" si="57"/>
        <v>13364</v>
      </c>
      <c r="O922" s="2">
        <v>25</v>
      </c>
      <c r="P922" s="8">
        <f t="shared" si="58"/>
        <v>13389</v>
      </c>
      <c r="Q922" s="8">
        <f t="shared" si="59"/>
        <v>13339</v>
      </c>
      <c r="R922" s="2" t="s">
        <v>50</v>
      </c>
      <c r="S922" s="9">
        <f>VLOOKUP(P922,$T$2:U919,2,1)</f>
        <v>0.05</v>
      </c>
    </row>
    <row r="923" spans="1:19" x14ac:dyDescent="0.25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e">
        <f>VLOOKUP(F923,'Customer Info'!A915:I1414,2,0)</f>
        <v>#N/A</v>
      </c>
      <c r="H923" s="6" t="e">
        <f>VLOOKUP(F923,'Customer Info'!A915:I1414,3,0)</f>
        <v>#N/A</v>
      </c>
      <c r="I923" s="6" t="e">
        <f>VLOOKUP(F923,'Customer Info'!A915:I1414,5,0)</f>
        <v>#N/A</v>
      </c>
      <c r="J923" s="2">
        <v>805</v>
      </c>
      <c r="K923" s="2">
        <v>746</v>
      </c>
      <c r="L923" s="2">
        <v>2</v>
      </c>
      <c r="M923" s="7">
        <f t="shared" si="56"/>
        <v>1492</v>
      </c>
      <c r="N923" s="7">
        <f t="shared" si="57"/>
        <v>1610</v>
      </c>
      <c r="O923" s="2">
        <v>79</v>
      </c>
      <c r="P923" s="8">
        <f t="shared" si="58"/>
        <v>1689</v>
      </c>
      <c r="Q923" s="8">
        <f t="shared" si="59"/>
        <v>1531</v>
      </c>
      <c r="R923" s="2" t="s">
        <v>28</v>
      </c>
      <c r="S923" s="9">
        <f>VLOOKUP(P923,$T$2:U920,2,1)</f>
        <v>0.02</v>
      </c>
    </row>
    <row r="924" spans="1:19" x14ac:dyDescent="0.25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e">
        <f>VLOOKUP(F924,'Customer Info'!A916:I1415,2,0)</f>
        <v>#N/A</v>
      </c>
      <c r="H924" s="6" t="e">
        <f>VLOOKUP(F924,'Customer Info'!A916:I1415,3,0)</f>
        <v>#N/A</v>
      </c>
      <c r="I924" s="6" t="e">
        <f>VLOOKUP(F924,'Customer Info'!A916:I1415,5,0)</f>
        <v>#N/A</v>
      </c>
      <c r="J924" s="2">
        <v>79</v>
      </c>
      <c r="K924" s="2">
        <v>75</v>
      </c>
      <c r="L924" s="2">
        <v>2</v>
      </c>
      <c r="M924" s="7">
        <f t="shared" si="56"/>
        <v>150</v>
      </c>
      <c r="N924" s="7">
        <f t="shared" si="57"/>
        <v>158</v>
      </c>
      <c r="O924" s="2">
        <v>10</v>
      </c>
      <c r="P924" s="8">
        <f t="shared" si="58"/>
        <v>168</v>
      </c>
      <c r="Q924" s="8">
        <f t="shared" si="59"/>
        <v>148</v>
      </c>
      <c r="R924" s="2" t="s">
        <v>50</v>
      </c>
      <c r="S924" s="9">
        <f>VLOOKUP(P924,$T$2:U921,2,1)</f>
        <v>0.02</v>
      </c>
    </row>
    <row r="925" spans="1:19" x14ac:dyDescent="0.25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e">
        <f>VLOOKUP(F925,'Customer Info'!A917:I1416,2,0)</f>
        <v>#N/A</v>
      </c>
      <c r="H925" s="6" t="e">
        <f>VLOOKUP(F925,'Customer Info'!A917:I1416,3,0)</f>
        <v>#N/A</v>
      </c>
      <c r="I925" s="6" t="e">
        <f>VLOOKUP(F925,'Customer Info'!A917:I1416,5,0)</f>
        <v>#N/A</v>
      </c>
      <c r="J925" s="2">
        <v>165</v>
      </c>
      <c r="K925" s="2">
        <v>149</v>
      </c>
      <c r="L925" s="2">
        <v>4</v>
      </c>
      <c r="M925" s="7">
        <f t="shared" si="56"/>
        <v>596</v>
      </c>
      <c r="N925" s="7">
        <f t="shared" si="57"/>
        <v>660</v>
      </c>
      <c r="O925" s="2">
        <v>30</v>
      </c>
      <c r="P925" s="8">
        <f t="shared" si="58"/>
        <v>690</v>
      </c>
      <c r="Q925" s="8">
        <f t="shared" si="59"/>
        <v>630</v>
      </c>
      <c r="R925" s="2" t="s">
        <v>28</v>
      </c>
      <c r="S925" s="9">
        <f>VLOOKUP(P925,$T$2:U922,2,1)</f>
        <v>0.02</v>
      </c>
    </row>
    <row r="926" spans="1:19" x14ac:dyDescent="0.25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e">
        <f>VLOOKUP(F926,'Customer Info'!A918:I1417,2,0)</f>
        <v>#N/A</v>
      </c>
      <c r="H926" s="6" t="e">
        <f>VLOOKUP(F926,'Customer Info'!A918:I1417,3,0)</f>
        <v>#N/A</v>
      </c>
      <c r="I926" s="6" t="e">
        <f>VLOOKUP(F926,'Customer Info'!A918:I1417,5,0)</f>
        <v>#N/A</v>
      </c>
      <c r="J926" s="2">
        <v>882</v>
      </c>
      <c r="K926" s="2">
        <v>818</v>
      </c>
      <c r="L926" s="2">
        <v>6</v>
      </c>
      <c r="M926" s="7">
        <f t="shared" si="56"/>
        <v>4908</v>
      </c>
      <c r="N926" s="7">
        <f t="shared" si="57"/>
        <v>5292</v>
      </c>
      <c r="O926" s="2">
        <v>88</v>
      </c>
      <c r="P926" s="8">
        <f t="shared" si="58"/>
        <v>5380</v>
      </c>
      <c r="Q926" s="8">
        <f t="shared" si="59"/>
        <v>5204</v>
      </c>
      <c r="R926" s="2" t="s">
        <v>28</v>
      </c>
      <c r="S926" s="9">
        <f>VLOOKUP(P926,$T$2:U923,2,1)</f>
        <v>0.05</v>
      </c>
    </row>
    <row r="927" spans="1:19" x14ac:dyDescent="0.25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e">
        <f>VLOOKUP(F927,'Customer Info'!A919:I1418,2,0)</f>
        <v>#N/A</v>
      </c>
      <c r="H927" s="6" t="e">
        <f>VLOOKUP(F927,'Customer Info'!A919:I1418,3,0)</f>
        <v>#N/A</v>
      </c>
      <c r="I927" s="6" t="e">
        <f>VLOOKUP(F927,'Customer Info'!A919:I1418,5,0)</f>
        <v>#N/A</v>
      </c>
      <c r="J927" s="2">
        <v>184</v>
      </c>
      <c r="K927" s="2">
        <v>176</v>
      </c>
      <c r="L927" s="2">
        <v>4</v>
      </c>
      <c r="M927" s="7">
        <f t="shared" si="56"/>
        <v>704</v>
      </c>
      <c r="N927" s="7">
        <f t="shared" si="57"/>
        <v>736</v>
      </c>
      <c r="O927" s="2">
        <v>30</v>
      </c>
      <c r="P927" s="8">
        <f t="shared" si="58"/>
        <v>766</v>
      </c>
      <c r="Q927" s="8">
        <f t="shared" si="59"/>
        <v>706</v>
      </c>
      <c r="R927" s="2" t="s">
        <v>50</v>
      </c>
      <c r="S927" s="9">
        <f>VLOOKUP(P927,$T$2:U924,2,1)</f>
        <v>0.02</v>
      </c>
    </row>
    <row r="928" spans="1:19" x14ac:dyDescent="0.25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e">
        <f>VLOOKUP(F928,'Customer Info'!A920:I1419,2,0)</f>
        <v>#N/A</v>
      </c>
      <c r="H928" s="6" t="e">
        <f>VLOOKUP(F928,'Customer Info'!A920:I1419,3,0)</f>
        <v>#N/A</v>
      </c>
      <c r="I928" s="6" t="e">
        <f>VLOOKUP(F928,'Customer Info'!A920:I1419,5,0)</f>
        <v>#N/A</v>
      </c>
      <c r="J928" s="2">
        <v>127</v>
      </c>
      <c r="K928" s="2">
        <v>116</v>
      </c>
      <c r="L928" s="2">
        <v>4</v>
      </c>
      <c r="M928" s="7">
        <f t="shared" si="56"/>
        <v>464</v>
      </c>
      <c r="N928" s="7">
        <f t="shared" si="57"/>
        <v>508</v>
      </c>
      <c r="O928" s="2">
        <v>30</v>
      </c>
      <c r="P928" s="8">
        <f t="shared" si="58"/>
        <v>538</v>
      </c>
      <c r="Q928" s="8">
        <f t="shared" si="59"/>
        <v>478</v>
      </c>
      <c r="R928" s="2" t="s">
        <v>28</v>
      </c>
      <c r="S928" s="9">
        <f>VLOOKUP(P928,$T$2:U925,2,1)</f>
        <v>0.02</v>
      </c>
    </row>
    <row r="929" spans="1:19" x14ac:dyDescent="0.25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e">
        <f>VLOOKUP(F929,'Customer Info'!A921:I1420,2,0)</f>
        <v>#N/A</v>
      </c>
      <c r="H929" s="6" t="e">
        <f>VLOOKUP(F929,'Customer Info'!A921:I1420,3,0)</f>
        <v>#N/A</v>
      </c>
      <c r="I929" s="6" t="e">
        <f>VLOOKUP(F929,'Customer Info'!A921:I1420,5,0)</f>
        <v>#N/A</v>
      </c>
      <c r="J929" s="2">
        <v>2083</v>
      </c>
      <c r="K929" s="2">
        <v>2004</v>
      </c>
      <c r="L929" s="2">
        <v>4</v>
      </c>
      <c r="M929" s="7">
        <f t="shared" si="56"/>
        <v>8016</v>
      </c>
      <c r="N929" s="7">
        <f t="shared" si="57"/>
        <v>8332</v>
      </c>
      <c r="O929" s="2">
        <v>34</v>
      </c>
      <c r="P929" s="8">
        <f t="shared" si="58"/>
        <v>8366</v>
      </c>
      <c r="Q929" s="8">
        <f t="shared" si="59"/>
        <v>8298</v>
      </c>
      <c r="R929" s="2" t="s">
        <v>28</v>
      </c>
      <c r="S929" s="9">
        <f>VLOOKUP(P929,$T$2:U926,2,1)</f>
        <v>0.05</v>
      </c>
    </row>
    <row r="930" spans="1:19" x14ac:dyDescent="0.25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e">
        <f>VLOOKUP(F930,'Customer Info'!A922:I1421,2,0)</f>
        <v>#N/A</v>
      </c>
      <c r="H930" s="6" t="e">
        <f>VLOOKUP(F930,'Customer Info'!A922:I1421,3,0)</f>
        <v>#N/A</v>
      </c>
      <c r="I930" s="6" t="e">
        <f>VLOOKUP(F930,'Customer Info'!A922:I1421,5,0)</f>
        <v>#N/A</v>
      </c>
      <c r="J930" s="2">
        <v>59</v>
      </c>
      <c r="K930" s="2">
        <v>55</v>
      </c>
      <c r="L930" s="2">
        <v>4</v>
      </c>
      <c r="M930" s="7">
        <f t="shared" si="56"/>
        <v>220</v>
      </c>
      <c r="N930" s="7">
        <f t="shared" si="57"/>
        <v>236</v>
      </c>
      <c r="O930" s="2">
        <v>10</v>
      </c>
      <c r="P930" s="8">
        <f t="shared" si="58"/>
        <v>246</v>
      </c>
      <c r="Q930" s="8">
        <f t="shared" si="59"/>
        <v>226</v>
      </c>
      <c r="R930" s="2" t="s">
        <v>50</v>
      </c>
      <c r="S930" s="9">
        <f>VLOOKUP(P930,$T$2:U927,2,1)</f>
        <v>0.02</v>
      </c>
    </row>
    <row r="931" spans="1:19" x14ac:dyDescent="0.25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e">
        <f>VLOOKUP(F931,'Customer Info'!A923:I1422,2,0)</f>
        <v>#N/A</v>
      </c>
      <c r="H931" s="6" t="e">
        <f>VLOOKUP(F931,'Customer Info'!A923:I1422,3,0)</f>
        <v>#N/A</v>
      </c>
      <c r="I931" s="6" t="e">
        <f>VLOOKUP(F931,'Customer Info'!A923:I1422,5,0)</f>
        <v>#N/A</v>
      </c>
      <c r="J931" s="2">
        <v>1615</v>
      </c>
      <c r="K931" s="2">
        <v>1525</v>
      </c>
      <c r="L931" s="2">
        <v>3</v>
      </c>
      <c r="M931" s="7">
        <f t="shared" si="56"/>
        <v>4575</v>
      </c>
      <c r="N931" s="7">
        <f t="shared" si="57"/>
        <v>4845</v>
      </c>
      <c r="O931" s="2">
        <v>86</v>
      </c>
      <c r="P931" s="8">
        <f t="shared" si="58"/>
        <v>4931</v>
      </c>
      <c r="Q931" s="8">
        <f t="shared" si="59"/>
        <v>4759</v>
      </c>
      <c r="R931" s="2" t="s">
        <v>28</v>
      </c>
      <c r="S931" s="9">
        <f>VLOOKUP(P931,$T$2:U928,2,1)</f>
        <v>0.02</v>
      </c>
    </row>
    <row r="932" spans="1:19" x14ac:dyDescent="0.25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e">
        <f>VLOOKUP(F932,'Customer Info'!A924:I1423,2,0)</f>
        <v>#N/A</v>
      </c>
      <c r="H932" s="6" t="e">
        <f>VLOOKUP(F932,'Customer Info'!A924:I1423,3,0)</f>
        <v>#N/A</v>
      </c>
      <c r="I932" s="6" t="e">
        <f>VLOOKUP(F932,'Customer Info'!A924:I1423,5,0)</f>
        <v>#N/A</v>
      </c>
      <c r="J932" s="2">
        <v>1605</v>
      </c>
      <c r="K932" s="2">
        <v>1487</v>
      </c>
      <c r="L932" s="2">
        <v>2</v>
      </c>
      <c r="M932" s="7">
        <f t="shared" si="56"/>
        <v>2974</v>
      </c>
      <c r="N932" s="7">
        <f t="shared" si="57"/>
        <v>3210</v>
      </c>
      <c r="O932" s="2">
        <v>95</v>
      </c>
      <c r="P932" s="8">
        <f t="shared" si="58"/>
        <v>3305</v>
      </c>
      <c r="Q932" s="8">
        <f t="shared" si="59"/>
        <v>3115</v>
      </c>
      <c r="R932" s="2" t="s">
        <v>26</v>
      </c>
      <c r="S932" s="9">
        <f>VLOOKUP(P932,$T$2:U929,2,1)</f>
        <v>0.02</v>
      </c>
    </row>
    <row r="933" spans="1:19" x14ac:dyDescent="0.25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e">
        <f>VLOOKUP(F933,'Customer Info'!A925:I1424,2,0)</f>
        <v>#N/A</v>
      </c>
      <c r="H933" s="6" t="e">
        <f>VLOOKUP(F933,'Customer Info'!A925:I1424,3,0)</f>
        <v>#N/A</v>
      </c>
      <c r="I933" s="6" t="e">
        <f>VLOOKUP(F933,'Customer Info'!A925:I1424,5,0)</f>
        <v>#N/A</v>
      </c>
      <c r="J933" s="2">
        <v>2747</v>
      </c>
      <c r="K933" s="2">
        <v>2545</v>
      </c>
      <c r="L933" s="2">
        <v>4</v>
      </c>
      <c r="M933" s="7">
        <f t="shared" si="56"/>
        <v>10180</v>
      </c>
      <c r="N933" s="7">
        <f t="shared" si="57"/>
        <v>10988</v>
      </c>
      <c r="O933" s="2">
        <v>73</v>
      </c>
      <c r="P933" s="8">
        <f t="shared" si="58"/>
        <v>11061</v>
      </c>
      <c r="Q933" s="8">
        <f t="shared" si="59"/>
        <v>10915</v>
      </c>
      <c r="R933" s="2" t="s">
        <v>56</v>
      </c>
      <c r="S933" s="9">
        <f>VLOOKUP(P933,$T$2:U930,2,1)</f>
        <v>0.05</v>
      </c>
    </row>
    <row r="934" spans="1:19" x14ac:dyDescent="0.25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e">
        <f>VLOOKUP(F934,'Customer Info'!A926:I1425,2,0)</f>
        <v>#N/A</v>
      </c>
      <c r="H934" s="6" t="e">
        <f>VLOOKUP(F934,'Customer Info'!A926:I1425,3,0)</f>
        <v>#N/A</v>
      </c>
      <c r="I934" s="6" t="e">
        <f>VLOOKUP(F934,'Customer Info'!A926:I1425,5,0)</f>
        <v>#N/A</v>
      </c>
      <c r="J934" s="2">
        <v>288</v>
      </c>
      <c r="K934" s="2">
        <v>264</v>
      </c>
      <c r="L934" s="2">
        <v>8</v>
      </c>
      <c r="M934" s="7">
        <f t="shared" si="56"/>
        <v>2112</v>
      </c>
      <c r="N934" s="7">
        <f t="shared" si="57"/>
        <v>2304</v>
      </c>
      <c r="O934" s="2">
        <v>95</v>
      </c>
      <c r="P934" s="8">
        <f t="shared" si="58"/>
        <v>2399</v>
      </c>
      <c r="Q934" s="8">
        <f t="shared" si="59"/>
        <v>2209</v>
      </c>
      <c r="R934" s="2" t="s">
        <v>28</v>
      </c>
      <c r="S934" s="9">
        <f>VLOOKUP(P934,$T$2:U931,2,1)</f>
        <v>0.02</v>
      </c>
    </row>
    <row r="935" spans="1:19" x14ac:dyDescent="0.25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e">
        <f>VLOOKUP(F935,'Customer Info'!A927:I1426,2,0)</f>
        <v>#N/A</v>
      </c>
      <c r="H935" s="6" t="e">
        <f>VLOOKUP(F935,'Customer Info'!A927:I1426,3,0)</f>
        <v>#N/A</v>
      </c>
      <c r="I935" s="6" t="e">
        <f>VLOOKUP(F935,'Customer Info'!A927:I1426,5,0)</f>
        <v>#N/A</v>
      </c>
      <c r="J935" s="2">
        <v>123</v>
      </c>
      <c r="K935" s="2">
        <v>115</v>
      </c>
      <c r="L935" s="2">
        <v>4</v>
      </c>
      <c r="M935" s="7">
        <f t="shared" si="56"/>
        <v>460</v>
      </c>
      <c r="N935" s="7">
        <f t="shared" si="57"/>
        <v>492</v>
      </c>
      <c r="O935" s="2">
        <v>30</v>
      </c>
      <c r="P935" s="8">
        <f t="shared" si="58"/>
        <v>522</v>
      </c>
      <c r="Q935" s="8">
        <f t="shared" si="59"/>
        <v>462</v>
      </c>
      <c r="R935" s="2" t="s">
        <v>50</v>
      </c>
      <c r="S935" s="9">
        <f>VLOOKUP(P935,$T$2:U932,2,1)</f>
        <v>0.02</v>
      </c>
    </row>
    <row r="936" spans="1:19" x14ac:dyDescent="0.25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e">
        <f>VLOOKUP(F936,'Customer Info'!A928:I1427,2,0)</f>
        <v>#N/A</v>
      </c>
      <c r="H936" s="6" t="e">
        <f>VLOOKUP(F936,'Customer Info'!A928:I1427,3,0)</f>
        <v>#N/A</v>
      </c>
      <c r="I936" s="6" t="e">
        <f>VLOOKUP(F936,'Customer Info'!A928:I1427,5,0)</f>
        <v>#N/A</v>
      </c>
      <c r="J936" s="2">
        <v>805</v>
      </c>
      <c r="K936" s="2">
        <v>746</v>
      </c>
      <c r="L936" s="2">
        <v>2</v>
      </c>
      <c r="M936" s="7">
        <f t="shared" si="56"/>
        <v>1492</v>
      </c>
      <c r="N936" s="7">
        <f t="shared" si="57"/>
        <v>1610</v>
      </c>
      <c r="O936" s="2">
        <v>72</v>
      </c>
      <c r="P936" s="8">
        <f t="shared" si="58"/>
        <v>1682</v>
      </c>
      <c r="Q936" s="8">
        <f t="shared" si="59"/>
        <v>1538</v>
      </c>
      <c r="R936" s="2" t="s">
        <v>28</v>
      </c>
      <c r="S936" s="9">
        <f>VLOOKUP(P936,$T$2:U933,2,1)</f>
        <v>0.02</v>
      </c>
    </row>
    <row r="937" spans="1:19" x14ac:dyDescent="0.25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e">
        <f>VLOOKUP(F937,'Customer Info'!A929:I1428,2,0)</f>
        <v>#N/A</v>
      </c>
      <c r="H937" s="6" t="e">
        <f>VLOOKUP(F937,'Customer Info'!A929:I1428,3,0)</f>
        <v>#N/A</v>
      </c>
      <c r="I937" s="6" t="e">
        <f>VLOOKUP(F937,'Customer Info'!A929:I1428,5,0)</f>
        <v>#N/A</v>
      </c>
      <c r="J937" s="2">
        <v>185</v>
      </c>
      <c r="K937" s="2">
        <v>171</v>
      </c>
      <c r="L937" s="2">
        <v>4</v>
      </c>
      <c r="M937" s="7">
        <f t="shared" si="56"/>
        <v>684</v>
      </c>
      <c r="N937" s="7">
        <f t="shared" si="57"/>
        <v>740</v>
      </c>
      <c r="O937" s="2">
        <v>30</v>
      </c>
      <c r="P937" s="8">
        <f t="shared" si="58"/>
        <v>770</v>
      </c>
      <c r="Q937" s="8">
        <f t="shared" si="59"/>
        <v>710</v>
      </c>
      <c r="R937" s="2" t="s">
        <v>28</v>
      </c>
      <c r="S937" s="9">
        <f>VLOOKUP(P937,$T$2:U934,2,1)</f>
        <v>0.02</v>
      </c>
    </row>
    <row r="938" spans="1:19" x14ac:dyDescent="0.25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e">
        <f>VLOOKUP(F938,'Customer Info'!A930:I1429,2,0)</f>
        <v>#N/A</v>
      </c>
      <c r="H938" s="6" t="e">
        <f>VLOOKUP(F938,'Customer Info'!A930:I1429,3,0)</f>
        <v>#N/A</v>
      </c>
      <c r="I938" s="6" t="e">
        <f>VLOOKUP(F938,'Customer Info'!A930:I1429,5,0)</f>
        <v>#N/A</v>
      </c>
      <c r="J938" s="2">
        <v>1321</v>
      </c>
      <c r="K938" s="2">
        <v>1211</v>
      </c>
      <c r="L938" s="2">
        <v>1</v>
      </c>
      <c r="M938" s="7">
        <f t="shared" si="56"/>
        <v>1211</v>
      </c>
      <c r="N938" s="7">
        <f t="shared" si="57"/>
        <v>1321</v>
      </c>
      <c r="O938" s="2">
        <v>59</v>
      </c>
      <c r="P938" s="8">
        <f t="shared" si="58"/>
        <v>1380</v>
      </c>
      <c r="Q938" s="8">
        <f t="shared" si="59"/>
        <v>1262</v>
      </c>
      <c r="R938" s="2" t="s">
        <v>28</v>
      </c>
      <c r="S938" s="9">
        <f>VLOOKUP(P938,$T$2:U935,2,1)</f>
        <v>0.02</v>
      </c>
    </row>
    <row r="939" spans="1:19" x14ac:dyDescent="0.25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e">
        <f>VLOOKUP(F939,'Customer Info'!A931:I1430,2,0)</f>
        <v>#N/A</v>
      </c>
      <c r="H939" s="6" t="e">
        <f>VLOOKUP(F939,'Customer Info'!A931:I1430,3,0)</f>
        <v>#N/A</v>
      </c>
      <c r="I939" s="6" t="e">
        <f>VLOOKUP(F939,'Customer Info'!A931:I1430,5,0)</f>
        <v>#N/A</v>
      </c>
      <c r="J939" s="2">
        <v>1518</v>
      </c>
      <c r="K939" s="2">
        <v>1392</v>
      </c>
      <c r="L939" s="2">
        <v>2</v>
      </c>
      <c r="M939" s="7">
        <f t="shared" si="56"/>
        <v>2784</v>
      </c>
      <c r="N939" s="7">
        <f t="shared" si="57"/>
        <v>3036</v>
      </c>
      <c r="O939" s="2">
        <v>73</v>
      </c>
      <c r="P939" s="8">
        <f t="shared" si="58"/>
        <v>3109</v>
      </c>
      <c r="Q939" s="8">
        <f t="shared" si="59"/>
        <v>2963</v>
      </c>
      <c r="R939" s="2" t="s">
        <v>28</v>
      </c>
      <c r="S939" s="9">
        <f>VLOOKUP(P939,$T$2:U936,2,1)</f>
        <v>0.02</v>
      </c>
    </row>
    <row r="940" spans="1:19" x14ac:dyDescent="0.25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e">
        <f>VLOOKUP(F940,'Customer Info'!A932:I1431,2,0)</f>
        <v>#N/A</v>
      </c>
      <c r="H940" s="6" t="e">
        <f>VLOOKUP(F940,'Customer Info'!A932:I1431,3,0)</f>
        <v>#N/A</v>
      </c>
      <c r="I940" s="6" t="e">
        <f>VLOOKUP(F940,'Customer Info'!A932:I1431,5,0)</f>
        <v>#N/A</v>
      </c>
      <c r="J940" s="2">
        <v>1770</v>
      </c>
      <c r="K940" s="2">
        <v>1592</v>
      </c>
      <c r="L940" s="2">
        <v>2</v>
      </c>
      <c r="M940" s="7">
        <f t="shared" si="56"/>
        <v>3184</v>
      </c>
      <c r="N940" s="7">
        <f t="shared" si="57"/>
        <v>3540</v>
      </c>
      <c r="O940" s="2">
        <v>30</v>
      </c>
      <c r="P940" s="8">
        <f t="shared" si="58"/>
        <v>3570</v>
      </c>
      <c r="Q940" s="8">
        <f t="shared" si="59"/>
        <v>3510</v>
      </c>
      <c r="R940" s="2" t="s">
        <v>28</v>
      </c>
      <c r="S940" s="9">
        <f>VLOOKUP(P940,$T$2:U937,2,1)</f>
        <v>0.02</v>
      </c>
    </row>
    <row r="941" spans="1:19" x14ac:dyDescent="0.25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e">
        <f>VLOOKUP(F941,'Customer Info'!A933:I1432,2,0)</f>
        <v>#N/A</v>
      </c>
      <c r="H941" s="6" t="e">
        <f>VLOOKUP(F941,'Customer Info'!A933:I1432,3,0)</f>
        <v>#N/A</v>
      </c>
      <c r="I941" s="6" t="e">
        <f>VLOOKUP(F941,'Customer Info'!A933:I1432,5,0)</f>
        <v>#N/A</v>
      </c>
      <c r="J941" s="2">
        <v>691</v>
      </c>
      <c r="K941" s="2">
        <v>627</v>
      </c>
      <c r="L941" s="2">
        <v>5</v>
      </c>
      <c r="M941" s="7">
        <f t="shared" si="56"/>
        <v>3135</v>
      </c>
      <c r="N941" s="7">
        <f t="shared" si="57"/>
        <v>3455</v>
      </c>
      <c r="O941" s="2">
        <v>90</v>
      </c>
      <c r="P941" s="8">
        <f t="shared" si="58"/>
        <v>3545</v>
      </c>
      <c r="Q941" s="8">
        <f t="shared" si="59"/>
        <v>3365</v>
      </c>
      <c r="R941" s="2" t="s">
        <v>50</v>
      </c>
      <c r="S941" s="9">
        <f>VLOOKUP(P941,$T$2:U938,2,1)</f>
        <v>0.02</v>
      </c>
    </row>
    <row r="942" spans="1:19" x14ac:dyDescent="0.25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e">
        <f>VLOOKUP(F942,'Customer Info'!A934:I1433,2,0)</f>
        <v>#N/A</v>
      </c>
      <c r="H942" s="6" t="e">
        <f>VLOOKUP(F942,'Customer Info'!A934:I1433,3,0)</f>
        <v>#N/A</v>
      </c>
      <c r="I942" s="6" t="e">
        <f>VLOOKUP(F942,'Customer Info'!A934:I1433,5,0)</f>
        <v>#N/A</v>
      </c>
      <c r="J942" s="2">
        <v>6768</v>
      </c>
      <c r="K942" s="2">
        <v>6512</v>
      </c>
      <c r="L942" s="2">
        <v>3</v>
      </c>
      <c r="M942" s="7">
        <f t="shared" si="56"/>
        <v>19536</v>
      </c>
      <c r="N942" s="7">
        <f t="shared" si="57"/>
        <v>20304</v>
      </c>
      <c r="O942" s="2">
        <v>60</v>
      </c>
      <c r="P942" s="8">
        <f t="shared" si="58"/>
        <v>20364</v>
      </c>
      <c r="Q942" s="8">
        <f t="shared" si="59"/>
        <v>20244</v>
      </c>
      <c r="R942" s="2" t="s">
        <v>28</v>
      </c>
      <c r="S942" s="9">
        <f>VLOOKUP(P942,$T$2:U939,2,1)</f>
        <v>0.05</v>
      </c>
    </row>
    <row r="943" spans="1:19" x14ac:dyDescent="0.25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e">
        <f>VLOOKUP(F943,'Customer Info'!A935:I1434,2,0)</f>
        <v>#N/A</v>
      </c>
      <c r="H943" s="6" t="e">
        <f>VLOOKUP(F943,'Customer Info'!A935:I1434,3,0)</f>
        <v>#N/A</v>
      </c>
      <c r="I943" s="6" t="e">
        <f>VLOOKUP(F943,'Customer Info'!A935:I1434,5,0)</f>
        <v>#N/A</v>
      </c>
      <c r="J943" s="2">
        <v>1552</v>
      </c>
      <c r="K943" s="2">
        <v>1466</v>
      </c>
      <c r="L943" s="2">
        <v>8</v>
      </c>
      <c r="M943" s="7">
        <f t="shared" si="56"/>
        <v>11728</v>
      </c>
      <c r="N943" s="7">
        <f t="shared" si="57"/>
        <v>12416</v>
      </c>
      <c r="O943" s="2">
        <v>52</v>
      </c>
      <c r="P943" s="8">
        <f t="shared" si="58"/>
        <v>12468</v>
      </c>
      <c r="Q943" s="8">
        <f t="shared" si="59"/>
        <v>12364</v>
      </c>
      <c r="R943" s="2" t="s">
        <v>28</v>
      </c>
      <c r="S943" s="9">
        <f>VLOOKUP(P943,$T$2:U940,2,1)</f>
        <v>0.05</v>
      </c>
    </row>
    <row r="944" spans="1:19" x14ac:dyDescent="0.25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e">
        <f>VLOOKUP(F944,'Customer Info'!A936:I1435,2,0)</f>
        <v>#N/A</v>
      </c>
      <c r="H944" s="6" t="e">
        <f>VLOOKUP(F944,'Customer Info'!A936:I1435,3,0)</f>
        <v>#N/A</v>
      </c>
      <c r="I944" s="6" t="e">
        <f>VLOOKUP(F944,'Customer Info'!A936:I1435,5,0)</f>
        <v>#N/A</v>
      </c>
      <c r="J944" s="2">
        <v>1564</v>
      </c>
      <c r="K944" s="2">
        <v>1420</v>
      </c>
      <c r="L944" s="2">
        <v>1</v>
      </c>
      <c r="M944" s="7">
        <f t="shared" si="56"/>
        <v>1420</v>
      </c>
      <c r="N944" s="7">
        <f t="shared" si="57"/>
        <v>1564</v>
      </c>
      <c r="O944" s="2">
        <v>86</v>
      </c>
      <c r="P944" s="8">
        <f t="shared" si="58"/>
        <v>1650</v>
      </c>
      <c r="Q944" s="8">
        <f t="shared" si="59"/>
        <v>1478</v>
      </c>
      <c r="R944" s="2" t="s">
        <v>50</v>
      </c>
      <c r="S944" s="9">
        <f>VLOOKUP(P944,$T$2:U941,2,1)</f>
        <v>0.02</v>
      </c>
    </row>
    <row r="945" spans="1:19" x14ac:dyDescent="0.25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e">
        <f>VLOOKUP(F945,'Customer Info'!A937:I1436,2,0)</f>
        <v>#N/A</v>
      </c>
      <c r="H945" s="6" t="e">
        <f>VLOOKUP(F945,'Customer Info'!A937:I1436,3,0)</f>
        <v>#N/A</v>
      </c>
      <c r="I945" s="6" t="e">
        <f>VLOOKUP(F945,'Customer Info'!A937:I1436,5,0)</f>
        <v>#N/A</v>
      </c>
      <c r="J945" s="2">
        <v>2088</v>
      </c>
      <c r="K945" s="2">
        <v>1970</v>
      </c>
      <c r="L945" s="2">
        <v>7</v>
      </c>
      <c r="M945" s="7">
        <f t="shared" si="56"/>
        <v>13790</v>
      </c>
      <c r="N945" s="7">
        <f t="shared" si="57"/>
        <v>14616</v>
      </c>
      <c r="O945" s="2">
        <v>27</v>
      </c>
      <c r="P945" s="8">
        <f t="shared" si="58"/>
        <v>14643</v>
      </c>
      <c r="Q945" s="8">
        <f t="shared" si="59"/>
        <v>14589</v>
      </c>
      <c r="R945" s="2" t="s">
        <v>56</v>
      </c>
      <c r="S945" s="9">
        <f>VLOOKUP(P945,$T$2:U942,2,1)</f>
        <v>0.05</v>
      </c>
    </row>
    <row r="946" spans="1:19" x14ac:dyDescent="0.25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e">
        <f>VLOOKUP(F946,'Customer Info'!A938:I1437,2,0)</f>
        <v>#N/A</v>
      </c>
      <c r="H946" s="6" t="e">
        <f>VLOOKUP(F946,'Customer Info'!A938:I1437,3,0)</f>
        <v>#N/A</v>
      </c>
      <c r="I946" s="6" t="e">
        <f>VLOOKUP(F946,'Customer Info'!A938:I1437,5,0)</f>
        <v>#N/A</v>
      </c>
      <c r="J946" s="2">
        <v>8433</v>
      </c>
      <c r="K946" s="2">
        <v>7801</v>
      </c>
      <c r="L946" s="2">
        <v>3</v>
      </c>
      <c r="M946" s="7">
        <f t="shared" si="56"/>
        <v>23403</v>
      </c>
      <c r="N946" s="7">
        <f t="shared" si="57"/>
        <v>25299</v>
      </c>
      <c r="O946" s="2">
        <v>40</v>
      </c>
      <c r="P946" s="8">
        <f t="shared" si="58"/>
        <v>25339</v>
      </c>
      <c r="Q946" s="8">
        <f t="shared" si="59"/>
        <v>25259</v>
      </c>
      <c r="R946" s="2" t="s">
        <v>28</v>
      </c>
      <c r="S946" s="9">
        <f>VLOOKUP(P946,$T$2:U943,2,1)</f>
        <v>7.0000000000000007E-2</v>
      </c>
    </row>
    <row r="947" spans="1:19" x14ac:dyDescent="0.25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e">
        <f>VLOOKUP(F947,'Customer Info'!A939:I1438,2,0)</f>
        <v>#N/A</v>
      </c>
      <c r="H947" s="6" t="e">
        <f>VLOOKUP(F947,'Customer Info'!A939:I1438,3,0)</f>
        <v>#N/A</v>
      </c>
      <c r="I947" s="6" t="e">
        <f>VLOOKUP(F947,'Customer Info'!A939:I1438,5,0)</f>
        <v>#N/A</v>
      </c>
      <c r="J947" s="2">
        <v>170</v>
      </c>
      <c r="K947" s="2">
        <v>153</v>
      </c>
      <c r="L947" s="2">
        <v>4</v>
      </c>
      <c r="M947" s="7">
        <f t="shared" si="56"/>
        <v>612</v>
      </c>
      <c r="N947" s="7">
        <f t="shared" si="57"/>
        <v>680</v>
      </c>
      <c r="O947" s="2">
        <v>30</v>
      </c>
      <c r="P947" s="8">
        <f t="shared" si="58"/>
        <v>710</v>
      </c>
      <c r="Q947" s="8">
        <f t="shared" si="59"/>
        <v>650</v>
      </c>
      <c r="R947" s="2" t="s">
        <v>28</v>
      </c>
      <c r="S947" s="9">
        <f>VLOOKUP(P947,$T$2:U944,2,1)</f>
        <v>0.02</v>
      </c>
    </row>
    <row r="948" spans="1:19" x14ac:dyDescent="0.25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e">
        <f>VLOOKUP(F948,'Customer Info'!A940:I1439,2,0)</f>
        <v>#N/A</v>
      </c>
      <c r="H948" s="6" t="e">
        <f>VLOOKUP(F948,'Customer Info'!A940:I1439,3,0)</f>
        <v>#N/A</v>
      </c>
      <c r="I948" s="6" t="e">
        <f>VLOOKUP(F948,'Customer Info'!A940:I1439,5,0)</f>
        <v>#N/A</v>
      </c>
      <c r="J948" s="2">
        <v>1358</v>
      </c>
      <c r="K948" s="2">
        <v>1270</v>
      </c>
      <c r="L948" s="2">
        <v>2</v>
      </c>
      <c r="M948" s="7">
        <f t="shared" si="56"/>
        <v>2540</v>
      </c>
      <c r="N948" s="7">
        <f t="shared" si="57"/>
        <v>2716</v>
      </c>
      <c r="O948" s="2">
        <v>91</v>
      </c>
      <c r="P948" s="8">
        <f t="shared" si="58"/>
        <v>2807</v>
      </c>
      <c r="Q948" s="8">
        <f t="shared" si="59"/>
        <v>2625</v>
      </c>
      <c r="R948" s="2" t="s">
        <v>28</v>
      </c>
      <c r="S948" s="9">
        <f>VLOOKUP(P948,$T$2:U945,2,1)</f>
        <v>0.02</v>
      </c>
    </row>
    <row r="949" spans="1:19" x14ac:dyDescent="0.25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e">
        <f>VLOOKUP(F949,'Customer Info'!A941:I1440,2,0)</f>
        <v>#N/A</v>
      </c>
      <c r="H949" s="6" t="e">
        <f>VLOOKUP(F949,'Customer Info'!A941:I1440,3,0)</f>
        <v>#N/A</v>
      </c>
      <c r="I949" s="6" t="e">
        <f>VLOOKUP(F949,'Customer Info'!A941:I1440,5,0)</f>
        <v>#N/A</v>
      </c>
      <c r="J949" s="2">
        <v>139</v>
      </c>
      <c r="K949" s="2">
        <v>133</v>
      </c>
      <c r="L949" s="2">
        <v>3</v>
      </c>
      <c r="M949" s="7">
        <f t="shared" si="56"/>
        <v>399</v>
      </c>
      <c r="N949" s="7">
        <f t="shared" si="57"/>
        <v>417</v>
      </c>
      <c r="O949" s="2">
        <v>30</v>
      </c>
      <c r="P949" s="8">
        <f t="shared" si="58"/>
        <v>447</v>
      </c>
      <c r="Q949" s="8">
        <f t="shared" si="59"/>
        <v>387</v>
      </c>
      <c r="R949" s="2" t="s">
        <v>56</v>
      </c>
      <c r="S949" s="9">
        <f>VLOOKUP(P949,$T$2:U946,2,1)</f>
        <v>0.02</v>
      </c>
    </row>
    <row r="950" spans="1:19" x14ac:dyDescent="0.25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e">
        <f>VLOOKUP(F950,'Customer Info'!A942:I1441,2,0)</f>
        <v>#N/A</v>
      </c>
      <c r="H950" s="6" t="e">
        <f>VLOOKUP(F950,'Customer Info'!A942:I1441,3,0)</f>
        <v>#N/A</v>
      </c>
      <c r="I950" s="6" t="e">
        <f>VLOOKUP(F950,'Customer Info'!A942:I1441,5,0)</f>
        <v>#N/A</v>
      </c>
      <c r="J950" s="2">
        <v>8379</v>
      </c>
      <c r="K950" s="2">
        <v>8061</v>
      </c>
      <c r="L950" s="2">
        <v>1</v>
      </c>
      <c r="M950" s="7">
        <f t="shared" si="56"/>
        <v>8061</v>
      </c>
      <c r="N950" s="7">
        <f t="shared" si="57"/>
        <v>8379</v>
      </c>
      <c r="O950" s="2">
        <v>47</v>
      </c>
      <c r="P950" s="8">
        <f t="shared" si="58"/>
        <v>8426</v>
      </c>
      <c r="Q950" s="8">
        <f t="shared" si="59"/>
        <v>8332</v>
      </c>
      <c r="R950" s="2" t="s">
        <v>28</v>
      </c>
      <c r="S950" s="9">
        <f>VLOOKUP(P950,$T$2:U947,2,1)</f>
        <v>0.05</v>
      </c>
    </row>
    <row r="951" spans="1:19" x14ac:dyDescent="0.25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e">
        <f>VLOOKUP(F951,'Customer Info'!A943:I1442,2,0)</f>
        <v>#N/A</v>
      </c>
      <c r="H951" s="6" t="e">
        <f>VLOOKUP(F951,'Customer Info'!A943:I1442,3,0)</f>
        <v>#N/A</v>
      </c>
      <c r="I951" s="6" t="e">
        <f>VLOOKUP(F951,'Customer Info'!A943:I1442,5,0)</f>
        <v>#N/A</v>
      </c>
      <c r="J951" s="2">
        <v>25155</v>
      </c>
      <c r="K951" s="2">
        <v>23753</v>
      </c>
      <c r="L951" s="2">
        <v>1</v>
      </c>
      <c r="M951" s="7">
        <f t="shared" si="56"/>
        <v>23753</v>
      </c>
      <c r="N951" s="7">
        <f t="shared" si="57"/>
        <v>25155</v>
      </c>
      <c r="O951" s="2">
        <v>66</v>
      </c>
      <c r="P951" s="8">
        <f t="shared" si="58"/>
        <v>25221</v>
      </c>
      <c r="Q951" s="8">
        <f t="shared" si="59"/>
        <v>25089</v>
      </c>
      <c r="R951" s="2" t="s">
        <v>50</v>
      </c>
      <c r="S951" s="9">
        <f>VLOOKUP(P951,$T$2:U948,2,1)</f>
        <v>7.0000000000000007E-2</v>
      </c>
    </row>
    <row r="952" spans="1:19" x14ac:dyDescent="0.25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e">
        <f>VLOOKUP(F952,'Customer Info'!A944:I1443,2,0)</f>
        <v>#N/A</v>
      </c>
      <c r="H952" s="6" t="e">
        <f>VLOOKUP(F952,'Customer Info'!A944:I1443,3,0)</f>
        <v>#N/A</v>
      </c>
      <c r="I952" s="6" t="e">
        <f>VLOOKUP(F952,'Customer Info'!A944:I1443,5,0)</f>
        <v>#N/A</v>
      </c>
      <c r="J952" s="2">
        <v>9214</v>
      </c>
      <c r="K952" s="2">
        <v>8295</v>
      </c>
      <c r="L952" s="2">
        <v>8</v>
      </c>
      <c r="M952" s="7">
        <f t="shared" si="56"/>
        <v>66360</v>
      </c>
      <c r="N952" s="7">
        <f t="shared" si="57"/>
        <v>73712</v>
      </c>
      <c r="O952" s="2">
        <v>80</v>
      </c>
      <c r="P952" s="8">
        <f t="shared" si="58"/>
        <v>73792</v>
      </c>
      <c r="Q952" s="8">
        <f t="shared" si="59"/>
        <v>73632</v>
      </c>
      <c r="R952" s="2" t="s">
        <v>50</v>
      </c>
      <c r="S952" s="9">
        <f>VLOOKUP(P952,$T$2:U949,2,1)</f>
        <v>0.09</v>
      </c>
    </row>
    <row r="953" spans="1:19" x14ac:dyDescent="0.25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e">
        <f>VLOOKUP(F953,'Customer Info'!A945:I1444,2,0)</f>
        <v>#N/A</v>
      </c>
      <c r="H953" s="6" t="e">
        <f>VLOOKUP(F953,'Customer Info'!A945:I1444,3,0)</f>
        <v>#N/A</v>
      </c>
      <c r="I953" s="6" t="e">
        <f>VLOOKUP(F953,'Customer Info'!A945:I1444,5,0)</f>
        <v>#N/A</v>
      </c>
      <c r="J953" s="2">
        <v>8433</v>
      </c>
      <c r="K953" s="2">
        <v>7801</v>
      </c>
      <c r="L953" s="2">
        <v>9</v>
      </c>
      <c r="M953" s="7">
        <f t="shared" si="56"/>
        <v>70209</v>
      </c>
      <c r="N953" s="7">
        <f t="shared" si="57"/>
        <v>75897</v>
      </c>
      <c r="O953" s="2">
        <v>53</v>
      </c>
      <c r="P953" s="8">
        <f t="shared" si="58"/>
        <v>75950</v>
      </c>
      <c r="Q953" s="8">
        <f t="shared" si="59"/>
        <v>75844</v>
      </c>
      <c r="R953" s="2" t="s">
        <v>50</v>
      </c>
      <c r="S953" s="9">
        <f>VLOOKUP(P953,$T$2:U950,2,1)</f>
        <v>0.09</v>
      </c>
    </row>
    <row r="954" spans="1:19" x14ac:dyDescent="0.25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e">
        <f>VLOOKUP(F954,'Customer Info'!A946:I1445,2,0)</f>
        <v>#N/A</v>
      </c>
      <c r="H954" s="6" t="e">
        <f>VLOOKUP(F954,'Customer Info'!A946:I1445,3,0)</f>
        <v>#N/A</v>
      </c>
      <c r="I954" s="6" t="e">
        <f>VLOOKUP(F954,'Customer Info'!A946:I1445,5,0)</f>
        <v>#N/A</v>
      </c>
      <c r="J954" s="2">
        <v>8738</v>
      </c>
      <c r="K954" s="2">
        <v>8162</v>
      </c>
      <c r="L954" s="2">
        <v>2</v>
      </c>
      <c r="M954" s="7">
        <f t="shared" si="56"/>
        <v>16324</v>
      </c>
      <c r="N954" s="7">
        <f t="shared" si="57"/>
        <v>17476</v>
      </c>
      <c r="O954" s="2">
        <v>91</v>
      </c>
      <c r="P954" s="8">
        <f t="shared" si="58"/>
        <v>17567</v>
      </c>
      <c r="Q954" s="8">
        <f t="shared" si="59"/>
        <v>17385</v>
      </c>
      <c r="R954" s="2" t="s">
        <v>26</v>
      </c>
      <c r="S954" s="9">
        <f>VLOOKUP(P954,$T$2:U951,2,1)</f>
        <v>0.05</v>
      </c>
    </row>
    <row r="955" spans="1:19" x14ac:dyDescent="0.25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e">
        <f>VLOOKUP(F955,'Customer Info'!A947:I1446,2,0)</f>
        <v>#N/A</v>
      </c>
      <c r="H955" s="6" t="e">
        <f>VLOOKUP(F955,'Customer Info'!A947:I1446,3,0)</f>
        <v>#N/A</v>
      </c>
      <c r="I955" s="6" t="e">
        <f>VLOOKUP(F955,'Customer Info'!A947:I1446,5,0)</f>
        <v>#N/A</v>
      </c>
      <c r="J955" s="2">
        <v>2778</v>
      </c>
      <c r="K955" s="2">
        <v>2573</v>
      </c>
      <c r="L955" s="2">
        <v>2</v>
      </c>
      <c r="M955" s="7">
        <f t="shared" si="56"/>
        <v>5146</v>
      </c>
      <c r="N955" s="7">
        <f t="shared" si="57"/>
        <v>5556</v>
      </c>
      <c r="O955" s="2">
        <v>78</v>
      </c>
      <c r="P955" s="8">
        <f t="shared" si="58"/>
        <v>5634</v>
      </c>
      <c r="Q955" s="8">
        <f t="shared" si="59"/>
        <v>5478</v>
      </c>
      <c r="R955" s="2" t="s">
        <v>50</v>
      </c>
      <c r="S955" s="9">
        <f>VLOOKUP(P955,$T$2:U952,2,1)</f>
        <v>0.05</v>
      </c>
    </row>
    <row r="956" spans="1:19" x14ac:dyDescent="0.25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e">
        <f>VLOOKUP(F956,'Customer Info'!A948:I1447,2,0)</f>
        <v>#N/A</v>
      </c>
      <c r="H956" s="6" t="e">
        <f>VLOOKUP(F956,'Customer Info'!A948:I1447,3,0)</f>
        <v>#N/A</v>
      </c>
      <c r="I956" s="6" t="e">
        <f>VLOOKUP(F956,'Customer Info'!A948:I1447,5,0)</f>
        <v>#N/A</v>
      </c>
      <c r="J956" s="2">
        <v>8752</v>
      </c>
      <c r="K956" s="2">
        <v>7877</v>
      </c>
      <c r="L956" s="2">
        <v>7</v>
      </c>
      <c r="M956" s="7">
        <f t="shared" si="56"/>
        <v>55139</v>
      </c>
      <c r="N956" s="7">
        <f t="shared" si="57"/>
        <v>61264</v>
      </c>
      <c r="O956" s="2">
        <v>64</v>
      </c>
      <c r="P956" s="8">
        <f t="shared" si="58"/>
        <v>61328</v>
      </c>
      <c r="Q956" s="8">
        <f t="shared" si="59"/>
        <v>61200</v>
      </c>
      <c r="R956" s="2" t="s">
        <v>50</v>
      </c>
      <c r="S956" s="9">
        <f>VLOOKUP(P956,$T$2:U953,2,1)</f>
        <v>0.09</v>
      </c>
    </row>
    <row r="957" spans="1:19" x14ac:dyDescent="0.25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e">
        <f>VLOOKUP(F957,'Customer Info'!A949:I1448,2,0)</f>
        <v>#N/A</v>
      </c>
      <c r="H957" s="6" t="e">
        <f>VLOOKUP(F957,'Customer Info'!A949:I1448,3,0)</f>
        <v>#N/A</v>
      </c>
      <c r="I957" s="6" t="e">
        <f>VLOOKUP(F957,'Customer Info'!A949:I1448,5,0)</f>
        <v>#N/A</v>
      </c>
      <c r="J957" s="2">
        <v>1619</v>
      </c>
      <c r="K957" s="2">
        <v>1442</v>
      </c>
      <c r="L957" s="2">
        <v>1</v>
      </c>
      <c r="M957" s="7">
        <f t="shared" si="56"/>
        <v>1442</v>
      </c>
      <c r="N957" s="7">
        <f t="shared" si="57"/>
        <v>1619</v>
      </c>
      <c r="O957" s="2">
        <v>68</v>
      </c>
      <c r="P957" s="8">
        <f t="shared" si="58"/>
        <v>1687</v>
      </c>
      <c r="Q957" s="8">
        <f t="shared" si="59"/>
        <v>1551</v>
      </c>
      <c r="R957" s="2" t="s">
        <v>28</v>
      </c>
      <c r="S957" s="9">
        <f>VLOOKUP(P957,$T$2:U954,2,1)</f>
        <v>0.02</v>
      </c>
    </row>
    <row r="958" spans="1:19" x14ac:dyDescent="0.25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e">
        <f>VLOOKUP(F958,'Customer Info'!A950:I1449,2,0)</f>
        <v>#N/A</v>
      </c>
      <c r="H958" s="6" t="e">
        <f>VLOOKUP(F958,'Customer Info'!A950:I1449,3,0)</f>
        <v>#N/A</v>
      </c>
      <c r="I958" s="6" t="e">
        <f>VLOOKUP(F958,'Customer Info'!A950:I1449,5,0)</f>
        <v>#N/A</v>
      </c>
      <c r="J958" s="2">
        <v>505</v>
      </c>
      <c r="K958" s="2">
        <v>463</v>
      </c>
      <c r="L958" s="2">
        <v>1</v>
      </c>
      <c r="M958" s="7">
        <f t="shared" si="56"/>
        <v>463</v>
      </c>
      <c r="N958" s="7">
        <f t="shared" si="57"/>
        <v>505</v>
      </c>
      <c r="O958" s="2">
        <v>40</v>
      </c>
      <c r="P958" s="8">
        <f t="shared" si="58"/>
        <v>545</v>
      </c>
      <c r="Q958" s="8">
        <f t="shared" si="59"/>
        <v>465</v>
      </c>
      <c r="R958" s="2" t="s">
        <v>28</v>
      </c>
      <c r="S958" s="9">
        <f>VLOOKUP(P958,$T$2:U955,2,1)</f>
        <v>0.02</v>
      </c>
    </row>
    <row r="959" spans="1:19" x14ac:dyDescent="0.25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e">
        <f>VLOOKUP(F959,'Customer Info'!A951:I1450,2,0)</f>
        <v>#N/A</v>
      </c>
      <c r="H959" s="6" t="e">
        <f>VLOOKUP(F959,'Customer Info'!A951:I1450,3,0)</f>
        <v>#N/A</v>
      </c>
      <c r="I959" s="6" t="e">
        <f>VLOOKUP(F959,'Customer Info'!A951:I1450,5,0)</f>
        <v>#N/A</v>
      </c>
      <c r="J959" s="2">
        <v>7212</v>
      </c>
      <c r="K959" s="2">
        <v>6737</v>
      </c>
      <c r="L959" s="2">
        <v>2</v>
      </c>
      <c r="M959" s="7">
        <f t="shared" si="56"/>
        <v>13474</v>
      </c>
      <c r="N959" s="7">
        <f t="shared" si="57"/>
        <v>14424</v>
      </c>
      <c r="O959" s="2">
        <v>41</v>
      </c>
      <c r="P959" s="8">
        <f t="shared" si="58"/>
        <v>14465</v>
      </c>
      <c r="Q959" s="8">
        <f t="shared" si="59"/>
        <v>14383</v>
      </c>
      <c r="R959" s="2" t="s">
        <v>28</v>
      </c>
      <c r="S959" s="9">
        <f>VLOOKUP(P959,$T$2:U956,2,1)</f>
        <v>0.05</v>
      </c>
    </row>
    <row r="960" spans="1:19" x14ac:dyDescent="0.25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e">
        <f>VLOOKUP(F960,'Customer Info'!A952:I1451,2,0)</f>
        <v>#N/A</v>
      </c>
      <c r="H960" s="6" t="e">
        <f>VLOOKUP(F960,'Customer Info'!A952:I1451,3,0)</f>
        <v>#N/A</v>
      </c>
      <c r="I960" s="6" t="e">
        <f>VLOOKUP(F960,'Customer Info'!A952:I1451,5,0)</f>
        <v>#N/A</v>
      </c>
      <c r="J960" s="2">
        <v>1916</v>
      </c>
      <c r="K960" s="2">
        <v>1844</v>
      </c>
      <c r="L960" s="2">
        <v>2</v>
      </c>
      <c r="M960" s="7">
        <f t="shared" si="56"/>
        <v>3688</v>
      </c>
      <c r="N960" s="7">
        <f t="shared" si="57"/>
        <v>3832</v>
      </c>
      <c r="O960" s="2">
        <v>39</v>
      </c>
      <c r="P960" s="8">
        <f t="shared" si="58"/>
        <v>3871</v>
      </c>
      <c r="Q960" s="8">
        <f t="shared" si="59"/>
        <v>3793</v>
      </c>
      <c r="R960" s="2" t="s">
        <v>28</v>
      </c>
      <c r="S960" s="9">
        <f>VLOOKUP(P960,$T$2:U957,2,1)</f>
        <v>0.02</v>
      </c>
    </row>
    <row r="961" spans="1:19" x14ac:dyDescent="0.25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e">
        <f>VLOOKUP(F961,'Customer Info'!A953:I1452,2,0)</f>
        <v>#N/A</v>
      </c>
      <c r="H961" s="6" t="e">
        <f>VLOOKUP(F961,'Customer Info'!A953:I1452,3,0)</f>
        <v>#N/A</v>
      </c>
      <c r="I961" s="6" t="e">
        <f>VLOOKUP(F961,'Customer Info'!A953:I1452,5,0)</f>
        <v>#N/A</v>
      </c>
      <c r="J961" s="2">
        <v>279</v>
      </c>
      <c r="K961" s="2">
        <v>254</v>
      </c>
      <c r="L961" s="2">
        <v>2</v>
      </c>
      <c r="M961" s="7">
        <f t="shared" si="56"/>
        <v>508</v>
      </c>
      <c r="N961" s="7">
        <f t="shared" si="57"/>
        <v>558</v>
      </c>
      <c r="O961" s="2">
        <v>24</v>
      </c>
      <c r="P961" s="8">
        <f t="shared" si="58"/>
        <v>582</v>
      </c>
      <c r="Q961" s="8">
        <f t="shared" si="59"/>
        <v>534</v>
      </c>
      <c r="R961" s="2" t="s">
        <v>50</v>
      </c>
      <c r="S961" s="9">
        <f>VLOOKUP(P961,$T$2:U958,2,1)</f>
        <v>0.02</v>
      </c>
    </row>
    <row r="962" spans="1:19" x14ac:dyDescent="0.25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e">
        <f>VLOOKUP(F962,'Customer Info'!A954:I1453,2,0)</f>
        <v>#N/A</v>
      </c>
      <c r="H962" s="6" t="e">
        <f>VLOOKUP(F962,'Customer Info'!A954:I1453,3,0)</f>
        <v>#N/A</v>
      </c>
      <c r="I962" s="6" t="e">
        <f>VLOOKUP(F962,'Customer Info'!A954:I1453,5,0)</f>
        <v>#N/A</v>
      </c>
      <c r="J962" s="2">
        <v>1512</v>
      </c>
      <c r="K962" s="2">
        <v>1497</v>
      </c>
      <c r="L962" s="2">
        <v>5</v>
      </c>
      <c r="M962" s="7">
        <f t="shared" si="56"/>
        <v>7485</v>
      </c>
      <c r="N962" s="7">
        <f t="shared" si="57"/>
        <v>7560</v>
      </c>
      <c r="O962" s="2">
        <v>29</v>
      </c>
      <c r="P962" s="8">
        <f t="shared" si="58"/>
        <v>7589</v>
      </c>
      <c r="Q962" s="8">
        <f t="shared" si="59"/>
        <v>7531</v>
      </c>
      <c r="R962" s="2" t="s">
        <v>56</v>
      </c>
      <c r="S962" s="9">
        <f>VLOOKUP(P962,$T$2:U959,2,1)</f>
        <v>0.05</v>
      </c>
    </row>
    <row r="963" spans="1:19" x14ac:dyDescent="0.25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e">
        <f>VLOOKUP(F963,'Customer Info'!A955:I1454,2,0)</f>
        <v>#N/A</v>
      </c>
      <c r="H963" s="6" t="e">
        <f>VLOOKUP(F963,'Customer Info'!A955:I1454,3,0)</f>
        <v>#N/A</v>
      </c>
      <c r="I963" s="6" t="e">
        <f>VLOOKUP(F963,'Customer Info'!A955:I1454,5,0)</f>
        <v>#N/A</v>
      </c>
      <c r="J963" s="2">
        <v>1983</v>
      </c>
      <c r="K963" s="2">
        <v>1908</v>
      </c>
      <c r="L963" s="2">
        <v>1</v>
      </c>
      <c r="M963" s="7">
        <f t="shared" si="56"/>
        <v>1908</v>
      </c>
      <c r="N963" s="7">
        <f t="shared" si="57"/>
        <v>1983</v>
      </c>
      <c r="O963" s="2">
        <v>93</v>
      </c>
      <c r="P963" s="8">
        <f t="shared" si="58"/>
        <v>2076</v>
      </c>
      <c r="Q963" s="8">
        <f t="shared" si="59"/>
        <v>1890</v>
      </c>
      <c r="R963" s="2" t="s">
        <v>28</v>
      </c>
      <c r="S963" s="9">
        <f>VLOOKUP(P963,$T$2:U960,2,1)</f>
        <v>0.02</v>
      </c>
    </row>
    <row r="964" spans="1:19" x14ac:dyDescent="0.25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e">
        <f>VLOOKUP(F964,'Customer Info'!A956:I1455,2,0)</f>
        <v>#N/A</v>
      </c>
      <c r="H964" s="6" t="e">
        <f>VLOOKUP(F964,'Customer Info'!A956:I1455,3,0)</f>
        <v>#N/A</v>
      </c>
      <c r="I964" s="6" t="e">
        <f>VLOOKUP(F964,'Customer Info'!A956:I1455,5,0)</f>
        <v>#N/A</v>
      </c>
      <c r="J964" s="2">
        <v>1447</v>
      </c>
      <c r="K964" s="2">
        <v>1326</v>
      </c>
      <c r="L964" s="2">
        <v>3</v>
      </c>
      <c r="M964" s="7">
        <f t="shared" si="56"/>
        <v>3978</v>
      </c>
      <c r="N964" s="7">
        <f t="shared" si="57"/>
        <v>4341</v>
      </c>
      <c r="O964" s="2">
        <v>69</v>
      </c>
      <c r="P964" s="8">
        <f t="shared" si="58"/>
        <v>4410</v>
      </c>
      <c r="Q964" s="8">
        <f t="shared" si="59"/>
        <v>4272</v>
      </c>
      <c r="R964" s="2" t="s">
        <v>28</v>
      </c>
      <c r="S964" s="9">
        <f>VLOOKUP(P964,$T$2:U961,2,1)</f>
        <v>0.02</v>
      </c>
    </row>
    <row r="965" spans="1:19" x14ac:dyDescent="0.25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e">
        <f>VLOOKUP(F965,'Customer Info'!A957:I1456,2,0)</f>
        <v>#N/A</v>
      </c>
      <c r="H965" s="6" t="e">
        <f>VLOOKUP(F965,'Customer Info'!A957:I1456,3,0)</f>
        <v>#N/A</v>
      </c>
      <c r="I965" s="6" t="e">
        <f>VLOOKUP(F965,'Customer Info'!A957:I1456,5,0)</f>
        <v>#N/A</v>
      </c>
      <c r="J965" s="2">
        <v>998</v>
      </c>
      <c r="K965" s="2">
        <v>931</v>
      </c>
      <c r="L965" s="2">
        <v>1</v>
      </c>
      <c r="M965" s="7">
        <f t="shared" si="56"/>
        <v>931</v>
      </c>
      <c r="N965" s="7">
        <f t="shared" si="57"/>
        <v>998</v>
      </c>
      <c r="O965" s="2">
        <v>78</v>
      </c>
      <c r="P965" s="8">
        <f t="shared" si="58"/>
        <v>1076</v>
      </c>
      <c r="Q965" s="8">
        <f t="shared" si="59"/>
        <v>920</v>
      </c>
      <c r="R965" s="2" t="s">
        <v>28</v>
      </c>
      <c r="S965" s="9">
        <f>VLOOKUP(P965,$T$2:U962,2,1)</f>
        <v>0.02</v>
      </c>
    </row>
    <row r="966" spans="1:19" x14ac:dyDescent="0.25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e">
        <f>VLOOKUP(F966,'Customer Info'!A958:I1457,2,0)</f>
        <v>#N/A</v>
      </c>
      <c r="H966" s="6" t="e">
        <f>VLOOKUP(F966,'Customer Info'!A958:I1457,3,0)</f>
        <v>#N/A</v>
      </c>
      <c r="I966" s="6" t="e">
        <f>VLOOKUP(F966,'Customer Info'!A958:I1457,5,0)</f>
        <v>#N/A</v>
      </c>
      <c r="J966" s="2">
        <v>206</v>
      </c>
      <c r="K966" s="2">
        <v>189</v>
      </c>
      <c r="L966" s="2">
        <v>2</v>
      </c>
      <c r="M966" s="7">
        <f t="shared" si="56"/>
        <v>378</v>
      </c>
      <c r="N966" s="7">
        <f t="shared" si="57"/>
        <v>412</v>
      </c>
      <c r="O966" s="2">
        <v>79</v>
      </c>
      <c r="P966" s="8">
        <f t="shared" si="58"/>
        <v>491</v>
      </c>
      <c r="Q966" s="8">
        <f t="shared" si="59"/>
        <v>333</v>
      </c>
      <c r="R966" s="2" t="s">
        <v>50</v>
      </c>
      <c r="S966" s="9">
        <f>VLOOKUP(P966,$T$2:U963,2,1)</f>
        <v>0.02</v>
      </c>
    </row>
    <row r="967" spans="1:19" x14ac:dyDescent="0.25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e">
        <f>VLOOKUP(F967,'Customer Info'!A959:I1458,2,0)</f>
        <v>#N/A</v>
      </c>
      <c r="H967" s="6" t="e">
        <f>VLOOKUP(F967,'Customer Info'!A959:I1458,3,0)</f>
        <v>#N/A</v>
      </c>
      <c r="I967" s="6" t="e">
        <f>VLOOKUP(F967,'Customer Info'!A959:I1458,5,0)</f>
        <v>#N/A</v>
      </c>
      <c r="J967" s="2">
        <v>5909</v>
      </c>
      <c r="K967" s="2">
        <v>5528</v>
      </c>
      <c r="L967" s="2">
        <v>5</v>
      </c>
      <c r="M967" s="7">
        <f t="shared" si="56"/>
        <v>27640</v>
      </c>
      <c r="N967" s="7">
        <f t="shared" si="57"/>
        <v>29545</v>
      </c>
      <c r="O967" s="2">
        <v>22</v>
      </c>
      <c r="P967" s="8">
        <f t="shared" si="58"/>
        <v>29567</v>
      </c>
      <c r="Q967" s="8">
        <f t="shared" si="59"/>
        <v>29523</v>
      </c>
      <c r="R967" s="2" t="s">
        <v>50</v>
      </c>
      <c r="S967" s="9">
        <f>VLOOKUP(P967,$T$2:U964,2,1)</f>
        <v>7.0000000000000007E-2</v>
      </c>
    </row>
    <row r="968" spans="1:19" x14ac:dyDescent="0.25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e">
        <f>VLOOKUP(F968,'Customer Info'!A960:I1459,2,0)</f>
        <v>#N/A</v>
      </c>
      <c r="H968" s="6" t="e">
        <f>VLOOKUP(F968,'Customer Info'!A960:I1459,3,0)</f>
        <v>#N/A</v>
      </c>
      <c r="I968" s="6" t="e">
        <f>VLOOKUP(F968,'Customer Info'!A960:I1459,5,0)</f>
        <v>#N/A</v>
      </c>
      <c r="J968" s="2">
        <v>2907</v>
      </c>
      <c r="K968" s="2">
        <v>2667</v>
      </c>
      <c r="L968" s="2">
        <v>1</v>
      </c>
      <c r="M968" s="7">
        <f t="shared" si="56"/>
        <v>2667</v>
      </c>
      <c r="N968" s="7">
        <f t="shared" si="57"/>
        <v>2907</v>
      </c>
      <c r="O968" s="2">
        <v>75</v>
      </c>
      <c r="P968" s="8">
        <f t="shared" si="58"/>
        <v>2982</v>
      </c>
      <c r="Q968" s="8">
        <f t="shared" si="59"/>
        <v>2832</v>
      </c>
      <c r="R968" s="2" t="s">
        <v>50</v>
      </c>
      <c r="S968" s="9">
        <f>VLOOKUP(P968,$T$2:U965,2,1)</f>
        <v>0.02</v>
      </c>
    </row>
    <row r="969" spans="1:19" x14ac:dyDescent="0.25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e">
        <f>VLOOKUP(F969,'Customer Info'!A961:I1460,2,0)</f>
        <v>#N/A</v>
      </c>
      <c r="H969" s="6" t="e">
        <f>VLOOKUP(F969,'Customer Info'!A961:I1460,3,0)</f>
        <v>#N/A</v>
      </c>
      <c r="I969" s="6" t="e">
        <f>VLOOKUP(F969,'Customer Info'!A961:I1460,5,0)</f>
        <v>#N/A</v>
      </c>
      <c r="J969" s="2">
        <v>164</v>
      </c>
      <c r="K969" s="2">
        <v>152</v>
      </c>
      <c r="L969" s="2">
        <v>5</v>
      </c>
      <c r="M969" s="7">
        <f t="shared" si="56"/>
        <v>760</v>
      </c>
      <c r="N969" s="7">
        <f t="shared" si="57"/>
        <v>820</v>
      </c>
      <c r="O969" s="2">
        <v>30</v>
      </c>
      <c r="P969" s="8">
        <f t="shared" si="58"/>
        <v>850</v>
      </c>
      <c r="Q969" s="8">
        <f t="shared" si="59"/>
        <v>790</v>
      </c>
      <c r="R969" s="2" t="s">
        <v>28</v>
      </c>
      <c r="S969" s="9">
        <f>VLOOKUP(P969,$T$2:U966,2,1)</f>
        <v>0.02</v>
      </c>
    </row>
    <row r="970" spans="1:19" x14ac:dyDescent="0.25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e">
        <f>VLOOKUP(F970,'Customer Info'!A962:I1461,2,0)</f>
        <v>#N/A</v>
      </c>
      <c r="H970" s="6" t="e">
        <f>VLOOKUP(F970,'Customer Info'!A962:I1461,3,0)</f>
        <v>#N/A</v>
      </c>
      <c r="I970" s="6" t="e">
        <f>VLOOKUP(F970,'Customer Info'!A962:I1461,5,0)</f>
        <v>#N/A</v>
      </c>
      <c r="J970" s="2">
        <v>400</v>
      </c>
      <c r="K970" s="2">
        <v>360</v>
      </c>
      <c r="L970" s="2">
        <v>9</v>
      </c>
      <c r="M970" s="7">
        <f t="shared" si="56"/>
        <v>3240</v>
      </c>
      <c r="N970" s="7">
        <f t="shared" si="57"/>
        <v>3600</v>
      </c>
      <c r="O970" s="2">
        <v>56</v>
      </c>
      <c r="P970" s="8">
        <f t="shared" si="58"/>
        <v>3656</v>
      </c>
      <c r="Q970" s="8">
        <f t="shared" si="59"/>
        <v>3544</v>
      </c>
      <c r="R970" s="2" t="s">
        <v>28</v>
      </c>
      <c r="S970" s="9">
        <f>VLOOKUP(P970,$T$2:U967,2,1)</f>
        <v>0.02</v>
      </c>
    </row>
    <row r="971" spans="1:19" x14ac:dyDescent="0.25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e">
        <f>VLOOKUP(F971,'Customer Info'!A963:I1462,2,0)</f>
        <v>#N/A</v>
      </c>
      <c r="H971" s="6" t="e">
        <f>VLOOKUP(F971,'Customer Info'!A963:I1462,3,0)</f>
        <v>#N/A</v>
      </c>
      <c r="I971" s="6" t="e">
        <f>VLOOKUP(F971,'Customer Info'!A963:I1462,5,0)</f>
        <v>#N/A</v>
      </c>
      <c r="J971" s="2">
        <v>6598</v>
      </c>
      <c r="K971" s="2">
        <v>6346</v>
      </c>
      <c r="L971" s="2">
        <v>5</v>
      </c>
      <c r="M971" s="7">
        <f t="shared" ref="M971:M1034" si="60">K971*L971</f>
        <v>31730</v>
      </c>
      <c r="N971" s="7">
        <f t="shared" ref="N971:N1034" si="61">J971*L971</f>
        <v>32990</v>
      </c>
      <c r="O971" s="2">
        <v>25</v>
      </c>
      <c r="P971" s="8">
        <f t="shared" ref="P971:P1034" si="62">SUM(N971,O971)</f>
        <v>33015</v>
      </c>
      <c r="Q971" s="8">
        <f t="shared" ref="Q971:Q1034" si="63">N971-O971</f>
        <v>32965</v>
      </c>
      <c r="R971" s="2" t="s">
        <v>28</v>
      </c>
      <c r="S971" s="9">
        <f>VLOOKUP(P971,$T$2:U968,2,1)</f>
        <v>7.0000000000000007E-2</v>
      </c>
    </row>
    <row r="972" spans="1:19" x14ac:dyDescent="0.25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e">
        <f>VLOOKUP(F972,'Customer Info'!A964:I1463,2,0)</f>
        <v>#N/A</v>
      </c>
      <c r="H972" s="6" t="e">
        <f>VLOOKUP(F972,'Customer Info'!A964:I1463,3,0)</f>
        <v>#N/A</v>
      </c>
      <c r="I972" s="6" t="e">
        <f>VLOOKUP(F972,'Customer Info'!A964:I1463,5,0)</f>
        <v>#N/A</v>
      </c>
      <c r="J972" s="2">
        <v>3256</v>
      </c>
      <c r="K972" s="2">
        <v>3044</v>
      </c>
      <c r="L972" s="2">
        <v>1</v>
      </c>
      <c r="M972" s="7">
        <f t="shared" si="60"/>
        <v>3044</v>
      </c>
      <c r="N972" s="7">
        <f t="shared" si="61"/>
        <v>3256</v>
      </c>
      <c r="O972" s="2">
        <v>95</v>
      </c>
      <c r="P972" s="8">
        <f t="shared" si="62"/>
        <v>3351</v>
      </c>
      <c r="Q972" s="8">
        <f t="shared" si="63"/>
        <v>3161</v>
      </c>
      <c r="R972" s="2" t="s">
        <v>28</v>
      </c>
      <c r="S972" s="9">
        <f>VLOOKUP(P972,$T$2:U969,2,1)</f>
        <v>0.02</v>
      </c>
    </row>
    <row r="973" spans="1:19" x14ac:dyDescent="0.25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e">
        <f>VLOOKUP(F973,'Customer Info'!A965:I1464,2,0)</f>
        <v>#N/A</v>
      </c>
      <c r="H973" s="6" t="e">
        <f>VLOOKUP(F973,'Customer Info'!A965:I1464,3,0)</f>
        <v>#N/A</v>
      </c>
      <c r="I973" s="6" t="e">
        <f>VLOOKUP(F973,'Customer Info'!A965:I1464,5,0)</f>
        <v>#N/A</v>
      </c>
      <c r="J973" s="2">
        <v>4832</v>
      </c>
      <c r="K973" s="2">
        <v>4563</v>
      </c>
      <c r="L973" s="2">
        <v>3</v>
      </c>
      <c r="M973" s="7">
        <f t="shared" si="60"/>
        <v>13689</v>
      </c>
      <c r="N973" s="7">
        <f t="shared" si="61"/>
        <v>14496</v>
      </c>
      <c r="O973" s="2">
        <v>87</v>
      </c>
      <c r="P973" s="8">
        <f t="shared" si="62"/>
        <v>14583</v>
      </c>
      <c r="Q973" s="8">
        <f t="shared" si="63"/>
        <v>14409</v>
      </c>
      <c r="R973" s="2" t="s">
        <v>26</v>
      </c>
      <c r="S973" s="9">
        <f>VLOOKUP(P973,$T$2:U970,2,1)</f>
        <v>0.05</v>
      </c>
    </row>
    <row r="974" spans="1:19" x14ac:dyDescent="0.25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e">
        <f>VLOOKUP(F974,'Customer Info'!A966:I1465,2,0)</f>
        <v>#N/A</v>
      </c>
      <c r="H974" s="6" t="e">
        <f>VLOOKUP(F974,'Customer Info'!A966:I1465,3,0)</f>
        <v>#N/A</v>
      </c>
      <c r="I974" s="6" t="e">
        <f>VLOOKUP(F974,'Customer Info'!A966:I1465,5,0)</f>
        <v>#N/A</v>
      </c>
      <c r="J974" s="2">
        <v>6060</v>
      </c>
      <c r="K974" s="2">
        <v>6002</v>
      </c>
      <c r="L974" s="2">
        <v>2</v>
      </c>
      <c r="M974" s="7">
        <f t="shared" si="60"/>
        <v>12004</v>
      </c>
      <c r="N974" s="7">
        <f t="shared" si="61"/>
        <v>12120</v>
      </c>
      <c r="O974" s="2">
        <v>51</v>
      </c>
      <c r="P974" s="8">
        <f t="shared" si="62"/>
        <v>12171</v>
      </c>
      <c r="Q974" s="8">
        <f t="shared" si="63"/>
        <v>12069</v>
      </c>
      <c r="R974" s="2" t="s">
        <v>50</v>
      </c>
      <c r="S974" s="9">
        <f>VLOOKUP(P974,$T$2:U971,2,1)</f>
        <v>0.05</v>
      </c>
    </row>
    <row r="975" spans="1:19" x14ac:dyDescent="0.25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e">
        <f>VLOOKUP(F975,'Customer Info'!A967:I1466,2,0)</f>
        <v>#N/A</v>
      </c>
      <c r="H975" s="6" t="e">
        <f>VLOOKUP(F975,'Customer Info'!A967:I1466,3,0)</f>
        <v>#N/A</v>
      </c>
      <c r="I975" s="6" t="e">
        <f>VLOOKUP(F975,'Customer Info'!A967:I1466,5,0)</f>
        <v>#N/A</v>
      </c>
      <c r="J975" s="2">
        <v>456</v>
      </c>
      <c r="K975" s="2">
        <v>430</v>
      </c>
      <c r="L975" s="2">
        <v>5</v>
      </c>
      <c r="M975" s="7">
        <f t="shared" si="60"/>
        <v>2150</v>
      </c>
      <c r="N975" s="7">
        <f t="shared" si="61"/>
        <v>2280</v>
      </c>
      <c r="O975" s="2">
        <v>70</v>
      </c>
      <c r="P975" s="8">
        <f t="shared" si="62"/>
        <v>2350</v>
      </c>
      <c r="Q975" s="8">
        <f t="shared" si="63"/>
        <v>2210</v>
      </c>
      <c r="R975" s="2" t="s">
        <v>28</v>
      </c>
      <c r="S975" s="9">
        <f>VLOOKUP(P975,$T$2:U972,2,1)</f>
        <v>0.02</v>
      </c>
    </row>
    <row r="976" spans="1:19" x14ac:dyDescent="0.25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e">
        <f>VLOOKUP(F976,'Customer Info'!A968:I1467,2,0)</f>
        <v>#N/A</v>
      </c>
      <c r="H976" s="6" t="e">
        <f>VLOOKUP(F976,'Customer Info'!A968:I1467,3,0)</f>
        <v>#N/A</v>
      </c>
      <c r="I976" s="6" t="e">
        <f>VLOOKUP(F976,'Customer Info'!A968:I1467,5,0)</f>
        <v>#N/A</v>
      </c>
      <c r="J976" s="2">
        <v>472</v>
      </c>
      <c r="K976" s="2">
        <v>432</v>
      </c>
      <c r="L976" s="2">
        <v>1</v>
      </c>
      <c r="M976" s="7">
        <f t="shared" si="60"/>
        <v>432</v>
      </c>
      <c r="N976" s="7">
        <f t="shared" si="61"/>
        <v>472</v>
      </c>
      <c r="O976" s="2">
        <v>70</v>
      </c>
      <c r="P976" s="8">
        <f t="shared" si="62"/>
        <v>542</v>
      </c>
      <c r="Q976" s="8">
        <f t="shared" si="63"/>
        <v>402</v>
      </c>
      <c r="R976" s="2" t="s">
        <v>28</v>
      </c>
      <c r="S976" s="9">
        <f>VLOOKUP(P976,$T$2:U973,2,1)</f>
        <v>0.02</v>
      </c>
    </row>
    <row r="977" spans="1:19" x14ac:dyDescent="0.25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e">
        <f>VLOOKUP(F977,'Customer Info'!A969:I1468,2,0)</f>
        <v>#N/A</v>
      </c>
      <c r="H977" s="6" t="e">
        <f>VLOOKUP(F977,'Customer Info'!A969:I1468,3,0)</f>
        <v>#N/A</v>
      </c>
      <c r="I977" s="6" t="e">
        <f>VLOOKUP(F977,'Customer Info'!A969:I1468,5,0)</f>
        <v>#N/A</v>
      </c>
      <c r="J977" s="2">
        <v>1358</v>
      </c>
      <c r="K977" s="2">
        <v>1294</v>
      </c>
      <c r="L977" s="2">
        <v>3</v>
      </c>
      <c r="M977" s="7">
        <f t="shared" si="60"/>
        <v>3882</v>
      </c>
      <c r="N977" s="7">
        <f t="shared" si="61"/>
        <v>4074</v>
      </c>
      <c r="O977" s="2">
        <v>96</v>
      </c>
      <c r="P977" s="8">
        <f t="shared" si="62"/>
        <v>4170</v>
      </c>
      <c r="Q977" s="8">
        <f t="shared" si="63"/>
        <v>3978</v>
      </c>
      <c r="R977" s="2" t="s">
        <v>56</v>
      </c>
      <c r="S977" s="9">
        <f>VLOOKUP(P977,$T$2:U974,2,1)</f>
        <v>0.02</v>
      </c>
    </row>
    <row r="978" spans="1:19" x14ac:dyDescent="0.25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e">
        <f>VLOOKUP(F978,'Customer Info'!A970:I1469,2,0)</f>
        <v>#N/A</v>
      </c>
      <c r="H978" s="6" t="e">
        <f>VLOOKUP(F978,'Customer Info'!A970:I1469,3,0)</f>
        <v>#N/A</v>
      </c>
      <c r="I978" s="6" t="e">
        <f>VLOOKUP(F978,'Customer Info'!A970:I1469,5,0)</f>
        <v>#N/A</v>
      </c>
      <c r="J978" s="2">
        <v>2747</v>
      </c>
      <c r="K978" s="2">
        <v>2545</v>
      </c>
      <c r="L978" s="2">
        <v>2</v>
      </c>
      <c r="M978" s="7">
        <f t="shared" si="60"/>
        <v>5090</v>
      </c>
      <c r="N978" s="7">
        <f t="shared" si="61"/>
        <v>5494</v>
      </c>
      <c r="O978" s="2">
        <v>84</v>
      </c>
      <c r="P978" s="8">
        <f t="shared" si="62"/>
        <v>5578</v>
      </c>
      <c r="Q978" s="8">
        <f t="shared" si="63"/>
        <v>5410</v>
      </c>
      <c r="R978" s="2" t="s">
        <v>28</v>
      </c>
      <c r="S978" s="9">
        <f>VLOOKUP(P978,$T$2:U975,2,1)</f>
        <v>0.05</v>
      </c>
    </row>
    <row r="979" spans="1:19" x14ac:dyDescent="0.25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e">
        <f>VLOOKUP(F979,'Customer Info'!A971:I1470,2,0)</f>
        <v>#N/A</v>
      </c>
      <c r="H979" s="6" t="e">
        <f>VLOOKUP(F979,'Customer Info'!A971:I1470,3,0)</f>
        <v>#N/A</v>
      </c>
      <c r="I979" s="6" t="e">
        <f>VLOOKUP(F979,'Customer Info'!A971:I1470,5,0)</f>
        <v>#N/A</v>
      </c>
      <c r="J979" s="2">
        <v>8651</v>
      </c>
      <c r="K979" s="2">
        <v>8081</v>
      </c>
      <c r="L979" s="2">
        <v>2</v>
      </c>
      <c r="M979" s="7">
        <f t="shared" si="60"/>
        <v>16162</v>
      </c>
      <c r="N979" s="7">
        <f t="shared" si="61"/>
        <v>17302</v>
      </c>
      <c r="O979" s="2">
        <v>66</v>
      </c>
      <c r="P979" s="8">
        <f t="shared" si="62"/>
        <v>17368</v>
      </c>
      <c r="Q979" s="8">
        <f t="shared" si="63"/>
        <v>17236</v>
      </c>
      <c r="R979" s="2" t="s">
        <v>28</v>
      </c>
      <c r="S979" s="9">
        <f>VLOOKUP(P979,$T$2:U976,2,1)</f>
        <v>0.05</v>
      </c>
    </row>
    <row r="980" spans="1:19" x14ac:dyDescent="0.25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e">
        <f>VLOOKUP(F980,'Customer Info'!A972:I1471,2,0)</f>
        <v>#N/A</v>
      </c>
      <c r="H980" s="6" t="e">
        <f>VLOOKUP(F980,'Customer Info'!A972:I1471,3,0)</f>
        <v>#N/A</v>
      </c>
      <c r="I980" s="6" t="e">
        <f>VLOOKUP(F980,'Customer Info'!A972:I1471,5,0)</f>
        <v>#N/A</v>
      </c>
      <c r="J980" s="2">
        <v>2697</v>
      </c>
      <c r="K980" s="2">
        <v>2498</v>
      </c>
      <c r="L980" s="2">
        <v>6</v>
      </c>
      <c r="M980" s="7">
        <f t="shared" si="60"/>
        <v>14988</v>
      </c>
      <c r="N980" s="7">
        <f t="shared" si="61"/>
        <v>16182</v>
      </c>
      <c r="O980" s="2">
        <v>94</v>
      </c>
      <c r="P980" s="8">
        <f t="shared" si="62"/>
        <v>16276</v>
      </c>
      <c r="Q980" s="8">
        <f t="shared" si="63"/>
        <v>16088</v>
      </c>
      <c r="R980" s="2" t="s">
        <v>28</v>
      </c>
      <c r="S980" s="9">
        <f>VLOOKUP(P980,$T$2:U977,2,1)</f>
        <v>0.05</v>
      </c>
    </row>
    <row r="981" spans="1:19" x14ac:dyDescent="0.25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e">
        <f>VLOOKUP(F981,'Customer Info'!A973:I1472,2,0)</f>
        <v>#N/A</v>
      </c>
      <c r="H981" s="6" t="e">
        <f>VLOOKUP(F981,'Customer Info'!A973:I1472,3,0)</f>
        <v>#N/A</v>
      </c>
      <c r="I981" s="6" t="e">
        <f>VLOOKUP(F981,'Customer Info'!A973:I1472,5,0)</f>
        <v>#N/A</v>
      </c>
      <c r="J981" s="2">
        <v>825</v>
      </c>
      <c r="K981" s="2">
        <v>793</v>
      </c>
      <c r="L981" s="2">
        <v>2</v>
      </c>
      <c r="M981" s="7">
        <f t="shared" si="60"/>
        <v>1586</v>
      </c>
      <c r="N981" s="7">
        <f t="shared" si="61"/>
        <v>1650</v>
      </c>
      <c r="O981" s="2">
        <v>44</v>
      </c>
      <c r="P981" s="8">
        <f t="shared" si="62"/>
        <v>1694</v>
      </c>
      <c r="Q981" s="8">
        <f t="shared" si="63"/>
        <v>1606</v>
      </c>
      <c r="R981" s="2" t="s">
        <v>28</v>
      </c>
      <c r="S981" s="9">
        <f>VLOOKUP(P981,$T$2:U978,2,1)</f>
        <v>0.02</v>
      </c>
    </row>
    <row r="982" spans="1:19" x14ac:dyDescent="0.25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e">
        <f>VLOOKUP(F982,'Customer Info'!A974:I1473,2,0)</f>
        <v>#N/A</v>
      </c>
      <c r="H982" s="6" t="e">
        <f>VLOOKUP(F982,'Customer Info'!A974:I1473,3,0)</f>
        <v>#N/A</v>
      </c>
      <c r="I982" s="6" t="e">
        <f>VLOOKUP(F982,'Customer Info'!A974:I1473,5,0)</f>
        <v>#N/A</v>
      </c>
      <c r="J982" s="2">
        <v>886</v>
      </c>
      <c r="K982" s="2">
        <v>796</v>
      </c>
      <c r="L982" s="2">
        <v>2</v>
      </c>
      <c r="M982" s="7">
        <f t="shared" si="60"/>
        <v>1592</v>
      </c>
      <c r="N982" s="7">
        <f t="shared" si="61"/>
        <v>1772</v>
      </c>
      <c r="O982" s="2">
        <v>40</v>
      </c>
      <c r="P982" s="8">
        <f t="shared" si="62"/>
        <v>1812</v>
      </c>
      <c r="Q982" s="8">
        <f t="shared" si="63"/>
        <v>1732</v>
      </c>
      <c r="R982" s="2" t="s">
        <v>28</v>
      </c>
      <c r="S982" s="9">
        <f>VLOOKUP(P982,$T$2:U979,2,1)</f>
        <v>0.02</v>
      </c>
    </row>
    <row r="983" spans="1:19" x14ac:dyDescent="0.25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e">
        <f>VLOOKUP(F983,'Customer Info'!A975:I1474,2,0)</f>
        <v>#N/A</v>
      </c>
      <c r="H983" s="6" t="e">
        <f>VLOOKUP(F983,'Customer Info'!A975:I1474,3,0)</f>
        <v>#N/A</v>
      </c>
      <c r="I983" s="6" t="e">
        <f>VLOOKUP(F983,'Customer Info'!A975:I1474,5,0)</f>
        <v>#N/A</v>
      </c>
      <c r="J983" s="2">
        <v>743</v>
      </c>
      <c r="K983" s="2">
        <v>694</v>
      </c>
      <c r="L983" s="2">
        <v>6</v>
      </c>
      <c r="M983" s="7">
        <f t="shared" si="60"/>
        <v>4164</v>
      </c>
      <c r="N983" s="7">
        <f t="shared" si="61"/>
        <v>4458</v>
      </c>
      <c r="O983" s="2">
        <v>80</v>
      </c>
      <c r="P983" s="8">
        <f t="shared" si="62"/>
        <v>4538</v>
      </c>
      <c r="Q983" s="8">
        <f t="shared" si="63"/>
        <v>4378</v>
      </c>
      <c r="R983" s="2" t="s">
        <v>28</v>
      </c>
      <c r="S983" s="9">
        <f>VLOOKUP(P983,$T$2:U980,2,1)</f>
        <v>0.02</v>
      </c>
    </row>
    <row r="984" spans="1:19" x14ac:dyDescent="0.25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e">
        <f>VLOOKUP(F984,'Customer Info'!A976:I1475,2,0)</f>
        <v>#N/A</v>
      </c>
      <c r="H984" s="6" t="e">
        <f>VLOOKUP(F984,'Customer Info'!A976:I1475,3,0)</f>
        <v>#N/A</v>
      </c>
      <c r="I984" s="6" t="e">
        <f>VLOOKUP(F984,'Customer Info'!A976:I1475,5,0)</f>
        <v>#N/A</v>
      </c>
      <c r="J984" s="2">
        <v>1058</v>
      </c>
      <c r="K984" s="2">
        <v>989</v>
      </c>
      <c r="L984" s="2">
        <v>2</v>
      </c>
      <c r="M984" s="7">
        <f t="shared" si="60"/>
        <v>1978</v>
      </c>
      <c r="N984" s="7">
        <f t="shared" si="61"/>
        <v>2116</v>
      </c>
      <c r="O984" s="2">
        <v>42</v>
      </c>
      <c r="P984" s="8">
        <f t="shared" si="62"/>
        <v>2158</v>
      </c>
      <c r="Q984" s="8">
        <f t="shared" si="63"/>
        <v>2074</v>
      </c>
      <c r="R984" s="2" t="s">
        <v>28</v>
      </c>
      <c r="S984" s="9">
        <f>VLOOKUP(P984,$T$2:U981,2,1)</f>
        <v>0.02</v>
      </c>
    </row>
    <row r="985" spans="1:19" x14ac:dyDescent="0.25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e">
        <f>VLOOKUP(F985,'Customer Info'!A977:I1476,2,0)</f>
        <v>#N/A</v>
      </c>
      <c r="H985" s="6" t="e">
        <f>VLOOKUP(F985,'Customer Info'!A977:I1476,3,0)</f>
        <v>#N/A</v>
      </c>
      <c r="I985" s="6" t="e">
        <f>VLOOKUP(F985,'Customer Info'!A977:I1476,5,0)</f>
        <v>#N/A</v>
      </c>
      <c r="J985" s="2">
        <v>2808</v>
      </c>
      <c r="K985" s="2">
        <v>2674</v>
      </c>
      <c r="L985" s="2">
        <v>2</v>
      </c>
      <c r="M985" s="7">
        <f t="shared" si="60"/>
        <v>5348</v>
      </c>
      <c r="N985" s="7">
        <f t="shared" si="61"/>
        <v>5616</v>
      </c>
      <c r="O985" s="2">
        <v>75</v>
      </c>
      <c r="P985" s="8">
        <f t="shared" si="62"/>
        <v>5691</v>
      </c>
      <c r="Q985" s="8">
        <f t="shared" si="63"/>
        <v>5541</v>
      </c>
      <c r="R985" s="2" t="s">
        <v>50</v>
      </c>
      <c r="S985" s="9">
        <f>VLOOKUP(P985,$T$2:U982,2,1)</f>
        <v>0.05</v>
      </c>
    </row>
    <row r="986" spans="1:19" x14ac:dyDescent="0.25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e">
        <f>VLOOKUP(F986,'Customer Info'!A978:I1477,2,0)</f>
        <v>#N/A</v>
      </c>
      <c r="H986" s="6" t="e">
        <f>VLOOKUP(F986,'Customer Info'!A978:I1477,3,0)</f>
        <v>#N/A</v>
      </c>
      <c r="I986" s="6" t="e">
        <f>VLOOKUP(F986,'Customer Info'!A978:I1477,5,0)</f>
        <v>#N/A</v>
      </c>
      <c r="J986" s="2">
        <v>2829</v>
      </c>
      <c r="K986" s="2">
        <v>2596</v>
      </c>
      <c r="L986" s="2">
        <v>2</v>
      </c>
      <c r="M986" s="7">
        <f t="shared" si="60"/>
        <v>5192</v>
      </c>
      <c r="N986" s="7">
        <f t="shared" si="61"/>
        <v>5658</v>
      </c>
      <c r="O986" s="2">
        <v>66</v>
      </c>
      <c r="P986" s="8">
        <f t="shared" si="62"/>
        <v>5724</v>
      </c>
      <c r="Q986" s="8">
        <f t="shared" si="63"/>
        <v>5592</v>
      </c>
      <c r="R986" s="2" t="s">
        <v>28</v>
      </c>
      <c r="S986" s="9">
        <f>VLOOKUP(P986,$T$2:U983,2,1)</f>
        <v>0.05</v>
      </c>
    </row>
    <row r="987" spans="1:19" x14ac:dyDescent="0.25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e">
        <f>VLOOKUP(F987,'Customer Info'!A979:I1478,2,0)</f>
        <v>#N/A</v>
      </c>
      <c r="H987" s="6" t="e">
        <f>VLOOKUP(F987,'Customer Info'!A979:I1478,3,0)</f>
        <v>#N/A</v>
      </c>
      <c r="I987" s="6" t="e">
        <f>VLOOKUP(F987,'Customer Info'!A979:I1478,5,0)</f>
        <v>#N/A</v>
      </c>
      <c r="J987" s="2">
        <v>5906</v>
      </c>
      <c r="K987" s="2">
        <v>5266</v>
      </c>
      <c r="L987" s="2">
        <v>6</v>
      </c>
      <c r="M987" s="7">
        <f t="shared" si="60"/>
        <v>31596</v>
      </c>
      <c r="N987" s="7">
        <f t="shared" si="61"/>
        <v>35436</v>
      </c>
      <c r="O987" s="2">
        <v>86</v>
      </c>
      <c r="P987" s="8">
        <f t="shared" si="62"/>
        <v>35522</v>
      </c>
      <c r="Q987" s="8">
        <f t="shared" si="63"/>
        <v>35350</v>
      </c>
      <c r="R987" s="2" t="s">
        <v>50</v>
      </c>
      <c r="S987" s="9">
        <f>VLOOKUP(P987,$T$2:U984,2,1)</f>
        <v>7.0000000000000007E-2</v>
      </c>
    </row>
    <row r="988" spans="1:19" x14ac:dyDescent="0.25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e">
        <f>VLOOKUP(F988,'Customer Info'!A980:I1479,2,0)</f>
        <v>#N/A</v>
      </c>
      <c r="H988" s="6" t="e">
        <f>VLOOKUP(F988,'Customer Info'!A980:I1479,3,0)</f>
        <v>#N/A</v>
      </c>
      <c r="I988" s="6" t="e">
        <f>VLOOKUP(F988,'Customer Info'!A980:I1479,5,0)</f>
        <v>#N/A</v>
      </c>
      <c r="J988" s="2">
        <v>8199</v>
      </c>
      <c r="K988" s="2">
        <v>7523</v>
      </c>
      <c r="L988" s="2">
        <v>4</v>
      </c>
      <c r="M988" s="7">
        <f t="shared" si="60"/>
        <v>30092</v>
      </c>
      <c r="N988" s="7">
        <f t="shared" si="61"/>
        <v>32796</v>
      </c>
      <c r="O988" s="2">
        <v>22</v>
      </c>
      <c r="P988" s="8">
        <f t="shared" si="62"/>
        <v>32818</v>
      </c>
      <c r="Q988" s="8">
        <f t="shared" si="63"/>
        <v>32774</v>
      </c>
      <c r="R988" s="2" t="s">
        <v>50</v>
      </c>
      <c r="S988" s="9">
        <f>VLOOKUP(P988,$T$2:U985,2,1)</f>
        <v>7.0000000000000007E-2</v>
      </c>
    </row>
    <row r="989" spans="1:19" x14ac:dyDescent="0.25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e">
        <f>VLOOKUP(F989,'Customer Info'!A981:I1480,2,0)</f>
        <v>#N/A</v>
      </c>
      <c r="H989" s="6" t="e">
        <f>VLOOKUP(F989,'Customer Info'!A981:I1480,3,0)</f>
        <v>#N/A</v>
      </c>
      <c r="I989" s="6" t="e">
        <f>VLOOKUP(F989,'Customer Info'!A981:I1480,5,0)</f>
        <v>#N/A</v>
      </c>
      <c r="J989" s="2">
        <v>1653</v>
      </c>
      <c r="K989" s="2">
        <v>1560</v>
      </c>
      <c r="L989" s="2">
        <v>11</v>
      </c>
      <c r="M989" s="7">
        <f t="shared" si="60"/>
        <v>17160</v>
      </c>
      <c r="N989" s="7">
        <f t="shared" si="61"/>
        <v>18183</v>
      </c>
      <c r="O989" s="2">
        <v>61</v>
      </c>
      <c r="P989" s="8">
        <f t="shared" si="62"/>
        <v>18244</v>
      </c>
      <c r="Q989" s="8">
        <f t="shared" si="63"/>
        <v>18122</v>
      </c>
      <c r="R989" s="2" t="s">
        <v>28</v>
      </c>
      <c r="S989" s="9">
        <f>VLOOKUP(P989,$T$2:U986,2,1)</f>
        <v>0.05</v>
      </c>
    </row>
    <row r="990" spans="1:19" x14ac:dyDescent="0.25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e">
        <f>VLOOKUP(F990,'Customer Info'!A982:I1481,2,0)</f>
        <v>#N/A</v>
      </c>
      <c r="H990" s="6" t="e">
        <f>VLOOKUP(F990,'Customer Info'!A982:I1481,3,0)</f>
        <v>#N/A</v>
      </c>
      <c r="I990" s="6" t="e">
        <f>VLOOKUP(F990,'Customer Info'!A982:I1481,5,0)</f>
        <v>#N/A</v>
      </c>
      <c r="J990" s="2">
        <v>162</v>
      </c>
      <c r="K990" s="2">
        <v>148</v>
      </c>
      <c r="L990" s="2">
        <v>2</v>
      </c>
      <c r="M990" s="7">
        <f t="shared" si="60"/>
        <v>296</v>
      </c>
      <c r="N990" s="7">
        <f t="shared" si="61"/>
        <v>324</v>
      </c>
      <c r="O990" s="2">
        <v>30</v>
      </c>
      <c r="P990" s="8">
        <f t="shared" si="62"/>
        <v>354</v>
      </c>
      <c r="Q990" s="8">
        <f t="shared" si="63"/>
        <v>294</v>
      </c>
      <c r="R990" s="2" t="s">
        <v>28</v>
      </c>
      <c r="S990" s="9">
        <f>VLOOKUP(P990,$T$2:U987,2,1)</f>
        <v>0.02</v>
      </c>
    </row>
    <row r="991" spans="1:19" x14ac:dyDescent="0.25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e">
        <f>VLOOKUP(F991,'Customer Info'!A983:I1482,2,0)</f>
        <v>#N/A</v>
      </c>
      <c r="H991" s="6" t="e">
        <f>VLOOKUP(F991,'Customer Info'!A983:I1482,3,0)</f>
        <v>#N/A</v>
      </c>
      <c r="I991" s="6" t="e">
        <f>VLOOKUP(F991,'Customer Info'!A983:I1482,5,0)</f>
        <v>#N/A</v>
      </c>
      <c r="J991" s="2">
        <v>214</v>
      </c>
      <c r="K991" s="2">
        <v>199</v>
      </c>
      <c r="L991" s="2">
        <v>3</v>
      </c>
      <c r="M991" s="7">
        <f t="shared" si="60"/>
        <v>597</v>
      </c>
      <c r="N991" s="7">
        <f t="shared" si="61"/>
        <v>642</v>
      </c>
      <c r="O991" s="2">
        <v>62</v>
      </c>
      <c r="P991" s="8">
        <f t="shared" si="62"/>
        <v>704</v>
      </c>
      <c r="Q991" s="8">
        <f t="shared" si="63"/>
        <v>580</v>
      </c>
      <c r="R991" s="2" t="s">
        <v>28</v>
      </c>
      <c r="S991" s="9">
        <f>VLOOKUP(P991,$T$2:U988,2,1)</f>
        <v>0.02</v>
      </c>
    </row>
    <row r="992" spans="1:19" x14ac:dyDescent="0.25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e">
        <f>VLOOKUP(F992,'Customer Info'!A984:I1483,2,0)</f>
        <v>#N/A</v>
      </c>
      <c r="H992" s="6" t="e">
        <f>VLOOKUP(F992,'Customer Info'!A984:I1483,3,0)</f>
        <v>#N/A</v>
      </c>
      <c r="I992" s="6" t="e">
        <f>VLOOKUP(F992,'Customer Info'!A984:I1483,5,0)</f>
        <v>#N/A</v>
      </c>
      <c r="J992" s="2">
        <v>1997</v>
      </c>
      <c r="K992" s="2">
        <v>1816</v>
      </c>
      <c r="L992" s="2">
        <v>3</v>
      </c>
      <c r="M992" s="7">
        <f t="shared" si="60"/>
        <v>5448</v>
      </c>
      <c r="N992" s="7">
        <f t="shared" si="61"/>
        <v>5991</v>
      </c>
      <c r="O992" s="2">
        <v>51</v>
      </c>
      <c r="P992" s="8">
        <f t="shared" si="62"/>
        <v>6042</v>
      </c>
      <c r="Q992" s="8">
        <f t="shared" si="63"/>
        <v>5940</v>
      </c>
      <c r="R992" s="2" t="s">
        <v>50</v>
      </c>
      <c r="S992" s="9">
        <f>VLOOKUP(P992,$T$2:U989,2,1)</f>
        <v>0.05</v>
      </c>
    </row>
    <row r="993" spans="1:19" x14ac:dyDescent="0.25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e">
        <f>VLOOKUP(F993,'Customer Info'!A985:I1484,2,0)</f>
        <v>#N/A</v>
      </c>
      <c r="H993" s="6" t="e">
        <f>VLOOKUP(F993,'Customer Info'!A985:I1484,3,0)</f>
        <v>#N/A</v>
      </c>
      <c r="I993" s="6" t="e">
        <f>VLOOKUP(F993,'Customer Info'!A985:I1484,5,0)</f>
        <v>#N/A</v>
      </c>
      <c r="J993" s="2">
        <v>58</v>
      </c>
      <c r="K993" s="2">
        <v>56</v>
      </c>
      <c r="L993" s="2">
        <v>1</v>
      </c>
      <c r="M993" s="7">
        <f t="shared" si="60"/>
        <v>56</v>
      </c>
      <c r="N993" s="7">
        <f t="shared" si="61"/>
        <v>58</v>
      </c>
      <c r="O993" s="2">
        <v>10</v>
      </c>
      <c r="P993" s="8">
        <f t="shared" si="62"/>
        <v>68</v>
      </c>
      <c r="Q993" s="8">
        <f t="shared" si="63"/>
        <v>48</v>
      </c>
      <c r="R993" s="2" t="s">
        <v>28</v>
      </c>
      <c r="S993" s="9">
        <f>VLOOKUP(P993,$T$2:U990,2,1)</f>
        <v>0.02</v>
      </c>
    </row>
    <row r="994" spans="1:19" x14ac:dyDescent="0.25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e">
        <f>VLOOKUP(F994,'Customer Info'!A986:I1485,2,0)</f>
        <v>#N/A</v>
      </c>
      <c r="H994" s="6" t="e">
        <f>VLOOKUP(F994,'Customer Info'!A986:I1485,3,0)</f>
        <v>#N/A</v>
      </c>
      <c r="I994" s="6" t="e">
        <f>VLOOKUP(F994,'Customer Info'!A986:I1485,5,0)</f>
        <v>#N/A</v>
      </c>
      <c r="J994" s="2">
        <v>8630</v>
      </c>
      <c r="K994" s="2">
        <v>8303</v>
      </c>
      <c r="L994" s="2">
        <v>2</v>
      </c>
      <c r="M994" s="7">
        <f t="shared" si="60"/>
        <v>16606</v>
      </c>
      <c r="N994" s="7">
        <f t="shared" si="61"/>
        <v>17260</v>
      </c>
      <c r="O994" s="2">
        <v>75</v>
      </c>
      <c r="P994" s="8">
        <f t="shared" si="62"/>
        <v>17335</v>
      </c>
      <c r="Q994" s="8">
        <f t="shared" si="63"/>
        <v>17185</v>
      </c>
      <c r="R994" s="2" t="s">
        <v>28</v>
      </c>
      <c r="S994" s="9">
        <f>VLOOKUP(P994,$T$2:U991,2,1)</f>
        <v>0.05</v>
      </c>
    </row>
    <row r="995" spans="1:19" x14ac:dyDescent="0.25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e">
        <f>VLOOKUP(F995,'Customer Info'!A987:I1486,2,0)</f>
        <v>#N/A</v>
      </c>
      <c r="H995" s="6" t="e">
        <f>VLOOKUP(F995,'Customer Info'!A987:I1486,3,0)</f>
        <v>#N/A</v>
      </c>
      <c r="I995" s="6" t="e">
        <f>VLOOKUP(F995,'Customer Info'!A987:I1486,5,0)</f>
        <v>#N/A</v>
      </c>
      <c r="J995" s="2">
        <v>30223</v>
      </c>
      <c r="K995" s="2">
        <v>27428</v>
      </c>
      <c r="L995" s="2">
        <v>3</v>
      </c>
      <c r="M995" s="7">
        <f t="shared" si="60"/>
        <v>82284</v>
      </c>
      <c r="N995" s="7">
        <f t="shared" si="61"/>
        <v>90669</v>
      </c>
      <c r="O995" s="2">
        <v>26</v>
      </c>
      <c r="P995" s="8">
        <f t="shared" si="62"/>
        <v>90695</v>
      </c>
      <c r="Q995" s="8">
        <f t="shared" si="63"/>
        <v>90643</v>
      </c>
      <c r="R995" s="2" t="s">
        <v>26</v>
      </c>
      <c r="S995" s="9">
        <f>VLOOKUP(P995,$T$2:U992,2,1)</f>
        <v>0.09</v>
      </c>
    </row>
    <row r="996" spans="1:19" x14ac:dyDescent="0.25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e">
        <f>VLOOKUP(F996,'Customer Info'!A988:I1487,2,0)</f>
        <v>#N/A</v>
      </c>
      <c r="H996" s="6" t="e">
        <f>VLOOKUP(F996,'Customer Info'!A988:I1487,3,0)</f>
        <v>#N/A</v>
      </c>
      <c r="I996" s="6" t="e">
        <f>VLOOKUP(F996,'Customer Info'!A988:I1487,5,0)</f>
        <v>#N/A</v>
      </c>
      <c r="J996" s="2">
        <v>2958</v>
      </c>
      <c r="K996" s="2">
        <v>2743</v>
      </c>
      <c r="L996" s="2">
        <v>3</v>
      </c>
      <c r="M996" s="7">
        <f t="shared" si="60"/>
        <v>8229</v>
      </c>
      <c r="N996" s="7">
        <f t="shared" si="61"/>
        <v>8874</v>
      </c>
      <c r="O996" s="2">
        <v>95</v>
      </c>
      <c r="P996" s="8">
        <f t="shared" si="62"/>
        <v>8969</v>
      </c>
      <c r="Q996" s="8">
        <f t="shared" si="63"/>
        <v>8779</v>
      </c>
      <c r="R996" s="2" t="s">
        <v>50</v>
      </c>
      <c r="S996" s="9">
        <f>VLOOKUP(P996,$T$2:U993,2,1)</f>
        <v>0.05</v>
      </c>
    </row>
    <row r="997" spans="1:19" x14ac:dyDescent="0.25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e">
        <f>VLOOKUP(F997,'Customer Info'!A989:I1488,2,0)</f>
        <v>#N/A</v>
      </c>
      <c r="H997" s="6" t="e">
        <f>VLOOKUP(F997,'Customer Info'!A989:I1488,3,0)</f>
        <v>#N/A</v>
      </c>
      <c r="I997" s="6" t="e">
        <f>VLOOKUP(F997,'Customer Info'!A989:I1488,5,0)</f>
        <v>#N/A</v>
      </c>
      <c r="J997" s="2">
        <v>1364</v>
      </c>
      <c r="K997" s="2">
        <v>1274</v>
      </c>
      <c r="L997" s="2">
        <v>4</v>
      </c>
      <c r="M997" s="7">
        <f t="shared" si="60"/>
        <v>5096</v>
      </c>
      <c r="N997" s="7">
        <f t="shared" si="61"/>
        <v>5456</v>
      </c>
      <c r="O997" s="2">
        <v>67</v>
      </c>
      <c r="P997" s="8">
        <f t="shared" si="62"/>
        <v>5523</v>
      </c>
      <c r="Q997" s="8">
        <f t="shared" si="63"/>
        <v>5389</v>
      </c>
      <c r="R997" s="2" t="s">
        <v>28</v>
      </c>
      <c r="S997" s="9">
        <f>VLOOKUP(P997,$T$2:U994,2,1)</f>
        <v>0.05</v>
      </c>
    </row>
    <row r="998" spans="1:19" x14ac:dyDescent="0.25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e">
        <f>VLOOKUP(F998,'Customer Info'!A990:I1489,2,0)</f>
        <v>#N/A</v>
      </c>
      <c r="H998" s="6" t="e">
        <f>VLOOKUP(F998,'Customer Info'!A990:I1489,3,0)</f>
        <v>#N/A</v>
      </c>
      <c r="I998" s="6" t="e">
        <f>VLOOKUP(F998,'Customer Info'!A990:I1489,5,0)</f>
        <v>#N/A</v>
      </c>
      <c r="J998" s="2">
        <v>793</v>
      </c>
      <c r="K998" s="2">
        <v>755</v>
      </c>
      <c r="L998" s="2">
        <v>4</v>
      </c>
      <c r="M998" s="7">
        <f t="shared" si="60"/>
        <v>3020</v>
      </c>
      <c r="N998" s="7">
        <f t="shared" si="61"/>
        <v>3172</v>
      </c>
      <c r="O998" s="2">
        <v>50</v>
      </c>
      <c r="P998" s="8">
        <f t="shared" si="62"/>
        <v>3222</v>
      </c>
      <c r="Q998" s="8">
        <f t="shared" si="63"/>
        <v>3122</v>
      </c>
      <c r="R998" s="2" t="s">
        <v>28</v>
      </c>
      <c r="S998" s="9">
        <f>VLOOKUP(P998,$T$2:U995,2,1)</f>
        <v>0.02</v>
      </c>
    </row>
    <row r="999" spans="1:19" x14ac:dyDescent="0.25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e">
        <f>VLOOKUP(F999,'Customer Info'!A991:I1490,2,0)</f>
        <v>#N/A</v>
      </c>
      <c r="H999" s="6" t="e">
        <f>VLOOKUP(F999,'Customer Info'!A991:I1490,3,0)</f>
        <v>#N/A</v>
      </c>
      <c r="I999" s="6" t="e">
        <f>VLOOKUP(F999,'Customer Info'!A991:I1490,5,0)</f>
        <v>#N/A</v>
      </c>
      <c r="J999" s="2">
        <v>7361</v>
      </c>
      <c r="K999" s="2">
        <v>6887</v>
      </c>
      <c r="L999" s="2">
        <v>1</v>
      </c>
      <c r="M999" s="7">
        <f t="shared" si="60"/>
        <v>6887</v>
      </c>
      <c r="N999" s="7">
        <f t="shared" si="61"/>
        <v>7361</v>
      </c>
      <c r="O999" s="2">
        <v>60</v>
      </c>
      <c r="P999" s="8">
        <f t="shared" si="62"/>
        <v>7421</v>
      </c>
      <c r="Q999" s="8">
        <f t="shared" si="63"/>
        <v>7301</v>
      </c>
      <c r="R999" s="2" t="s">
        <v>50</v>
      </c>
      <c r="S999" s="9">
        <f>VLOOKUP(P999,$T$2:U996,2,1)</f>
        <v>0.05</v>
      </c>
    </row>
    <row r="1000" spans="1:19" x14ac:dyDescent="0.25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e">
        <f>VLOOKUP(F1000,'Customer Info'!A992:I1491,2,0)</f>
        <v>#N/A</v>
      </c>
      <c r="H1000" s="6" t="e">
        <f>VLOOKUP(F1000,'Customer Info'!A992:I1491,3,0)</f>
        <v>#N/A</v>
      </c>
      <c r="I1000" s="6" t="e">
        <f>VLOOKUP(F1000,'Customer Info'!A992:I1491,5,0)</f>
        <v>#N/A</v>
      </c>
      <c r="J1000" s="2">
        <v>1071</v>
      </c>
      <c r="K1000" s="2">
        <v>1010</v>
      </c>
      <c r="L1000" s="2">
        <v>2</v>
      </c>
      <c r="M1000" s="7">
        <f t="shared" si="60"/>
        <v>2020</v>
      </c>
      <c r="N1000" s="7">
        <f t="shared" si="61"/>
        <v>2142</v>
      </c>
      <c r="O1000" s="2">
        <v>29</v>
      </c>
      <c r="P1000" s="8">
        <f t="shared" si="62"/>
        <v>2171</v>
      </c>
      <c r="Q1000" s="8">
        <f t="shared" si="63"/>
        <v>2113</v>
      </c>
      <c r="R1000" s="2" t="s">
        <v>50</v>
      </c>
      <c r="S1000" s="9">
        <f>VLOOKUP(P1000,$T$2:U997,2,1)</f>
        <v>0.02</v>
      </c>
    </row>
    <row r="1001" spans="1:19" x14ac:dyDescent="0.25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e">
        <f>VLOOKUP(F1001,'Customer Info'!A993:I1492,2,0)</f>
        <v>#N/A</v>
      </c>
      <c r="H1001" s="6" t="e">
        <f>VLOOKUP(F1001,'Customer Info'!A993:I1492,3,0)</f>
        <v>#N/A</v>
      </c>
      <c r="I1001" s="6" t="e">
        <f>VLOOKUP(F1001,'Customer Info'!A993:I1492,5,0)</f>
        <v>#N/A</v>
      </c>
      <c r="J1001" s="2">
        <v>6611</v>
      </c>
      <c r="K1001" s="2">
        <v>5943</v>
      </c>
      <c r="L1001" s="2">
        <v>2</v>
      </c>
      <c r="M1001" s="7">
        <f t="shared" si="60"/>
        <v>11886</v>
      </c>
      <c r="N1001" s="7">
        <f t="shared" si="61"/>
        <v>13222</v>
      </c>
      <c r="O1001" s="2">
        <v>56</v>
      </c>
      <c r="P1001" s="8">
        <f t="shared" si="62"/>
        <v>13278</v>
      </c>
      <c r="Q1001" s="8">
        <f t="shared" si="63"/>
        <v>13166</v>
      </c>
      <c r="R1001" s="2" t="s">
        <v>28</v>
      </c>
      <c r="S1001" s="9">
        <f>VLOOKUP(P1001,$T$2:U998,2,1)</f>
        <v>0.05</v>
      </c>
    </row>
    <row r="1002" spans="1:19" x14ac:dyDescent="0.25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e">
        <f>VLOOKUP(F1002,'Customer Info'!A994:I1493,2,0)</f>
        <v>#N/A</v>
      </c>
      <c r="H1002" s="6" t="e">
        <f>VLOOKUP(F1002,'Customer Info'!A994:I1493,3,0)</f>
        <v>#N/A</v>
      </c>
      <c r="I1002" s="6" t="e">
        <f>VLOOKUP(F1002,'Customer Info'!A994:I1493,5,0)</f>
        <v>#N/A</v>
      </c>
      <c r="J1002" s="2">
        <v>2250</v>
      </c>
      <c r="K1002" s="2">
        <v>2207</v>
      </c>
      <c r="L1002" s="2">
        <v>3</v>
      </c>
      <c r="M1002" s="7">
        <f t="shared" si="60"/>
        <v>6621</v>
      </c>
      <c r="N1002" s="7">
        <f t="shared" si="61"/>
        <v>6750</v>
      </c>
      <c r="O1002" s="2">
        <v>99</v>
      </c>
      <c r="P1002" s="8">
        <f t="shared" si="62"/>
        <v>6849</v>
      </c>
      <c r="Q1002" s="8">
        <f t="shared" si="63"/>
        <v>6651</v>
      </c>
      <c r="R1002" s="2" t="s">
        <v>50</v>
      </c>
      <c r="S1002" s="9">
        <f>VLOOKUP(P1002,$T$2:U999,2,1)</f>
        <v>0.05</v>
      </c>
    </row>
    <row r="1003" spans="1:19" x14ac:dyDescent="0.25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e">
        <f>VLOOKUP(F1003,'Customer Info'!A995:I1494,2,0)</f>
        <v>#N/A</v>
      </c>
      <c r="H1003" s="6" t="e">
        <f>VLOOKUP(F1003,'Customer Info'!A995:I1494,3,0)</f>
        <v>#N/A</v>
      </c>
      <c r="I1003" s="6" t="e">
        <f>VLOOKUP(F1003,'Customer Info'!A995:I1494,5,0)</f>
        <v>#N/A</v>
      </c>
      <c r="J1003" s="2">
        <v>2829</v>
      </c>
      <c r="K1003" s="2">
        <v>2596</v>
      </c>
      <c r="L1003" s="2">
        <v>2</v>
      </c>
      <c r="M1003" s="7">
        <f t="shared" si="60"/>
        <v>5192</v>
      </c>
      <c r="N1003" s="7">
        <f t="shared" si="61"/>
        <v>5658</v>
      </c>
      <c r="O1003" s="2">
        <v>30</v>
      </c>
      <c r="P1003" s="8">
        <f t="shared" si="62"/>
        <v>5688</v>
      </c>
      <c r="Q1003" s="8">
        <f t="shared" si="63"/>
        <v>5628</v>
      </c>
      <c r="R1003" s="2" t="s">
        <v>28</v>
      </c>
      <c r="S1003" s="9">
        <f>VLOOKUP(P1003,$T$2:U1000,2,1)</f>
        <v>0.05</v>
      </c>
    </row>
    <row r="1004" spans="1:19" x14ac:dyDescent="0.25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e">
        <f>VLOOKUP(F1004,'Customer Info'!A996:I1495,2,0)</f>
        <v>#N/A</v>
      </c>
      <c r="H1004" s="6" t="e">
        <f>VLOOKUP(F1004,'Customer Info'!A996:I1495,3,0)</f>
        <v>#N/A</v>
      </c>
      <c r="I1004" s="6" t="e">
        <f>VLOOKUP(F1004,'Customer Info'!A996:I1495,5,0)</f>
        <v>#N/A</v>
      </c>
      <c r="J1004" s="2">
        <v>7141</v>
      </c>
      <c r="K1004" s="2">
        <v>6541</v>
      </c>
      <c r="L1004" s="2">
        <v>3</v>
      </c>
      <c r="M1004" s="7">
        <f t="shared" si="60"/>
        <v>19623</v>
      </c>
      <c r="N1004" s="7">
        <f t="shared" si="61"/>
        <v>21423</v>
      </c>
      <c r="O1004" s="2">
        <v>94</v>
      </c>
      <c r="P1004" s="8">
        <f t="shared" si="62"/>
        <v>21517</v>
      </c>
      <c r="Q1004" s="8">
        <f t="shared" si="63"/>
        <v>21329</v>
      </c>
      <c r="R1004" s="2" t="s">
        <v>26</v>
      </c>
      <c r="S1004" s="9">
        <f>VLOOKUP(P1004,$T$2:U1001,2,1)</f>
        <v>0.05</v>
      </c>
    </row>
    <row r="1005" spans="1:19" x14ac:dyDescent="0.25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e">
        <f>VLOOKUP(F1005,'Customer Info'!A997:I1496,2,0)</f>
        <v>#N/A</v>
      </c>
      <c r="H1005" s="6" t="e">
        <f>VLOOKUP(F1005,'Customer Info'!A997:I1496,3,0)</f>
        <v>#N/A</v>
      </c>
      <c r="I1005" s="6" t="e">
        <f>VLOOKUP(F1005,'Customer Info'!A997:I1496,5,0)</f>
        <v>#N/A</v>
      </c>
      <c r="J1005" s="2">
        <v>1916</v>
      </c>
      <c r="K1005" s="2">
        <v>1844</v>
      </c>
      <c r="L1005" s="2">
        <v>4</v>
      </c>
      <c r="M1005" s="7">
        <f t="shared" si="60"/>
        <v>7376</v>
      </c>
      <c r="N1005" s="7">
        <f t="shared" si="61"/>
        <v>7664</v>
      </c>
      <c r="O1005" s="2">
        <v>34</v>
      </c>
      <c r="P1005" s="8">
        <f t="shared" si="62"/>
        <v>7698</v>
      </c>
      <c r="Q1005" s="8">
        <f t="shared" si="63"/>
        <v>7630</v>
      </c>
      <c r="R1005" s="2" t="s">
        <v>50</v>
      </c>
      <c r="S1005" s="9">
        <f>VLOOKUP(P1005,$T$2:U1002,2,1)</f>
        <v>0.05</v>
      </c>
    </row>
    <row r="1006" spans="1:19" x14ac:dyDescent="0.25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e">
        <f>VLOOKUP(F1006,'Customer Info'!A998:I1497,2,0)</f>
        <v>#N/A</v>
      </c>
      <c r="H1006" s="6" t="e">
        <f>VLOOKUP(F1006,'Customer Info'!A998:I1497,3,0)</f>
        <v>#N/A</v>
      </c>
      <c r="I1006" s="6" t="e">
        <f>VLOOKUP(F1006,'Customer Info'!A998:I1497,5,0)</f>
        <v>#N/A</v>
      </c>
      <c r="J1006" s="2">
        <v>140</v>
      </c>
      <c r="K1006" s="2">
        <v>137</v>
      </c>
      <c r="L1006" s="2">
        <v>1</v>
      </c>
      <c r="M1006" s="7">
        <f t="shared" si="60"/>
        <v>137</v>
      </c>
      <c r="N1006" s="7">
        <f t="shared" si="61"/>
        <v>140</v>
      </c>
      <c r="O1006" s="2">
        <v>30</v>
      </c>
      <c r="P1006" s="8">
        <f t="shared" si="62"/>
        <v>170</v>
      </c>
      <c r="Q1006" s="8">
        <f t="shared" si="63"/>
        <v>110</v>
      </c>
      <c r="R1006" s="2" t="s">
        <v>28</v>
      </c>
      <c r="S1006" s="9">
        <f>VLOOKUP(P1006,$T$2:U1003,2,1)</f>
        <v>0.02</v>
      </c>
    </row>
    <row r="1007" spans="1:19" x14ac:dyDescent="0.25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e">
        <f>VLOOKUP(F1007,'Customer Info'!A999:I1498,2,0)</f>
        <v>#N/A</v>
      </c>
      <c r="H1007" s="6" t="e">
        <f>VLOOKUP(F1007,'Customer Info'!A999:I1498,3,0)</f>
        <v>#N/A</v>
      </c>
      <c r="I1007" s="6" t="e">
        <f>VLOOKUP(F1007,'Customer Info'!A999:I1498,5,0)</f>
        <v>#N/A</v>
      </c>
      <c r="J1007" s="2">
        <v>900</v>
      </c>
      <c r="K1007" s="2">
        <v>834</v>
      </c>
      <c r="L1007" s="2">
        <v>2</v>
      </c>
      <c r="M1007" s="7">
        <f t="shared" si="60"/>
        <v>1668</v>
      </c>
      <c r="N1007" s="7">
        <f t="shared" si="61"/>
        <v>1800</v>
      </c>
      <c r="O1007" s="2">
        <v>78</v>
      </c>
      <c r="P1007" s="8">
        <f t="shared" si="62"/>
        <v>1878</v>
      </c>
      <c r="Q1007" s="8">
        <f t="shared" si="63"/>
        <v>1722</v>
      </c>
      <c r="R1007" s="2" t="s">
        <v>50</v>
      </c>
      <c r="S1007" s="9">
        <f>VLOOKUP(P1007,$T$2:U1004,2,1)</f>
        <v>0.02</v>
      </c>
    </row>
    <row r="1008" spans="1:19" x14ac:dyDescent="0.25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e">
        <f>VLOOKUP(F1008,'Customer Info'!A1000:I1499,2,0)</f>
        <v>#N/A</v>
      </c>
      <c r="H1008" s="6" t="e">
        <f>VLOOKUP(F1008,'Customer Info'!A1000:I1499,3,0)</f>
        <v>#N/A</v>
      </c>
      <c r="I1008" s="6" t="e">
        <f>VLOOKUP(F1008,'Customer Info'!A1000:I1499,5,0)</f>
        <v>#N/A</v>
      </c>
      <c r="J1008" s="2">
        <v>1205</v>
      </c>
      <c r="K1008" s="2">
        <v>1159</v>
      </c>
      <c r="L1008" s="2">
        <v>2</v>
      </c>
      <c r="M1008" s="7">
        <f t="shared" si="60"/>
        <v>2318</v>
      </c>
      <c r="N1008" s="7">
        <f t="shared" si="61"/>
        <v>2410</v>
      </c>
      <c r="O1008" s="2">
        <v>64</v>
      </c>
      <c r="P1008" s="8">
        <f t="shared" si="62"/>
        <v>2474</v>
      </c>
      <c r="Q1008" s="8">
        <f t="shared" si="63"/>
        <v>2346</v>
      </c>
      <c r="R1008" s="2" t="s">
        <v>56</v>
      </c>
      <c r="S1008" s="9">
        <f>VLOOKUP(P1008,$T$2:U1005,2,1)</f>
        <v>0.02</v>
      </c>
    </row>
    <row r="1009" spans="1:19" x14ac:dyDescent="0.25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e">
        <f>VLOOKUP(F1009,'Customer Info'!A1001:I1500,2,0)</f>
        <v>#N/A</v>
      </c>
      <c r="H1009" s="6" t="e">
        <f>VLOOKUP(F1009,'Customer Info'!A1001:I1500,3,0)</f>
        <v>#N/A</v>
      </c>
      <c r="I1009" s="6" t="e">
        <f>VLOOKUP(F1009,'Customer Info'!A1001:I1500,5,0)</f>
        <v>#N/A</v>
      </c>
      <c r="J1009" s="2">
        <v>1318</v>
      </c>
      <c r="K1009" s="2">
        <v>1209</v>
      </c>
      <c r="L1009" s="2">
        <v>3</v>
      </c>
      <c r="M1009" s="7">
        <f t="shared" si="60"/>
        <v>3627</v>
      </c>
      <c r="N1009" s="7">
        <f t="shared" si="61"/>
        <v>3954</v>
      </c>
      <c r="O1009" s="2">
        <v>94</v>
      </c>
      <c r="P1009" s="8">
        <f t="shared" si="62"/>
        <v>4048</v>
      </c>
      <c r="Q1009" s="8">
        <f t="shared" si="63"/>
        <v>3860</v>
      </c>
      <c r="R1009" s="2" t="s">
        <v>28</v>
      </c>
      <c r="S1009" s="9">
        <f>VLOOKUP(P1009,$T$2:U1006,2,1)</f>
        <v>0.02</v>
      </c>
    </row>
    <row r="1010" spans="1:19" x14ac:dyDescent="0.25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e">
        <f>VLOOKUP(F1010,'Customer Info'!A1002:I1501,2,0)</f>
        <v>#N/A</v>
      </c>
      <c r="H1010" s="6" t="e">
        <f>VLOOKUP(F1010,'Customer Info'!A1002:I1501,3,0)</f>
        <v>#N/A</v>
      </c>
      <c r="I1010" s="6" t="e">
        <f>VLOOKUP(F1010,'Customer Info'!A1002:I1501,5,0)</f>
        <v>#N/A</v>
      </c>
      <c r="J1010" s="2">
        <v>87</v>
      </c>
      <c r="K1010" s="2">
        <v>80</v>
      </c>
      <c r="L1010" s="2">
        <v>2</v>
      </c>
      <c r="M1010" s="7">
        <f t="shared" si="60"/>
        <v>160</v>
      </c>
      <c r="N1010" s="7">
        <f t="shared" si="61"/>
        <v>174</v>
      </c>
      <c r="O1010" s="2">
        <v>10</v>
      </c>
      <c r="P1010" s="8">
        <f t="shared" si="62"/>
        <v>184</v>
      </c>
      <c r="Q1010" s="8">
        <f t="shared" si="63"/>
        <v>164</v>
      </c>
      <c r="R1010" s="2" t="s">
        <v>50</v>
      </c>
      <c r="S1010" s="9">
        <f>VLOOKUP(P1010,$T$2:U1007,2,1)</f>
        <v>0.02</v>
      </c>
    </row>
    <row r="1011" spans="1:19" x14ac:dyDescent="0.25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e">
        <f>VLOOKUP(F1011,'Customer Info'!A1003:I1502,2,0)</f>
        <v>#N/A</v>
      </c>
      <c r="H1011" s="6" t="e">
        <f>VLOOKUP(F1011,'Customer Info'!A1003:I1502,3,0)</f>
        <v>#N/A</v>
      </c>
      <c r="I1011" s="6" t="e">
        <f>VLOOKUP(F1011,'Customer Info'!A1003:I1502,5,0)</f>
        <v>#N/A</v>
      </c>
      <c r="J1011" s="2">
        <v>2466</v>
      </c>
      <c r="K1011" s="2">
        <v>2327</v>
      </c>
      <c r="L1011" s="2">
        <v>1</v>
      </c>
      <c r="M1011" s="7">
        <f t="shared" si="60"/>
        <v>2327</v>
      </c>
      <c r="N1011" s="7">
        <f t="shared" si="61"/>
        <v>2466</v>
      </c>
      <c r="O1011" s="2">
        <v>61</v>
      </c>
      <c r="P1011" s="8">
        <f t="shared" si="62"/>
        <v>2527</v>
      </c>
      <c r="Q1011" s="8">
        <f t="shared" si="63"/>
        <v>2405</v>
      </c>
      <c r="R1011" s="2" t="s">
        <v>50</v>
      </c>
      <c r="S1011" s="9">
        <f>VLOOKUP(P1011,$T$2:U1008,2,1)</f>
        <v>0.02</v>
      </c>
    </row>
    <row r="1012" spans="1:19" x14ac:dyDescent="0.25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e">
        <f>VLOOKUP(F1012,'Customer Info'!A1004:I1503,2,0)</f>
        <v>#N/A</v>
      </c>
      <c r="H1012" s="6" t="e">
        <f>VLOOKUP(F1012,'Customer Info'!A1004:I1503,3,0)</f>
        <v>#N/A</v>
      </c>
      <c r="I1012" s="6" t="e">
        <f>VLOOKUP(F1012,'Customer Info'!A1004:I1503,5,0)</f>
        <v>#N/A</v>
      </c>
      <c r="J1012" s="2">
        <v>62</v>
      </c>
      <c r="K1012" s="2">
        <v>58</v>
      </c>
      <c r="L1012" s="2">
        <v>5</v>
      </c>
      <c r="M1012" s="7">
        <f t="shared" si="60"/>
        <v>290</v>
      </c>
      <c r="N1012" s="7">
        <f t="shared" si="61"/>
        <v>310</v>
      </c>
      <c r="O1012" s="2">
        <v>10</v>
      </c>
      <c r="P1012" s="8">
        <f t="shared" si="62"/>
        <v>320</v>
      </c>
      <c r="Q1012" s="8">
        <f t="shared" si="63"/>
        <v>300</v>
      </c>
      <c r="R1012" s="2" t="s">
        <v>50</v>
      </c>
      <c r="S1012" s="9">
        <f>VLOOKUP(P1012,$T$2:U1009,2,1)</f>
        <v>0.02</v>
      </c>
    </row>
    <row r="1013" spans="1:19" x14ac:dyDescent="0.25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e">
        <f>VLOOKUP(F1013,'Customer Info'!A1005:I1504,2,0)</f>
        <v>#N/A</v>
      </c>
      <c r="H1013" s="6" t="e">
        <f>VLOOKUP(F1013,'Customer Info'!A1005:I1504,3,0)</f>
        <v>#N/A</v>
      </c>
      <c r="I1013" s="6" t="e">
        <f>VLOOKUP(F1013,'Customer Info'!A1005:I1504,5,0)</f>
        <v>#N/A</v>
      </c>
      <c r="J1013" s="2">
        <v>279</v>
      </c>
      <c r="K1013" s="2">
        <v>254</v>
      </c>
      <c r="L1013" s="2">
        <v>2</v>
      </c>
      <c r="M1013" s="7">
        <f t="shared" si="60"/>
        <v>508</v>
      </c>
      <c r="N1013" s="7">
        <f t="shared" si="61"/>
        <v>558</v>
      </c>
      <c r="O1013" s="2">
        <v>37</v>
      </c>
      <c r="P1013" s="8">
        <f t="shared" si="62"/>
        <v>595</v>
      </c>
      <c r="Q1013" s="8">
        <f t="shared" si="63"/>
        <v>521</v>
      </c>
      <c r="R1013" s="2" t="s">
        <v>50</v>
      </c>
      <c r="S1013" s="9">
        <f>VLOOKUP(P1013,$T$2:U1010,2,1)</f>
        <v>0.02</v>
      </c>
    </row>
    <row r="1014" spans="1:19" x14ac:dyDescent="0.25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e">
        <f>VLOOKUP(F1014,'Customer Info'!A1006:I1505,2,0)</f>
        <v>#N/A</v>
      </c>
      <c r="H1014" s="6" t="e">
        <f>VLOOKUP(F1014,'Customer Info'!A1006:I1505,3,0)</f>
        <v>#N/A</v>
      </c>
      <c r="I1014" s="6" t="e">
        <f>VLOOKUP(F1014,'Customer Info'!A1006:I1505,5,0)</f>
        <v>#N/A</v>
      </c>
      <c r="J1014" s="2">
        <v>6012</v>
      </c>
      <c r="K1014" s="2">
        <v>5677</v>
      </c>
      <c r="L1014" s="2">
        <v>4</v>
      </c>
      <c r="M1014" s="7">
        <f t="shared" si="60"/>
        <v>22708</v>
      </c>
      <c r="N1014" s="7">
        <f t="shared" si="61"/>
        <v>24048</v>
      </c>
      <c r="O1014" s="2">
        <v>24</v>
      </c>
      <c r="P1014" s="8">
        <f t="shared" si="62"/>
        <v>24072</v>
      </c>
      <c r="Q1014" s="8">
        <f t="shared" si="63"/>
        <v>24024</v>
      </c>
      <c r="R1014" s="2" t="s">
        <v>28</v>
      </c>
      <c r="S1014" s="9">
        <f>VLOOKUP(P1014,$T$2:U1011,2,1)</f>
        <v>0.05</v>
      </c>
    </row>
    <row r="1015" spans="1:19" x14ac:dyDescent="0.25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e">
        <f>VLOOKUP(F1015,'Customer Info'!A1007:I1506,2,0)</f>
        <v>#N/A</v>
      </c>
      <c r="H1015" s="6" t="e">
        <f>VLOOKUP(F1015,'Customer Info'!A1007:I1506,3,0)</f>
        <v>#N/A</v>
      </c>
      <c r="I1015" s="6" t="e">
        <f>VLOOKUP(F1015,'Customer Info'!A1007:I1506,5,0)</f>
        <v>#N/A</v>
      </c>
      <c r="J1015" s="2">
        <v>4846</v>
      </c>
      <c r="K1015" s="2">
        <v>4492</v>
      </c>
      <c r="L1015" s="2">
        <v>5</v>
      </c>
      <c r="M1015" s="7">
        <f t="shared" si="60"/>
        <v>22460</v>
      </c>
      <c r="N1015" s="7">
        <f t="shared" si="61"/>
        <v>24230</v>
      </c>
      <c r="O1015" s="2">
        <v>34</v>
      </c>
      <c r="P1015" s="8">
        <f t="shared" si="62"/>
        <v>24264</v>
      </c>
      <c r="Q1015" s="8">
        <f t="shared" si="63"/>
        <v>24196</v>
      </c>
      <c r="R1015" s="2" t="s">
        <v>28</v>
      </c>
      <c r="S1015" s="9">
        <f>VLOOKUP(P1015,$T$2:U1012,2,1)</f>
        <v>0.05</v>
      </c>
    </row>
    <row r="1016" spans="1:19" x14ac:dyDescent="0.25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e">
        <f>VLOOKUP(F1016,'Customer Info'!A1008:I1507,2,0)</f>
        <v>#N/A</v>
      </c>
      <c r="H1016" s="6" t="e">
        <f>VLOOKUP(F1016,'Customer Info'!A1008:I1507,3,0)</f>
        <v>#N/A</v>
      </c>
      <c r="I1016" s="6" t="e">
        <f>VLOOKUP(F1016,'Customer Info'!A1008:I1507,5,0)</f>
        <v>#N/A</v>
      </c>
      <c r="J1016" s="2">
        <v>896</v>
      </c>
      <c r="K1016" s="2">
        <v>870</v>
      </c>
      <c r="L1016" s="2">
        <v>1</v>
      </c>
      <c r="M1016" s="7">
        <f t="shared" si="60"/>
        <v>870</v>
      </c>
      <c r="N1016" s="7">
        <f t="shared" si="61"/>
        <v>896</v>
      </c>
      <c r="O1016" s="2">
        <v>54</v>
      </c>
      <c r="P1016" s="8">
        <f t="shared" si="62"/>
        <v>950</v>
      </c>
      <c r="Q1016" s="8">
        <f t="shared" si="63"/>
        <v>842</v>
      </c>
      <c r="R1016" s="2" t="s">
        <v>28</v>
      </c>
      <c r="S1016" s="9">
        <f>VLOOKUP(P1016,$T$2:U1013,2,1)</f>
        <v>0.02</v>
      </c>
    </row>
    <row r="1017" spans="1:19" x14ac:dyDescent="0.25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e">
        <f>VLOOKUP(F1017,'Customer Info'!A1009:I1508,2,0)</f>
        <v>#N/A</v>
      </c>
      <c r="H1017" s="6" t="e">
        <f>VLOOKUP(F1017,'Customer Info'!A1009:I1508,3,0)</f>
        <v>#N/A</v>
      </c>
      <c r="I1017" s="6" t="e">
        <f>VLOOKUP(F1017,'Customer Info'!A1009:I1508,5,0)</f>
        <v>#N/A</v>
      </c>
      <c r="J1017" s="2">
        <v>69</v>
      </c>
      <c r="K1017" s="2">
        <v>64</v>
      </c>
      <c r="L1017" s="2">
        <v>1</v>
      </c>
      <c r="M1017" s="7">
        <f t="shared" si="60"/>
        <v>64</v>
      </c>
      <c r="N1017" s="7">
        <f t="shared" si="61"/>
        <v>69</v>
      </c>
      <c r="O1017" s="2">
        <v>10</v>
      </c>
      <c r="P1017" s="8">
        <f t="shared" si="62"/>
        <v>79</v>
      </c>
      <c r="Q1017" s="8">
        <f t="shared" si="63"/>
        <v>59</v>
      </c>
      <c r="R1017" s="2" t="s">
        <v>28</v>
      </c>
      <c r="S1017" s="9">
        <f>VLOOKUP(P1017,$T$2:U1014,2,1)</f>
        <v>0.02</v>
      </c>
    </row>
    <row r="1018" spans="1:19" x14ac:dyDescent="0.25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e">
        <f>VLOOKUP(F1018,'Customer Info'!A1010:I1509,2,0)</f>
        <v>#N/A</v>
      </c>
      <c r="H1018" s="6" t="e">
        <f>VLOOKUP(F1018,'Customer Info'!A1010:I1509,3,0)</f>
        <v>#N/A</v>
      </c>
      <c r="I1018" s="6" t="e">
        <f>VLOOKUP(F1018,'Customer Info'!A1010:I1509,5,0)</f>
        <v>#N/A</v>
      </c>
      <c r="J1018" s="2">
        <v>69</v>
      </c>
      <c r="K1018" s="2">
        <v>64</v>
      </c>
      <c r="L1018" s="2">
        <v>7</v>
      </c>
      <c r="M1018" s="7">
        <f t="shared" si="60"/>
        <v>448</v>
      </c>
      <c r="N1018" s="7">
        <f t="shared" si="61"/>
        <v>483</v>
      </c>
      <c r="O1018" s="2">
        <v>10</v>
      </c>
      <c r="P1018" s="8">
        <f t="shared" si="62"/>
        <v>493</v>
      </c>
      <c r="Q1018" s="8">
        <f t="shared" si="63"/>
        <v>473</v>
      </c>
      <c r="R1018" s="2" t="s">
        <v>28</v>
      </c>
      <c r="S1018" s="9">
        <f>VLOOKUP(P1018,$T$2:U1015,2,1)</f>
        <v>0.02</v>
      </c>
    </row>
    <row r="1019" spans="1:19" x14ac:dyDescent="0.25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e">
        <f>VLOOKUP(F1019,'Customer Info'!A1011:I1510,2,0)</f>
        <v>#N/A</v>
      </c>
      <c r="H1019" s="6" t="e">
        <f>VLOOKUP(F1019,'Customer Info'!A1011:I1510,3,0)</f>
        <v>#N/A</v>
      </c>
      <c r="I1019" s="6" t="e">
        <f>VLOOKUP(F1019,'Customer Info'!A1011:I1510,5,0)</f>
        <v>#N/A</v>
      </c>
      <c r="J1019" s="2">
        <v>1721</v>
      </c>
      <c r="K1019" s="2">
        <v>1640</v>
      </c>
      <c r="L1019" s="2">
        <v>2</v>
      </c>
      <c r="M1019" s="7">
        <f t="shared" si="60"/>
        <v>3280</v>
      </c>
      <c r="N1019" s="7">
        <f t="shared" si="61"/>
        <v>3442</v>
      </c>
      <c r="O1019" s="2">
        <v>34</v>
      </c>
      <c r="P1019" s="8">
        <f t="shared" si="62"/>
        <v>3476</v>
      </c>
      <c r="Q1019" s="8">
        <f t="shared" si="63"/>
        <v>3408</v>
      </c>
      <c r="R1019" s="2" t="s">
        <v>28</v>
      </c>
      <c r="S1019" s="9">
        <f>VLOOKUP(P1019,$T$2:U1016,2,1)</f>
        <v>0.02</v>
      </c>
    </row>
    <row r="1020" spans="1:19" x14ac:dyDescent="0.25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e">
        <f>VLOOKUP(F1020,'Customer Info'!A1012:I1511,2,0)</f>
        <v>#N/A</v>
      </c>
      <c r="H1020" s="6" t="e">
        <f>VLOOKUP(F1020,'Customer Info'!A1012:I1511,3,0)</f>
        <v>#N/A</v>
      </c>
      <c r="I1020" s="6" t="e">
        <f>VLOOKUP(F1020,'Customer Info'!A1012:I1511,5,0)</f>
        <v>#N/A</v>
      </c>
      <c r="J1020" s="2">
        <v>6768</v>
      </c>
      <c r="K1020" s="2">
        <v>6512</v>
      </c>
      <c r="L1020" s="2">
        <v>1</v>
      </c>
      <c r="M1020" s="7">
        <f t="shared" si="60"/>
        <v>6512</v>
      </c>
      <c r="N1020" s="7">
        <f t="shared" si="61"/>
        <v>6768</v>
      </c>
      <c r="O1020" s="2">
        <v>87</v>
      </c>
      <c r="P1020" s="8">
        <f t="shared" si="62"/>
        <v>6855</v>
      </c>
      <c r="Q1020" s="8">
        <f t="shared" si="63"/>
        <v>6681</v>
      </c>
      <c r="R1020" s="2" t="s">
        <v>28</v>
      </c>
      <c r="S1020" s="9">
        <f>VLOOKUP(P1020,$T$2:U1017,2,1)</f>
        <v>0.05</v>
      </c>
    </row>
    <row r="1021" spans="1:19" x14ac:dyDescent="0.25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e">
        <f>VLOOKUP(F1021,'Customer Info'!A1013:I1512,2,0)</f>
        <v>#N/A</v>
      </c>
      <c r="H1021" s="6" t="e">
        <f>VLOOKUP(F1021,'Customer Info'!A1013:I1512,3,0)</f>
        <v>#N/A</v>
      </c>
      <c r="I1021" s="6" t="e">
        <f>VLOOKUP(F1021,'Customer Info'!A1013:I1512,5,0)</f>
        <v>#N/A</v>
      </c>
      <c r="J1021" s="2">
        <v>1601</v>
      </c>
      <c r="K1021" s="2">
        <v>1510</v>
      </c>
      <c r="L1021" s="2">
        <v>1</v>
      </c>
      <c r="M1021" s="7">
        <f t="shared" si="60"/>
        <v>1510</v>
      </c>
      <c r="N1021" s="7">
        <f t="shared" si="61"/>
        <v>1601</v>
      </c>
      <c r="O1021" s="2">
        <v>65</v>
      </c>
      <c r="P1021" s="8">
        <f t="shared" si="62"/>
        <v>1666</v>
      </c>
      <c r="Q1021" s="8">
        <f t="shared" si="63"/>
        <v>1536</v>
      </c>
      <c r="R1021" s="2" t="s">
        <v>28</v>
      </c>
      <c r="S1021" s="9">
        <f>VLOOKUP(P1021,$T$2:U1018,2,1)</f>
        <v>0.02</v>
      </c>
    </row>
    <row r="1022" spans="1:19" x14ac:dyDescent="0.25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e">
        <f>VLOOKUP(F1022,'Customer Info'!A1014:I1513,2,0)</f>
        <v>#N/A</v>
      </c>
      <c r="H1022" s="6" t="e">
        <f>VLOOKUP(F1022,'Customer Info'!A1014:I1513,3,0)</f>
        <v>#N/A</v>
      </c>
      <c r="I1022" s="6" t="e">
        <f>VLOOKUP(F1022,'Customer Info'!A1014:I1513,5,0)</f>
        <v>#N/A</v>
      </c>
      <c r="J1022" s="2">
        <v>626</v>
      </c>
      <c r="K1022" s="2">
        <v>559</v>
      </c>
      <c r="L1022" s="2">
        <v>6</v>
      </c>
      <c r="M1022" s="7">
        <f t="shared" si="60"/>
        <v>3354</v>
      </c>
      <c r="N1022" s="7">
        <f t="shared" si="61"/>
        <v>3756</v>
      </c>
      <c r="O1022" s="2">
        <v>42</v>
      </c>
      <c r="P1022" s="8">
        <f t="shared" si="62"/>
        <v>3798</v>
      </c>
      <c r="Q1022" s="8">
        <f t="shared" si="63"/>
        <v>3714</v>
      </c>
      <c r="R1022" s="2" t="s">
        <v>50</v>
      </c>
      <c r="S1022" s="9">
        <f>VLOOKUP(P1022,$T$2:U1019,2,1)</f>
        <v>0.02</v>
      </c>
    </row>
    <row r="1023" spans="1:19" x14ac:dyDescent="0.25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e">
        <f>VLOOKUP(F1023,'Customer Info'!A1015:I1514,2,0)</f>
        <v>#N/A</v>
      </c>
      <c r="H1023" s="6" t="e">
        <f>VLOOKUP(F1023,'Customer Info'!A1015:I1514,3,0)</f>
        <v>#N/A</v>
      </c>
      <c r="I1023" s="6" t="e">
        <f>VLOOKUP(F1023,'Customer Info'!A1015:I1514,5,0)</f>
        <v>#N/A</v>
      </c>
      <c r="J1023" s="2">
        <v>6768</v>
      </c>
      <c r="K1023" s="2">
        <v>6512</v>
      </c>
      <c r="L1023" s="2">
        <v>2</v>
      </c>
      <c r="M1023" s="7">
        <f t="shared" si="60"/>
        <v>13024</v>
      </c>
      <c r="N1023" s="7">
        <f t="shared" si="61"/>
        <v>13536</v>
      </c>
      <c r="O1023" s="2">
        <v>77</v>
      </c>
      <c r="P1023" s="8">
        <f t="shared" si="62"/>
        <v>13613</v>
      </c>
      <c r="Q1023" s="8">
        <f t="shared" si="63"/>
        <v>13459</v>
      </c>
      <c r="R1023" s="2" t="s">
        <v>50</v>
      </c>
      <c r="S1023" s="9">
        <f>VLOOKUP(P1023,$T$2:U1020,2,1)</f>
        <v>0.05</v>
      </c>
    </row>
    <row r="1024" spans="1:19" x14ac:dyDescent="0.25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e">
        <f>VLOOKUP(F1024,'Customer Info'!A1016:I1515,2,0)</f>
        <v>#N/A</v>
      </c>
      <c r="H1024" s="6" t="e">
        <f>VLOOKUP(F1024,'Customer Info'!A1016:I1515,3,0)</f>
        <v>#N/A</v>
      </c>
      <c r="I1024" s="6" t="e">
        <f>VLOOKUP(F1024,'Customer Info'!A1016:I1515,5,0)</f>
        <v>#N/A</v>
      </c>
      <c r="J1024" s="2">
        <v>1605</v>
      </c>
      <c r="K1024" s="2">
        <v>1487</v>
      </c>
      <c r="L1024" s="2">
        <v>3</v>
      </c>
      <c r="M1024" s="7">
        <f t="shared" si="60"/>
        <v>4461</v>
      </c>
      <c r="N1024" s="7">
        <f t="shared" si="61"/>
        <v>4815</v>
      </c>
      <c r="O1024" s="2">
        <v>82</v>
      </c>
      <c r="P1024" s="8">
        <f t="shared" si="62"/>
        <v>4897</v>
      </c>
      <c r="Q1024" s="8">
        <f t="shared" si="63"/>
        <v>4733</v>
      </c>
      <c r="R1024" s="2" t="s">
        <v>28</v>
      </c>
      <c r="S1024" s="9">
        <f>VLOOKUP(P1024,$T$2:U1021,2,1)</f>
        <v>0.02</v>
      </c>
    </row>
    <row r="1025" spans="1:19" x14ac:dyDescent="0.25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e">
        <f>VLOOKUP(F1025,'Customer Info'!A1017:I1516,2,0)</f>
        <v>#N/A</v>
      </c>
      <c r="H1025" s="6" t="e">
        <f>VLOOKUP(F1025,'Customer Info'!A1017:I1516,3,0)</f>
        <v>#N/A</v>
      </c>
      <c r="I1025" s="6" t="e">
        <f>VLOOKUP(F1025,'Customer Info'!A1017:I1516,5,0)</f>
        <v>#N/A</v>
      </c>
      <c r="J1025" s="2">
        <v>1906</v>
      </c>
      <c r="K1025" s="2">
        <v>1798</v>
      </c>
      <c r="L1025" s="2">
        <v>7</v>
      </c>
      <c r="M1025" s="7">
        <f t="shared" si="60"/>
        <v>12586</v>
      </c>
      <c r="N1025" s="7">
        <f t="shared" si="61"/>
        <v>13342</v>
      </c>
      <c r="O1025" s="2">
        <v>32</v>
      </c>
      <c r="P1025" s="8">
        <f t="shared" si="62"/>
        <v>13374</v>
      </c>
      <c r="Q1025" s="8">
        <f t="shared" si="63"/>
        <v>13310</v>
      </c>
      <c r="R1025" s="2" t="s">
        <v>28</v>
      </c>
      <c r="S1025" s="9">
        <f>VLOOKUP(P1025,$T$2:U1022,2,1)</f>
        <v>0.05</v>
      </c>
    </row>
    <row r="1026" spans="1:19" x14ac:dyDescent="0.25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e">
        <f>VLOOKUP(F1026,'Customer Info'!A1018:I1517,2,0)</f>
        <v>#N/A</v>
      </c>
      <c r="H1026" s="6" t="e">
        <f>VLOOKUP(F1026,'Customer Info'!A1018:I1517,3,0)</f>
        <v>#N/A</v>
      </c>
      <c r="I1026" s="6" t="e">
        <f>VLOOKUP(F1026,'Customer Info'!A1018:I1517,5,0)</f>
        <v>#N/A</v>
      </c>
      <c r="J1026" s="2">
        <v>2829</v>
      </c>
      <c r="K1026" s="2">
        <v>2596</v>
      </c>
      <c r="L1026" s="2">
        <v>2</v>
      </c>
      <c r="M1026" s="7">
        <f t="shared" si="60"/>
        <v>5192</v>
      </c>
      <c r="N1026" s="7">
        <f t="shared" si="61"/>
        <v>5658</v>
      </c>
      <c r="O1026" s="2">
        <v>84</v>
      </c>
      <c r="P1026" s="8">
        <f t="shared" si="62"/>
        <v>5742</v>
      </c>
      <c r="Q1026" s="8">
        <f t="shared" si="63"/>
        <v>5574</v>
      </c>
      <c r="R1026" s="2" t="s">
        <v>50</v>
      </c>
      <c r="S1026" s="9">
        <f>VLOOKUP(P1026,$T$2:U1023,2,1)</f>
        <v>0.05</v>
      </c>
    </row>
    <row r="1027" spans="1:19" x14ac:dyDescent="0.25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e">
        <f>VLOOKUP(F1027,'Customer Info'!A1019:I1518,2,0)</f>
        <v>#N/A</v>
      </c>
      <c r="H1027" s="6" t="e">
        <f>VLOOKUP(F1027,'Customer Info'!A1019:I1518,3,0)</f>
        <v>#N/A</v>
      </c>
      <c r="I1027" s="6" t="e">
        <f>VLOOKUP(F1027,'Customer Info'!A1019:I1518,5,0)</f>
        <v>#N/A</v>
      </c>
      <c r="J1027" s="2">
        <v>136</v>
      </c>
      <c r="K1027" s="2">
        <v>130</v>
      </c>
      <c r="L1027" s="2">
        <v>1</v>
      </c>
      <c r="M1027" s="7">
        <f t="shared" si="60"/>
        <v>130</v>
      </c>
      <c r="N1027" s="7">
        <f t="shared" si="61"/>
        <v>136</v>
      </c>
      <c r="O1027" s="2">
        <v>30</v>
      </c>
      <c r="P1027" s="8">
        <f t="shared" si="62"/>
        <v>166</v>
      </c>
      <c r="Q1027" s="8">
        <f t="shared" si="63"/>
        <v>106</v>
      </c>
      <c r="R1027" s="2" t="s">
        <v>28</v>
      </c>
      <c r="S1027" s="9">
        <f>VLOOKUP(P1027,$T$2:U1024,2,1)</f>
        <v>0.02</v>
      </c>
    </row>
    <row r="1028" spans="1:19" x14ac:dyDescent="0.25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e">
        <f>VLOOKUP(F1028,'Customer Info'!A1020:I1519,2,0)</f>
        <v>#N/A</v>
      </c>
      <c r="H1028" s="6" t="e">
        <f>VLOOKUP(F1028,'Customer Info'!A1020:I1519,3,0)</f>
        <v>#N/A</v>
      </c>
      <c r="I1028" s="6" t="e">
        <f>VLOOKUP(F1028,'Customer Info'!A1020:I1519,5,0)</f>
        <v>#N/A</v>
      </c>
      <c r="J1028" s="2">
        <v>177</v>
      </c>
      <c r="K1028" s="2">
        <v>169</v>
      </c>
      <c r="L1028" s="2">
        <v>8</v>
      </c>
      <c r="M1028" s="7">
        <f t="shared" si="60"/>
        <v>1352</v>
      </c>
      <c r="N1028" s="7">
        <f t="shared" si="61"/>
        <v>1416</v>
      </c>
      <c r="O1028" s="2">
        <v>30</v>
      </c>
      <c r="P1028" s="8">
        <f t="shared" si="62"/>
        <v>1446</v>
      </c>
      <c r="Q1028" s="8">
        <f t="shared" si="63"/>
        <v>1386</v>
      </c>
      <c r="R1028" s="2" t="s">
        <v>28</v>
      </c>
      <c r="S1028" s="9">
        <f>VLOOKUP(P1028,$T$2:U1025,2,1)</f>
        <v>0.02</v>
      </c>
    </row>
    <row r="1029" spans="1:19" x14ac:dyDescent="0.25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e">
        <f>VLOOKUP(F1029,'Customer Info'!A1021:I1520,2,0)</f>
        <v>#N/A</v>
      </c>
      <c r="H1029" s="6" t="e">
        <f>VLOOKUP(F1029,'Customer Info'!A1021:I1520,3,0)</f>
        <v>#N/A</v>
      </c>
      <c r="I1029" s="6" t="e">
        <f>VLOOKUP(F1029,'Customer Info'!A1021:I1520,5,0)</f>
        <v>#N/A</v>
      </c>
      <c r="J1029" s="2">
        <v>2083</v>
      </c>
      <c r="K1029" s="2">
        <v>2004</v>
      </c>
      <c r="L1029" s="2">
        <v>4</v>
      </c>
      <c r="M1029" s="7">
        <f t="shared" si="60"/>
        <v>8016</v>
      </c>
      <c r="N1029" s="7">
        <f t="shared" si="61"/>
        <v>8332</v>
      </c>
      <c r="O1029" s="2">
        <v>28</v>
      </c>
      <c r="P1029" s="8">
        <f t="shared" si="62"/>
        <v>8360</v>
      </c>
      <c r="Q1029" s="8">
        <f t="shared" si="63"/>
        <v>8304</v>
      </c>
      <c r="R1029" s="2" t="s">
        <v>28</v>
      </c>
      <c r="S1029" s="9">
        <f>VLOOKUP(P1029,$T$2:U1026,2,1)</f>
        <v>0.05</v>
      </c>
    </row>
    <row r="1030" spans="1:19" x14ac:dyDescent="0.25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e">
        <f>VLOOKUP(F1030,'Customer Info'!A1022:I1521,2,0)</f>
        <v>#N/A</v>
      </c>
      <c r="H1030" s="6" t="e">
        <f>VLOOKUP(F1030,'Customer Info'!A1022:I1521,3,0)</f>
        <v>#N/A</v>
      </c>
      <c r="I1030" s="6" t="e">
        <f>VLOOKUP(F1030,'Customer Info'!A1022:I1521,5,0)</f>
        <v>#N/A</v>
      </c>
      <c r="J1030" s="2">
        <v>3341</v>
      </c>
      <c r="K1030" s="2">
        <v>3152</v>
      </c>
      <c r="L1030" s="2">
        <v>2</v>
      </c>
      <c r="M1030" s="7">
        <f t="shared" si="60"/>
        <v>6304</v>
      </c>
      <c r="N1030" s="7">
        <f t="shared" si="61"/>
        <v>6682</v>
      </c>
      <c r="O1030" s="2">
        <v>42</v>
      </c>
      <c r="P1030" s="8">
        <f t="shared" si="62"/>
        <v>6724</v>
      </c>
      <c r="Q1030" s="8">
        <f t="shared" si="63"/>
        <v>6640</v>
      </c>
      <c r="R1030" s="2" t="s">
        <v>28</v>
      </c>
      <c r="S1030" s="9">
        <f>VLOOKUP(P1030,$T$2:U1027,2,1)</f>
        <v>0.05</v>
      </c>
    </row>
    <row r="1031" spans="1:19" x14ac:dyDescent="0.25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e">
        <f>VLOOKUP(F1031,'Customer Info'!A1023:I1522,2,0)</f>
        <v>#N/A</v>
      </c>
      <c r="H1031" s="6" t="e">
        <f>VLOOKUP(F1031,'Customer Info'!A1023:I1522,3,0)</f>
        <v>#N/A</v>
      </c>
      <c r="I1031" s="6" t="e">
        <f>VLOOKUP(F1031,'Customer Info'!A1023:I1522,5,0)</f>
        <v>#N/A</v>
      </c>
      <c r="J1031" s="2">
        <v>2644</v>
      </c>
      <c r="K1031" s="2">
        <v>2425</v>
      </c>
      <c r="L1031" s="2">
        <v>3</v>
      </c>
      <c r="M1031" s="7">
        <f t="shared" si="60"/>
        <v>7275</v>
      </c>
      <c r="N1031" s="7">
        <f t="shared" si="61"/>
        <v>7932</v>
      </c>
      <c r="O1031" s="2">
        <v>98</v>
      </c>
      <c r="P1031" s="8">
        <f t="shared" si="62"/>
        <v>8030</v>
      </c>
      <c r="Q1031" s="8">
        <f t="shared" si="63"/>
        <v>7834</v>
      </c>
      <c r="R1031" s="2" t="s">
        <v>56</v>
      </c>
      <c r="S1031" s="9">
        <f>VLOOKUP(P1031,$T$2:U1028,2,1)</f>
        <v>0.05</v>
      </c>
    </row>
    <row r="1032" spans="1:19" x14ac:dyDescent="0.25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e">
        <f>VLOOKUP(F1032,'Customer Info'!A1024:I1523,2,0)</f>
        <v>#N/A</v>
      </c>
      <c r="H1032" s="6" t="e">
        <f>VLOOKUP(F1032,'Customer Info'!A1024:I1523,3,0)</f>
        <v>#N/A</v>
      </c>
      <c r="I1032" s="6" t="e">
        <f>VLOOKUP(F1032,'Customer Info'!A1024:I1523,5,0)</f>
        <v>#N/A</v>
      </c>
      <c r="J1032" s="2">
        <v>220</v>
      </c>
      <c r="K1032" s="2">
        <v>206</v>
      </c>
      <c r="L1032" s="2">
        <v>7</v>
      </c>
      <c r="M1032" s="7">
        <f t="shared" si="60"/>
        <v>1442</v>
      </c>
      <c r="N1032" s="7">
        <f t="shared" si="61"/>
        <v>1540</v>
      </c>
      <c r="O1032" s="2">
        <v>34</v>
      </c>
      <c r="P1032" s="8">
        <f t="shared" si="62"/>
        <v>1574</v>
      </c>
      <c r="Q1032" s="8">
        <f t="shared" si="63"/>
        <v>1506</v>
      </c>
      <c r="R1032" s="2" t="s">
        <v>50</v>
      </c>
      <c r="S1032" s="9">
        <f>VLOOKUP(P1032,$T$2:U1029,2,1)</f>
        <v>0.02</v>
      </c>
    </row>
    <row r="1033" spans="1:19" x14ac:dyDescent="0.25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e">
        <f>VLOOKUP(F1033,'Customer Info'!A1025:I1524,2,0)</f>
        <v>#N/A</v>
      </c>
      <c r="H1033" s="6" t="e">
        <f>VLOOKUP(F1033,'Customer Info'!A1025:I1524,3,0)</f>
        <v>#N/A</v>
      </c>
      <c r="I1033" s="6" t="e">
        <f>VLOOKUP(F1033,'Customer Info'!A1025:I1524,5,0)</f>
        <v>#N/A</v>
      </c>
      <c r="J1033" s="2">
        <v>8202</v>
      </c>
      <c r="K1033" s="2">
        <v>7594</v>
      </c>
      <c r="L1033" s="2">
        <v>3</v>
      </c>
      <c r="M1033" s="7">
        <f t="shared" si="60"/>
        <v>22782</v>
      </c>
      <c r="N1033" s="7">
        <f t="shared" si="61"/>
        <v>24606</v>
      </c>
      <c r="O1033" s="2">
        <v>97</v>
      </c>
      <c r="P1033" s="8">
        <f t="shared" si="62"/>
        <v>24703</v>
      </c>
      <c r="Q1033" s="8">
        <f t="shared" si="63"/>
        <v>24509</v>
      </c>
      <c r="R1033" s="2" t="s">
        <v>28</v>
      </c>
      <c r="S1033" s="9">
        <f>VLOOKUP(P1033,$T$2:U1030,2,1)</f>
        <v>0.05</v>
      </c>
    </row>
    <row r="1034" spans="1:19" x14ac:dyDescent="0.25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e">
        <f>VLOOKUP(F1034,'Customer Info'!A1026:I1525,2,0)</f>
        <v>#N/A</v>
      </c>
      <c r="H1034" s="6" t="e">
        <f>VLOOKUP(F1034,'Customer Info'!A1026:I1525,3,0)</f>
        <v>#N/A</v>
      </c>
      <c r="I1034" s="6" t="e">
        <f>VLOOKUP(F1034,'Customer Info'!A1026:I1525,5,0)</f>
        <v>#N/A</v>
      </c>
      <c r="J1034" s="2">
        <v>1808</v>
      </c>
      <c r="K1034" s="2">
        <v>1740</v>
      </c>
      <c r="L1034" s="2">
        <v>2</v>
      </c>
      <c r="M1034" s="7">
        <f t="shared" si="60"/>
        <v>3480</v>
      </c>
      <c r="N1034" s="7">
        <f t="shared" si="61"/>
        <v>3616</v>
      </c>
      <c r="O1034" s="2">
        <v>88</v>
      </c>
      <c r="P1034" s="8">
        <f t="shared" si="62"/>
        <v>3704</v>
      </c>
      <c r="Q1034" s="8">
        <f t="shared" si="63"/>
        <v>3528</v>
      </c>
      <c r="R1034" s="2" t="s">
        <v>28</v>
      </c>
      <c r="S1034" s="9">
        <f>VLOOKUP(P1034,$T$2:U1031,2,1)</f>
        <v>0.02</v>
      </c>
    </row>
    <row r="1035" spans="1:19" x14ac:dyDescent="0.25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e">
        <f>VLOOKUP(F1035,'Customer Info'!A1027:I1526,2,0)</f>
        <v>#N/A</v>
      </c>
      <c r="H1035" s="6" t="e">
        <f>VLOOKUP(F1035,'Customer Info'!A1027:I1526,3,0)</f>
        <v>#N/A</v>
      </c>
      <c r="I1035" s="6" t="e">
        <f>VLOOKUP(F1035,'Customer Info'!A1027:I1526,5,0)</f>
        <v>#N/A</v>
      </c>
      <c r="J1035" s="2">
        <v>6520</v>
      </c>
      <c r="K1035" s="2">
        <v>5985</v>
      </c>
      <c r="L1035" s="2">
        <v>3</v>
      </c>
      <c r="M1035" s="7">
        <f t="shared" ref="M1035:M1098" si="64">K1035*L1035</f>
        <v>17955</v>
      </c>
      <c r="N1035" s="7">
        <f t="shared" ref="N1035:N1098" si="65">J1035*L1035</f>
        <v>19560</v>
      </c>
      <c r="O1035" s="2">
        <v>27</v>
      </c>
      <c r="P1035" s="8">
        <f t="shared" ref="P1035:P1098" si="66">SUM(N1035,O1035)</f>
        <v>19587</v>
      </c>
      <c r="Q1035" s="8">
        <f t="shared" ref="Q1035:Q1098" si="67">N1035-O1035</f>
        <v>19533</v>
      </c>
      <c r="R1035" s="2" t="s">
        <v>56</v>
      </c>
      <c r="S1035" s="9">
        <f>VLOOKUP(P1035,$T$2:U1032,2,1)</f>
        <v>0.05</v>
      </c>
    </row>
    <row r="1036" spans="1:19" x14ac:dyDescent="0.25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e">
        <f>VLOOKUP(F1036,'Customer Info'!A1028:I1527,2,0)</f>
        <v>#N/A</v>
      </c>
      <c r="H1036" s="6" t="e">
        <f>VLOOKUP(F1036,'Customer Info'!A1028:I1527,3,0)</f>
        <v>#N/A</v>
      </c>
      <c r="I1036" s="6" t="e">
        <f>VLOOKUP(F1036,'Customer Info'!A1028:I1527,5,0)</f>
        <v>#N/A</v>
      </c>
      <c r="J1036" s="2">
        <v>218</v>
      </c>
      <c r="K1036" s="2">
        <v>200</v>
      </c>
      <c r="L1036" s="2">
        <v>1</v>
      </c>
      <c r="M1036" s="7">
        <f t="shared" si="64"/>
        <v>200</v>
      </c>
      <c r="N1036" s="7">
        <f t="shared" si="65"/>
        <v>218</v>
      </c>
      <c r="O1036" s="2">
        <v>45</v>
      </c>
      <c r="P1036" s="8">
        <f t="shared" si="66"/>
        <v>263</v>
      </c>
      <c r="Q1036" s="8">
        <f t="shared" si="67"/>
        <v>173</v>
      </c>
      <c r="R1036" s="2" t="s">
        <v>50</v>
      </c>
      <c r="S1036" s="9">
        <f>VLOOKUP(P1036,$T$2:U1033,2,1)</f>
        <v>0.02</v>
      </c>
    </row>
    <row r="1037" spans="1:19" x14ac:dyDescent="0.25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e">
        <f>VLOOKUP(F1037,'Customer Info'!A1029:I1528,2,0)</f>
        <v>#N/A</v>
      </c>
      <c r="H1037" s="6" t="e">
        <f>VLOOKUP(F1037,'Customer Info'!A1029:I1528,3,0)</f>
        <v>#N/A</v>
      </c>
      <c r="I1037" s="6" t="e">
        <f>VLOOKUP(F1037,'Customer Info'!A1029:I1528,5,0)</f>
        <v>#N/A</v>
      </c>
      <c r="J1037" s="2">
        <v>2843</v>
      </c>
      <c r="K1037" s="2">
        <v>2735</v>
      </c>
      <c r="L1037" s="2">
        <v>3</v>
      </c>
      <c r="M1037" s="7">
        <f t="shared" si="64"/>
        <v>8205</v>
      </c>
      <c r="N1037" s="7">
        <f t="shared" si="65"/>
        <v>8529</v>
      </c>
      <c r="O1037" s="2">
        <v>74</v>
      </c>
      <c r="P1037" s="8">
        <f t="shared" si="66"/>
        <v>8603</v>
      </c>
      <c r="Q1037" s="8">
        <f t="shared" si="67"/>
        <v>8455</v>
      </c>
      <c r="R1037" s="2" t="s">
        <v>28</v>
      </c>
      <c r="S1037" s="9">
        <f>VLOOKUP(P1037,$T$2:U1034,2,1)</f>
        <v>0.05</v>
      </c>
    </row>
    <row r="1038" spans="1:19" x14ac:dyDescent="0.25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e">
        <f>VLOOKUP(F1038,'Customer Info'!A1030:I1529,2,0)</f>
        <v>#N/A</v>
      </c>
      <c r="H1038" s="6" t="e">
        <f>VLOOKUP(F1038,'Customer Info'!A1030:I1529,3,0)</f>
        <v>#N/A</v>
      </c>
      <c r="I1038" s="6" t="e">
        <f>VLOOKUP(F1038,'Customer Info'!A1030:I1529,5,0)</f>
        <v>#N/A</v>
      </c>
      <c r="J1038" s="2">
        <v>6585</v>
      </c>
      <c r="K1038" s="2">
        <v>6105</v>
      </c>
      <c r="L1038" s="2">
        <v>3</v>
      </c>
      <c r="M1038" s="7">
        <f t="shared" si="64"/>
        <v>18315</v>
      </c>
      <c r="N1038" s="7">
        <f t="shared" si="65"/>
        <v>19755</v>
      </c>
      <c r="O1038" s="2">
        <v>75</v>
      </c>
      <c r="P1038" s="8">
        <f t="shared" si="66"/>
        <v>19830</v>
      </c>
      <c r="Q1038" s="8">
        <f t="shared" si="67"/>
        <v>19680</v>
      </c>
      <c r="R1038" s="2" t="s">
        <v>28</v>
      </c>
      <c r="S1038" s="9">
        <f>VLOOKUP(P1038,$T$2:U1035,2,1)</f>
        <v>0.05</v>
      </c>
    </row>
    <row r="1039" spans="1:19" x14ac:dyDescent="0.25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e">
        <f>VLOOKUP(F1039,'Customer Info'!A1031:I1530,2,0)</f>
        <v>#N/A</v>
      </c>
      <c r="H1039" s="6" t="e">
        <f>VLOOKUP(F1039,'Customer Info'!A1031:I1530,3,0)</f>
        <v>#N/A</v>
      </c>
      <c r="I1039" s="6" t="e">
        <f>VLOOKUP(F1039,'Customer Info'!A1031:I1530,5,0)</f>
        <v>#N/A</v>
      </c>
      <c r="J1039" s="2">
        <v>2654</v>
      </c>
      <c r="K1039" s="2">
        <v>2410</v>
      </c>
      <c r="L1039" s="2">
        <v>1</v>
      </c>
      <c r="M1039" s="7">
        <f t="shared" si="64"/>
        <v>2410</v>
      </c>
      <c r="N1039" s="7">
        <f t="shared" si="65"/>
        <v>2654</v>
      </c>
      <c r="O1039" s="2">
        <v>37</v>
      </c>
      <c r="P1039" s="8">
        <f t="shared" si="66"/>
        <v>2691</v>
      </c>
      <c r="Q1039" s="8">
        <f t="shared" si="67"/>
        <v>2617</v>
      </c>
      <c r="R1039" s="2" t="s">
        <v>28</v>
      </c>
      <c r="S1039" s="9">
        <f>VLOOKUP(P1039,$T$2:U1036,2,1)</f>
        <v>0.02</v>
      </c>
    </row>
    <row r="1040" spans="1:19" x14ac:dyDescent="0.25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e">
        <f>VLOOKUP(F1040,'Customer Info'!A1032:I1531,2,0)</f>
        <v>#N/A</v>
      </c>
      <c r="H1040" s="6" t="e">
        <f>VLOOKUP(F1040,'Customer Info'!A1032:I1531,3,0)</f>
        <v>#N/A</v>
      </c>
      <c r="I1040" s="6" t="e">
        <f>VLOOKUP(F1040,'Customer Info'!A1032:I1531,5,0)</f>
        <v>#N/A</v>
      </c>
      <c r="J1040" s="2">
        <v>900</v>
      </c>
      <c r="K1040" s="2">
        <v>834</v>
      </c>
      <c r="L1040" s="2">
        <v>2</v>
      </c>
      <c r="M1040" s="7">
        <f t="shared" si="64"/>
        <v>1668</v>
      </c>
      <c r="N1040" s="7">
        <f t="shared" si="65"/>
        <v>1800</v>
      </c>
      <c r="O1040" s="2">
        <v>20</v>
      </c>
      <c r="P1040" s="8">
        <f t="shared" si="66"/>
        <v>1820</v>
      </c>
      <c r="Q1040" s="8">
        <f t="shared" si="67"/>
        <v>1780</v>
      </c>
      <c r="R1040" s="2" t="s">
        <v>28</v>
      </c>
      <c r="S1040" s="9">
        <f>VLOOKUP(P1040,$T$2:U1037,2,1)</f>
        <v>0.02</v>
      </c>
    </row>
    <row r="1041" spans="1:19" x14ac:dyDescent="0.25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e">
        <f>VLOOKUP(F1041,'Customer Info'!A1033:I1532,2,0)</f>
        <v>#N/A</v>
      </c>
      <c r="H1041" s="6" t="e">
        <f>VLOOKUP(F1041,'Customer Info'!A1033:I1532,3,0)</f>
        <v>#N/A</v>
      </c>
      <c r="I1041" s="6" t="e">
        <f>VLOOKUP(F1041,'Customer Info'!A1033:I1532,5,0)</f>
        <v>#N/A</v>
      </c>
      <c r="J1041" s="2">
        <v>123</v>
      </c>
      <c r="K1041" s="2">
        <v>115</v>
      </c>
      <c r="L1041" s="2">
        <v>4</v>
      </c>
      <c r="M1041" s="7">
        <f t="shared" si="64"/>
        <v>460</v>
      </c>
      <c r="N1041" s="7">
        <f t="shared" si="65"/>
        <v>492</v>
      </c>
      <c r="O1041" s="2">
        <v>30</v>
      </c>
      <c r="P1041" s="8">
        <f t="shared" si="66"/>
        <v>522</v>
      </c>
      <c r="Q1041" s="8">
        <f t="shared" si="67"/>
        <v>462</v>
      </c>
      <c r="R1041" s="2" t="s">
        <v>28</v>
      </c>
      <c r="S1041" s="9">
        <f>VLOOKUP(P1041,$T$2:U1038,2,1)</f>
        <v>0.02</v>
      </c>
    </row>
    <row r="1042" spans="1:19" x14ac:dyDescent="0.25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e">
        <f>VLOOKUP(F1042,'Customer Info'!A1034:I1533,2,0)</f>
        <v>#N/A</v>
      </c>
      <c r="H1042" s="6" t="e">
        <f>VLOOKUP(F1042,'Customer Info'!A1034:I1533,3,0)</f>
        <v>#N/A</v>
      </c>
      <c r="I1042" s="6" t="e">
        <f>VLOOKUP(F1042,'Customer Info'!A1034:I1533,5,0)</f>
        <v>#N/A</v>
      </c>
      <c r="J1042" s="2">
        <v>4704</v>
      </c>
      <c r="K1042" s="2">
        <v>4361</v>
      </c>
      <c r="L1042" s="2">
        <v>3</v>
      </c>
      <c r="M1042" s="7">
        <f t="shared" si="64"/>
        <v>13083</v>
      </c>
      <c r="N1042" s="7">
        <f t="shared" si="65"/>
        <v>14112</v>
      </c>
      <c r="O1042" s="2">
        <v>60</v>
      </c>
      <c r="P1042" s="8">
        <f t="shared" si="66"/>
        <v>14172</v>
      </c>
      <c r="Q1042" s="8">
        <f t="shared" si="67"/>
        <v>14052</v>
      </c>
      <c r="R1042" s="2" t="s">
        <v>50</v>
      </c>
      <c r="S1042" s="9">
        <f>VLOOKUP(P1042,$T$2:U1039,2,1)</f>
        <v>0.05</v>
      </c>
    </row>
    <row r="1043" spans="1:19" x14ac:dyDescent="0.25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e">
        <f>VLOOKUP(F1043,'Customer Info'!A1035:I1534,2,0)</f>
        <v>#N/A</v>
      </c>
      <c r="H1043" s="6" t="e">
        <f>VLOOKUP(F1043,'Customer Info'!A1035:I1534,3,0)</f>
        <v>#N/A</v>
      </c>
      <c r="I1043" s="6" t="e">
        <f>VLOOKUP(F1043,'Customer Info'!A1035:I1534,5,0)</f>
        <v>#N/A</v>
      </c>
      <c r="J1043" s="2">
        <v>1498</v>
      </c>
      <c r="K1043" s="2">
        <v>1335</v>
      </c>
      <c r="L1043" s="2">
        <v>8</v>
      </c>
      <c r="M1043" s="7">
        <f t="shared" si="64"/>
        <v>10680</v>
      </c>
      <c r="N1043" s="7">
        <f t="shared" si="65"/>
        <v>11984</v>
      </c>
      <c r="O1043" s="2">
        <v>81</v>
      </c>
      <c r="P1043" s="8">
        <f t="shared" si="66"/>
        <v>12065</v>
      </c>
      <c r="Q1043" s="8">
        <f t="shared" si="67"/>
        <v>11903</v>
      </c>
      <c r="R1043" s="2" t="s">
        <v>28</v>
      </c>
      <c r="S1043" s="9">
        <f>VLOOKUP(P1043,$T$2:U1040,2,1)</f>
        <v>0.05</v>
      </c>
    </row>
    <row r="1044" spans="1:19" x14ac:dyDescent="0.25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e">
        <f>VLOOKUP(F1044,'Customer Info'!A1036:I1535,2,0)</f>
        <v>#N/A</v>
      </c>
      <c r="H1044" s="6" t="e">
        <f>VLOOKUP(F1044,'Customer Info'!A1036:I1535,3,0)</f>
        <v>#N/A</v>
      </c>
      <c r="I1044" s="6" t="e">
        <f>VLOOKUP(F1044,'Customer Info'!A1036:I1535,5,0)</f>
        <v>#N/A</v>
      </c>
      <c r="J1044" s="2">
        <v>2857</v>
      </c>
      <c r="K1044" s="2">
        <v>2622</v>
      </c>
      <c r="L1044" s="2">
        <v>4</v>
      </c>
      <c r="M1044" s="7">
        <f t="shared" si="64"/>
        <v>10488</v>
      </c>
      <c r="N1044" s="7">
        <f t="shared" si="65"/>
        <v>11428</v>
      </c>
      <c r="O1044" s="2">
        <v>57</v>
      </c>
      <c r="P1044" s="8">
        <f t="shared" si="66"/>
        <v>11485</v>
      </c>
      <c r="Q1044" s="8">
        <f t="shared" si="67"/>
        <v>11371</v>
      </c>
      <c r="R1044" s="2" t="s">
        <v>50</v>
      </c>
      <c r="S1044" s="9">
        <f>VLOOKUP(P1044,$T$2:U1041,2,1)</f>
        <v>0.05</v>
      </c>
    </row>
    <row r="1045" spans="1:19" x14ac:dyDescent="0.25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e">
        <f>VLOOKUP(F1045,'Customer Info'!A1037:I1536,2,0)</f>
        <v>#N/A</v>
      </c>
      <c r="H1045" s="6" t="e">
        <f>VLOOKUP(F1045,'Customer Info'!A1037:I1536,3,0)</f>
        <v>#N/A</v>
      </c>
      <c r="I1045" s="6" t="e">
        <f>VLOOKUP(F1045,'Customer Info'!A1037:I1536,5,0)</f>
        <v>#N/A</v>
      </c>
      <c r="J1045" s="2">
        <v>8433</v>
      </c>
      <c r="K1045" s="2">
        <v>7801</v>
      </c>
      <c r="L1045" s="2">
        <v>6</v>
      </c>
      <c r="M1045" s="7">
        <f t="shared" si="64"/>
        <v>46806</v>
      </c>
      <c r="N1045" s="7">
        <f t="shared" si="65"/>
        <v>50598</v>
      </c>
      <c r="O1045" s="2">
        <v>23</v>
      </c>
      <c r="P1045" s="8">
        <f t="shared" si="66"/>
        <v>50621</v>
      </c>
      <c r="Q1045" s="8">
        <f t="shared" si="67"/>
        <v>50575</v>
      </c>
      <c r="R1045" s="2" t="s">
        <v>28</v>
      </c>
      <c r="S1045" s="9">
        <f>VLOOKUP(P1045,$T$2:U1042,2,1)</f>
        <v>0.09</v>
      </c>
    </row>
    <row r="1046" spans="1:19" x14ac:dyDescent="0.25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e">
        <f>VLOOKUP(F1046,'Customer Info'!A1038:I1537,2,0)</f>
        <v>#N/A</v>
      </c>
      <c r="H1046" s="6" t="e">
        <f>VLOOKUP(F1046,'Customer Info'!A1038:I1537,3,0)</f>
        <v>#N/A</v>
      </c>
      <c r="I1046" s="6" t="e">
        <f>VLOOKUP(F1046,'Customer Info'!A1038:I1537,5,0)</f>
        <v>#N/A</v>
      </c>
      <c r="J1046" s="2">
        <v>151</v>
      </c>
      <c r="K1046" s="2">
        <v>139</v>
      </c>
      <c r="L1046" s="2">
        <v>9</v>
      </c>
      <c r="M1046" s="7">
        <f t="shared" si="64"/>
        <v>1251</v>
      </c>
      <c r="N1046" s="7">
        <f t="shared" si="65"/>
        <v>1359</v>
      </c>
      <c r="O1046" s="2">
        <v>30</v>
      </c>
      <c r="P1046" s="8">
        <f t="shared" si="66"/>
        <v>1389</v>
      </c>
      <c r="Q1046" s="8">
        <f t="shared" si="67"/>
        <v>1329</v>
      </c>
      <c r="R1046" s="2" t="s">
        <v>28</v>
      </c>
      <c r="S1046" s="9">
        <f>VLOOKUP(P1046,$T$2:U1043,2,1)</f>
        <v>0.02</v>
      </c>
    </row>
    <row r="1047" spans="1:19" x14ac:dyDescent="0.25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e">
        <f>VLOOKUP(F1047,'Customer Info'!A1039:I1538,2,0)</f>
        <v>#N/A</v>
      </c>
      <c r="H1047" s="6" t="e">
        <f>VLOOKUP(F1047,'Customer Info'!A1039:I1538,3,0)</f>
        <v>#N/A</v>
      </c>
      <c r="I1047" s="6" t="e">
        <f>VLOOKUP(F1047,'Customer Info'!A1039:I1538,5,0)</f>
        <v>#N/A</v>
      </c>
      <c r="J1047" s="2">
        <v>1321</v>
      </c>
      <c r="K1047" s="2">
        <v>1211</v>
      </c>
      <c r="L1047" s="2">
        <v>7</v>
      </c>
      <c r="M1047" s="7">
        <f t="shared" si="64"/>
        <v>8477</v>
      </c>
      <c r="N1047" s="7">
        <f t="shared" si="65"/>
        <v>9247</v>
      </c>
      <c r="O1047" s="2">
        <v>32</v>
      </c>
      <c r="P1047" s="8">
        <f t="shared" si="66"/>
        <v>9279</v>
      </c>
      <c r="Q1047" s="8">
        <f t="shared" si="67"/>
        <v>9215</v>
      </c>
      <c r="R1047" s="2" t="s">
        <v>28</v>
      </c>
      <c r="S1047" s="9">
        <f>VLOOKUP(P1047,$T$2:U1044,2,1)</f>
        <v>0.05</v>
      </c>
    </row>
    <row r="1048" spans="1:19" x14ac:dyDescent="0.25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e">
        <f>VLOOKUP(F1048,'Customer Info'!A1040:I1539,2,0)</f>
        <v>#N/A</v>
      </c>
      <c r="H1048" s="6" t="e">
        <f>VLOOKUP(F1048,'Customer Info'!A1040:I1539,3,0)</f>
        <v>#N/A</v>
      </c>
      <c r="I1048" s="6" t="e">
        <f>VLOOKUP(F1048,'Customer Info'!A1040:I1539,5,0)</f>
        <v>#N/A</v>
      </c>
      <c r="J1048" s="2">
        <v>183</v>
      </c>
      <c r="K1048" s="2">
        <v>168</v>
      </c>
      <c r="L1048" s="2">
        <v>3</v>
      </c>
      <c r="M1048" s="7">
        <f t="shared" si="64"/>
        <v>504</v>
      </c>
      <c r="N1048" s="7">
        <f t="shared" si="65"/>
        <v>549</v>
      </c>
      <c r="O1048" s="2">
        <v>30</v>
      </c>
      <c r="P1048" s="8">
        <f t="shared" si="66"/>
        <v>579</v>
      </c>
      <c r="Q1048" s="8">
        <f t="shared" si="67"/>
        <v>519</v>
      </c>
      <c r="R1048" s="2" t="s">
        <v>28</v>
      </c>
      <c r="S1048" s="9">
        <f>VLOOKUP(P1048,$T$2:U1045,2,1)</f>
        <v>0.02</v>
      </c>
    </row>
    <row r="1049" spans="1:19" x14ac:dyDescent="0.25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e">
        <f>VLOOKUP(F1049,'Customer Info'!A1041:I1540,2,0)</f>
        <v>#N/A</v>
      </c>
      <c r="H1049" s="6" t="e">
        <f>VLOOKUP(F1049,'Customer Info'!A1041:I1540,3,0)</f>
        <v>#N/A</v>
      </c>
      <c r="I1049" s="6" t="e">
        <f>VLOOKUP(F1049,'Customer Info'!A1041:I1540,5,0)</f>
        <v>#N/A</v>
      </c>
      <c r="J1049" s="2">
        <v>2453</v>
      </c>
      <c r="K1049" s="2">
        <v>2336</v>
      </c>
      <c r="L1049" s="2">
        <v>4</v>
      </c>
      <c r="M1049" s="7">
        <f t="shared" si="64"/>
        <v>9344</v>
      </c>
      <c r="N1049" s="7">
        <f t="shared" si="65"/>
        <v>9812</v>
      </c>
      <c r="O1049" s="2">
        <v>86</v>
      </c>
      <c r="P1049" s="8">
        <f t="shared" si="66"/>
        <v>9898</v>
      </c>
      <c r="Q1049" s="8">
        <f t="shared" si="67"/>
        <v>9726</v>
      </c>
      <c r="R1049" s="2" t="s">
        <v>28</v>
      </c>
      <c r="S1049" s="9">
        <f>VLOOKUP(P1049,$T$2:U1046,2,1)</f>
        <v>0.05</v>
      </c>
    </row>
    <row r="1050" spans="1:19" x14ac:dyDescent="0.25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e">
        <f>VLOOKUP(F1050,'Customer Info'!A1042:I1541,2,0)</f>
        <v>#N/A</v>
      </c>
      <c r="H1050" s="6" t="e">
        <f>VLOOKUP(F1050,'Customer Info'!A1042:I1541,3,0)</f>
        <v>#N/A</v>
      </c>
      <c r="I1050" s="6" t="e">
        <f>VLOOKUP(F1050,'Customer Info'!A1042:I1541,5,0)</f>
        <v>#N/A</v>
      </c>
      <c r="J1050" s="2">
        <v>3354</v>
      </c>
      <c r="K1050" s="2">
        <v>3102</v>
      </c>
      <c r="L1050" s="2">
        <v>2</v>
      </c>
      <c r="M1050" s="7">
        <f t="shared" si="64"/>
        <v>6204</v>
      </c>
      <c r="N1050" s="7">
        <f t="shared" si="65"/>
        <v>6708</v>
      </c>
      <c r="O1050" s="2">
        <v>83</v>
      </c>
      <c r="P1050" s="8">
        <f t="shared" si="66"/>
        <v>6791</v>
      </c>
      <c r="Q1050" s="8">
        <f t="shared" si="67"/>
        <v>6625</v>
      </c>
      <c r="R1050" s="2" t="s">
        <v>28</v>
      </c>
      <c r="S1050" s="9">
        <f>VLOOKUP(P1050,$T$2:U1047,2,1)</f>
        <v>0.05</v>
      </c>
    </row>
    <row r="1051" spans="1:19" x14ac:dyDescent="0.25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e">
        <f>VLOOKUP(F1051,'Customer Info'!A1043:I1542,2,0)</f>
        <v>#N/A</v>
      </c>
      <c r="H1051" s="6" t="e">
        <f>VLOOKUP(F1051,'Customer Info'!A1043:I1542,3,0)</f>
        <v>#N/A</v>
      </c>
      <c r="I1051" s="6" t="e">
        <f>VLOOKUP(F1051,'Customer Info'!A1043:I1542,5,0)</f>
        <v>#N/A</v>
      </c>
      <c r="J1051" s="2">
        <v>1605</v>
      </c>
      <c r="K1051" s="2">
        <v>1487</v>
      </c>
      <c r="L1051" s="2">
        <v>3</v>
      </c>
      <c r="M1051" s="7">
        <f t="shared" si="64"/>
        <v>4461</v>
      </c>
      <c r="N1051" s="7">
        <f t="shared" si="65"/>
        <v>4815</v>
      </c>
      <c r="O1051" s="2">
        <v>76</v>
      </c>
      <c r="P1051" s="8">
        <f t="shared" si="66"/>
        <v>4891</v>
      </c>
      <c r="Q1051" s="8">
        <f t="shared" si="67"/>
        <v>4739</v>
      </c>
      <c r="R1051" s="2" t="s">
        <v>26</v>
      </c>
      <c r="S1051" s="9">
        <f>VLOOKUP(P1051,$T$2:U1048,2,1)</f>
        <v>0.02</v>
      </c>
    </row>
    <row r="1052" spans="1:19" x14ac:dyDescent="0.25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e">
        <f>VLOOKUP(F1052,'Customer Info'!A1044:I1543,2,0)</f>
        <v>#N/A</v>
      </c>
      <c r="H1052" s="6" t="e">
        <f>VLOOKUP(F1052,'Customer Info'!A1044:I1543,3,0)</f>
        <v>#N/A</v>
      </c>
      <c r="I1052" s="6" t="e">
        <f>VLOOKUP(F1052,'Customer Info'!A1044:I1543,5,0)</f>
        <v>#N/A</v>
      </c>
      <c r="J1052" s="2">
        <v>1305</v>
      </c>
      <c r="K1052" s="2">
        <v>1197</v>
      </c>
      <c r="L1052" s="2">
        <v>2</v>
      </c>
      <c r="M1052" s="7">
        <f t="shared" si="64"/>
        <v>2394</v>
      </c>
      <c r="N1052" s="7">
        <f t="shared" si="65"/>
        <v>2610</v>
      </c>
      <c r="O1052" s="2">
        <v>86</v>
      </c>
      <c r="P1052" s="8">
        <f t="shared" si="66"/>
        <v>2696</v>
      </c>
      <c r="Q1052" s="8">
        <f t="shared" si="67"/>
        <v>2524</v>
      </c>
      <c r="R1052" s="2" t="s">
        <v>50</v>
      </c>
      <c r="S1052" s="9">
        <f>VLOOKUP(P1052,$T$2:U1049,2,1)</f>
        <v>0.02</v>
      </c>
    </row>
    <row r="1053" spans="1:19" x14ac:dyDescent="0.25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e">
        <f>VLOOKUP(F1053,'Customer Info'!A1045:I1544,2,0)</f>
        <v>#N/A</v>
      </c>
      <c r="H1053" s="6" t="e">
        <f>VLOOKUP(F1053,'Customer Info'!A1045:I1544,3,0)</f>
        <v>#N/A</v>
      </c>
      <c r="I1053" s="6" t="e">
        <f>VLOOKUP(F1053,'Customer Info'!A1045:I1544,5,0)</f>
        <v>#N/A</v>
      </c>
      <c r="J1053" s="2">
        <v>465</v>
      </c>
      <c r="K1053" s="2">
        <v>439</v>
      </c>
      <c r="L1053" s="2">
        <v>2</v>
      </c>
      <c r="M1053" s="7">
        <f t="shared" si="64"/>
        <v>878</v>
      </c>
      <c r="N1053" s="7">
        <f t="shared" si="65"/>
        <v>930</v>
      </c>
      <c r="O1053" s="2">
        <v>98</v>
      </c>
      <c r="P1053" s="8">
        <f t="shared" si="66"/>
        <v>1028</v>
      </c>
      <c r="Q1053" s="8">
        <f t="shared" si="67"/>
        <v>832</v>
      </c>
      <c r="R1053" s="2" t="s">
        <v>28</v>
      </c>
      <c r="S1053" s="9">
        <f>VLOOKUP(P1053,$T$2:U1050,2,1)</f>
        <v>0.02</v>
      </c>
    </row>
    <row r="1054" spans="1:19" x14ac:dyDescent="0.25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e">
        <f>VLOOKUP(F1054,'Customer Info'!A1046:I1545,2,0)</f>
        <v>#N/A</v>
      </c>
      <c r="H1054" s="6" t="e">
        <f>VLOOKUP(F1054,'Customer Info'!A1046:I1545,3,0)</f>
        <v>#N/A</v>
      </c>
      <c r="I1054" s="6" t="e">
        <f>VLOOKUP(F1054,'Customer Info'!A1046:I1545,5,0)</f>
        <v>#N/A</v>
      </c>
      <c r="J1054" s="2">
        <v>2960</v>
      </c>
      <c r="K1054" s="2">
        <v>2635</v>
      </c>
      <c r="L1054" s="2">
        <v>8</v>
      </c>
      <c r="M1054" s="7">
        <f t="shared" si="64"/>
        <v>21080</v>
      </c>
      <c r="N1054" s="7">
        <f t="shared" si="65"/>
        <v>23680</v>
      </c>
      <c r="O1054" s="2">
        <v>63</v>
      </c>
      <c r="P1054" s="8">
        <f t="shared" si="66"/>
        <v>23743</v>
      </c>
      <c r="Q1054" s="8">
        <f t="shared" si="67"/>
        <v>23617</v>
      </c>
      <c r="R1054" s="2" t="s">
        <v>28</v>
      </c>
      <c r="S1054" s="9">
        <f>VLOOKUP(P1054,$T$2:U1051,2,1)</f>
        <v>0.05</v>
      </c>
    </row>
    <row r="1055" spans="1:19" x14ac:dyDescent="0.25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e">
        <f>VLOOKUP(F1055,'Customer Info'!A1047:I1546,2,0)</f>
        <v>#N/A</v>
      </c>
      <c r="H1055" s="6" t="e">
        <f>VLOOKUP(F1055,'Customer Info'!A1047:I1546,3,0)</f>
        <v>#N/A</v>
      </c>
      <c r="I1055" s="6" t="e">
        <f>VLOOKUP(F1055,'Customer Info'!A1047:I1546,5,0)</f>
        <v>#N/A</v>
      </c>
      <c r="J1055" s="2">
        <v>8399</v>
      </c>
      <c r="K1055" s="2">
        <v>8001</v>
      </c>
      <c r="L1055" s="2">
        <v>5</v>
      </c>
      <c r="M1055" s="7">
        <f t="shared" si="64"/>
        <v>40005</v>
      </c>
      <c r="N1055" s="7">
        <f t="shared" si="65"/>
        <v>41995</v>
      </c>
      <c r="O1055" s="2">
        <v>78</v>
      </c>
      <c r="P1055" s="8">
        <f t="shared" si="66"/>
        <v>42073</v>
      </c>
      <c r="Q1055" s="8">
        <f t="shared" si="67"/>
        <v>41917</v>
      </c>
      <c r="R1055" s="2" t="s">
        <v>50</v>
      </c>
      <c r="S1055" s="9">
        <f>VLOOKUP(P1055,$T$2:U1052,2,1)</f>
        <v>7.0000000000000007E-2</v>
      </c>
    </row>
    <row r="1056" spans="1:19" x14ac:dyDescent="0.25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e">
        <f>VLOOKUP(F1056,'Customer Info'!A1048:I1547,2,0)</f>
        <v>#N/A</v>
      </c>
      <c r="H1056" s="6" t="e">
        <f>VLOOKUP(F1056,'Customer Info'!A1048:I1547,3,0)</f>
        <v>#N/A</v>
      </c>
      <c r="I1056" s="6" t="e">
        <f>VLOOKUP(F1056,'Customer Info'!A1048:I1547,5,0)</f>
        <v>#N/A</v>
      </c>
      <c r="J1056" s="2">
        <v>149</v>
      </c>
      <c r="K1056" s="2">
        <v>131</v>
      </c>
      <c r="L1056" s="2">
        <v>2</v>
      </c>
      <c r="M1056" s="7">
        <f t="shared" si="64"/>
        <v>262</v>
      </c>
      <c r="N1056" s="7">
        <f t="shared" si="65"/>
        <v>298</v>
      </c>
      <c r="O1056" s="2">
        <v>30</v>
      </c>
      <c r="P1056" s="8">
        <f t="shared" si="66"/>
        <v>328</v>
      </c>
      <c r="Q1056" s="8">
        <f t="shared" si="67"/>
        <v>268</v>
      </c>
      <c r="R1056" s="2" t="s">
        <v>28</v>
      </c>
      <c r="S1056" s="9">
        <f>VLOOKUP(P1056,$T$2:U1053,2,1)</f>
        <v>0.02</v>
      </c>
    </row>
    <row r="1057" spans="1:19" x14ac:dyDescent="0.25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e">
        <f>VLOOKUP(F1057,'Customer Info'!A1049:I1548,2,0)</f>
        <v>#N/A</v>
      </c>
      <c r="H1057" s="6" t="e">
        <f>VLOOKUP(F1057,'Customer Info'!A1049:I1548,3,0)</f>
        <v>#N/A</v>
      </c>
      <c r="I1057" s="6" t="e">
        <f>VLOOKUP(F1057,'Customer Info'!A1049:I1548,5,0)</f>
        <v>#N/A</v>
      </c>
      <c r="J1057" s="2">
        <v>1306</v>
      </c>
      <c r="K1057" s="2">
        <v>1197</v>
      </c>
      <c r="L1057" s="2">
        <v>1</v>
      </c>
      <c r="M1057" s="7">
        <f t="shared" si="64"/>
        <v>1197</v>
      </c>
      <c r="N1057" s="7">
        <f t="shared" si="65"/>
        <v>1306</v>
      </c>
      <c r="O1057" s="2">
        <v>47</v>
      </c>
      <c r="P1057" s="8">
        <f t="shared" si="66"/>
        <v>1353</v>
      </c>
      <c r="Q1057" s="8">
        <f t="shared" si="67"/>
        <v>1259</v>
      </c>
      <c r="R1057" s="2" t="s">
        <v>28</v>
      </c>
      <c r="S1057" s="9">
        <f>VLOOKUP(P1057,$T$2:U1054,2,1)</f>
        <v>0.02</v>
      </c>
    </row>
    <row r="1058" spans="1:19" x14ac:dyDescent="0.25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e">
        <f>VLOOKUP(F1058,'Customer Info'!A1050:I1549,2,0)</f>
        <v>#N/A</v>
      </c>
      <c r="H1058" s="6" t="e">
        <f>VLOOKUP(F1058,'Customer Info'!A1050:I1549,3,0)</f>
        <v>#N/A</v>
      </c>
      <c r="I1058" s="6" t="e">
        <f>VLOOKUP(F1058,'Customer Info'!A1050:I1549,5,0)</f>
        <v>#N/A</v>
      </c>
      <c r="J1058" s="2">
        <v>691</v>
      </c>
      <c r="K1058" s="2">
        <v>627</v>
      </c>
      <c r="L1058" s="2">
        <v>6</v>
      </c>
      <c r="M1058" s="7">
        <f t="shared" si="64"/>
        <v>3762</v>
      </c>
      <c r="N1058" s="7">
        <f t="shared" si="65"/>
        <v>4146</v>
      </c>
      <c r="O1058" s="2">
        <v>43</v>
      </c>
      <c r="P1058" s="8">
        <f t="shared" si="66"/>
        <v>4189</v>
      </c>
      <c r="Q1058" s="8">
        <f t="shared" si="67"/>
        <v>4103</v>
      </c>
      <c r="R1058" s="2" t="s">
        <v>28</v>
      </c>
      <c r="S1058" s="9">
        <f>VLOOKUP(P1058,$T$2:U1055,2,1)</f>
        <v>0.02</v>
      </c>
    </row>
    <row r="1059" spans="1:19" x14ac:dyDescent="0.25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e">
        <f>VLOOKUP(F1059,'Customer Info'!A1051:I1550,2,0)</f>
        <v>#N/A</v>
      </c>
      <c r="H1059" s="6" t="e">
        <f>VLOOKUP(F1059,'Customer Info'!A1051:I1550,3,0)</f>
        <v>#N/A</v>
      </c>
      <c r="I1059" s="6" t="e">
        <f>VLOOKUP(F1059,'Customer Info'!A1051:I1550,5,0)</f>
        <v>#N/A</v>
      </c>
      <c r="J1059" s="2">
        <v>285</v>
      </c>
      <c r="K1059" s="2">
        <v>259</v>
      </c>
      <c r="L1059" s="2">
        <v>2</v>
      </c>
      <c r="M1059" s="7">
        <f t="shared" si="64"/>
        <v>518</v>
      </c>
      <c r="N1059" s="7">
        <f t="shared" si="65"/>
        <v>570</v>
      </c>
      <c r="O1059" s="2">
        <v>81</v>
      </c>
      <c r="P1059" s="8">
        <f t="shared" si="66"/>
        <v>651</v>
      </c>
      <c r="Q1059" s="8">
        <f t="shared" si="67"/>
        <v>489</v>
      </c>
      <c r="R1059" s="2" t="s">
        <v>50</v>
      </c>
      <c r="S1059" s="9">
        <f>VLOOKUP(P1059,$T$2:U1056,2,1)</f>
        <v>0.02</v>
      </c>
    </row>
    <row r="1060" spans="1:19" x14ac:dyDescent="0.25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e">
        <f>VLOOKUP(F1060,'Customer Info'!A1052:I1551,2,0)</f>
        <v>#N/A</v>
      </c>
      <c r="H1060" s="6" t="e">
        <f>VLOOKUP(F1060,'Customer Info'!A1052:I1551,3,0)</f>
        <v>#N/A</v>
      </c>
      <c r="I1060" s="6" t="e">
        <f>VLOOKUP(F1060,'Customer Info'!A1052:I1551,5,0)</f>
        <v>#N/A</v>
      </c>
      <c r="J1060" s="2">
        <v>1816</v>
      </c>
      <c r="K1060" s="2">
        <v>1700</v>
      </c>
      <c r="L1060" s="2">
        <v>5</v>
      </c>
      <c r="M1060" s="7">
        <f t="shared" si="64"/>
        <v>8500</v>
      </c>
      <c r="N1060" s="7">
        <f t="shared" si="65"/>
        <v>9080</v>
      </c>
      <c r="O1060" s="2">
        <v>22</v>
      </c>
      <c r="P1060" s="8">
        <f t="shared" si="66"/>
        <v>9102</v>
      </c>
      <c r="Q1060" s="8">
        <f t="shared" si="67"/>
        <v>9058</v>
      </c>
      <c r="R1060" s="2" t="s">
        <v>28</v>
      </c>
      <c r="S1060" s="9">
        <f>VLOOKUP(P1060,$T$2:U1057,2,1)</f>
        <v>0.05</v>
      </c>
    </row>
    <row r="1061" spans="1:19" x14ac:dyDescent="0.25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e">
        <f>VLOOKUP(F1061,'Customer Info'!A1053:I1552,2,0)</f>
        <v>#N/A</v>
      </c>
      <c r="H1061" s="6" t="e">
        <f>VLOOKUP(F1061,'Customer Info'!A1053:I1552,3,0)</f>
        <v>#N/A</v>
      </c>
      <c r="I1061" s="6" t="e">
        <f>VLOOKUP(F1061,'Customer Info'!A1053:I1552,5,0)</f>
        <v>#N/A</v>
      </c>
      <c r="J1061" s="2">
        <v>2681</v>
      </c>
      <c r="K1061" s="2">
        <v>2458</v>
      </c>
      <c r="L1061" s="2">
        <v>4</v>
      </c>
      <c r="M1061" s="7">
        <f t="shared" si="64"/>
        <v>9832</v>
      </c>
      <c r="N1061" s="7">
        <f t="shared" si="65"/>
        <v>10724</v>
      </c>
      <c r="O1061" s="2">
        <v>65</v>
      </c>
      <c r="P1061" s="8">
        <f t="shared" si="66"/>
        <v>10789</v>
      </c>
      <c r="Q1061" s="8">
        <f t="shared" si="67"/>
        <v>10659</v>
      </c>
      <c r="R1061" s="2" t="s">
        <v>50</v>
      </c>
      <c r="S1061" s="9">
        <f>VLOOKUP(P1061,$T$2:U1058,2,1)</f>
        <v>0.05</v>
      </c>
    </row>
    <row r="1062" spans="1:19" x14ac:dyDescent="0.25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e">
        <f>VLOOKUP(F1062,'Customer Info'!A1054:I1553,2,0)</f>
        <v>#N/A</v>
      </c>
      <c r="H1062" s="6" t="e">
        <f>VLOOKUP(F1062,'Customer Info'!A1054:I1553,3,0)</f>
        <v>#N/A</v>
      </c>
      <c r="I1062" s="6" t="e">
        <f>VLOOKUP(F1062,'Customer Info'!A1054:I1553,5,0)</f>
        <v>#N/A</v>
      </c>
      <c r="J1062" s="2">
        <v>1246</v>
      </c>
      <c r="K1062" s="2">
        <v>1164</v>
      </c>
      <c r="L1062" s="2">
        <v>2</v>
      </c>
      <c r="M1062" s="7">
        <f t="shared" si="64"/>
        <v>2328</v>
      </c>
      <c r="N1062" s="7">
        <f t="shared" si="65"/>
        <v>2492</v>
      </c>
      <c r="O1062" s="2">
        <v>47</v>
      </c>
      <c r="P1062" s="8">
        <f t="shared" si="66"/>
        <v>2539</v>
      </c>
      <c r="Q1062" s="8">
        <f t="shared" si="67"/>
        <v>2445</v>
      </c>
      <c r="R1062" s="2" t="s">
        <v>50</v>
      </c>
      <c r="S1062" s="9">
        <f>VLOOKUP(P1062,$T$2:U1059,2,1)</f>
        <v>0.02</v>
      </c>
    </row>
    <row r="1063" spans="1:19" x14ac:dyDescent="0.25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e">
        <f>VLOOKUP(F1063,'Customer Info'!A1055:I1554,2,0)</f>
        <v>#N/A</v>
      </c>
      <c r="H1063" s="6" t="e">
        <f>VLOOKUP(F1063,'Customer Info'!A1055:I1554,3,0)</f>
        <v>#N/A</v>
      </c>
      <c r="I1063" s="6" t="e">
        <f>VLOOKUP(F1063,'Customer Info'!A1055:I1554,5,0)</f>
        <v>#N/A</v>
      </c>
      <c r="J1063" s="2">
        <v>671</v>
      </c>
      <c r="K1063" s="2">
        <v>627</v>
      </c>
      <c r="L1063" s="2">
        <v>4</v>
      </c>
      <c r="M1063" s="7">
        <f t="shared" si="64"/>
        <v>2508</v>
      </c>
      <c r="N1063" s="7">
        <f t="shared" si="65"/>
        <v>2684</v>
      </c>
      <c r="O1063" s="2">
        <v>56</v>
      </c>
      <c r="P1063" s="8">
        <f t="shared" si="66"/>
        <v>2740</v>
      </c>
      <c r="Q1063" s="8">
        <f t="shared" si="67"/>
        <v>2628</v>
      </c>
      <c r="R1063" s="2" t="s">
        <v>28</v>
      </c>
      <c r="S1063" s="9">
        <f>VLOOKUP(P1063,$T$2:U1060,2,1)</f>
        <v>0.02</v>
      </c>
    </row>
    <row r="1064" spans="1:19" x14ac:dyDescent="0.25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e">
        <f>VLOOKUP(F1064,'Customer Info'!A1056:I1555,2,0)</f>
        <v>#N/A</v>
      </c>
      <c r="H1064" s="6" t="e">
        <f>VLOOKUP(F1064,'Customer Info'!A1056:I1555,3,0)</f>
        <v>#N/A</v>
      </c>
      <c r="I1064" s="6" t="e">
        <f>VLOOKUP(F1064,'Customer Info'!A1056:I1555,5,0)</f>
        <v>#N/A</v>
      </c>
      <c r="J1064" s="2">
        <v>37949</v>
      </c>
      <c r="K1064" s="2">
        <v>34816</v>
      </c>
      <c r="L1064" s="2">
        <v>4</v>
      </c>
      <c r="M1064" s="7">
        <f t="shared" si="64"/>
        <v>139264</v>
      </c>
      <c r="N1064" s="7">
        <f t="shared" si="65"/>
        <v>151796</v>
      </c>
      <c r="O1064" s="2">
        <v>68</v>
      </c>
      <c r="P1064" s="8">
        <f t="shared" si="66"/>
        <v>151864</v>
      </c>
      <c r="Q1064" s="8">
        <f t="shared" si="67"/>
        <v>151728</v>
      </c>
      <c r="R1064" s="2" t="s">
        <v>28</v>
      </c>
      <c r="S1064" s="9">
        <f>VLOOKUP(P1064,$T$2:U1061,2,1)</f>
        <v>0.12</v>
      </c>
    </row>
    <row r="1065" spans="1:19" x14ac:dyDescent="0.25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e">
        <f>VLOOKUP(F1065,'Customer Info'!A1057:I1556,2,0)</f>
        <v>#N/A</v>
      </c>
      <c r="H1065" s="6" t="e">
        <f>VLOOKUP(F1065,'Customer Info'!A1057:I1556,3,0)</f>
        <v>#N/A</v>
      </c>
      <c r="I1065" s="6" t="e">
        <f>VLOOKUP(F1065,'Customer Info'!A1057:I1556,5,0)</f>
        <v>#N/A</v>
      </c>
      <c r="J1065" s="2">
        <v>1585</v>
      </c>
      <c r="K1065" s="2">
        <v>1495</v>
      </c>
      <c r="L1065" s="2">
        <v>1</v>
      </c>
      <c r="M1065" s="7">
        <f t="shared" si="64"/>
        <v>1495</v>
      </c>
      <c r="N1065" s="7">
        <f t="shared" si="65"/>
        <v>1585</v>
      </c>
      <c r="O1065" s="2">
        <v>79</v>
      </c>
      <c r="P1065" s="8">
        <f t="shared" si="66"/>
        <v>1664</v>
      </c>
      <c r="Q1065" s="8">
        <f t="shared" si="67"/>
        <v>1506</v>
      </c>
      <c r="R1065" s="2" t="s">
        <v>28</v>
      </c>
      <c r="S1065" s="9">
        <f>VLOOKUP(P1065,$T$2:U1062,2,1)</f>
        <v>0.02</v>
      </c>
    </row>
    <row r="1066" spans="1:19" x14ac:dyDescent="0.25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e">
        <f>VLOOKUP(F1066,'Customer Info'!A1058:I1557,2,0)</f>
        <v>#N/A</v>
      </c>
      <c r="H1066" s="6" t="e">
        <f>VLOOKUP(F1066,'Customer Info'!A1058:I1557,3,0)</f>
        <v>#N/A</v>
      </c>
      <c r="I1066" s="6" t="e">
        <f>VLOOKUP(F1066,'Customer Info'!A1058:I1557,5,0)</f>
        <v>#N/A</v>
      </c>
      <c r="J1066" s="2">
        <v>2200</v>
      </c>
      <c r="K1066" s="2">
        <v>2020</v>
      </c>
      <c r="L1066" s="2">
        <v>2</v>
      </c>
      <c r="M1066" s="7">
        <f t="shared" si="64"/>
        <v>4040</v>
      </c>
      <c r="N1066" s="7">
        <f t="shared" si="65"/>
        <v>4400</v>
      </c>
      <c r="O1066" s="2">
        <v>40</v>
      </c>
      <c r="P1066" s="8">
        <f t="shared" si="66"/>
        <v>4440</v>
      </c>
      <c r="Q1066" s="8">
        <f t="shared" si="67"/>
        <v>4360</v>
      </c>
      <c r="R1066" s="2" t="s">
        <v>28</v>
      </c>
      <c r="S1066" s="9">
        <f>VLOOKUP(P1066,$T$2:U1063,2,1)</f>
        <v>0.02</v>
      </c>
    </row>
    <row r="1067" spans="1:19" x14ac:dyDescent="0.25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e">
        <f>VLOOKUP(F1067,'Customer Info'!A1059:I1558,2,0)</f>
        <v>#N/A</v>
      </c>
      <c r="H1067" s="6" t="e">
        <f>VLOOKUP(F1067,'Customer Info'!A1059:I1558,3,0)</f>
        <v>#N/A</v>
      </c>
      <c r="I1067" s="6" t="e">
        <f>VLOOKUP(F1067,'Customer Info'!A1059:I1558,5,0)</f>
        <v>#N/A</v>
      </c>
      <c r="J1067" s="2">
        <v>2540</v>
      </c>
      <c r="K1067" s="2">
        <v>2397</v>
      </c>
      <c r="L1067" s="2">
        <v>2</v>
      </c>
      <c r="M1067" s="7">
        <f t="shared" si="64"/>
        <v>4794</v>
      </c>
      <c r="N1067" s="7">
        <f t="shared" si="65"/>
        <v>5080</v>
      </c>
      <c r="O1067" s="2">
        <v>41</v>
      </c>
      <c r="P1067" s="8">
        <f t="shared" si="66"/>
        <v>5121</v>
      </c>
      <c r="Q1067" s="8">
        <f t="shared" si="67"/>
        <v>5039</v>
      </c>
      <c r="R1067" s="2" t="s">
        <v>28</v>
      </c>
      <c r="S1067" s="9">
        <f>VLOOKUP(P1067,$T$2:U1064,2,1)</f>
        <v>0.05</v>
      </c>
    </row>
    <row r="1068" spans="1:19" x14ac:dyDescent="0.25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e">
        <f>VLOOKUP(F1068,'Customer Info'!A1060:I1559,2,0)</f>
        <v>#N/A</v>
      </c>
      <c r="H1068" s="6" t="e">
        <f>VLOOKUP(F1068,'Customer Info'!A1060:I1559,3,0)</f>
        <v>#N/A</v>
      </c>
      <c r="I1068" s="6" t="e">
        <f>VLOOKUP(F1068,'Customer Info'!A1060:I1559,5,0)</f>
        <v>#N/A</v>
      </c>
      <c r="J1068" s="2">
        <v>1605</v>
      </c>
      <c r="K1068" s="2">
        <v>1530</v>
      </c>
      <c r="L1068" s="2">
        <v>3</v>
      </c>
      <c r="M1068" s="7">
        <f t="shared" si="64"/>
        <v>4590</v>
      </c>
      <c r="N1068" s="7">
        <f t="shared" si="65"/>
        <v>4815</v>
      </c>
      <c r="O1068" s="2">
        <v>91</v>
      </c>
      <c r="P1068" s="8">
        <f t="shared" si="66"/>
        <v>4906</v>
      </c>
      <c r="Q1068" s="8">
        <f t="shared" si="67"/>
        <v>4724</v>
      </c>
      <c r="R1068" s="2" t="s">
        <v>26</v>
      </c>
      <c r="S1068" s="9">
        <f>VLOOKUP(P1068,$T$2:U1065,2,1)</f>
        <v>0.02</v>
      </c>
    </row>
    <row r="1069" spans="1:19" x14ac:dyDescent="0.25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e">
        <f>VLOOKUP(F1069,'Customer Info'!A1061:I1560,2,0)</f>
        <v>#N/A</v>
      </c>
      <c r="H1069" s="6" t="e">
        <f>VLOOKUP(F1069,'Customer Info'!A1061:I1560,3,0)</f>
        <v>#N/A</v>
      </c>
      <c r="I1069" s="6" t="e">
        <f>VLOOKUP(F1069,'Customer Info'!A1061:I1560,5,0)</f>
        <v>#N/A</v>
      </c>
      <c r="J1069" s="2">
        <v>2644</v>
      </c>
      <c r="K1069" s="2">
        <v>2425</v>
      </c>
      <c r="L1069" s="2">
        <v>3</v>
      </c>
      <c r="M1069" s="7">
        <f t="shared" si="64"/>
        <v>7275</v>
      </c>
      <c r="N1069" s="7">
        <f t="shared" si="65"/>
        <v>7932</v>
      </c>
      <c r="O1069" s="2">
        <v>71</v>
      </c>
      <c r="P1069" s="8">
        <f t="shared" si="66"/>
        <v>8003</v>
      </c>
      <c r="Q1069" s="8">
        <f t="shared" si="67"/>
        <v>7861</v>
      </c>
      <c r="R1069" s="2" t="s">
        <v>28</v>
      </c>
      <c r="S1069" s="9">
        <f>VLOOKUP(P1069,$T$2:U1066,2,1)</f>
        <v>0.05</v>
      </c>
    </row>
    <row r="1070" spans="1:19" x14ac:dyDescent="0.25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e">
        <f>VLOOKUP(F1070,'Customer Info'!A1062:I1561,2,0)</f>
        <v>#N/A</v>
      </c>
      <c r="H1070" s="6" t="e">
        <f>VLOOKUP(F1070,'Customer Info'!A1062:I1561,3,0)</f>
        <v>#N/A</v>
      </c>
      <c r="I1070" s="6" t="e">
        <f>VLOOKUP(F1070,'Customer Info'!A1062:I1561,5,0)</f>
        <v>#N/A</v>
      </c>
      <c r="J1070" s="2">
        <v>1574</v>
      </c>
      <c r="K1070" s="2">
        <v>1375</v>
      </c>
      <c r="L1070" s="2">
        <v>2</v>
      </c>
      <c r="M1070" s="7">
        <f t="shared" si="64"/>
        <v>2750</v>
      </c>
      <c r="N1070" s="7">
        <f t="shared" si="65"/>
        <v>3148</v>
      </c>
      <c r="O1070" s="2">
        <v>75</v>
      </c>
      <c r="P1070" s="8">
        <f t="shared" si="66"/>
        <v>3223</v>
      </c>
      <c r="Q1070" s="8">
        <f t="shared" si="67"/>
        <v>3073</v>
      </c>
      <c r="R1070" s="2" t="s">
        <v>28</v>
      </c>
      <c r="S1070" s="9">
        <f>VLOOKUP(P1070,$T$2:U1067,2,1)</f>
        <v>0.02</v>
      </c>
    </row>
    <row r="1071" spans="1:19" x14ac:dyDescent="0.25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e">
        <f>VLOOKUP(F1071,'Customer Info'!A1063:I1562,2,0)</f>
        <v>#N/A</v>
      </c>
      <c r="H1071" s="6" t="e">
        <f>VLOOKUP(F1071,'Customer Info'!A1063:I1562,3,0)</f>
        <v>#N/A</v>
      </c>
      <c r="I1071" s="6" t="e">
        <f>VLOOKUP(F1071,'Customer Info'!A1063:I1562,5,0)</f>
        <v>#N/A</v>
      </c>
      <c r="J1071" s="2">
        <v>125</v>
      </c>
      <c r="K1071" s="2">
        <v>113</v>
      </c>
      <c r="L1071" s="2">
        <v>1</v>
      </c>
      <c r="M1071" s="7">
        <f t="shared" si="64"/>
        <v>113</v>
      </c>
      <c r="N1071" s="7">
        <f t="shared" si="65"/>
        <v>125</v>
      </c>
      <c r="O1071" s="2">
        <v>30</v>
      </c>
      <c r="P1071" s="8">
        <f t="shared" si="66"/>
        <v>155</v>
      </c>
      <c r="Q1071" s="8">
        <f t="shared" si="67"/>
        <v>95</v>
      </c>
      <c r="R1071" s="2" t="s">
        <v>28</v>
      </c>
      <c r="S1071" s="9">
        <f>VLOOKUP(P1071,$T$2:U1068,2,1)</f>
        <v>0.02</v>
      </c>
    </row>
    <row r="1072" spans="1:19" x14ac:dyDescent="0.25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e">
        <f>VLOOKUP(F1072,'Customer Info'!A1064:I1563,2,0)</f>
        <v>#N/A</v>
      </c>
      <c r="H1072" s="6" t="e">
        <f>VLOOKUP(F1072,'Customer Info'!A1064:I1563,3,0)</f>
        <v>#N/A</v>
      </c>
      <c r="I1072" s="6" t="e">
        <f>VLOOKUP(F1072,'Customer Info'!A1064:I1563,5,0)</f>
        <v>#N/A</v>
      </c>
      <c r="J1072" s="2">
        <v>77</v>
      </c>
      <c r="K1072" s="2">
        <v>73</v>
      </c>
      <c r="L1072" s="2">
        <v>5</v>
      </c>
      <c r="M1072" s="7">
        <f t="shared" si="64"/>
        <v>365</v>
      </c>
      <c r="N1072" s="7">
        <f t="shared" si="65"/>
        <v>385</v>
      </c>
      <c r="O1072" s="2">
        <v>10</v>
      </c>
      <c r="P1072" s="8">
        <f t="shared" si="66"/>
        <v>395</v>
      </c>
      <c r="Q1072" s="8">
        <f t="shared" si="67"/>
        <v>375</v>
      </c>
      <c r="R1072" s="2" t="s">
        <v>26</v>
      </c>
      <c r="S1072" s="9">
        <f>VLOOKUP(P1072,$T$2:U1069,2,1)</f>
        <v>0.02</v>
      </c>
    </row>
    <row r="1073" spans="1:19" x14ac:dyDescent="0.25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e">
        <f>VLOOKUP(F1073,'Customer Info'!A1065:I1564,2,0)</f>
        <v>#N/A</v>
      </c>
      <c r="H1073" s="6" t="e">
        <f>VLOOKUP(F1073,'Customer Info'!A1065:I1564,3,0)</f>
        <v>#N/A</v>
      </c>
      <c r="I1073" s="6" t="e">
        <f>VLOOKUP(F1073,'Customer Info'!A1065:I1564,5,0)</f>
        <v>#N/A</v>
      </c>
      <c r="J1073" s="2">
        <v>1619</v>
      </c>
      <c r="K1073" s="2">
        <v>1442</v>
      </c>
      <c r="L1073" s="2">
        <v>3</v>
      </c>
      <c r="M1073" s="7">
        <f t="shared" si="64"/>
        <v>4326</v>
      </c>
      <c r="N1073" s="7">
        <f t="shared" si="65"/>
        <v>4857</v>
      </c>
      <c r="O1073" s="2">
        <v>86</v>
      </c>
      <c r="P1073" s="8">
        <f t="shared" si="66"/>
        <v>4943</v>
      </c>
      <c r="Q1073" s="8">
        <f t="shared" si="67"/>
        <v>4771</v>
      </c>
      <c r="R1073" s="2" t="s">
        <v>28</v>
      </c>
      <c r="S1073" s="9">
        <f>VLOOKUP(P1073,$T$2:U1070,2,1)</f>
        <v>0.02</v>
      </c>
    </row>
    <row r="1074" spans="1:19" x14ac:dyDescent="0.25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e">
        <f>VLOOKUP(F1074,'Customer Info'!A1066:I1565,2,0)</f>
        <v>#N/A</v>
      </c>
      <c r="H1074" s="6" t="e">
        <f>VLOOKUP(F1074,'Customer Info'!A1066:I1565,3,0)</f>
        <v>#N/A</v>
      </c>
      <c r="I1074" s="6" t="e">
        <f>VLOOKUP(F1074,'Customer Info'!A1066:I1565,5,0)</f>
        <v>#N/A</v>
      </c>
      <c r="J1074" s="2">
        <v>202</v>
      </c>
      <c r="K1074" s="2">
        <v>187</v>
      </c>
      <c r="L1074" s="2">
        <v>5</v>
      </c>
      <c r="M1074" s="7">
        <f t="shared" si="64"/>
        <v>935</v>
      </c>
      <c r="N1074" s="7">
        <f t="shared" si="65"/>
        <v>1010</v>
      </c>
      <c r="O1074" s="2">
        <v>30</v>
      </c>
      <c r="P1074" s="8">
        <f t="shared" si="66"/>
        <v>1040</v>
      </c>
      <c r="Q1074" s="8">
        <f t="shared" si="67"/>
        <v>980</v>
      </c>
      <c r="R1074" s="2" t="s">
        <v>50</v>
      </c>
      <c r="S1074" s="9">
        <f>VLOOKUP(P1074,$T$2:U1071,2,1)</f>
        <v>0.02</v>
      </c>
    </row>
    <row r="1075" spans="1:19" x14ac:dyDescent="0.25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e">
        <f>VLOOKUP(F1075,'Customer Info'!A1067:I1566,2,0)</f>
        <v>#N/A</v>
      </c>
      <c r="H1075" s="6" t="e">
        <f>VLOOKUP(F1075,'Customer Info'!A1067:I1566,3,0)</f>
        <v>#N/A</v>
      </c>
      <c r="I1075" s="6" t="e">
        <f>VLOOKUP(F1075,'Customer Info'!A1067:I1566,5,0)</f>
        <v>#N/A</v>
      </c>
      <c r="J1075" s="2">
        <v>63</v>
      </c>
      <c r="K1075" s="2">
        <v>59</v>
      </c>
      <c r="L1075" s="2">
        <v>2</v>
      </c>
      <c r="M1075" s="7">
        <f t="shared" si="64"/>
        <v>118</v>
      </c>
      <c r="N1075" s="7">
        <f t="shared" si="65"/>
        <v>126</v>
      </c>
      <c r="O1075" s="2">
        <v>10</v>
      </c>
      <c r="P1075" s="8">
        <f t="shared" si="66"/>
        <v>136</v>
      </c>
      <c r="Q1075" s="8">
        <f t="shared" si="67"/>
        <v>116</v>
      </c>
      <c r="R1075" s="2" t="s">
        <v>28</v>
      </c>
      <c r="S1075" s="9">
        <f>VLOOKUP(P1075,$T$2:U1072,2,1)</f>
        <v>0.02</v>
      </c>
    </row>
    <row r="1076" spans="1:19" x14ac:dyDescent="0.25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e">
        <f>VLOOKUP(F1076,'Customer Info'!A1068:I1567,2,0)</f>
        <v>#N/A</v>
      </c>
      <c r="H1076" s="6" t="e">
        <f>VLOOKUP(F1076,'Customer Info'!A1068:I1567,3,0)</f>
        <v>#N/A</v>
      </c>
      <c r="I1076" s="6" t="e">
        <f>VLOOKUP(F1076,'Customer Info'!A1068:I1567,5,0)</f>
        <v>#N/A</v>
      </c>
      <c r="J1076" s="2">
        <v>1798</v>
      </c>
      <c r="K1076" s="2">
        <v>1650</v>
      </c>
      <c r="L1076" s="2">
        <v>1</v>
      </c>
      <c r="M1076" s="7">
        <f t="shared" si="64"/>
        <v>1650</v>
      </c>
      <c r="N1076" s="7">
        <f t="shared" si="65"/>
        <v>1798</v>
      </c>
      <c r="O1076" s="2">
        <v>100</v>
      </c>
      <c r="P1076" s="8">
        <f t="shared" si="66"/>
        <v>1898</v>
      </c>
      <c r="Q1076" s="8">
        <f t="shared" si="67"/>
        <v>1698</v>
      </c>
      <c r="R1076" s="2" t="s">
        <v>28</v>
      </c>
      <c r="S1076" s="9">
        <f>VLOOKUP(P1076,$T$2:U1073,2,1)</f>
        <v>0.02</v>
      </c>
    </row>
    <row r="1077" spans="1:19" x14ac:dyDescent="0.25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e">
        <f>VLOOKUP(F1077,'Customer Info'!A1069:I1568,2,0)</f>
        <v>#N/A</v>
      </c>
      <c r="H1077" s="6" t="e">
        <f>VLOOKUP(F1077,'Customer Info'!A1069:I1568,3,0)</f>
        <v>#N/A</v>
      </c>
      <c r="I1077" s="6" t="e">
        <f>VLOOKUP(F1077,'Customer Info'!A1069:I1568,5,0)</f>
        <v>#N/A</v>
      </c>
      <c r="J1077" s="2">
        <v>405</v>
      </c>
      <c r="K1077" s="2">
        <v>381</v>
      </c>
      <c r="L1077" s="2">
        <v>3</v>
      </c>
      <c r="M1077" s="7">
        <f t="shared" si="64"/>
        <v>1143</v>
      </c>
      <c r="N1077" s="7">
        <f t="shared" si="65"/>
        <v>1215</v>
      </c>
      <c r="O1077" s="2">
        <v>45</v>
      </c>
      <c r="P1077" s="8">
        <f t="shared" si="66"/>
        <v>1260</v>
      </c>
      <c r="Q1077" s="8">
        <f t="shared" si="67"/>
        <v>1170</v>
      </c>
      <c r="R1077" s="2" t="s">
        <v>26</v>
      </c>
      <c r="S1077" s="9">
        <f>VLOOKUP(P1077,$T$2:U1074,2,1)</f>
        <v>0.02</v>
      </c>
    </row>
    <row r="1078" spans="1:19" x14ac:dyDescent="0.25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e">
        <f>VLOOKUP(F1078,'Customer Info'!A1070:I1569,2,0)</f>
        <v>#N/A</v>
      </c>
      <c r="H1078" s="6" t="e">
        <f>VLOOKUP(F1078,'Customer Info'!A1070:I1569,3,0)</f>
        <v>#N/A</v>
      </c>
      <c r="I1078" s="6" t="e">
        <f>VLOOKUP(F1078,'Customer Info'!A1070:I1569,5,0)</f>
        <v>#N/A</v>
      </c>
      <c r="J1078" s="2">
        <v>531</v>
      </c>
      <c r="K1078" s="2">
        <v>487</v>
      </c>
      <c r="L1078" s="2">
        <v>2</v>
      </c>
      <c r="M1078" s="7">
        <f t="shared" si="64"/>
        <v>974</v>
      </c>
      <c r="N1078" s="7">
        <f t="shared" si="65"/>
        <v>1062</v>
      </c>
      <c r="O1078" s="2">
        <v>66</v>
      </c>
      <c r="P1078" s="8">
        <f t="shared" si="66"/>
        <v>1128</v>
      </c>
      <c r="Q1078" s="8">
        <f t="shared" si="67"/>
        <v>996</v>
      </c>
      <c r="R1078" s="2" t="s">
        <v>28</v>
      </c>
      <c r="S1078" s="9">
        <f>VLOOKUP(P1078,$T$2:U1075,2,1)</f>
        <v>0.02</v>
      </c>
    </row>
    <row r="1079" spans="1:19" x14ac:dyDescent="0.25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e">
        <f>VLOOKUP(F1079,'Customer Info'!A1071:I1570,2,0)</f>
        <v>#N/A</v>
      </c>
      <c r="H1079" s="6" t="e">
        <f>VLOOKUP(F1079,'Customer Info'!A1071:I1570,3,0)</f>
        <v>#N/A</v>
      </c>
      <c r="I1079" s="6" t="e">
        <f>VLOOKUP(F1079,'Customer Info'!A1071:I1570,5,0)</f>
        <v>#N/A</v>
      </c>
      <c r="J1079" s="2">
        <v>8665</v>
      </c>
      <c r="K1079" s="2">
        <v>7723</v>
      </c>
      <c r="L1079" s="2">
        <v>4</v>
      </c>
      <c r="M1079" s="7">
        <f t="shared" si="64"/>
        <v>30892</v>
      </c>
      <c r="N1079" s="7">
        <f t="shared" si="65"/>
        <v>34660</v>
      </c>
      <c r="O1079" s="2">
        <v>41</v>
      </c>
      <c r="P1079" s="8">
        <f t="shared" si="66"/>
        <v>34701</v>
      </c>
      <c r="Q1079" s="8">
        <f t="shared" si="67"/>
        <v>34619</v>
      </c>
      <c r="R1079" s="2" t="s">
        <v>50</v>
      </c>
      <c r="S1079" s="9">
        <f>VLOOKUP(P1079,$T$2:U1076,2,1)</f>
        <v>7.0000000000000007E-2</v>
      </c>
    </row>
    <row r="1080" spans="1:19" x14ac:dyDescent="0.25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e">
        <f>VLOOKUP(F1080,'Customer Info'!A1072:I1571,2,0)</f>
        <v>#N/A</v>
      </c>
      <c r="H1080" s="6" t="e">
        <f>VLOOKUP(F1080,'Customer Info'!A1072:I1571,3,0)</f>
        <v>#N/A</v>
      </c>
      <c r="I1080" s="6" t="e">
        <f>VLOOKUP(F1080,'Customer Info'!A1072:I1571,5,0)</f>
        <v>#N/A</v>
      </c>
      <c r="J1080" s="2">
        <v>474</v>
      </c>
      <c r="K1080" s="2">
        <v>443</v>
      </c>
      <c r="L1080" s="2">
        <v>3</v>
      </c>
      <c r="M1080" s="7">
        <f t="shared" si="64"/>
        <v>1329</v>
      </c>
      <c r="N1080" s="7">
        <f t="shared" si="65"/>
        <v>1422</v>
      </c>
      <c r="O1080" s="2">
        <v>64</v>
      </c>
      <c r="P1080" s="8">
        <f t="shared" si="66"/>
        <v>1486</v>
      </c>
      <c r="Q1080" s="8">
        <f t="shared" si="67"/>
        <v>1358</v>
      </c>
      <c r="R1080" s="2" t="s">
        <v>28</v>
      </c>
      <c r="S1080" s="9">
        <f>VLOOKUP(P1080,$T$2:U1077,2,1)</f>
        <v>0.02</v>
      </c>
    </row>
    <row r="1081" spans="1:19" x14ac:dyDescent="0.25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e">
        <f>VLOOKUP(F1081,'Customer Info'!A1073:I1572,2,0)</f>
        <v>#N/A</v>
      </c>
      <c r="H1081" s="6" t="e">
        <f>VLOOKUP(F1081,'Customer Info'!A1073:I1572,3,0)</f>
        <v>#N/A</v>
      </c>
      <c r="I1081" s="6" t="e">
        <f>VLOOKUP(F1081,'Customer Info'!A1073:I1572,5,0)</f>
        <v>#N/A</v>
      </c>
      <c r="J1081" s="2">
        <v>125</v>
      </c>
      <c r="K1081" s="2">
        <v>113</v>
      </c>
      <c r="L1081" s="2">
        <v>3</v>
      </c>
      <c r="M1081" s="7">
        <f t="shared" si="64"/>
        <v>339</v>
      </c>
      <c r="N1081" s="7">
        <f t="shared" si="65"/>
        <v>375</v>
      </c>
      <c r="O1081" s="2">
        <v>30</v>
      </c>
      <c r="P1081" s="8">
        <f t="shared" si="66"/>
        <v>405</v>
      </c>
      <c r="Q1081" s="8">
        <f t="shared" si="67"/>
        <v>345</v>
      </c>
      <c r="R1081" s="2" t="s">
        <v>56</v>
      </c>
      <c r="S1081" s="9">
        <f>VLOOKUP(P1081,$T$2:U1078,2,1)</f>
        <v>0.02</v>
      </c>
    </row>
    <row r="1082" spans="1:19" x14ac:dyDescent="0.25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e">
        <f>VLOOKUP(F1082,'Customer Info'!A1074:I1573,2,0)</f>
        <v>#N/A</v>
      </c>
      <c r="H1082" s="6" t="e">
        <f>VLOOKUP(F1082,'Customer Info'!A1074:I1573,3,0)</f>
        <v>#N/A</v>
      </c>
      <c r="I1082" s="6" t="e">
        <f>VLOOKUP(F1082,'Customer Info'!A1074:I1573,5,0)</f>
        <v>#N/A</v>
      </c>
      <c r="J1082" s="2">
        <v>2342</v>
      </c>
      <c r="K1082" s="2">
        <v>2210</v>
      </c>
      <c r="L1082" s="2">
        <v>1</v>
      </c>
      <c r="M1082" s="7">
        <f t="shared" si="64"/>
        <v>2210</v>
      </c>
      <c r="N1082" s="7">
        <f t="shared" si="65"/>
        <v>2342</v>
      </c>
      <c r="O1082" s="2">
        <v>76</v>
      </c>
      <c r="P1082" s="8">
        <f t="shared" si="66"/>
        <v>2418</v>
      </c>
      <c r="Q1082" s="8">
        <f t="shared" si="67"/>
        <v>2266</v>
      </c>
      <c r="R1082" s="2" t="s">
        <v>50</v>
      </c>
      <c r="S1082" s="9">
        <f>VLOOKUP(P1082,$T$2:U1079,2,1)</f>
        <v>0.02</v>
      </c>
    </row>
    <row r="1083" spans="1:19" x14ac:dyDescent="0.25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e">
        <f>VLOOKUP(F1083,'Customer Info'!A1075:I1574,2,0)</f>
        <v>#N/A</v>
      </c>
      <c r="H1083" s="6" t="e">
        <f>VLOOKUP(F1083,'Customer Info'!A1075:I1574,3,0)</f>
        <v>#N/A</v>
      </c>
      <c r="I1083" s="6" t="e">
        <f>VLOOKUP(F1083,'Customer Info'!A1075:I1574,5,0)</f>
        <v>#N/A</v>
      </c>
      <c r="J1083" s="2">
        <v>392</v>
      </c>
      <c r="K1083" s="2">
        <v>356</v>
      </c>
      <c r="L1083" s="2">
        <v>2</v>
      </c>
      <c r="M1083" s="7">
        <f t="shared" si="64"/>
        <v>712</v>
      </c>
      <c r="N1083" s="7">
        <f t="shared" si="65"/>
        <v>784</v>
      </c>
      <c r="O1083" s="2">
        <v>29</v>
      </c>
      <c r="P1083" s="8">
        <f t="shared" si="66"/>
        <v>813</v>
      </c>
      <c r="Q1083" s="8">
        <f t="shared" si="67"/>
        <v>755</v>
      </c>
      <c r="R1083" s="2" t="s">
        <v>28</v>
      </c>
      <c r="S1083" s="9">
        <f>VLOOKUP(P1083,$T$2:U1080,2,1)</f>
        <v>0.02</v>
      </c>
    </row>
    <row r="1084" spans="1:19" x14ac:dyDescent="0.25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e">
        <f>VLOOKUP(F1084,'Customer Info'!A1076:I1575,2,0)</f>
        <v>#N/A</v>
      </c>
      <c r="H1084" s="6" t="e">
        <f>VLOOKUP(F1084,'Customer Info'!A1076:I1575,3,0)</f>
        <v>#N/A</v>
      </c>
      <c r="I1084" s="6" t="e">
        <f>VLOOKUP(F1084,'Customer Info'!A1076:I1575,5,0)</f>
        <v>#N/A</v>
      </c>
      <c r="J1084" s="2">
        <v>142</v>
      </c>
      <c r="K1084" s="2">
        <v>129</v>
      </c>
      <c r="L1084" s="2">
        <v>3</v>
      </c>
      <c r="M1084" s="7">
        <f t="shared" si="64"/>
        <v>387</v>
      </c>
      <c r="N1084" s="7">
        <f t="shared" si="65"/>
        <v>426</v>
      </c>
      <c r="O1084" s="2">
        <v>30</v>
      </c>
      <c r="P1084" s="8">
        <f t="shared" si="66"/>
        <v>456</v>
      </c>
      <c r="Q1084" s="8">
        <f t="shared" si="67"/>
        <v>396</v>
      </c>
      <c r="R1084" s="2" t="s">
        <v>28</v>
      </c>
      <c r="S1084" s="9">
        <f>VLOOKUP(P1084,$T$2:U1081,2,1)</f>
        <v>0.02</v>
      </c>
    </row>
    <row r="1085" spans="1:19" x14ac:dyDescent="0.25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e">
        <f>VLOOKUP(F1085,'Customer Info'!A1077:I1576,2,0)</f>
        <v>#N/A</v>
      </c>
      <c r="H1085" s="6" t="e">
        <f>VLOOKUP(F1085,'Customer Info'!A1077:I1576,3,0)</f>
        <v>#N/A</v>
      </c>
      <c r="I1085" s="6" t="e">
        <f>VLOOKUP(F1085,'Customer Info'!A1077:I1576,5,0)</f>
        <v>#N/A</v>
      </c>
      <c r="J1085" s="2">
        <v>92</v>
      </c>
      <c r="K1085" s="2">
        <v>82</v>
      </c>
      <c r="L1085" s="2">
        <v>3</v>
      </c>
      <c r="M1085" s="7">
        <f t="shared" si="64"/>
        <v>246</v>
      </c>
      <c r="N1085" s="7">
        <f t="shared" si="65"/>
        <v>276</v>
      </c>
      <c r="O1085" s="2">
        <v>10</v>
      </c>
      <c r="P1085" s="8">
        <f t="shared" si="66"/>
        <v>286</v>
      </c>
      <c r="Q1085" s="8">
        <f t="shared" si="67"/>
        <v>266</v>
      </c>
      <c r="R1085" s="2" t="s">
        <v>28</v>
      </c>
      <c r="S1085" s="9">
        <f>VLOOKUP(P1085,$T$2:U1082,2,1)</f>
        <v>0.02</v>
      </c>
    </row>
    <row r="1086" spans="1:19" x14ac:dyDescent="0.25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e">
        <f>VLOOKUP(F1086,'Customer Info'!A1078:I1577,2,0)</f>
        <v>#N/A</v>
      </c>
      <c r="H1086" s="6" t="e">
        <f>VLOOKUP(F1086,'Customer Info'!A1078:I1577,3,0)</f>
        <v>#N/A</v>
      </c>
      <c r="I1086" s="6" t="e">
        <f>VLOOKUP(F1086,'Customer Info'!A1078:I1577,5,0)</f>
        <v>#N/A</v>
      </c>
      <c r="J1086" s="2">
        <v>82</v>
      </c>
      <c r="K1086" s="2">
        <v>79</v>
      </c>
      <c r="L1086" s="2">
        <v>1</v>
      </c>
      <c r="M1086" s="7">
        <f t="shared" si="64"/>
        <v>79</v>
      </c>
      <c r="N1086" s="7">
        <f t="shared" si="65"/>
        <v>82</v>
      </c>
      <c r="O1086" s="2">
        <v>10</v>
      </c>
      <c r="P1086" s="8">
        <f t="shared" si="66"/>
        <v>92</v>
      </c>
      <c r="Q1086" s="8">
        <f t="shared" si="67"/>
        <v>72</v>
      </c>
      <c r="R1086" s="2" t="s">
        <v>28</v>
      </c>
      <c r="S1086" s="9">
        <f>VLOOKUP(P1086,$T$2:U1083,2,1)</f>
        <v>0.02</v>
      </c>
    </row>
    <row r="1087" spans="1:19" x14ac:dyDescent="0.25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e">
        <f>VLOOKUP(F1087,'Customer Info'!A1079:I1578,2,0)</f>
        <v>#N/A</v>
      </c>
      <c r="H1087" s="6" t="e">
        <f>VLOOKUP(F1087,'Customer Info'!A1079:I1578,3,0)</f>
        <v>#N/A</v>
      </c>
      <c r="I1087" s="6" t="e">
        <f>VLOOKUP(F1087,'Customer Info'!A1079:I1578,5,0)</f>
        <v>#N/A</v>
      </c>
      <c r="J1087" s="2">
        <v>8889</v>
      </c>
      <c r="K1087" s="2">
        <v>8469</v>
      </c>
      <c r="L1087" s="2">
        <v>2</v>
      </c>
      <c r="M1087" s="7">
        <f t="shared" si="64"/>
        <v>16938</v>
      </c>
      <c r="N1087" s="7">
        <f t="shared" si="65"/>
        <v>17778</v>
      </c>
      <c r="O1087" s="2">
        <v>91</v>
      </c>
      <c r="P1087" s="8">
        <f t="shared" si="66"/>
        <v>17869</v>
      </c>
      <c r="Q1087" s="8">
        <f t="shared" si="67"/>
        <v>17687</v>
      </c>
      <c r="R1087" s="2" t="s">
        <v>28</v>
      </c>
      <c r="S1087" s="9">
        <f>VLOOKUP(P1087,$T$2:U1084,2,1)</f>
        <v>0.05</v>
      </c>
    </row>
    <row r="1088" spans="1:19" x14ac:dyDescent="0.25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e">
        <f>VLOOKUP(F1088,'Customer Info'!A1080:I1579,2,0)</f>
        <v>#N/A</v>
      </c>
      <c r="H1088" s="6" t="e">
        <f>VLOOKUP(F1088,'Customer Info'!A1080:I1579,3,0)</f>
        <v>#N/A</v>
      </c>
      <c r="I1088" s="6" t="e">
        <f>VLOOKUP(F1088,'Customer Info'!A1080:I1579,5,0)</f>
        <v>#N/A</v>
      </c>
      <c r="J1088" s="2">
        <v>63</v>
      </c>
      <c r="K1088" s="2">
        <v>58</v>
      </c>
      <c r="L1088" s="2">
        <v>1</v>
      </c>
      <c r="M1088" s="7">
        <f t="shared" si="64"/>
        <v>58</v>
      </c>
      <c r="N1088" s="7">
        <f t="shared" si="65"/>
        <v>63</v>
      </c>
      <c r="O1088" s="2">
        <v>10</v>
      </c>
      <c r="P1088" s="8">
        <f t="shared" si="66"/>
        <v>73</v>
      </c>
      <c r="Q1088" s="8">
        <f t="shared" si="67"/>
        <v>53</v>
      </c>
      <c r="R1088" s="2" t="s">
        <v>28</v>
      </c>
      <c r="S1088" s="9">
        <f>VLOOKUP(P1088,$T$2:U1085,2,1)</f>
        <v>0.02</v>
      </c>
    </row>
    <row r="1089" spans="1:19" x14ac:dyDescent="0.25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e">
        <f>VLOOKUP(F1089,'Customer Info'!A1081:I1580,2,0)</f>
        <v>#N/A</v>
      </c>
      <c r="H1089" s="6" t="e">
        <f>VLOOKUP(F1089,'Customer Info'!A1081:I1580,3,0)</f>
        <v>#N/A</v>
      </c>
      <c r="I1089" s="6" t="e">
        <f>VLOOKUP(F1089,'Customer Info'!A1081:I1580,5,0)</f>
        <v>#N/A</v>
      </c>
      <c r="J1089" s="2">
        <v>474</v>
      </c>
      <c r="K1089" s="2">
        <v>443</v>
      </c>
      <c r="L1089" s="2">
        <v>1</v>
      </c>
      <c r="M1089" s="7">
        <f t="shared" si="64"/>
        <v>443</v>
      </c>
      <c r="N1089" s="7">
        <f t="shared" si="65"/>
        <v>474</v>
      </c>
      <c r="O1089" s="2">
        <v>33</v>
      </c>
      <c r="P1089" s="8">
        <f t="shared" si="66"/>
        <v>507</v>
      </c>
      <c r="Q1089" s="8">
        <f t="shared" si="67"/>
        <v>441</v>
      </c>
      <c r="R1089" s="2" t="s">
        <v>28</v>
      </c>
      <c r="S1089" s="9">
        <f>VLOOKUP(P1089,$T$2:U1086,2,1)</f>
        <v>0.02</v>
      </c>
    </row>
    <row r="1090" spans="1:19" x14ac:dyDescent="0.25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e">
        <f>VLOOKUP(F1090,'Customer Info'!A1082:I1581,2,0)</f>
        <v>#N/A</v>
      </c>
      <c r="H1090" s="6" t="e">
        <f>VLOOKUP(F1090,'Customer Info'!A1082:I1581,3,0)</f>
        <v>#N/A</v>
      </c>
      <c r="I1090" s="6" t="e">
        <f>VLOOKUP(F1090,'Customer Info'!A1082:I1581,5,0)</f>
        <v>#N/A</v>
      </c>
      <c r="J1090" s="2">
        <v>1700</v>
      </c>
      <c r="K1090" s="2">
        <v>1620</v>
      </c>
      <c r="L1090" s="2">
        <v>1</v>
      </c>
      <c r="M1090" s="7">
        <f t="shared" si="64"/>
        <v>1620</v>
      </c>
      <c r="N1090" s="7">
        <f t="shared" si="65"/>
        <v>1700</v>
      </c>
      <c r="O1090" s="2">
        <v>53</v>
      </c>
      <c r="P1090" s="8">
        <f t="shared" si="66"/>
        <v>1753</v>
      </c>
      <c r="Q1090" s="8">
        <f t="shared" si="67"/>
        <v>1647</v>
      </c>
      <c r="R1090" s="2" t="s">
        <v>28</v>
      </c>
      <c r="S1090" s="9">
        <f>VLOOKUP(P1090,$T$2:U1087,2,1)</f>
        <v>0.02</v>
      </c>
    </row>
    <row r="1091" spans="1:19" x14ac:dyDescent="0.25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e">
        <f>VLOOKUP(F1091,'Customer Info'!A1083:I1582,2,0)</f>
        <v>#N/A</v>
      </c>
      <c r="H1091" s="6" t="e">
        <f>VLOOKUP(F1091,'Customer Info'!A1083:I1582,3,0)</f>
        <v>#N/A</v>
      </c>
      <c r="I1091" s="6" t="e">
        <f>VLOOKUP(F1091,'Customer Info'!A1083:I1582,5,0)</f>
        <v>#N/A</v>
      </c>
      <c r="J1091" s="2">
        <v>8281</v>
      </c>
      <c r="K1091" s="2">
        <v>7673</v>
      </c>
      <c r="L1091" s="2">
        <v>5</v>
      </c>
      <c r="M1091" s="7">
        <f t="shared" si="64"/>
        <v>38365</v>
      </c>
      <c r="N1091" s="7">
        <f t="shared" si="65"/>
        <v>41405</v>
      </c>
      <c r="O1091" s="2">
        <v>48</v>
      </c>
      <c r="P1091" s="8">
        <f t="shared" si="66"/>
        <v>41453</v>
      </c>
      <c r="Q1091" s="8">
        <f t="shared" si="67"/>
        <v>41357</v>
      </c>
      <c r="R1091" s="2" t="s">
        <v>26</v>
      </c>
      <c r="S1091" s="9">
        <f>VLOOKUP(P1091,$T$2:U1088,2,1)</f>
        <v>7.0000000000000007E-2</v>
      </c>
    </row>
    <row r="1092" spans="1:19" x14ac:dyDescent="0.25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e">
        <f>VLOOKUP(F1092,'Customer Info'!A1084:I1583,2,0)</f>
        <v>#N/A</v>
      </c>
      <c r="H1092" s="6" t="e">
        <f>VLOOKUP(F1092,'Customer Info'!A1084:I1583,3,0)</f>
        <v>#N/A</v>
      </c>
      <c r="I1092" s="6" t="e">
        <f>VLOOKUP(F1092,'Customer Info'!A1084:I1583,5,0)</f>
        <v>#N/A</v>
      </c>
      <c r="J1092" s="2">
        <v>63</v>
      </c>
      <c r="K1092" s="2">
        <v>58</v>
      </c>
      <c r="L1092" s="2">
        <v>14</v>
      </c>
      <c r="M1092" s="7">
        <f t="shared" si="64"/>
        <v>812</v>
      </c>
      <c r="N1092" s="7">
        <f t="shared" si="65"/>
        <v>882</v>
      </c>
      <c r="O1092" s="2">
        <v>10</v>
      </c>
      <c r="P1092" s="8">
        <f t="shared" si="66"/>
        <v>892</v>
      </c>
      <c r="Q1092" s="8">
        <f t="shared" si="67"/>
        <v>872</v>
      </c>
      <c r="R1092" s="2" t="s">
        <v>28</v>
      </c>
      <c r="S1092" s="9">
        <f>VLOOKUP(P1092,$T$2:U1089,2,1)</f>
        <v>0.02</v>
      </c>
    </row>
    <row r="1093" spans="1:19" x14ac:dyDescent="0.25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e">
        <f>VLOOKUP(F1093,'Customer Info'!A1085:I1584,2,0)</f>
        <v>#N/A</v>
      </c>
      <c r="H1093" s="6" t="e">
        <f>VLOOKUP(F1093,'Customer Info'!A1085:I1584,3,0)</f>
        <v>#N/A</v>
      </c>
      <c r="I1093" s="6" t="e">
        <f>VLOOKUP(F1093,'Customer Info'!A1085:I1584,5,0)</f>
        <v>#N/A</v>
      </c>
      <c r="J1093" s="2">
        <v>6060</v>
      </c>
      <c r="K1093" s="2">
        <v>6002</v>
      </c>
      <c r="L1093" s="2">
        <v>4</v>
      </c>
      <c r="M1093" s="7">
        <f t="shared" si="64"/>
        <v>24008</v>
      </c>
      <c r="N1093" s="7">
        <f t="shared" si="65"/>
        <v>24240</v>
      </c>
      <c r="O1093" s="2">
        <v>67</v>
      </c>
      <c r="P1093" s="8">
        <f t="shared" si="66"/>
        <v>24307</v>
      </c>
      <c r="Q1093" s="8">
        <f t="shared" si="67"/>
        <v>24173</v>
      </c>
      <c r="R1093" s="2" t="s">
        <v>28</v>
      </c>
      <c r="S1093" s="9">
        <f>VLOOKUP(P1093,$T$2:U1090,2,1)</f>
        <v>0.05</v>
      </c>
    </row>
    <row r="1094" spans="1:19" x14ac:dyDescent="0.25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e">
        <f>VLOOKUP(F1094,'Customer Info'!A1086:I1585,2,0)</f>
        <v>#N/A</v>
      </c>
      <c r="H1094" s="6" t="e">
        <f>VLOOKUP(F1094,'Customer Info'!A1086:I1585,3,0)</f>
        <v>#N/A</v>
      </c>
      <c r="I1094" s="6" t="e">
        <f>VLOOKUP(F1094,'Customer Info'!A1086:I1585,5,0)</f>
        <v>#N/A</v>
      </c>
      <c r="J1094" s="2">
        <v>29378</v>
      </c>
      <c r="K1094" s="2">
        <v>26912</v>
      </c>
      <c r="L1094" s="2">
        <v>2</v>
      </c>
      <c r="M1094" s="7">
        <f t="shared" si="64"/>
        <v>53824</v>
      </c>
      <c r="N1094" s="7">
        <f t="shared" si="65"/>
        <v>58756</v>
      </c>
      <c r="O1094" s="2">
        <v>74</v>
      </c>
      <c r="P1094" s="8">
        <f t="shared" si="66"/>
        <v>58830</v>
      </c>
      <c r="Q1094" s="8">
        <f t="shared" si="67"/>
        <v>58682</v>
      </c>
      <c r="R1094" s="2" t="s">
        <v>50</v>
      </c>
      <c r="S1094" s="9">
        <f>VLOOKUP(P1094,$T$2:U1091,2,1)</f>
        <v>0.09</v>
      </c>
    </row>
    <row r="1095" spans="1:19" x14ac:dyDescent="0.25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e">
        <f>VLOOKUP(F1095,'Customer Info'!A1087:I1586,2,0)</f>
        <v>#N/A</v>
      </c>
      <c r="H1095" s="6" t="e">
        <f>VLOOKUP(F1095,'Customer Info'!A1087:I1586,3,0)</f>
        <v>#N/A</v>
      </c>
      <c r="I1095" s="6" t="e">
        <f>VLOOKUP(F1095,'Customer Info'!A1087:I1586,5,0)</f>
        <v>#N/A</v>
      </c>
      <c r="J1095" s="2">
        <v>1210</v>
      </c>
      <c r="K1095" s="2">
        <v>1164</v>
      </c>
      <c r="L1095" s="2">
        <v>1</v>
      </c>
      <c r="M1095" s="7">
        <f t="shared" si="64"/>
        <v>1164</v>
      </c>
      <c r="N1095" s="7">
        <f t="shared" si="65"/>
        <v>1210</v>
      </c>
      <c r="O1095" s="2">
        <v>88</v>
      </c>
      <c r="P1095" s="8">
        <f t="shared" si="66"/>
        <v>1298</v>
      </c>
      <c r="Q1095" s="8">
        <f t="shared" si="67"/>
        <v>1122</v>
      </c>
      <c r="R1095" s="2" t="s">
        <v>50</v>
      </c>
      <c r="S1095" s="9">
        <f>VLOOKUP(P1095,$T$2:U1092,2,1)</f>
        <v>0.02</v>
      </c>
    </row>
    <row r="1096" spans="1:19" x14ac:dyDescent="0.25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e">
        <f>VLOOKUP(F1096,'Customer Info'!A1088:I1587,2,0)</f>
        <v>#N/A</v>
      </c>
      <c r="H1096" s="6" t="e">
        <f>VLOOKUP(F1096,'Customer Info'!A1088:I1587,3,0)</f>
        <v>#N/A</v>
      </c>
      <c r="I1096" s="6" t="e">
        <f>VLOOKUP(F1096,'Customer Info'!A1088:I1587,5,0)</f>
        <v>#N/A</v>
      </c>
      <c r="J1096" s="2">
        <v>773</v>
      </c>
      <c r="K1096" s="2">
        <v>708</v>
      </c>
      <c r="L1096" s="2">
        <v>4</v>
      </c>
      <c r="M1096" s="7">
        <f t="shared" si="64"/>
        <v>2832</v>
      </c>
      <c r="N1096" s="7">
        <f t="shared" si="65"/>
        <v>3092</v>
      </c>
      <c r="O1096" s="2">
        <v>98</v>
      </c>
      <c r="P1096" s="8">
        <f t="shared" si="66"/>
        <v>3190</v>
      </c>
      <c r="Q1096" s="8">
        <f t="shared" si="67"/>
        <v>2994</v>
      </c>
      <c r="R1096" s="2" t="s">
        <v>50</v>
      </c>
      <c r="S1096" s="9">
        <f>VLOOKUP(P1096,$T$2:U1093,2,1)</f>
        <v>0.02</v>
      </c>
    </row>
    <row r="1097" spans="1:19" x14ac:dyDescent="0.25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e">
        <f>VLOOKUP(F1097,'Customer Info'!A1089:I1588,2,0)</f>
        <v>#N/A</v>
      </c>
      <c r="H1097" s="6" t="e">
        <f>VLOOKUP(F1097,'Customer Info'!A1089:I1588,3,0)</f>
        <v>#N/A</v>
      </c>
      <c r="I1097" s="6" t="e">
        <f>VLOOKUP(F1097,'Customer Info'!A1089:I1588,5,0)</f>
        <v>#N/A</v>
      </c>
      <c r="J1097" s="2">
        <v>7001</v>
      </c>
      <c r="K1097" s="2">
        <v>6476</v>
      </c>
      <c r="L1097" s="2">
        <v>1</v>
      </c>
      <c r="M1097" s="7">
        <f t="shared" si="64"/>
        <v>6476</v>
      </c>
      <c r="N1097" s="7">
        <f t="shared" si="65"/>
        <v>7001</v>
      </c>
      <c r="O1097" s="2">
        <v>55</v>
      </c>
      <c r="P1097" s="8">
        <f t="shared" si="66"/>
        <v>7056</v>
      </c>
      <c r="Q1097" s="8">
        <f t="shared" si="67"/>
        <v>6946</v>
      </c>
      <c r="R1097" s="2" t="s">
        <v>28</v>
      </c>
      <c r="S1097" s="9">
        <f>VLOOKUP(P1097,$T$2:U1094,2,1)</f>
        <v>0.05</v>
      </c>
    </row>
    <row r="1098" spans="1:19" x14ac:dyDescent="0.25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e">
        <f>VLOOKUP(F1098,'Customer Info'!A1090:I1589,2,0)</f>
        <v>#N/A</v>
      </c>
      <c r="H1098" s="6" t="e">
        <f>VLOOKUP(F1098,'Customer Info'!A1090:I1589,3,0)</f>
        <v>#N/A</v>
      </c>
      <c r="I1098" s="6" t="e">
        <f>VLOOKUP(F1098,'Customer Info'!A1090:I1589,5,0)</f>
        <v>#N/A</v>
      </c>
      <c r="J1098" s="2">
        <v>127</v>
      </c>
      <c r="K1098" s="2">
        <v>116</v>
      </c>
      <c r="L1098" s="2">
        <v>3</v>
      </c>
      <c r="M1098" s="7">
        <f t="shared" si="64"/>
        <v>348</v>
      </c>
      <c r="N1098" s="7">
        <f t="shared" si="65"/>
        <v>381</v>
      </c>
      <c r="O1098" s="2">
        <v>30</v>
      </c>
      <c r="P1098" s="8">
        <f t="shared" si="66"/>
        <v>411</v>
      </c>
      <c r="Q1098" s="8">
        <f t="shared" si="67"/>
        <v>351</v>
      </c>
      <c r="R1098" s="2" t="s">
        <v>28</v>
      </c>
      <c r="S1098" s="9">
        <f>VLOOKUP(P1098,$T$2:U1095,2,1)</f>
        <v>0.02</v>
      </c>
    </row>
    <row r="1099" spans="1:19" x14ac:dyDescent="0.25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e">
        <f>VLOOKUP(F1099,'Customer Info'!A1091:I1590,2,0)</f>
        <v>#N/A</v>
      </c>
      <c r="H1099" s="6" t="e">
        <f>VLOOKUP(F1099,'Customer Info'!A1091:I1590,3,0)</f>
        <v>#N/A</v>
      </c>
      <c r="I1099" s="6" t="e">
        <f>VLOOKUP(F1099,'Customer Info'!A1091:I1590,5,0)</f>
        <v>#N/A</v>
      </c>
      <c r="J1099" s="2">
        <v>36057</v>
      </c>
      <c r="K1099" s="2">
        <v>34028</v>
      </c>
      <c r="L1099" s="2">
        <v>1</v>
      </c>
      <c r="M1099" s="7">
        <f t="shared" ref="M1099:M1162" si="68">K1099*L1099</f>
        <v>34028</v>
      </c>
      <c r="N1099" s="7">
        <f t="shared" ref="N1099:N1162" si="69">J1099*L1099</f>
        <v>36057</v>
      </c>
      <c r="O1099" s="2">
        <v>96</v>
      </c>
      <c r="P1099" s="8">
        <f t="shared" ref="P1099:P1162" si="70">SUM(N1099,O1099)</f>
        <v>36153</v>
      </c>
      <c r="Q1099" s="8">
        <f t="shared" ref="Q1099:Q1162" si="71">N1099-O1099</f>
        <v>35961</v>
      </c>
      <c r="R1099" s="2" t="s">
        <v>28</v>
      </c>
      <c r="S1099" s="9">
        <f>VLOOKUP(P1099,$T$2:U1096,2,1)</f>
        <v>7.0000000000000007E-2</v>
      </c>
    </row>
    <row r="1100" spans="1:19" x14ac:dyDescent="0.25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e">
        <f>VLOOKUP(F1100,'Customer Info'!A1092:I1591,2,0)</f>
        <v>#N/A</v>
      </c>
      <c r="H1100" s="6" t="e">
        <f>VLOOKUP(F1100,'Customer Info'!A1092:I1591,3,0)</f>
        <v>#N/A</v>
      </c>
      <c r="I1100" s="6" t="e">
        <f>VLOOKUP(F1100,'Customer Info'!A1092:I1591,5,0)</f>
        <v>#N/A</v>
      </c>
      <c r="J1100" s="2">
        <v>674</v>
      </c>
      <c r="K1100" s="2">
        <v>629</v>
      </c>
      <c r="L1100" s="2">
        <v>1</v>
      </c>
      <c r="M1100" s="7">
        <f t="shared" si="68"/>
        <v>629</v>
      </c>
      <c r="N1100" s="7">
        <f t="shared" si="69"/>
        <v>674</v>
      </c>
      <c r="O1100" s="2">
        <v>69</v>
      </c>
      <c r="P1100" s="8">
        <f t="shared" si="70"/>
        <v>743</v>
      </c>
      <c r="Q1100" s="8">
        <f t="shared" si="71"/>
        <v>605</v>
      </c>
      <c r="R1100" s="2" t="s">
        <v>50</v>
      </c>
      <c r="S1100" s="9">
        <f>VLOOKUP(P1100,$T$2:U1097,2,1)</f>
        <v>0.02</v>
      </c>
    </row>
    <row r="1101" spans="1:19" x14ac:dyDescent="0.25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e">
        <f>VLOOKUP(F1101,'Customer Info'!A1093:I1592,2,0)</f>
        <v>#N/A</v>
      </c>
      <c r="H1101" s="6" t="e">
        <f>VLOOKUP(F1101,'Customer Info'!A1093:I1592,3,0)</f>
        <v>#N/A</v>
      </c>
      <c r="I1101" s="6" t="e">
        <f>VLOOKUP(F1101,'Customer Info'!A1093:I1592,5,0)</f>
        <v>#N/A</v>
      </c>
      <c r="J1101" s="2">
        <v>4487</v>
      </c>
      <c r="K1101" s="2">
        <v>4201</v>
      </c>
      <c r="L1101" s="2">
        <v>1</v>
      </c>
      <c r="M1101" s="7">
        <f t="shared" si="68"/>
        <v>4201</v>
      </c>
      <c r="N1101" s="7">
        <f t="shared" si="69"/>
        <v>4487</v>
      </c>
      <c r="O1101" s="2">
        <v>25</v>
      </c>
      <c r="P1101" s="8">
        <f t="shared" si="70"/>
        <v>4512</v>
      </c>
      <c r="Q1101" s="8">
        <f t="shared" si="71"/>
        <v>4462</v>
      </c>
      <c r="R1101" s="2" t="s">
        <v>28</v>
      </c>
      <c r="S1101" s="9">
        <f>VLOOKUP(P1101,$T$2:U1098,2,1)</f>
        <v>0.02</v>
      </c>
    </row>
    <row r="1102" spans="1:19" x14ac:dyDescent="0.25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e">
        <f>VLOOKUP(F1102,'Customer Info'!A1094:I1593,2,0)</f>
        <v>#N/A</v>
      </c>
      <c r="H1102" s="6" t="e">
        <f>VLOOKUP(F1102,'Customer Info'!A1094:I1593,3,0)</f>
        <v>#N/A</v>
      </c>
      <c r="I1102" s="6" t="e">
        <f>VLOOKUP(F1102,'Customer Info'!A1094:I1593,5,0)</f>
        <v>#N/A</v>
      </c>
      <c r="J1102" s="2">
        <v>8686</v>
      </c>
      <c r="K1102" s="2">
        <v>8035</v>
      </c>
      <c r="L1102" s="2">
        <v>4</v>
      </c>
      <c r="M1102" s="7">
        <f t="shared" si="68"/>
        <v>32140</v>
      </c>
      <c r="N1102" s="7">
        <f t="shared" si="69"/>
        <v>34744</v>
      </c>
      <c r="O1102" s="2">
        <v>62</v>
      </c>
      <c r="P1102" s="8">
        <f t="shared" si="70"/>
        <v>34806</v>
      </c>
      <c r="Q1102" s="8">
        <f t="shared" si="71"/>
        <v>34682</v>
      </c>
      <c r="R1102" s="2" t="s">
        <v>28</v>
      </c>
      <c r="S1102" s="9">
        <f>VLOOKUP(P1102,$T$2:U1099,2,1)</f>
        <v>7.0000000000000007E-2</v>
      </c>
    </row>
    <row r="1103" spans="1:19" x14ac:dyDescent="0.25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e">
        <f>VLOOKUP(F1103,'Customer Info'!A1095:I1594,2,0)</f>
        <v>#N/A</v>
      </c>
      <c r="H1103" s="6" t="e">
        <f>VLOOKUP(F1103,'Customer Info'!A1095:I1594,3,0)</f>
        <v>#N/A</v>
      </c>
      <c r="I1103" s="6" t="e">
        <f>VLOOKUP(F1103,'Customer Info'!A1095:I1594,5,0)</f>
        <v>#N/A</v>
      </c>
      <c r="J1103" s="2">
        <v>2981</v>
      </c>
      <c r="K1103" s="2">
        <v>2870</v>
      </c>
      <c r="L1103" s="2">
        <v>4</v>
      </c>
      <c r="M1103" s="7">
        <f t="shared" si="68"/>
        <v>11480</v>
      </c>
      <c r="N1103" s="7">
        <f t="shared" si="69"/>
        <v>11924</v>
      </c>
      <c r="O1103" s="2">
        <v>39</v>
      </c>
      <c r="P1103" s="8">
        <f t="shared" si="70"/>
        <v>11963</v>
      </c>
      <c r="Q1103" s="8">
        <f t="shared" si="71"/>
        <v>11885</v>
      </c>
      <c r="R1103" s="2" t="s">
        <v>50</v>
      </c>
      <c r="S1103" s="9">
        <f>VLOOKUP(P1103,$T$2:U1100,2,1)</f>
        <v>0.05</v>
      </c>
    </row>
    <row r="1104" spans="1:19" x14ac:dyDescent="0.25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e">
        <f>VLOOKUP(F1104,'Customer Info'!A1096:I1595,2,0)</f>
        <v>#N/A</v>
      </c>
      <c r="H1104" s="6" t="e">
        <f>VLOOKUP(F1104,'Customer Info'!A1096:I1595,3,0)</f>
        <v>#N/A</v>
      </c>
      <c r="I1104" s="6" t="e">
        <f>VLOOKUP(F1104,'Customer Info'!A1096:I1595,5,0)</f>
        <v>#N/A</v>
      </c>
      <c r="J1104" s="2">
        <v>1556</v>
      </c>
      <c r="K1104" s="2">
        <v>1414</v>
      </c>
      <c r="L1104" s="2">
        <v>1</v>
      </c>
      <c r="M1104" s="7">
        <f t="shared" si="68"/>
        <v>1414</v>
      </c>
      <c r="N1104" s="7">
        <f t="shared" si="69"/>
        <v>1556</v>
      </c>
      <c r="O1104" s="2">
        <v>35</v>
      </c>
      <c r="P1104" s="8">
        <f t="shared" si="70"/>
        <v>1591</v>
      </c>
      <c r="Q1104" s="8">
        <f t="shared" si="71"/>
        <v>1521</v>
      </c>
      <c r="R1104" s="2" t="s">
        <v>28</v>
      </c>
      <c r="S1104" s="9">
        <f>VLOOKUP(P1104,$T$2:U1101,2,1)</f>
        <v>0.02</v>
      </c>
    </row>
    <row r="1105" spans="1:19" x14ac:dyDescent="0.25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e">
        <f>VLOOKUP(F1105,'Customer Info'!A1097:I1596,2,0)</f>
        <v>#N/A</v>
      </c>
      <c r="H1105" s="6" t="e">
        <f>VLOOKUP(F1105,'Customer Info'!A1097:I1596,3,0)</f>
        <v>#N/A</v>
      </c>
      <c r="I1105" s="6" t="e">
        <f>VLOOKUP(F1105,'Customer Info'!A1097:I1596,5,0)</f>
        <v>#N/A</v>
      </c>
      <c r="J1105" s="2">
        <v>1569</v>
      </c>
      <c r="K1105" s="2">
        <v>1466</v>
      </c>
      <c r="L1105" s="2">
        <v>2</v>
      </c>
      <c r="M1105" s="7">
        <f t="shared" si="68"/>
        <v>2932</v>
      </c>
      <c r="N1105" s="7">
        <f t="shared" si="69"/>
        <v>3138</v>
      </c>
      <c r="O1105" s="2">
        <v>36</v>
      </c>
      <c r="P1105" s="8">
        <f t="shared" si="70"/>
        <v>3174</v>
      </c>
      <c r="Q1105" s="8">
        <f t="shared" si="71"/>
        <v>3102</v>
      </c>
      <c r="R1105" s="2" t="s">
        <v>50</v>
      </c>
      <c r="S1105" s="9">
        <f>VLOOKUP(P1105,$T$2:U1102,2,1)</f>
        <v>0.02</v>
      </c>
    </row>
    <row r="1106" spans="1:19" x14ac:dyDescent="0.25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e">
        <f>VLOOKUP(F1106,'Customer Info'!A1098:I1597,2,0)</f>
        <v>#N/A</v>
      </c>
      <c r="H1106" s="6" t="e">
        <f>VLOOKUP(F1106,'Customer Info'!A1098:I1597,3,0)</f>
        <v>#N/A</v>
      </c>
      <c r="I1106" s="6" t="e">
        <f>VLOOKUP(F1106,'Customer Info'!A1098:I1597,5,0)</f>
        <v>#N/A</v>
      </c>
      <c r="J1106" s="2">
        <v>1283</v>
      </c>
      <c r="K1106" s="2">
        <v>1187</v>
      </c>
      <c r="L1106" s="2">
        <v>2</v>
      </c>
      <c r="M1106" s="7">
        <f t="shared" si="68"/>
        <v>2374</v>
      </c>
      <c r="N1106" s="7">
        <f t="shared" si="69"/>
        <v>2566</v>
      </c>
      <c r="O1106" s="2">
        <v>20</v>
      </c>
      <c r="P1106" s="8">
        <f t="shared" si="70"/>
        <v>2586</v>
      </c>
      <c r="Q1106" s="8">
        <f t="shared" si="71"/>
        <v>2546</v>
      </c>
      <c r="R1106" s="2" t="s">
        <v>50</v>
      </c>
      <c r="S1106" s="9">
        <f>VLOOKUP(P1106,$T$2:U1103,2,1)</f>
        <v>0.02</v>
      </c>
    </row>
    <row r="1107" spans="1:19" x14ac:dyDescent="0.25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e">
        <f>VLOOKUP(F1107,'Customer Info'!A1099:I1598,2,0)</f>
        <v>#N/A</v>
      </c>
      <c r="H1107" s="6" t="e">
        <f>VLOOKUP(F1107,'Customer Info'!A1099:I1598,3,0)</f>
        <v>#N/A</v>
      </c>
      <c r="I1107" s="6" t="e">
        <f>VLOOKUP(F1107,'Customer Info'!A1099:I1598,5,0)</f>
        <v>#N/A</v>
      </c>
      <c r="J1107" s="2">
        <v>1587</v>
      </c>
      <c r="K1107" s="2">
        <v>1428</v>
      </c>
      <c r="L1107" s="2">
        <v>2</v>
      </c>
      <c r="M1107" s="7">
        <f t="shared" si="68"/>
        <v>2856</v>
      </c>
      <c r="N1107" s="7">
        <f t="shared" si="69"/>
        <v>3174</v>
      </c>
      <c r="O1107" s="2">
        <v>50</v>
      </c>
      <c r="P1107" s="8">
        <f t="shared" si="70"/>
        <v>3224</v>
      </c>
      <c r="Q1107" s="8">
        <f t="shared" si="71"/>
        <v>3124</v>
      </c>
      <c r="R1107" s="2" t="s">
        <v>28</v>
      </c>
      <c r="S1107" s="9">
        <f>VLOOKUP(P1107,$T$2:U1104,2,1)</f>
        <v>0.02</v>
      </c>
    </row>
    <row r="1108" spans="1:19" x14ac:dyDescent="0.25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e">
        <f>VLOOKUP(F1108,'Customer Info'!A1100:I1599,2,0)</f>
        <v>#N/A</v>
      </c>
      <c r="H1108" s="6" t="e">
        <f>VLOOKUP(F1108,'Customer Info'!A1100:I1599,3,0)</f>
        <v>#N/A</v>
      </c>
      <c r="I1108" s="6" t="e">
        <f>VLOOKUP(F1108,'Customer Info'!A1100:I1599,5,0)</f>
        <v>#N/A</v>
      </c>
      <c r="J1108" s="2">
        <v>1668</v>
      </c>
      <c r="K1108" s="2">
        <v>1636</v>
      </c>
      <c r="L1108" s="2">
        <v>5</v>
      </c>
      <c r="M1108" s="7">
        <f t="shared" si="68"/>
        <v>8180</v>
      </c>
      <c r="N1108" s="7">
        <f t="shared" si="69"/>
        <v>8340</v>
      </c>
      <c r="O1108" s="2">
        <v>34</v>
      </c>
      <c r="P1108" s="8">
        <f t="shared" si="70"/>
        <v>8374</v>
      </c>
      <c r="Q1108" s="8">
        <f t="shared" si="71"/>
        <v>8306</v>
      </c>
      <c r="R1108" s="2" t="s">
        <v>50</v>
      </c>
      <c r="S1108" s="9">
        <f>VLOOKUP(P1108,$T$2:U1105,2,1)</f>
        <v>0.05</v>
      </c>
    </row>
    <row r="1109" spans="1:19" x14ac:dyDescent="0.25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e">
        <f>VLOOKUP(F1109,'Customer Info'!A1101:I1600,2,0)</f>
        <v>#N/A</v>
      </c>
      <c r="H1109" s="6" t="e">
        <f>VLOOKUP(F1109,'Customer Info'!A1101:I1600,3,0)</f>
        <v>#N/A</v>
      </c>
      <c r="I1109" s="6" t="e">
        <f>VLOOKUP(F1109,'Customer Info'!A1101:I1600,5,0)</f>
        <v>#N/A</v>
      </c>
      <c r="J1109" s="2">
        <v>8026</v>
      </c>
      <c r="K1109" s="2">
        <v>7572</v>
      </c>
      <c r="L1109" s="2">
        <v>2</v>
      </c>
      <c r="M1109" s="7">
        <f t="shared" si="68"/>
        <v>15144</v>
      </c>
      <c r="N1109" s="7">
        <f t="shared" si="69"/>
        <v>16052</v>
      </c>
      <c r="O1109" s="2">
        <v>25</v>
      </c>
      <c r="P1109" s="8">
        <f t="shared" si="70"/>
        <v>16077</v>
      </c>
      <c r="Q1109" s="8">
        <f t="shared" si="71"/>
        <v>16027</v>
      </c>
      <c r="R1109" s="2" t="s">
        <v>28</v>
      </c>
      <c r="S1109" s="9">
        <f>VLOOKUP(P1109,$T$2:U1106,2,1)</f>
        <v>0.05</v>
      </c>
    </row>
    <row r="1110" spans="1:19" x14ac:dyDescent="0.25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e">
        <f>VLOOKUP(F1110,'Customer Info'!A1102:I1601,2,0)</f>
        <v>#N/A</v>
      </c>
      <c r="H1110" s="6" t="e">
        <f>VLOOKUP(F1110,'Customer Info'!A1102:I1601,3,0)</f>
        <v>#N/A</v>
      </c>
      <c r="I1110" s="6" t="e">
        <f>VLOOKUP(F1110,'Customer Info'!A1102:I1601,5,0)</f>
        <v>#N/A</v>
      </c>
      <c r="J1110" s="2">
        <v>165</v>
      </c>
      <c r="K1110" s="2">
        <v>149</v>
      </c>
      <c r="L1110" s="2">
        <v>4</v>
      </c>
      <c r="M1110" s="7">
        <f t="shared" si="68"/>
        <v>596</v>
      </c>
      <c r="N1110" s="7">
        <f t="shared" si="69"/>
        <v>660</v>
      </c>
      <c r="O1110" s="2">
        <v>30</v>
      </c>
      <c r="P1110" s="8">
        <f t="shared" si="70"/>
        <v>690</v>
      </c>
      <c r="Q1110" s="8">
        <f t="shared" si="71"/>
        <v>630</v>
      </c>
      <c r="R1110" s="2" t="s">
        <v>28</v>
      </c>
      <c r="S1110" s="9">
        <f>VLOOKUP(P1110,$T$2:U1107,2,1)</f>
        <v>0.02</v>
      </c>
    </row>
    <row r="1111" spans="1:19" x14ac:dyDescent="0.25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e">
        <f>VLOOKUP(F1111,'Customer Info'!A1103:I1602,2,0)</f>
        <v>#N/A</v>
      </c>
      <c r="H1111" s="6" t="e">
        <f>VLOOKUP(F1111,'Customer Info'!A1103:I1602,3,0)</f>
        <v>#N/A</v>
      </c>
      <c r="I1111" s="6" t="e">
        <f>VLOOKUP(F1111,'Customer Info'!A1103:I1602,5,0)</f>
        <v>#N/A</v>
      </c>
      <c r="J1111" s="2">
        <v>2250</v>
      </c>
      <c r="K1111" s="2">
        <v>2207</v>
      </c>
      <c r="L1111" s="2">
        <v>1</v>
      </c>
      <c r="M1111" s="7">
        <f t="shared" si="68"/>
        <v>2207</v>
      </c>
      <c r="N1111" s="7">
        <f t="shared" si="69"/>
        <v>2250</v>
      </c>
      <c r="O1111" s="2">
        <v>22</v>
      </c>
      <c r="P1111" s="8">
        <f t="shared" si="70"/>
        <v>2272</v>
      </c>
      <c r="Q1111" s="8">
        <f t="shared" si="71"/>
        <v>2228</v>
      </c>
      <c r="R1111" s="2" t="s">
        <v>28</v>
      </c>
      <c r="S1111" s="9">
        <f>VLOOKUP(P1111,$T$2:U1108,2,1)</f>
        <v>0.02</v>
      </c>
    </row>
    <row r="1112" spans="1:19" x14ac:dyDescent="0.25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e">
        <f>VLOOKUP(F1112,'Customer Info'!A1104:I1603,2,0)</f>
        <v>#N/A</v>
      </c>
      <c r="H1112" s="6" t="e">
        <f>VLOOKUP(F1112,'Customer Info'!A1104:I1603,3,0)</f>
        <v>#N/A</v>
      </c>
      <c r="I1112" s="6" t="e">
        <f>VLOOKUP(F1112,'Customer Info'!A1104:I1603,5,0)</f>
        <v>#N/A</v>
      </c>
      <c r="J1112" s="2">
        <v>8379</v>
      </c>
      <c r="K1112" s="2">
        <v>8061</v>
      </c>
      <c r="L1112" s="2">
        <v>1</v>
      </c>
      <c r="M1112" s="7">
        <f t="shared" si="68"/>
        <v>8061</v>
      </c>
      <c r="N1112" s="7">
        <f t="shared" si="69"/>
        <v>8379</v>
      </c>
      <c r="O1112" s="2">
        <v>81</v>
      </c>
      <c r="P1112" s="8">
        <f t="shared" si="70"/>
        <v>8460</v>
      </c>
      <c r="Q1112" s="8">
        <f t="shared" si="71"/>
        <v>8298</v>
      </c>
      <c r="R1112" s="2" t="s">
        <v>28</v>
      </c>
      <c r="S1112" s="9">
        <f>VLOOKUP(P1112,$T$2:U1109,2,1)</f>
        <v>0.05</v>
      </c>
    </row>
    <row r="1113" spans="1:19" x14ac:dyDescent="0.25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e">
        <f>VLOOKUP(F1113,'Customer Info'!A1105:I1604,2,0)</f>
        <v>#N/A</v>
      </c>
      <c r="H1113" s="6" t="e">
        <f>VLOOKUP(F1113,'Customer Info'!A1105:I1604,3,0)</f>
        <v>#N/A</v>
      </c>
      <c r="I1113" s="6" t="e">
        <f>VLOOKUP(F1113,'Customer Info'!A1105:I1604,5,0)</f>
        <v>#N/A</v>
      </c>
      <c r="J1113" s="2">
        <v>7623</v>
      </c>
      <c r="K1113" s="2">
        <v>7064</v>
      </c>
      <c r="L1113" s="2">
        <v>2</v>
      </c>
      <c r="M1113" s="7">
        <f t="shared" si="68"/>
        <v>14128</v>
      </c>
      <c r="N1113" s="7">
        <f t="shared" si="69"/>
        <v>15246</v>
      </c>
      <c r="O1113" s="2">
        <v>69</v>
      </c>
      <c r="P1113" s="8">
        <f t="shared" si="70"/>
        <v>15315</v>
      </c>
      <c r="Q1113" s="8">
        <f t="shared" si="71"/>
        <v>15177</v>
      </c>
      <c r="R1113" s="2" t="s">
        <v>50</v>
      </c>
      <c r="S1113" s="9">
        <f>VLOOKUP(P1113,$T$2:U1110,2,1)</f>
        <v>0.05</v>
      </c>
    </row>
    <row r="1114" spans="1:19" x14ac:dyDescent="0.25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e">
        <f>VLOOKUP(F1114,'Customer Info'!A1106:I1605,2,0)</f>
        <v>#N/A</v>
      </c>
      <c r="H1114" s="6" t="e">
        <f>VLOOKUP(F1114,'Customer Info'!A1106:I1605,3,0)</f>
        <v>#N/A</v>
      </c>
      <c r="I1114" s="6" t="e">
        <f>VLOOKUP(F1114,'Customer Info'!A1106:I1605,5,0)</f>
        <v>#N/A</v>
      </c>
      <c r="J1114" s="2">
        <v>7001</v>
      </c>
      <c r="K1114" s="2">
        <v>6476</v>
      </c>
      <c r="L1114" s="2">
        <v>5</v>
      </c>
      <c r="M1114" s="7">
        <f t="shared" si="68"/>
        <v>32380</v>
      </c>
      <c r="N1114" s="7">
        <f t="shared" si="69"/>
        <v>35005</v>
      </c>
      <c r="O1114" s="2">
        <v>28</v>
      </c>
      <c r="P1114" s="8">
        <f t="shared" si="70"/>
        <v>35033</v>
      </c>
      <c r="Q1114" s="8">
        <f t="shared" si="71"/>
        <v>34977</v>
      </c>
      <c r="R1114" s="2" t="s">
        <v>50</v>
      </c>
      <c r="S1114" s="9">
        <f>VLOOKUP(P1114,$T$2:U1111,2,1)</f>
        <v>7.0000000000000007E-2</v>
      </c>
    </row>
    <row r="1115" spans="1:19" x14ac:dyDescent="0.25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e">
        <f>VLOOKUP(F1115,'Customer Info'!A1107:I1606,2,0)</f>
        <v>#N/A</v>
      </c>
      <c r="H1115" s="6" t="e">
        <f>VLOOKUP(F1115,'Customer Info'!A1107:I1606,3,0)</f>
        <v>#N/A</v>
      </c>
      <c r="I1115" s="6" t="e">
        <f>VLOOKUP(F1115,'Customer Info'!A1107:I1606,5,0)</f>
        <v>#N/A</v>
      </c>
      <c r="J1115" s="2">
        <v>127</v>
      </c>
      <c r="K1115" s="2">
        <v>116</v>
      </c>
      <c r="L1115" s="2">
        <v>8</v>
      </c>
      <c r="M1115" s="7">
        <f t="shared" si="68"/>
        <v>928</v>
      </c>
      <c r="N1115" s="7">
        <f t="shared" si="69"/>
        <v>1016</v>
      </c>
      <c r="O1115" s="2">
        <v>30</v>
      </c>
      <c r="P1115" s="8">
        <f t="shared" si="70"/>
        <v>1046</v>
      </c>
      <c r="Q1115" s="8">
        <f t="shared" si="71"/>
        <v>986</v>
      </c>
      <c r="R1115" s="2" t="s">
        <v>28</v>
      </c>
      <c r="S1115" s="9">
        <f>VLOOKUP(P1115,$T$2:U1112,2,1)</f>
        <v>0.02</v>
      </c>
    </row>
    <row r="1116" spans="1:19" x14ac:dyDescent="0.25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e">
        <f>VLOOKUP(F1116,'Customer Info'!A1108:I1607,2,0)</f>
        <v>#N/A</v>
      </c>
      <c r="H1116" s="6" t="e">
        <f>VLOOKUP(F1116,'Customer Info'!A1108:I1607,3,0)</f>
        <v>#N/A</v>
      </c>
      <c r="I1116" s="6" t="e">
        <f>VLOOKUP(F1116,'Customer Info'!A1108:I1607,5,0)</f>
        <v>#N/A</v>
      </c>
      <c r="J1116" s="2">
        <v>214</v>
      </c>
      <c r="K1116" s="2">
        <v>200</v>
      </c>
      <c r="L1116" s="2">
        <v>6</v>
      </c>
      <c r="M1116" s="7">
        <f t="shared" si="68"/>
        <v>1200</v>
      </c>
      <c r="N1116" s="7">
        <f t="shared" si="69"/>
        <v>1284</v>
      </c>
      <c r="O1116" s="2">
        <v>41</v>
      </c>
      <c r="P1116" s="8">
        <f t="shared" si="70"/>
        <v>1325</v>
      </c>
      <c r="Q1116" s="8">
        <f t="shared" si="71"/>
        <v>1243</v>
      </c>
      <c r="R1116" s="2" t="s">
        <v>26</v>
      </c>
      <c r="S1116" s="9">
        <f>VLOOKUP(P1116,$T$2:U1113,2,1)</f>
        <v>0.02</v>
      </c>
    </row>
    <row r="1117" spans="1:19" x14ac:dyDescent="0.25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e">
        <f>VLOOKUP(F1117,'Customer Info'!A1109:I1608,2,0)</f>
        <v>#N/A</v>
      </c>
      <c r="H1117" s="6" t="e">
        <f>VLOOKUP(F1117,'Customer Info'!A1109:I1608,3,0)</f>
        <v>#N/A</v>
      </c>
      <c r="I1117" s="6" t="e">
        <f>VLOOKUP(F1117,'Customer Info'!A1109:I1608,5,0)</f>
        <v>#N/A</v>
      </c>
      <c r="J1117" s="2">
        <v>2310</v>
      </c>
      <c r="K1117" s="2">
        <v>2040</v>
      </c>
      <c r="L1117" s="2">
        <v>9</v>
      </c>
      <c r="M1117" s="7">
        <f t="shared" si="68"/>
        <v>18360</v>
      </c>
      <c r="N1117" s="7">
        <f t="shared" si="69"/>
        <v>20790</v>
      </c>
      <c r="O1117" s="2">
        <v>93</v>
      </c>
      <c r="P1117" s="8">
        <f t="shared" si="70"/>
        <v>20883</v>
      </c>
      <c r="Q1117" s="8">
        <f t="shared" si="71"/>
        <v>20697</v>
      </c>
      <c r="R1117" s="2" t="s">
        <v>28</v>
      </c>
      <c r="S1117" s="9">
        <f>VLOOKUP(P1117,$T$2:U1114,2,1)</f>
        <v>0.05</v>
      </c>
    </row>
    <row r="1118" spans="1:19" x14ac:dyDescent="0.25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e">
        <f>VLOOKUP(F1118,'Customer Info'!A1110:I1609,2,0)</f>
        <v>#N/A</v>
      </c>
      <c r="H1118" s="6" t="e">
        <f>VLOOKUP(F1118,'Customer Info'!A1110:I1609,3,0)</f>
        <v>#N/A</v>
      </c>
      <c r="I1118" s="6" t="e">
        <f>VLOOKUP(F1118,'Customer Info'!A1110:I1609,5,0)</f>
        <v>#N/A</v>
      </c>
      <c r="J1118" s="2">
        <v>3354</v>
      </c>
      <c r="K1118" s="2">
        <v>3102</v>
      </c>
      <c r="L1118" s="2">
        <v>5</v>
      </c>
      <c r="M1118" s="7">
        <f t="shared" si="68"/>
        <v>15510</v>
      </c>
      <c r="N1118" s="7">
        <f t="shared" si="69"/>
        <v>16770</v>
      </c>
      <c r="O1118" s="2">
        <v>35</v>
      </c>
      <c r="P1118" s="8">
        <f t="shared" si="70"/>
        <v>16805</v>
      </c>
      <c r="Q1118" s="8">
        <f t="shared" si="71"/>
        <v>16735</v>
      </c>
      <c r="R1118" s="2" t="s">
        <v>50</v>
      </c>
      <c r="S1118" s="9">
        <f>VLOOKUP(P1118,$T$2:U1115,2,1)</f>
        <v>0.05</v>
      </c>
    </row>
    <row r="1119" spans="1:19" x14ac:dyDescent="0.25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e">
        <f>VLOOKUP(F1119,'Customer Info'!A1111:I1610,2,0)</f>
        <v>#N/A</v>
      </c>
      <c r="H1119" s="6" t="e">
        <f>VLOOKUP(F1119,'Customer Info'!A1111:I1610,3,0)</f>
        <v>#N/A</v>
      </c>
      <c r="I1119" s="6" t="e">
        <f>VLOOKUP(F1119,'Customer Info'!A1111:I1610,5,0)</f>
        <v>#N/A</v>
      </c>
      <c r="J1119" s="2">
        <v>8022</v>
      </c>
      <c r="K1119" s="2">
        <v>7868</v>
      </c>
      <c r="L1119" s="2">
        <v>2</v>
      </c>
      <c r="M1119" s="7">
        <f t="shared" si="68"/>
        <v>15736</v>
      </c>
      <c r="N1119" s="7">
        <f t="shared" si="69"/>
        <v>16044</v>
      </c>
      <c r="O1119" s="2">
        <v>52</v>
      </c>
      <c r="P1119" s="8">
        <f t="shared" si="70"/>
        <v>16096</v>
      </c>
      <c r="Q1119" s="8">
        <f t="shared" si="71"/>
        <v>15992</v>
      </c>
      <c r="R1119" s="2" t="s">
        <v>26</v>
      </c>
      <c r="S1119" s="9">
        <f>VLOOKUP(P1119,$T$2:U1116,2,1)</f>
        <v>0.05</v>
      </c>
    </row>
    <row r="1120" spans="1:19" x14ac:dyDescent="0.25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e">
        <f>VLOOKUP(F1120,'Customer Info'!A1112:I1611,2,0)</f>
        <v>#N/A</v>
      </c>
      <c r="H1120" s="6" t="e">
        <f>VLOOKUP(F1120,'Customer Info'!A1112:I1611,3,0)</f>
        <v>#N/A</v>
      </c>
      <c r="I1120" s="6" t="e">
        <f>VLOOKUP(F1120,'Customer Info'!A1112:I1611,5,0)</f>
        <v>#N/A</v>
      </c>
      <c r="J1120" s="2">
        <v>63</v>
      </c>
      <c r="K1120" s="2">
        <v>59</v>
      </c>
      <c r="L1120" s="2">
        <v>3</v>
      </c>
      <c r="M1120" s="7">
        <f t="shared" si="68"/>
        <v>177</v>
      </c>
      <c r="N1120" s="7">
        <f t="shared" si="69"/>
        <v>189</v>
      </c>
      <c r="O1120" s="2">
        <v>10</v>
      </c>
      <c r="P1120" s="8">
        <f t="shared" si="70"/>
        <v>199</v>
      </c>
      <c r="Q1120" s="8">
        <f t="shared" si="71"/>
        <v>179</v>
      </c>
      <c r="R1120" s="2" t="s">
        <v>26</v>
      </c>
      <c r="S1120" s="9">
        <f>VLOOKUP(P1120,$T$2:U1117,2,1)</f>
        <v>0.02</v>
      </c>
    </row>
    <row r="1121" spans="1:19" x14ac:dyDescent="0.25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e">
        <f>VLOOKUP(F1121,'Customer Info'!A1113:I1612,2,0)</f>
        <v>#N/A</v>
      </c>
      <c r="H1121" s="6" t="e">
        <f>VLOOKUP(F1121,'Customer Info'!A1113:I1612,3,0)</f>
        <v>#N/A</v>
      </c>
      <c r="I1121" s="6" t="e">
        <f>VLOOKUP(F1121,'Customer Info'!A1113:I1612,5,0)</f>
        <v>#N/A</v>
      </c>
      <c r="J1121" s="2">
        <v>36057</v>
      </c>
      <c r="K1121" s="2">
        <v>34028</v>
      </c>
      <c r="L1121" s="2">
        <v>5</v>
      </c>
      <c r="M1121" s="7">
        <f t="shared" si="68"/>
        <v>170140</v>
      </c>
      <c r="N1121" s="7">
        <f t="shared" si="69"/>
        <v>180285</v>
      </c>
      <c r="O1121" s="2">
        <v>62</v>
      </c>
      <c r="P1121" s="8">
        <f t="shared" si="70"/>
        <v>180347</v>
      </c>
      <c r="Q1121" s="8">
        <f t="shared" si="71"/>
        <v>180223</v>
      </c>
      <c r="R1121" s="2" t="s">
        <v>50</v>
      </c>
      <c r="S1121" s="9">
        <f>VLOOKUP(P1121,$T$2:U1118,2,1)</f>
        <v>0.12</v>
      </c>
    </row>
    <row r="1122" spans="1:19" x14ac:dyDescent="0.25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e">
        <f>VLOOKUP(F1122,'Customer Info'!A1114:I1613,2,0)</f>
        <v>#N/A</v>
      </c>
      <c r="H1122" s="6" t="e">
        <f>VLOOKUP(F1122,'Customer Info'!A1114:I1613,3,0)</f>
        <v>#N/A</v>
      </c>
      <c r="I1122" s="6" t="e">
        <f>VLOOKUP(F1122,'Customer Info'!A1114:I1613,5,0)</f>
        <v>#N/A</v>
      </c>
      <c r="J1122" s="2">
        <v>1574</v>
      </c>
      <c r="K1122" s="2">
        <v>1375</v>
      </c>
      <c r="L1122" s="2">
        <v>2</v>
      </c>
      <c r="M1122" s="7">
        <f t="shared" si="68"/>
        <v>2750</v>
      </c>
      <c r="N1122" s="7">
        <f t="shared" si="69"/>
        <v>3148</v>
      </c>
      <c r="O1122" s="2">
        <v>78</v>
      </c>
      <c r="P1122" s="8">
        <f t="shared" si="70"/>
        <v>3226</v>
      </c>
      <c r="Q1122" s="8">
        <f t="shared" si="71"/>
        <v>3070</v>
      </c>
      <c r="R1122" s="2" t="s">
        <v>28</v>
      </c>
      <c r="S1122" s="9">
        <f>VLOOKUP(P1122,$T$2:U1119,2,1)</f>
        <v>0.02</v>
      </c>
    </row>
    <row r="1123" spans="1:19" x14ac:dyDescent="0.25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e">
        <f>VLOOKUP(F1123,'Customer Info'!A1115:I1614,2,0)</f>
        <v>#N/A</v>
      </c>
      <c r="H1123" s="6" t="e">
        <f>VLOOKUP(F1123,'Customer Info'!A1115:I1614,3,0)</f>
        <v>#N/A</v>
      </c>
      <c r="I1123" s="6" t="e">
        <f>VLOOKUP(F1123,'Customer Info'!A1115:I1614,5,0)</f>
        <v>#N/A</v>
      </c>
      <c r="J1123" s="2">
        <v>765</v>
      </c>
      <c r="K1123" s="2">
        <v>701</v>
      </c>
      <c r="L1123" s="2">
        <v>2</v>
      </c>
      <c r="M1123" s="7">
        <f t="shared" si="68"/>
        <v>1402</v>
      </c>
      <c r="N1123" s="7">
        <f t="shared" si="69"/>
        <v>1530</v>
      </c>
      <c r="O1123" s="2">
        <v>58</v>
      </c>
      <c r="P1123" s="8">
        <f t="shared" si="70"/>
        <v>1588</v>
      </c>
      <c r="Q1123" s="8">
        <f t="shared" si="71"/>
        <v>1472</v>
      </c>
      <c r="R1123" s="2" t="s">
        <v>28</v>
      </c>
      <c r="S1123" s="9">
        <f>VLOOKUP(P1123,$T$2:U1120,2,1)</f>
        <v>0.02</v>
      </c>
    </row>
    <row r="1124" spans="1:19" x14ac:dyDescent="0.25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e">
        <f>VLOOKUP(F1124,'Customer Info'!A1116:I1615,2,0)</f>
        <v>#N/A</v>
      </c>
      <c r="H1124" s="6" t="e">
        <f>VLOOKUP(F1124,'Customer Info'!A1116:I1615,3,0)</f>
        <v>#N/A</v>
      </c>
      <c r="I1124" s="6" t="e">
        <f>VLOOKUP(F1124,'Customer Info'!A1116:I1615,5,0)</f>
        <v>#N/A</v>
      </c>
      <c r="J1124" s="2">
        <v>1533</v>
      </c>
      <c r="K1124" s="2">
        <v>1406</v>
      </c>
      <c r="L1124" s="2">
        <v>2</v>
      </c>
      <c r="M1124" s="7">
        <f t="shared" si="68"/>
        <v>2812</v>
      </c>
      <c r="N1124" s="7">
        <f t="shared" si="69"/>
        <v>3066</v>
      </c>
      <c r="O1124" s="2">
        <v>28</v>
      </c>
      <c r="P1124" s="8">
        <f t="shared" si="70"/>
        <v>3094</v>
      </c>
      <c r="Q1124" s="8">
        <f t="shared" si="71"/>
        <v>3038</v>
      </c>
      <c r="R1124" s="2" t="s">
        <v>28</v>
      </c>
      <c r="S1124" s="9">
        <f>VLOOKUP(P1124,$T$2:U1121,2,1)</f>
        <v>0.02</v>
      </c>
    </row>
    <row r="1125" spans="1:19" x14ac:dyDescent="0.25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e">
        <f>VLOOKUP(F1125,'Customer Info'!A1117:I1616,2,0)</f>
        <v>#N/A</v>
      </c>
      <c r="H1125" s="6" t="e">
        <f>VLOOKUP(F1125,'Customer Info'!A1117:I1616,3,0)</f>
        <v>#N/A</v>
      </c>
      <c r="I1125" s="6" t="e">
        <f>VLOOKUP(F1125,'Customer Info'!A1117:I1616,5,0)</f>
        <v>#N/A</v>
      </c>
      <c r="J1125" s="2">
        <v>188</v>
      </c>
      <c r="K1125" s="2">
        <v>173</v>
      </c>
      <c r="L1125" s="2">
        <v>1</v>
      </c>
      <c r="M1125" s="7">
        <f t="shared" si="68"/>
        <v>173</v>
      </c>
      <c r="N1125" s="7">
        <f t="shared" si="69"/>
        <v>188</v>
      </c>
      <c r="O1125" s="2">
        <v>30</v>
      </c>
      <c r="P1125" s="8">
        <f t="shared" si="70"/>
        <v>218</v>
      </c>
      <c r="Q1125" s="8">
        <f t="shared" si="71"/>
        <v>158</v>
      </c>
      <c r="R1125" s="2" t="s">
        <v>50</v>
      </c>
      <c r="S1125" s="9">
        <f>VLOOKUP(P1125,$T$2:U1122,2,1)</f>
        <v>0.02</v>
      </c>
    </row>
    <row r="1126" spans="1:19" x14ac:dyDescent="0.25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e">
        <f>VLOOKUP(F1126,'Customer Info'!A1118:I1617,2,0)</f>
        <v>#N/A</v>
      </c>
      <c r="H1126" s="6" t="e">
        <f>VLOOKUP(F1126,'Customer Info'!A1118:I1617,3,0)</f>
        <v>#N/A</v>
      </c>
      <c r="I1126" s="6" t="e">
        <f>VLOOKUP(F1126,'Customer Info'!A1118:I1617,5,0)</f>
        <v>#N/A</v>
      </c>
      <c r="J1126" s="2">
        <v>6060</v>
      </c>
      <c r="K1126" s="2">
        <v>6002</v>
      </c>
      <c r="L1126" s="2">
        <v>2</v>
      </c>
      <c r="M1126" s="7">
        <f t="shared" si="68"/>
        <v>12004</v>
      </c>
      <c r="N1126" s="7">
        <f t="shared" si="69"/>
        <v>12120</v>
      </c>
      <c r="O1126" s="2">
        <v>63</v>
      </c>
      <c r="P1126" s="8">
        <f t="shared" si="70"/>
        <v>12183</v>
      </c>
      <c r="Q1126" s="8">
        <f t="shared" si="71"/>
        <v>12057</v>
      </c>
      <c r="R1126" s="2" t="s">
        <v>28</v>
      </c>
      <c r="S1126" s="9">
        <f>VLOOKUP(P1126,$T$2:U1123,2,1)</f>
        <v>0.05</v>
      </c>
    </row>
    <row r="1127" spans="1:19" x14ac:dyDescent="0.25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e">
        <f>VLOOKUP(F1127,'Customer Info'!A1119:I1618,2,0)</f>
        <v>#N/A</v>
      </c>
      <c r="H1127" s="6" t="e">
        <f>VLOOKUP(F1127,'Customer Info'!A1119:I1618,3,0)</f>
        <v>#N/A</v>
      </c>
      <c r="I1127" s="6" t="e">
        <f>VLOOKUP(F1127,'Customer Info'!A1119:I1618,5,0)</f>
        <v>#N/A</v>
      </c>
      <c r="J1127" s="2">
        <v>1916</v>
      </c>
      <c r="K1127" s="2">
        <v>1844</v>
      </c>
      <c r="L1127" s="2">
        <v>3</v>
      </c>
      <c r="M1127" s="7">
        <f t="shared" si="68"/>
        <v>5532</v>
      </c>
      <c r="N1127" s="7">
        <f t="shared" si="69"/>
        <v>5748</v>
      </c>
      <c r="O1127" s="2">
        <v>97</v>
      </c>
      <c r="P1127" s="8">
        <f t="shared" si="70"/>
        <v>5845</v>
      </c>
      <c r="Q1127" s="8">
        <f t="shared" si="71"/>
        <v>5651</v>
      </c>
      <c r="R1127" s="2" t="s">
        <v>50</v>
      </c>
      <c r="S1127" s="9">
        <f>VLOOKUP(P1127,$T$2:U1124,2,1)</f>
        <v>0.05</v>
      </c>
    </row>
    <row r="1128" spans="1:19" x14ac:dyDescent="0.25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e">
        <f>VLOOKUP(F1128,'Customer Info'!A1120:I1619,2,0)</f>
        <v>#N/A</v>
      </c>
      <c r="H1128" s="6" t="e">
        <f>VLOOKUP(F1128,'Customer Info'!A1120:I1619,3,0)</f>
        <v>#N/A</v>
      </c>
      <c r="I1128" s="6" t="e">
        <f>VLOOKUP(F1128,'Customer Info'!A1120:I1619,5,0)</f>
        <v>#N/A</v>
      </c>
      <c r="J1128" s="2">
        <v>729</v>
      </c>
      <c r="K1128" s="2">
        <v>689</v>
      </c>
      <c r="L1128" s="2">
        <v>2</v>
      </c>
      <c r="M1128" s="7">
        <f t="shared" si="68"/>
        <v>1378</v>
      </c>
      <c r="N1128" s="7">
        <f t="shared" si="69"/>
        <v>1458</v>
      </c>
      <c r="O1128" s="2">
        <v>54</v>
      </c>
      <c r="P1128" s="8">
        <f t="shared" si="70"/>
        <v>1512</v>
      </c>
      <c r="Q1128" s="8">
        <f t="shared" si="71"/>
        <v>1404</v>
      </c>
      <c r="R1128" s="2" t="s">
        <v>28</v>
      </c>
      <c r="S1128" s="9">
        <f>VLOOKUP(P1128,$T$2:U1125,2,1)</f>
        <v>0.02</v>
      </c>
    </row>
    <row r="1129" spans="1:19" x14ac:dyDescent="0.25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e">
        <f>VLOOKUP(F1129,'Customer Info'!A1121:I1620,2,0)</f>
        <v>#N/A</v>
      </c>
      <c r="H1129" s="6" t="e">
        <f>VLOOKUP(F1129,'Customer Info'!A1121:I1620,3,0)</f>
        <v>#N/A</v>
      </c>
      <c r="I1129" s="6" t="e">
        <f>VLOOKUP(F1129,'Customer Info'!A1121:I1620,5,0)</f>
        <v>#N/A</v>
      </c>
      <c r="J1129" s="2">
        <v>1798</v>
      </c>
      <c r="K1129" s="2">
        <v>1666</v>
      </c>
      <c r="L1129" s="2">
        <v>3</v>
      </c>
      <c r="M1129" s="7">
        <f t="shared" si="68"/>
        <v>4998</v>
      </c>
      <c r="N1129" s="7">
        <f t="shared" si="69"/>
        <v>5394</v>
      </c>
      <c r="O1129" s="2">
        <v>55</v>
      </c>
      <c r="P1129" s="8">
        <f t="shared" si="70"/>
        <v>5449</v>
      </c>
      <c r="Q1129" s="8">
        <f t="shared" si="71"/>
        <v>5339</v>
      </c>
      <c r="R1129" s="2" t="s">
        <v>28</v>
      </c>
      <c r="S1129" s="9">
        <f>VLOOKUP(P1129,$T$2:U1126,2,1)</f>
        <v>0.05</v>
      </c>
    </row>
    <row r="1130" spans="1:19" x14ac:dyDescent="0.25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e">
        <f>VLOOKUP(F1130,'Customer Info'!A1122:I1621,2,0)</f>
        <v>#N/A</v>
      </c>
      <c r="H1130" s="6" t="e">
        <f>VLOOKUP(F1130,'Customer Info'!A1122:I1621,3,0)</f>
        <v>#N/A</v>
      </c>
      <c r="I1130" s="6" t="e">
        <f>VLOOKUP(F1130,'Customer Info'!A1122:I1621,5,0)</f>
        <v>#N/A</v>
      </c>
      <c r="J1130" s="2">
        <v>222</v>
      </c>
      <c r="K1130" s="2">
        <v>204</v>
      </c>
      <c r="L1130" s="2">
        <v>1</v>
      </c>
      <c r="M1130" s="7">
        <f t="shared" si="68"/>
        <v>204</v>
      </c>
      <c r="N1130" s="7">
        <f t="shared" si="69"/>
        <v>222</v>
      </c>
      <c r="O1130" s="2">
        <v>27</v>
      </c>
      <c r="P1130" s="8">
        <f t="shared" si="70"/>
        <v>249</v>
      </c>
      <c r="Q1130" s="8">
        <f t="shared" si="71"/>
        <v>195</v>
      </c>
      <c r="R1130" s="2" t="s">
        <v>28</v>
      </c>
      <c r="S1130" s="9">
        <f>VLOOKUP(P1130,$T$2:U1127,2,1)</f>
        <v>0.02</v>
      </c>
    </row>
    <row r="1131" spans="1:19" x14ac:dyDescent="0.25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e">
        <f>VLOOKUP(F1131,'Customer Info'!A1123:I1622,2,0)</f>
        <v>#N/A</v>
      </c>
      <c r="H1131" s="6" t="e">
        <f>VLOOKUP(F1131,'Customer Info'!A1123:I1622,3,0)</f>
        <v>#N/A</v>
      </c>
      <c r="I1131" s="6" t="e">
        <f>VLOOKUP(F1131,'Customer Info'!A1123:I1622,5,0)</f>
        <v>#N/A</v>
      </c>
      <c r="J1131" s="2">
        <v>21566</v>
      </c>
      <c r="K1131" s="2">
        <v>19225</v>
      </c>
      <c r="L1131" s="2">
        <v>2</v>
      </c>
      <c r="M1131" s="7">
        <f t="shared" si="68"/>
        <v>38450</v>
      </c>
      <c r="N1131" s="7">
        <f t="shared" si="69"/>
        <v>43132</v>
      </c>
      <c r="O1131" s="2">
        <v>75</v>
      </c>
      <c r="P1131" s="8">
        <f t="shared" si="70"/>
        <v>43207</v>
      </c>
      <c r="Q1131" s="8">
        <f t="shared" si="71"/>
        <v>43057</v>
      </c>
      <c r="R1131" s="2" t="s">
        <v>28</v>
      </c>
      <c r="S1131" s="9">
        <f>VLOOKUP(P1131,$T$2:U1128,2,1)</f>
        <v>7.0000000000000007E-2</v>
      </c>
    </row>
    <row r="1132" spans="1:19" x14ac:dyDescent="0.25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e">
        <f>VLOOKUP(F1132,'Customer Info'!A1124:I1623,2,0)</f>
        <v>#N/A</v>
      </c>
      <c r="H1132" s="6" t="e">
        <f>VLOOKUP(F1132,'Customer Info'!A1124:I1623,3,0)</f>
        <v>#N/A</v>
      </c>
      <c r="I1132" s="6" t="e">
        <f>VLOOKUP(F1132,'Customer Info'!A1124:I1623,5,0)</f>
        <v>#N/A</v>
      </c>
      <c r="J1132" s="2">
        <v>151</v>
      </c>
      <c r="K1132" s="2">
        <v>139</v>
      </c>
      <c r="L1132" s="2">
        <v>4</v>
      </c>
      <c r="M1132" s="7">
        <f t="shared" si="68"/>
        <v>556</v>
      </c>
      <c r="N1132" s="7">
        <f t="shared" si="69"/>
        <v>604</v>
      </c>
      <c r="O1132" s="2">
        <v>30</v>
      </c>
      <c r="P1132" s="8">
        <f t="shared" si="70"/>
        <v>634</v>
      </c>
      <c r="Q1132" s="8">
        <f t="shared" si="71"/>
        <v>574</v>
      </c>
      <c r="R1132" s="2" t="s">
        <v>28</v>
      </c>
      <c r="S1132" s="9">
        <f>VLOOKUP(P1132,$T$2:U1129,2,1)</f>
        <v>0.02</v>
      </c>
    </row>
    <row r="1133" spans="1:19" x14ac:dyDescent="0.25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e">
        <f>VLOOKUP(F1133,'Customer Info'!A1125:I1624,2,0)</f>
        <v>#N/A</v>
      </c>
      <c r="H1133" s="6" t="e">
        <f>VLOOKUP(F1133,'Customer Info'!A1125:I1624,3,0)</f>
        <v>#N/A</v>
      </c>
      <c r="I1133" s="6" t="e">
        <f>VLOOKUP(F1133,'Customer Info'!A1125:I1624,5,0)</f>
        <v>#N/A</v>
      </c>
      <c r="J1133" s="2">
        <v>141</v>
      </c>
      <c r="K1133" s="2">
        <v>131</v>
      </c>
      <c r="L1133" s="2">
        <v>8</v>
      </c>
      <c r="M1133" s="7">
        <f t="shared" si="68"/>
        <v>1048</v>
      </c>
      <c r="N1133" s="7">
        <f t="shared" si="69"/>
        <v>1128</v>
      </c>
      <c r="O1133" s="2">
        <v>30</v>
      </c>
      <c r="P1133" s="8">
        <f t="shared" si="70"/>
        <v>1158</v>
      </c>
      <c r="Q1133" s="8">
        <f t="shared" si="71"/>
        <v>1098</v>
      </c>
      <c r="R1133" s="2" t="s">
        <v>50</v>
      </c>
      <c r="S1133" s="9">
        <f>VLOOKUP(P1133,$T$2:U1130,2,1)</f>
        <v>0.02</v>
      </c>
    </row>
    <row r="1134" spans="1:19" x14ac:dyDescent="0.25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e">
        <f>VLOOKUP(F1134,'Customer Info'!A1126:I1625,2,0)</f>
        <v>#N/A</v>
      </c>
      <c r="H1134" s="6" t="e">
        <f>VLOOKUP(F1134,'Customer Info'!A1126:I1625,3,0)</f>
        <v>#N/A</v>
      </c>
      <c r="I1134" s="6" t="e">
        <f>VLOOKUP(F1134,'Customer Info'!A1126:I1625,5,0)</f>
        <v>#N/A</v>
      </c>
      <c r="J1134" s="2">
        <v>1359</v>
      </c>
      <c r="K1134" s="2">
        <v>1221</v>
      </c>
      <c r="L1134" s="2">
        <v>7</v>
      </c>
      <c r="M1134" s="7">
        <f t="shared" si="68"/>
        <v>8547</v>
      </c>
      <c r="N1134" s="7">
        <f t="shared" si="69"/>
        <v>9513</v>
      </c>
      <c r="O1134" s="2">
        <v>73</v>
      </c>
      <c r="P1134" s="8">
        <f t="shared" si="70"/>
        <v>9586</v>
      </c>
      <c r="Q1134" s="8">
        <f t="shared" si="71"/>
        <v>9440</v>
      </c>
      <c r="R1134" s="2" t="s">
        <v>28</v>
      </c>
      <c r="S1134" s="9">
        <f>VLOOKUP(P1134,$T$2:U1131,2,1)</f>
        <v>0.05</v>
      </c>
    </row>
    <row r="1135" spans="1:19" x14ac:dyDescent="0.25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e">
        <f>VLOOKUP(F1135,'Customer Info'!A1127:I1626,2,0)</f>
        <v>#N/A</v>
      </c>
      <c r="H1135" s="6" t="e">
        <f>VLOOKUP(F1135,'Customer Info'!A1127:I1626,3,0)</f>
        <v>#N/A</v>
      </c>
      <c r="I1135" s="6" t="e">
        <f>VLOOKUP(F1135,'Customer Info'!A1127:I1626,5,0)</f>
        <v>#N/A</v>
      </c>
      <c r="J1135" s="2">
        <v>8202</v>
      </c>
      <c r="K1135" s="2">
        <v>7594</v>
      </c>
      <c r="L1135" s="2">
        <v>3</v>
      </c>
      <c r="M1135" s="7">
        <f t="shared" si="68"/>
        <v>22782</v>
      </c>
      <c r="N1135" s="7">
        <f t="shared" si="69"/>
        <v>24606</v>
      </c>
      <c r="O1135" s="2">
        <v>21</v>
      </c>
      <c r="P1135" s="8">
        <f t="shared" si="70"/>
        <v>24627</v>
      </c>
      <c r="Q1135" s="8">
        <f t="shared" si="71"/>
        <v>24585</v>
      </c>
      <c r="R1135" s="2" t="s">
        <v>28</v>
      </c>
      <c r="S1135" s="9">
        <f>VLOOKUP(P1135,$T$2:U1132,2,1)</f>
        <v>0.05</v>
      </c>
    </row>
    <row r="1136" spans="1:19" x14ac:dyDescent="0.25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e">
        <f>VLOOKUP(F1136,'Customer Info'!A1128:I1627,2,0)</f>
        <v>#N/A</v>
      </c>
      <c r="H1136" s="6" t="e">
        <f>VLOOKUP(F1136,'Customer Info'!A1128:I1627,3,0)</f>
        <v>#N/A</v>
      </c>
      <c r="I1136" s="6" t="e">
        <f>VLOOKUP(F1136,'Customer Info'!A1128:I1627,5,0)</f>
        <v>#N/A</v>
      </c>
      <c r="J1136" s="2">
        <v>179</v>
      </c>
      <c r="K1136" s="2">
        <v>171</v>
      </c>
      <c r="L1136" s="2">
        <v>3</v>
      </c>
      <c r="M1136" s="7">
        <f t="shared" si="68"/>
        <v>513</v>
      </c>
      <c r="N1136" s="7">
        <f t="shared" si="69"/>
        <v>537</v>
      </c>
      <c r="O1136" s="2">
        <v>30</v>
      </c>
      <c r="P1136" s="8">
        <f t="shared" si="70"/>
        <v>567</v>
      </c>
      <c r="Q1136" s="8">
        <f t="shared" si="71"/>
        <v>507</v>
      </c>
      <c r="R1136" s="2" t="s">
        <v>50</v>
      </c>
      <c r="S1136" s="9">
        <f>VLOOKUP(P1136,$T$2:U1133,2,1)</f>
        <v>0.02</v>
      </c>
    </row>
    <row r="1137" spans="1:19" x14ac:dyDescent="0.25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e">
        <f>VLOOKUP(F1137,'Customer Info'!A1129:I1628,2,0)</f>
        <v>#N/A</v>
      </c>
      <c r="H1137" s="6" t="e">
        <f>VLOOKUP(F1137,'Customer Info'!A1129:I1628,3,0)</f>
        <v>#N/A</v>
      </c>
      <c r="I1137" s="6" t="e">
        <f>VLOOKUP(F1137,'Customer Info'!A1129:I1628,5,0)</f>
        <v>#N/A</v>
      </c>
      <c r="J1137" s="2">
        <v>6400</v>
      </c>
      <c r="K1137" s="2">
        <v>6401</v>
      </c>
      <c r="L1137" s="2">
        <v>6</v>
      </c>
      <c r="M1137" s="7">
        <f t="shared" si="68"/>
        <v>38406</v>
      </c>
      <c r="N1137" s="7">
        <f t="shared" si="69"/>
        <v>38400</v>
      </c>
      <c r="O1137" s="2">
        <v>73</v>
      </c>
      <c r="P1137" s="8">
        <f t="shared" si="70"/>
        <v>38473</v>
      </c>
      <c r="Q1137" s="8">
        <f t="shared" si="71"/>
        <v>38327</v>
      </c>
      <c r="R1137" s="2" t="s">
        <v>28</v>
      </c>
      <c r="S1137" s="9">
        <f>VLOOKUP(P1137,$T$2:U1134,2,1)</f>
        <v>7.0000000000000007E-2</v>
      </c>
    </row>
    <row r="1138" spans="1:19" x14ac:dyDescent="0.25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e">
        <f>VLOOKUP(F1138,'Customer Info'!A1130:I1629,2,0)</f>
        <v>#N/A</v>
      </c>
      <c r="H1138" s="6" t="e">
        <f>VLOOKUP(F1138,'Customer Info'!A1130:I1629,3,0)</f>
        <v>#N/A</v>
      </c>
      <c r="I1138" s="6" t="e">
        <f>VLOOKUP(F1138,'Customer Info'!A1130:I1629,5,0)</f>
        <v>#N/A</v>
      </c>
      <c r="J1138" s="2">
        <v>7141</v>
      </c>
      <c r="K1138" s="2">
        <v>6541</v>
      </c>
      <c r="L1138" s="2">
        <v>2</v>
      </c>
      <c r="M1138" s="7">
        <f t="shared" si="68"/>
        <v>13082</v>
      </c>
      <c r="N1138" s="7">
        <f t="shared" si="69"/>
        <v>14282</v>
      </c>
      <c r="O1138" s="2">
        <v>59</v>
      </c>
      <c r="P1138" s="8">
        <f t="shared" si="70"/>
        <v>14341</v>
      </c>
      <c r="Q1138" s="8">
        <f t="shared" si="71"/>
        <v>14223</v>
      </c>
      <c r="R1138" s="2" t="s">
        <v>50</v>
      </c>
      <c r="S1138" s="9">
        <f>VLOOKUP(P1138,$T$2:U1135,2,1)</f>
        <v>0.05</v>
      </c>
    </row>
    <row r="1139" spans="1:19" x14ac:dyDescent="0.25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e">
        <f>VLOOKUP(F1139,'Customer Info'!A1131:I1630,2,0)</f>
        <v>#N/A</v>
      </c>
      <c r="H1139" s="6" t="e">
        <f>VLOOKUP(F1139,'Customer Info'!A1131:I1630,3,0)</f>
        <v>#N/A</v>
      </c>
      <c r="I1139" s="6" t="e">
        <f>VLOOKUP(F1139,'Customer Info'!A1131:I1630,5,0)</f>
        <v>#N/A</v>
      </c>
      <c r="J1139" s="2">
        <v>61</v>
      </c>
      <c r="K1139" s="2">
        <v>57</v>
      </c>
      <c r="L1139" s="2">
        <v>2</v>
      </c>
      <c r="M1139" s="7">
        <f t="shared" si="68"/>
        <v>114</v>
      </c>
      <c r="N1139" s="7">
        <f t="shared" si="69"/>
        <v>122</v>
      </c>
      <c r="O1139" s="2">
        <v>10</v>
      </c>
      <c r="P1139" s="8">
        <f t="shared" si="70"/>
        <v>132</v>
      </c>
      <c r="Q1139" s="8">
        <f t="shared" si="71"/>
        <v>112</v>
      </c>
      <c r="R1139" s="2" t="s">
        <v>26</v>
      </c>
      <c r="S1139" s="9">
        <f>VLOOKUP(P1139,$T$2:U1136,2,1)</f>
        <v>0.02</v>
      </c>
    </row>
    <row r="1140" spans="1:19" x14ac:dyDescent="0.25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e">
        <f>VLOOKUP(F1140,'Customer Info'!A1132:I1631,2,0)</f>
        <v>#N/A</v>
      </c>
      <c r="H1140" s="6" t="e">
        <f>VLOOKUP(F1140,'Customer Info'!A1132:I1631,3,0)</f>
        <v>#N/A</v>
      </c>
      <c r="I1140" s="6" t="e">
        <f>VLOOKUP(F1140,'Customer Info'!A1132:I1631,5,0)</f>
        <v>#N/A</v>
      </c>
      <c r="J1140" s="2">
        <v>1752</v>
      </c>
      <c r="K1140" s="2">
        <v>1576</v>
      </c>
      <c r="L1140" s="2">
        <v>2</v>
      </c>
      <c r="M1140" s="7">
        <f t="shared" si="68"/>
        <v>3152</v>
      </c>
      <c r="N1140" s="7">
        <f t="shared" si="69"/>
        <v>3504</v>
      </c>
      <c r="O1140" s="2">
        <v>92</v>
      </c>
      <c r="P1140" s="8">
        <f t="shared" si="70"/>
        <v>3596</v>
      </c>
      <c r="Q1140" s="8">
        <f t="shared" si="71"/>
        <v>3412</v>
      </c>
      <c r="R1140" s="2" t="s">
        <v>28</v>
      </c>
      <c r="S1140" s="9">
        <f>VLOOKUP(P1140,$T$2:U1137,2,1)</f>
        <v>0.02</v>
      </c>
    </row>
    <row r="1141" spans="1:19" x14ac:dyDescent="0.25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e">
        <f>VLOOKUP(F1141,'Customer Info'!A1133:I1632,2,0)</f>
        <v>#N/A</v>
      </c>
      <c r="H1141" s="6" t="e">
        <f>VLOOKUP(F1141,'Customer Info'!A1133:I1632,3,0)</f>
        <v>#N/A</v>
      </c>
      <c r="I1141" s="6" t="e">
        <f>VLOOKUP(F1141,'Customer Info'!A1133:I1632,5,0)</f>
        <v>#N/A</v>
      </c>
      <c r="J1141" s="2">
        <v>1997</v>
      </c>
      <c r="K1141" s="2">
        <v>1816</v>
      </c>
      <c r="L1141" s="2">
        <v>3</v>
      </c>
      <c r="M1141" s="7">
        <f t="shared" si="68"/>
        <v>5448</v>
      </c>
      <c r="N1141" s="7">
        <f t="shared" si="69"/>
        <v>5991</v>
      </c>
      <c r="O1141" s="2">
        <v>86</v>
      </c>
      <c r="P1141" s="8">
        <f t="shared" si="70"/>
        <v>6077</v>
      </c>
      <c r="Q1141" s="8">
        <f t="shared" si="71"/>
        <v>5905</v>
      </c>
      <c r="R1141" s="2" t="s">
        <v>28</v>
      </c>
      <c r="S1141" s="9">
        <f>VLOOKUP(P1141,$T$2:U1138,2,1)</f>
        <v>0.05</v>
      </c>
    </row>
    <row r="1142" spans="1:19" x14ac:dyDescent="0.25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e">
        <f>VLOOKUP(F1142,'Customer Info'!A1134:I1633,2,0)</f>
        <v>#N/A</v>
      </c>
      <c r="H1142" s="6" t="e">
        <f>VLOOKUP(F1142,'Customer Info'!A1134:I1633,3,0)</f>
        <v>#N/A</v>
      </c>
      <c r="I1142" s="6" t="e">
        <f>VLOOKUP(F1142,'Customer Info'!A1134:I1633,5,0)</f>
        <v>#N/A</v>
      </c>
      <c r="J1142" s="2">
        <v>666</v>
      </c>
      <c r="K1142" s="2">
        <v>641</v>
      </c>
      <c r="L1142" s="2">
        <v>4</v>
      </c>
      <c r="M1142" s="7">
        <f t="shared" si="68"/>
        <v>2564</v>
      </c>
      <c r="N1142" s="7">
        <f t="shared" si="69"/>
        <v>2664</v>
      </c>
      <c r="O1142" s="2">
        <v>73</v>
      </c>
      <c r="P1142" s="8">
        <f t="shared" si="70"/>
        <v>2737</v>
      </c>
      <c r="Q1142" s="8">
        <f t="shared" si="71"/>
        <v>2591</v>
      </c>
      <c r="R1142" s="2" t="s">
        <v>50</v>
      </c>
      <c r="S1142" s="9">
        <f>VLOOKUP(P1142,$T$2:U1139,2,1)</f>
        <v>0.02</v>
      </c>
    </row>
    <row r="1143" spans="1:19" x14ac:dyDescent="0.25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e">
        <f>VLOOKUP(F1143,'Customer Info'!A1135:I1634,2,0)</f>
        <v>#N/A</v>
      </c>
      <c r="H1143" s="6" t="e">
        <f>VLOOKUP(F1143,'Customer Info'!A1135:I1634,3,0)</f>
        <v>#N/A</v>
      </c>
      <c r="I1143" s="6" t="e">
        <f>VLOOKUP(F1143,'Customer Info'!A1135:I1634,5,0)</f>
        <v>#N/A</v>
      </c>
      <c r="J1143" s="2">
        <v>1621</v>
      </c>
      <c r="K1143" s="2">
        <v>1545</v>
      </c>
      <c r="L1143" s="2">
        <v>6</v>
      </c>
      <c r="M1143" s="7">
        <f t="shared" si="68"/>
        <v>9270</v>
      </c>
      <c r="N1143" s="7">
        <f t="shared" si="69"/>
        <v>9726</v>
      </c>
      <c r="O1143" s="2">
        <v>48</v>
      </c>
      <c r="P1143" s="8">
        <f t="shared" si="70"/>
        <v>9774</v>
      </c>
      <c r="Q1143" s="8">
        <f t="shared" si="71"/>
        <v>9678</v>
      </c>
      <c r="R1143" s="2" t="s">
        <v>50</v>
      </c>
      <c r="S1143" s="9">
        <f>VLOOKUP(P1143,$T$2:U1140,2,1)</f>
        <v>0.05</v>
      </c>
    </row>
    <row r="1144" spans="1:19" x14ac:dyDescent="0.25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e">
        <f>VLOOKUP(F1144,'Customer Info'!A1136:I1635,2,0)</f>
        <v>#N/A</v>
      </c>
      <c r="H1144" s="6" t="e">
        <f>VLOOKUP(F1144,'Customer Info'!A1136:I1635,3,0)</f>
        <v>#N/A</v>
      </c>
      <c r="I1144" s="6" t="e">
        <f>VLOOKUP(F1144,'Customer Info'!A1136:I1635,5,0)</f>
        <v>#N/A</v>
      </c>
      <c r="J1144" s="2">
        <v>1882</v>
      </c>
      <c r="K1144" s="2">
        <v>1792</v>
      </c>
      <c r="L1144" s="2">
        <v>2</v>
      </c>
      <c r="M1144" s="7">
        <f t="shared" si="68"/>
        <v>3584</v>
      </c>
      <c r="N1144" s="7">
        <f t="shared" si="69"/>
        <v>3764</v>
      </c>
      <c r="O1144" s="2">
        <v>78</v>
      </c>
      <c r="P1144" s="8">
        <f t="shared" si="70"/>
        <v>3842</v>
      </c>
      <c r="Q1144" s="8">
        <f t="shared" si="71"/>
        <v>3686</v>
      </c>
      <c r="R1144" s="2" t="s">
        <v>26</v>
      </c>
      <c r="S1144" s="9">
        <f>VLOOKUP(P1144,$T$2:U1141,2,1)</f>
        <v>0.02</v>
      </c>
    </row>
    <row r="1145" spans="1:19" x14ac:dyDescent="0.25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e">
        <f>VLOOKUP(F1145,'Customer Info'!A1137:I1636,2,0)</f>
        <v>#N/A</v>
      </c>
      <c r="H1145" s="6" t="e">
        <f>VLOOKUP(F1145,'Customer Info'!A1137:I1636,3,0)</f>
        <v>#N/A</v>
      </c>
      <c r="I1145" s="6" t="e">
        <f>VLOOKUP(F1145,'Customer Info'!A1137:I1636,5,0)</f>
        <v>#N/A</v>
      </c>
      <c r="J1145" s="2">
        <v>67</v>
      </c>
      <c r="K1145" s="2">
        <v>62</v>
      </c>
      <c r="L1145" s="2">
        <v>4</v>
      </c>
      <c r="M1145" s="7">
        <f t="shared" si="68"/>
        <v>248</v>
      </c>
      <c r="N1145" s="7">
        <f t="shared" si="69"/>
        <v>268</v>
      </c>
      <c r="O1145" s="2">
        <v>10</v>
      </c>
      <c r="P1145" s="8">
        <f t="shared" si="70"/>
        <v>278</v>
      </c>
      <c r="Q1145" s="8">
        <f t="shared" si="71"/>
        <v>258</v>
      </c>
      <c r="R1145" s="2" t="s">
        <v>28</v>
      </c>
      <c r="S1145" s="9">
        <f>VLOOKUP(P1145,$T$2:U1142,2,1)</f>
        <v>0.02</v>
      </c>
    </row>
    <row r="1146" spans="1:19" x14ac:dyDescent="0.25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e">
        <f>VLOOKUP(F1146,'Customer Info'!A1138:I1637,2,0)</f>
        <v>#N/A</v>
      </c>
      <c r="H1146" s="6" t="e">
        <f>VLOOKUP(F1146,'Customer Info'!A1138:I1637,3,0)</f>
        <v>#N/A</v>
      </c>
      <c r="I1146" s="6" t="e">
        <f>VLOOKUP(F1146,'Customer Info'!A1138:I1637,5,0)</f>
        <v>#N/A</v>
      </c>
      <c r="J1146" s="2">
        <v>7691</v>
      </c>
      <c r="K1146" s="2">
        <v>7255</v>
      </c>
      <c r="L1146" s="2">
        <v>1</v>
      </c>
      <c r="M1146" s="7">
        <f t="shared" si="68"/>
        <v>7255</v>
      </c>
      <c r="N1146" s="7">
        <f t="shared" si="69"/>
        <v>7691</v>
      </c>
      <c r="O1146" s="2">
        <v>68</v>
      </c>
      <c r="P1146" s="8">
        <f t="shared" si="70"/>
        <v>7759</v>
      </c>
      <c r="Q1146" s="8">
        <f t="shared" si="71"/>
        <v>7623</v>
      </c>
      <c r="R1146" s="2" t="s">
        <v>50</v>
      </c>
      <c r="S1146" s="9">
        <f>VLOOKUP(P1146,$T$2:U1143,2,1)</f>
        <v>0.05</v>
      </c>
    </row>
    <row r="1147" spans="1:19" x14ac:dyDescent="0.25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e">
        <f>VLOOKUP(F1147,'Customer Info'!A1139:I1638,2,0)</f>
        <v>#N/A</v>
      </c>
      <c r="H1147" s="6" t="e">
        <f>VLOOKUP(F1147,'Customer Info'!A1139:I1638,3,0)</f>
        <v>#N/A</v>
      </c>
      <c r="I1147" s="6" t="e">
        <f>VLOOKUP(F1147,'Customer Info'!A1139:I1638,5,0)</f>
        <v>#N/A</v>
      </c>
      <c r="J1147" s="2">
        <v>1413</v>
      </c>
      <c r="K1147" s="2">
        <v>1334</v>
      </c>
      <c r="L1147" s="2">
        <v>2</v>
      </c>
      <c r="M1147" s="7">
        <f t="shared" si="68"/>
        <v>2668</v>
      </c>
      <c r="N1147" s="7">
        <f t="shared" si="69"/>
        <v>2826</v>
      </c>
      <c r="O1147" s="2">
        <v>60</v>
      </c>
      <c r="P1147" s="8">
        <f t="shared" si="70"/>
        <v>2886</v>
      </c>
      <c r="Q1147" s="8">
        <f t="shared" si="71"/>
        <v>2766</v>
      </c>
      <c r="R1147" s="2" t="s">
        <v>28</v>
      </c>
      <c r="S1147" s="9">
        <f>VLOOKUP(P1147,$T$2:U1144,2,1)</f>
        <v>0.02</v>
      </c>
    </row>
    <row r="1148" spans="1:19" x14ac:dyDescent="0.25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e">
        <f>VLOOKUP(F1148,'Customer Info'!A1140:I1639,2,0)</f>
        <v>#N/A</v>
      </c>
      <c r="H1148" s="6" t="e">
        <f>VLOOKUP(F1148,'Customer Info'!A1140:I1639,3,0)</f>
        <v>#N/A</v>
      </c>
      <c r="I1148" s="6" t="e">
        <f>VLOOKUP(F1148,'Customer Info'!A1140:I1639,5,0)</f>
        <v>#N/A</v>
      </c>
      <c r="J1148" s="2">
        <v>393</v>
      </c>
      <c r="K1148" s="2">
        <v>374</v>
      </c>
      <c r="L1148" s="2">
        <v>4</v>
      </c>
      <c r="M1148" s="7">
        <f t="shared" si="68"/>
        <v>1496</v>
      </c>
      <c r="N1148" s="7">
        <f t="shared" si="69"/>
        <v>1572</v>
      </c>
      <c r="O1148" s="2">
        <v>50</v>
      </c>
      <c r="P1148" s="8">
        <f t="shared" si="70"/>
        <v>1622</v>
      </c>
      <c r="Q1148" s="8">
        <f t="shared" si="71"/>
        <v>1522</v>
      </c>
      <c r="R1148" s="2" t="s">
        <v>50</v>
      </c>
      <c r="S1148" s="9">
        <f>VLOOKUP(P1148,$T$2:U1145,2,1)</f>
        <v>0.02</v>
      </c>
    </row>
    <row r="1149" spans="1:19" x14ac:dyDescent="0.25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e">
        <f>VLOOKUP(F1149,'Customer Info'!A1141:I1640,2,0)</f>
        <v>#N/A</v>
      </c>
      <c r="H1149" s="6" t="e">
        <f>VLOOKUP(F1149,'Customer Info'!A1141:I1640,3,0)</f>
        <v>#N/A</v>
      </c>
      <c r="I1149" s="6" t="e">
        <f>VLOOKUP(F1149,'Customer Info'!A1141:I1640,5,0)</f>
        <v>#N/A</v>
      </c>
      <c r="J1149" s="2">
        <v>1358</v>
      </c>
      <c r="K1149" s="2">
        <v>1257</v>
      </c>
      <c r="L1149" s="2">
        <v>3</v>
      </c>
      <c r="M1149" s="7">
        <f t="shared" si="68"/>
        <v>3771</v>
      </c>
      <c r="N1149" s="7">
        <f t="shared" si="69"/>
        <v>4074</v>
      </c>
      <c r="O1149" s="2">
        <v>35</v>
      </c>
      <c r="P1149" s="8">
        <f t="shared" si="70"/>
        <v>4109</v>
      </c>
      <c r="Q1149" s="8">
        <f t="shared" si="71"/>
        <v>4039</v>
      </c>
      <c r="R1149" s="2" t="s">
        <v>26</v>
      </c>
      <c r="S1149" s="9">
        <f>VLOOKUP(P1149,$T$2:U1146,2,1)</f>
        <v>0.02</v>
      </c>
    </row>
    <row r="1150" spans="1:19" x14ac:dyDescent="0.25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e">
        <f>VLOOKUP(F1150,'Customer Info'!A1142:I1641,2,0)</f>
        <v>#N/A</v>
      </c>
      <c r="H1150" s="6" t="e">
        <f>VLOOKUP(F1150,'Customer Info'!A1142:I1641,3,0)</f>
        <v>#N/A</v>
      </c>
      <c r="I1150" s="6" t="e">
        <f>VLOOKUP(F1150,'Customer Info'!A1142:I1641,5,0)</f>
        <v>#N/A</v>
      </c>
      <c r="J1150" s="2">
        <v>71</v>
      </c>
      <c r="K1150" s="2">
        <v>64</v>
      </c>
      <c r="L1150" s="2">
        <v>2</v>
      </c>
      <c r="M1150" s="7">
        <f t="shared" si="68"/>
        <v>128</v>
      </c>
      <c r="N1150" s="7">
        <f t="shared" si="69"/>
        <v>142</v>
      </c>
      <c r="O1150" s="2">
        <v>10</v>
      </c>
      <c r="P1150" s="8">
        <f t="shared" si="70"/>
        <v>152</v>
      </c>
      <c r="Q1150" s="8">
        <f t="shared" si="71"/>
        <v>132</v>
      </c>
      <c r="R1150" s="2" t="s">
        <v>56</v>
      </c>
      <c r="S1150" s="9">
        <f>VLOOKUP(P1150,$T$2:U1147,2,1)</f>
        <v>0.02</v>
      </c>
    </row>
    <row r="1151" spans="1:19" x14ac:dyDescent="0.25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e">
        <f>VLOOKUP(F1151,'Customer Info'!A1143:I1642,2,0)</f>
        <v>#N/A</v>
      </c>
      <c r="H1151" s="6" t="e">
        <f>VLOOKUP(F1151,'Customer Info'!A1143:I1642,3,0)</f>
        <v>#N/A</v>
      </c>
      <c r="I1151" s="6" t="e">
        <f>VLOOKUP(F1151,'Customer Info'!A1143:I1642,5,0)</f>
        <v>#N/A</v>
      </c>
      <c r="J1151" s="2">
        <v>8617</v>
      </c>
      <c r="K1151" s="2">
        <v>7900</v>
      </c>
      <c r="L1151" s="2">
        <v>4</v>
      </c>
      <c r="M1151" s="7">
        <f t="shared" si="68"/>
        <v>31600</v>
      </c>
      <c r="N1151" s="7">
        <f t="shared" si="69"/>
        <v>34468</v>
      </c>
      <c r="O1151" s="2">
        <v>26</v>
      </c>
      <c r="P1151" s="8">
        <f t="shared" si="70"/>
        <v>34494</v>
      </c>
      <c r="Q1151" s="8">
        <f t="shared" si="71"/>
        <v>34442</v>
      </c>
      <c r="R1151" s="2" t="s">
        <v>28</v>
      </c>
      <c r="S1151" s="9">
        <f>VLOOKUP(P1151,$T$2:U1148,2,1)</f>
        <v>7.0000000000000007E-2</v>
      </c>
    </row>
    <row r="1152" spans="1:19" x14ac:dyDescent="0.25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e">
        <f>VLOOKUP(F1152,'Customer Info'!A1144:I1643,2,0)</f>
        <v>#N/A</v>
      </c>
      <c r="H1152" s="6" t="e">
        <f>VLOOKUP(F1152,'Customer Info'!A1144:I1643,3,0)</f>
        <v>#N/A</v>
      </c>
      <c r="I1152" s="6" t="e">
        <f>VLOOKUP(F1152,'Customer Info'!A1144:I1643,5,0)</f>
        <v>#N/A</v>
      </c>
      <c r="J1152" s="2">
        <v>8869</v>
      </c>
      <c r="K1152" s="2">
        <v>7906</v>
      </c>
      <c r="L1152" s="2">
        <v>2</v>
      </c>
      <c r="M1152" s="7">
        <f t="shared" si="68"/>
        <v>15812</v>
      </c>
      <c r="N1152" s="7">
        <f t="shared" si="69"/>
        <v>17738</v>
      </c>
      <c r="O1152" s="2">
        <v>47</v>
      </c>
      <c r="P1152" s="8">
        <f t="shared" si="70"/>
        <v>17785</v>
      </c>
      <c r="Q1152" s="8">
        <f t="shared" si="71"/>
        <v>17691</v>
      </c>
      <c r="R1152" s="2" t="s">
        <v>28</v>
      </c>
      <c r="S1152" s="9">
        <f>VLOOKUP(P1152,$T$2:U1149,2,1)</f>
        <v>0.05</v>
      </c>
    </row>
    <row r="1153" spans="1:19" x14ac:dyDescent="0.25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e">
        <f>VLOOKUP(F1153,'Customer Info'!A1145:I1644,2,0)</f>
        <v>#N/A</v>
      </c>
      <c r="H1153" s="6" t="e">
        <f>VLOOKUP(F1153,'Customer Info'!A1145:I1644,3,0)</f>
        <v>#N/A</v>
      </c>
      <c r="I1153" s="6" t="e">
        <f>VLOOKUP(F1153,'Customer Info'!A1145:I1644,5,0)</f>
        <v>#N/A</v>
      </c>
      <c r="J1153" s="2">
        <v>1385</v>
      </c>
      <c r="K1153" s="2">
        <v>1295</v>
      </c>
      <c r="L1153" s="2">
        <v>5</v>
      </c>
      <c r="M1153" s="7">
        <f t="shared" si="68"/>
        <v>6475</v>
      </c>
      <c r="N1153" s="7">
        <f t="shared" si="69"/>
        <v>6925</v>
      </c>
      <c r="O1153" s="2">
        <v>100</v>
      </c>
      <c r="P1153" s="8">
        <f t="shared" si="70"/>
        <v>7025</v>
      </c>
      <c r="Q1153" s="8">
        <f t="shared" si="71"/>
        <v>6825</v>
      </c>
      <c r="R1153" s="2" t="s">
        <v>28</v>
      </c>
      <c r="S1153" s="9">
        <f>VLOOKUP(P1153,$T$2:U1150,2,1)</f>
        <v>0.05</v>
      </c>
    </row>
    <row r="1154" spans="1:19" x14ac:dyDescent="0.25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e">
        <f>VLOOKUP(F1154,'Customer Info'!A1146:I1645,2,0)</f>
        <v>#N/A</v>
      </c>
      <c r="H1154" s="6" t="e">
        <f>VLOOKUP(F1154,'Customer Info'!A1146:I1645,3,0)</f>
        <v>#N/A</v>
      </c>
      <c r="I1154" s="6" t="e">
        <f>VLOOKUP(F1154,'Customer Info'!A1146:I1645,5,0)</f>
        <v>#N/A</v>
      </c>
      <c r="J1154" s="2">
        <v>4798</v>
      </c>
      <c r="K1154" s="2">
        <v>4448</v>
      </c>
      <c r="L1154" s="2">
        <v>3</v>
      </c>
      <c r="M1154" s="7">
        <f t="shared" si="68"/>
        <v>13344</v>
      </c>
      <c r="N1154" s="7">
        <f t="shared" si="69"/>
        <v>14394</v>
      </c>
      <c r="O1154" s="2">
        <v>40</v>
      </c>
      <c r="P1154" s="8">
        <f t="shared" si="70"/>
        <v>14434</v>
      </c>
      <c r="Q1154" s="8">
        <f t="shared" si="71"/>
        <v>14354</v>
      </c>
      <c r="R1154" s="2" t="s">
        <v>28</v>
      </c>
      <c r="S1154" s="9">
        <f>VLOOKUP(P1154,$T$2:U1151,2,1)</f>
        <v>0.05</v>
      </c>
    </row>
    <row r="1155" spans="1:19" x14ac:dyDescent="0.25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e">
        <f>VLOOKUP(F1155,'Customer Info'!A1147:I1646,2,0)</f>
        <v>#N/A</v>
      </c>
      <c r="H1155" s="6" t="e">
        <f>VLOOKUP(F1155,'Customer Info'!A1147:I1646,3,0)</f>
        <v>#N/A</v>
      </c>
      <c r="I1155" s="6" t="e">
        <f>VLOOKUP(F1155,'Customer Info'!A1147:I1646,5,0)</f>
        <v>#N/A</v>
      </c>
      <c r="J1155" s="2">
        <v>6864</v>
      </c>
      <c r="K1155" s="2">
        <v>6667</v>
      </c>
      <c r="L1155" s="2">
        <v>1</v>
      </c>
      <c r="M1155" s="7">
        <f t="shared" si="68"/>
        <v>6667</v>
      </c>
      <c r="N1155" s="7">
        <f t="shared" si="69"/>
        <v>6864</v>
      </c>
      <c r="O1155" s="2">
        <v>79</v>
      </c>
      <c r="P1155" s="8">
        <f t="shared" si="70"/>
        <v>6943</v>
      </c>
      <c r="Q1155" s="8">
        <f t="shared" si="71"/>
        <v>6785</v>
      </c>
      <c r="R1155" s="2" t="s">
        <v>28</v>
      </c>
      <c r="S1155" s="9">
        <f>VLOOKUP(P1155,$T$2:U1152,2,1)</f>
        <v>0.05</v>
      </c>
    </row>
    <row r="1156" spans="1:19" x14ac:dyDescent="0.25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e">
        <f>VLOOKUP(F1156,'Customer Info'!A1148:I1647,2,0)</f>
        <v>#N/A</v>
      </c>
      <c r="H1156" s="6" t="e">
        <f>VLOOKUP(F1156,'Customer Info'!A1148:I1647,3,0)</f>
        <v>#N/A</v>
      </c>
      <c r="I1156" s="6" t="e">
        <f>VLOOKUP(F1156,'Customer Info'!A1148:I1647,5,0)</f>
        <v>#N/A</v>
      </c>
      <c r="J1156" s="2">
        <v>6400</v>
      </c>
      <c r="K1156" s="2">
        <v>6401</v>
      </c>
      <c r="L1156" s="2">
        <v>3</v>
      </c>
      <c r="M1156" s="7">
        <f t="shared" si="68"/>
        <v>19203</v>
      </c>
      <c r="N1156" s="7">
        <f t="shared" si="69"/>
        <v>19200</v>
      </c>
      <c r="O1156" s="2">
        <v>88</v>
      </c>
      <c r="P1156" s="8">
        <f t="shared" si="70"/>
        <v>19288</v>
      </c>
      <c r="Q1156" s="8">
        <f t="shared" si="71"/>
        <v>19112</v>
      </c>
      <c r="R1156" s="2" t="s">
        <v>28</v>
      </c>
      <c r="S1156" s="9">
        <f>VLOOKUP(P1156,$T$2:U1153,2,1)</f>
        <v>0.05</v>
      </c>
    </row>
    <row r="1157" spans="1:19" x14ac:dyDescent="0.25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e">
        <f>VLOOKUP(F1157,'Customer Info'!A1149:I1648,2,0)</f>
        <v>#N/A</v>
      </c>
      <c r="H1157" s="6" t="e">
        <f>VLOOKUP(F1157,'Customer Info'!A1149:I1648,3,0)</f>
        <v>#N/A</v>
      </c>
      <c r="I1157" s="6" t="e">
        <f>VLOOKUP(F1157,'Customer Info'!A1149:I1648,5,0)</f>
        <v>#N/A</v>
      </c>
      <c r="J1157" s="2">
        <v>1635</v>
      </c>
      <c r="K1157" s="2">
        <v>1573</v>
      </c>
      <c r="L1157" s="2">
        <v>6</v>
      </c>
      <c r="M1157" s="7">
        <f t="shared" si="68"/>
        <v>9438</v>
      </c>
      <c r="N1157" s="7">
        <f t="shared" si="69"/>
        <v>9810</v>
      </c>
      <c r="O1157" s="2">
        <v>86</v>
      </c>
      <c r="P1157" s="8">
        <f t="shared" si="70"/>
        <v>9896</v>
      </c>
      <c r="Q1157" s="8">
        <f t="shared" si="71"/>
        <v>9724</v>
      </c>
      <c r="R1157" s="2" t="s">
        <v>28</v>
      </c>
      <c r="S1157" s="9">
        <f>VLOOKUP(P1157,$T$2:U1154,2,1)</f>
        <v>0.05</v>
      </c>
    </row>
    <row r="1158" spans="1:19" x14ac:dyDescent="0.25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e">
        <f>VLOOKUP(F1158,'Customer Info'!A1150:I1649,2,0)</f>
        <v>#N/A</v>
      </c>
      <c r="H1158" s="6" t="e">
        <f>VLOOKUP(F1158,'Customer Info'!A1150:I1649,3,0)</f>
        <v>#N/A</v>
      </c>
      <c r="I1158" s="6" t="e">
        <f>VLOOKUP(F1158,'Customer Info'!A1150:I1649,5,0)</f>
        <v>#N/A</v>
      </c>
      <c r="J1158" s="2">
        <v>2857</v>
      </c>
      <c r="K1158" s="2">
        <v>2622</v>
      </c>
      <c r="L1158" s="2">
        <v>2</v>
      </c>
      <c r="M1158" s="7">
        <f t="shared" si="68"/>
        <v>5244</v>
      </c>
      <c r="N1158" s="7">
        <f t="shared" si="69"/>
        <v>5714</v>
      </c>
      <c r="O1158" s="2">
        <v>98</v>
      </c>
      <c r="P1158" s="8">
        <f t="shared" si="70"/>
        <v>5812</v>
      </c>
      <c r="Q1158" s="8">
        <f t="shared" si="71"/>
        <v>5616</v>
      </c>
      <c r="R1158" s="2" t="s">
        <v>50</v>
      </c>
      <c r="S1158" s="9">
        <f>VLOOKUP(P1158,$T$2:U1155,2,1)</f>
        <v>0.05</v>
      </c>
    </row>
    <row r="1159" spans="1:19" x14ac:dyDescent="0.25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e">
        <f>VLOOKUP(F1159,'Customer Info'!A1151:I1650,2,0)</f>
        <v>#N/A</v>
      </c>
      <c r="H1159" s="6" t="e">
        <f>VLOOKUP(F1159,'Customer Info'!A1151:I1650,3,0)</f>
        <v>#N/A</v>
      </c>
      <c r="I1159" s="6" t="e">
        <f>VLOOKUP(F1159,'Customer Info'!A1151:I1650,5,0)</f>
        <v>#N/A</v>
      </c>
      <c r="J1159" s="2">
        <v>4808</v>
      </c>
      <c r="K1159" s="2">
        <v>4453</v>
      </c>
      <c r="L1159" s="2">
        <v>4</v>
      </c>
      <c r="M1159" s="7">
        <f t="shared" si="68"/>
        <v>17812</v>
      </c>
      <c r="N1159" s="7">
        <f t="shared" si="69"/>
        <v>19232</v>
      </c>
      <c r="O1159" s="2">
        <v>39</v>
      </c>
      <c r="P1159" s="8">
        <f t="shared" si="70"/>
        <v>19271</v>
      </c>
      <c r="Q1159" s="8">
        <f t="shared" si="71"/>
        <v>19193</v>
      </c>
      <c r="R1159" s="2" t="s">
        <v>28</v>
      </c>
      <c r="S1159" s="9">
        <f>VLOOKUP(P1159,$T$2:U1156,2,1)</f>
        <v>0.05</v>
      </c>
    </row>
    <row r="1160" spans="1:19" x14ac:dyDescent="0.25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e">
        <f>VLOOKUP(F1160,'Customer Info'!A1152:I1651,2,0)</f>
        <v>#N/A</v>
      </c>
      <c r="H1160" s="6" t="e">
        <f>VLOOKUP(F1160,'Customer Info'!A1152:I1651,3,0)</f>
        <v>#N/A</v>
      </c>
      <c r="I1160" s="6" t="e">
        <f>VLOOKUP(F1160,'Customer Info'!A1152:I1651,5,0)</f>
        <v>#N/A</v>
      </c>
      <c r="J1160" s="2">
        <v>3145</v>
      </c>
      <c r="K1160" s="2">
        <v>3025</v>
      </c>
      <c r="L1160" s="2">
        <v>1</v>
      </c>
      <c r="M1160" s="7">
        <f t="shared" si="68"/>
        <v>3025</v>
      </c>
      <c r="N1160" s="7">
        <f t="shared" si="69"/>
        <v>3145</v>
      </c>
      <c r="O1160" s="2">
        <v>30</v>
      </c>
      <c r="P1160" s="8">
        <f t="shared" si="70"/>
        <v>3175</v>
      </c>
      <c r="Q1160" s="8">
        <f t="shared" si="71"/>
        <v>3115</v>
      </c>
      <c r="R1160" s="2" t="s">
        <v>50</v>
      </c>
      <c r="S1160" s="9">
        <f>VLOOKUP(P1160,$T$2:U1157,2,1)</f>
        <v>0.02</v>
      </c>
    </row>
    <row r="1161" spans="1:19" x14ac:dyDescent="0.25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e">
        <f>VLOOKUP(F1161,'Customer Info'!A1153:I1652,2,0)</f>
        <v>#N/A</v>
      </c>
      <c r="H1161" s="6" t="e">
        <f>VLOOKUP(F1161,'Customer Info'!A1153:I1652,3,0)</f>
        <v>#N/A</v>
      </c>
      <c r="I1161" s="6" t="e">
        <f>VLOOKUP(F1161,'Customer Info'!A1153:I1652,5,0)</f>
        <v>#N/A</v>
      </c>
      <c r="J1161" s="2">
        <v>505</v>
      </c>
      <c r="K1161" s="2">
        <v>463</v>
      </c>
      <c r="L1161" s="2">
        <v>5</v>
      </c>
      <c r="M1161" s="7">
        <f t="shared" si="68"/>
        <v>2315</v>
      </c>
      <c r="N1161" s="7">
        <f t="shared" si="69"/>
        <v>2525</v>
      </c>
      <c r="O1161" s="2">
        <v>95</v>
      </c>
      <c r="P1161" s="8">
        <f t="shared" si="70"/>
        <v>2620</v>
      </c>
      <c r="Q1161" s="8">
        <f t="shared" si="71"/>
        <v>2430</v>
      </c>
      <c r="R1161" s="2" t="s">
        <v>50</v>
      </c>
      <c r="S1161" s="9">
        <f>VLOOKUP(P1161,$T$2:U1158,2,1)</f>
        <v>0.02</v>
      </c>
    </row>
    <row r="1162" spans="1:19" x14ac:dyDescent="0.25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e">
        <f>VLOOKUP(F1162,'Customer Info'!A1154:I1653,2,0)</f>
        <v>#N/A</v>
      </c>
      <c r="H1162" s="6" t="e">
        <f>VLOOKUP(F1162,'Customer Info'!A1154:I1653,3,0)</f>
        <v>#N/A</v>
      </c>
      <c r="I1162" s="6" t="e">
        <f>VLOOKUP(F1162,'Customer Info'!A1154:I1653,5,0)</f>
        <v>#N/A</v>
      </c>
      <c r="J1162" s="2">
        <v>184</v>
      </c>
      <c r="K1162" s="2">
        <v>176</v>
      </c>
      <c r="L1162" s="2">
        <v>2</v>
      </c>
      <c r="M1162" s="7">
        <f t="shared" si="68"/>
        <v>352</v>
      </c>
      <c r="N1162" s="7">
        <f t="shared" si="69"/>
        <v>368</v>
      </c>
      <c r="O1162" s="2">
        <v>30</v>
      </c>
      <c r="P1162" s="8">
        <f t="shared" si="70"/>
        <v>398</v>
      </c>
      <c r="Q1162" s="8">
        <f t="shared" si="71"/>
        <v>338</v>
      </c>
      <c r="R1162" s="2" t="s">
        <v>28</v>
      </c>
      <c r="S1162" s="9">
        <f>VLOOKUP(P1162,$T$2:U1159,2,1)</f>
        <v>0.02</v>
      </c>
    </row>
    <row r="1163" spans="1:19" x14ac:dyDescent="0.25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e">
        <f>VLOOKUP(F1163,'Customer Info'!A1155:I1654,2,0)</f>
        <v>#N/A</v>
      </c>
      <c r="H1163" s="6" t="e">
        <f>VLOOKUP(F1163,'Customer Info'!A1155:I1654,3,0)</f>
        <v>#N/A</v>
      </c>
      <c r="I1163" s="6" t="e">
        <f>VLOOKUP(F1163,'Customer Info'!A1155:I1654,5,0)</f>
        <v>#N/A</v>
      </c>
      <c r="J1163" s="2">
        <v>210</v>
      </c>
      <c r="K1163" s="2">
        <v>191</v>
      </c>
      <c r="L1163" s="2">
        <v>2</v>
      </c>
      <c r="M1163" s="7">
        <f t="shared" ref="M1163:M1226" si="72">K1163*L1163</f>
        <v>382</v>
      </c>
      <c r="N1163" s="7">
        <f t="shared" ref="N1163:N1226" si="73">J1163*L1163</f>
        <v>420</v>
      </c>
      <c r="O1163" s="2">
        <v>55</v>
      </c>
      <c r="P1163" s="8">
        <f t="shared" ref="P1163:P1226" si="74">SUM(N1163,O1163)</f>
        <v>475</v>
      </c>
      <c r="Q1163" s="8">
        <f t="shared" ref="Q1163:Q1226" si="75">N1163-O1163</f>
        <v>365</v>
      </c>
      <c r="R1163" s="2" t="s">
        <v>28</v>
      </c>
      <c r="S1163" s="9">
        <f>VLOOKUP(P1163,$T$2:U1160,2,1)</f>
        <v>0.02</v>
      </c>
    </row>
    <row r="1164" spans="1:19" x14ac:dyDescent="0.25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e">
        <f>VLOOKUP(F1164,'Customer Info'!A1156:I1655,2,0)</f>
        <v>#N/A</v>
      </c>
      <c r="H1164" s="6" t="e">
        <f>VLOOKUP(F1164,'Customer Info'!A1156:I1655,3,0)</f>
        <v>#N/A</v>
      </c>
      <c r="I1164" s="6" t="e">
        <f>VLOOKUP(F1164,'Customer Info'!A1156:I1655,5,0)</f>
        <v>#N/A</v>
      </c>
      <c r="J1164" s="2">
        <v>123</v>
      </c>
      <c r="K1164" s="2">
        <v>115</v>
      </c>
      <c r="L1164" s="2">
        <v>5</v>
      </c>
      <c r="M1164" s="7">
        <f t="shared" si="72"/>
        <v>575</v>
      </c>
      <c r="N1164" s="7">
        <f t="shared" si="73"/>
        <v>615</v>
      </c>
      <c r="O1164" s="2">
        <v>30</v>
      </c>
      <c r="P1164" s="8">
        <f t="shared" si="74"/>
        <v>645</v>
      </c>
      <c r="Q1164" s="8">
        <f t="shared" si="75"/>
        <v>585</v>
      </c>
      <c r="R1164" s="2" t="s">
        <v>28</v>
      </c>
      <c r="S1164" s="9">
        <f>VLOOKUP(P1164,$T$2:U1161,2,1)</f>
        <v>0.02</v>
      </c>
    </row>
    <row r="1165" spans="1:19" x14ac:dyDescent="0.25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e">
        <f>VLOOKUP(F1165,'Customer Info'!A1157:I1656,2,0)</f>
        <v>#N/A</v>
      </c>
      <c r="H1165" s="6" t="e">
        <f>VLOOKUP(F1165,'Customer Info'!A1157:I1656,3,0)</f>
        <v>#N/A</v>
      </c>
      <c r="I1165" s="6" t="e">
        <f>VLOOKUP(F1165,'Customer Info'!A1157:I1656,5,0)</f>
        <v>#N/A</v>
      </c>
      <c r="J1165" s="2">
        <v>1587</v>
      </c>
      <c r="K1165" s="2">
        <v>1428</v>
      </c>
      <c r="L1165" s="2">
        <v>3</v>
      </c>
      <c r="M1165" s="7">
        <f t="shared" si="72"/>
        <v>4284</v>
      </c>
      <c r="N1165" s="7">
        <f t="shared" si="73"/>
        <v>4761</v>
      </c>
      <c r="O1165" s="2">
        <v>36</v>
      </c>
      <c r="P1165" s="8">
        <f t="shared" si="74"/>
        <v>4797</v>
      </c>
      <c r="Q1165" s="8">
        <f t="shared" si="75"/>
        <v>4725</v>
      </c>
      <c r="R1165" s="2" t="s">
        <v>50</v>
      </c>
      <c r="S1165" s="9">
        <f>VLOOKUP(P1165,$T$2:U1162,2,1)</f>
        <v>0.02</v>
      </c>
    </row>
    <row r="1166" spans="1:19" x14ac:dyDescent="0.25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e">
        <f>VLOOKUP(F1166,'Customer Info'!A1158:I1657,2,0)</f>
        <v>#N/A</v>
      </c>
      <c r="H1166" s="6" t="e">
        <f>VLOOKUP(F1166,'Customer Info'!A1158:I1657,3,0)</f>
        <v>#N/A</v>
      </c>
      <c r="I1166" s="6" t="e">
        <f>VLOOKUP(F1166,'Customer Info'!A1158:I1657,5,0)</f>
        <v>#N/A</v>
      </c>
      <c r="J1166" s="2">
        <v>3053</v>
      </c>
      <c r="K1166" s="2">
        <v>2937</v>
      </c>
      <c r="L1166" s="2">
        <v>8</v>
      </c>
      <c r="M1166" s="7">
        <f t="shared" si="72"/>
        <v>23496</v>
      </c>
      <c r="N1166" s="7">
        <f t="shared" si="73"/>
        <v>24424</v>
      </c>
      <c r="O1166" s="2">
        <v>34</v>
      </c>
      <c r="P1166" s="8">
        <f t="shared" si="74"/>
        <v>24458</v>
      </c>
      <c r="Q1166" s="8">
        <f t="shared" si="75"/>
        <v>24390</v>
      </c>
      <c r="R1166" s="2" t="s">
        <v>28</v>
      </c>
      <c r="S1166" s="9">
        <f>VLOOKUP(P1166,$T$2:U1163,2,1)</f>
        <v>0.05</v>
      </c>
    </row>
    <row r="1167" spans="1:19" x14ac:dyDescent="0.25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e">
        <f>VLOOKUP(F1167,'Customer Info'!A1159:I1658,2,0)</f>
        <v>#N/A</v>
      </c>
      <c r="H1167" s="6" t="e">
        <f>VLOOKUP(F1167,'Customer Info'!A1159:I1658,3,0)</f>
        <v>#N/A</v>
      </c>
      <c r="I1167" s="6" t="e">
        <f>VLOOKUP(F1167,'Customer Info'!A1159:I1658,5,0)</f>
        <v>#N/A</v>
      </c>
      <c r="J1167" s="2">
        <v>2627</v>
      </c>
      <c r="K1167" s="2">
        <v>2528</v>
      </c>
      <c r="L1167" s="2">
        <v>2</v>
      </c>
      <c r="M1167" s="7">
        <f t="shared" si="72"/>
        <v>5056</v>
      </c>
      <c r="N1167" s="7">
        <f t="shared" si="73"/>
        <v>5254</v>
      </c>
      <c r="O1167" s="2">
        <v>82</v>
      </c>
      <c r="P1167" s="8">
        <f t="shared" si="74"/>
        <v>5336</v>
      </c>
      <c r="Q1167" s="8">
        <f t="shared" si="75"/>
        <v>5172</v>
      </c>
      <c r="R1167" s="2" t="s">
        <v>28</v>
      </c>
      <c r="S1167" s="9">
        <f>VLOOKUP(P1167,$T$2:U1164,2,1)</f>
        <v>0.05</v>
      </c>
    </row>
    <row r="1168" spans="1:19" x14ac:dyDescent="0.25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e">
        <f>VLOOKUP(F1168,'Customer Info'!A1160:I1659,2,0)</f>
        <v>#N/A</v>
      </c>
      <c r="H1168" s="6" t="e">
        <f>VLOOKUP(F1168,'Customer Info'!A1160:I1659,3,0)</f>
        <v>#N/A</v>
      </c>
      <c r="I1168" s="6" t="e">
        <f>VLOOKUP(F1168,'Customer Info'!A1160:I1659,5,0)</f>
        <v>#N/A</v>
      </c>
      <c r="J1168" s="2">
        <v>59</v>
      </c>
      <c r="K1168" s="2">
        <v>55</v>
      </c>
      <c r="L1168" s="2">
        <v>1</v>
      </c>
      <c r="M1168" s="7">
        <f t="shared" si="72"/>
        <v>55</v>
      </c>
      <c r="N1168" s="7">
        <f t="shared" si="73"/>
        <v>59</v>
      </c>
      <c r="O1168" s="2">
        <v>10</v>
      </c>
      <c r="P1168" s="8">
        <f t="shared" si="74"/>
        <v>69</v>
      </c>
      <c r="Q1168" s="8">
        <f t="shared" si="75"/>
        <v>49</v>
      </c>
      <c r="R1168" s="2" t="s">
        <v>28</v>
      </c>
      <c r="S1168" s="9">
        <f>VLOOKUP(P1168,$T$2:U1165,2,1)</f>
        <v>0.02</v>
      </c>
    </row>
    <row r="1169" spans="1:19" x14ac:dyDescent="0.25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e">
        <f>VLOOKUP(F1169,'Customer Info'!A1161:I1660,2,0)</f>
        <v>#N/A</v>
      </c>
      <c r="H1169" s="6" t="e">
        <f>VLOOKUP(F1169,'Customer Info'!A1161:I1660,3,0)</f>
        <v>#N/A</v>
      </c>
      <c r="I1169" s="6" t="e">
        <f>VLOOKUP(F1169,'Customer Info'!A1161:I1660,5,0)</f>
        <v>#N/A</v>
      </c>
      <c r="J1169" s="2">
        <v>125</v>
      </c>
      <c r="K1169" s="2">
        <v>113</v>
      </c>
      <c r="L1169" s="2">
        <v>3</v>
      </c>
      <c r="M1169" s="7">
        <f t="shared" si="72"/>
        <v>339</v>
      </c>
      <c r="N1169" s="7">
        <f t="shared" si="73"/>
        <v>375</v>
      </c>
      <c r="O1169" s="2">
        <v>30</v>
      </c>
      <c r="P1169" s="8">
        <f t="shared" si="74"/>
        <v>405</v>
      </c>
      <c r="Q1169" s="8">
        <f t="shared" si="75"/>
        <v>345</v>
      </c>
      <c r="R1169" s="2" t="s">
        <v>50</v>
      </c>
      <c r="S1169" s="9">
        <f>VLOOKUP(P1169,$T$2:U1166,2,1)</f>
        <v>0.02</v>
      </c>
    </row>
    <row r="1170" spans="1:19" x14ac:dyDescent="0.25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e">
        <f>VLOOKUP(F1170,'Customer Info'!A1162:I1661,2,0)</f>
        <v>#N/A</v>
      </c>
      <c r="H1170" s="6" t="e">
        <f>VLOOKUP(F1170,'Customer Info'!A1162:I1661,3,0)</f>
        <v>#N/A</v>
      </c>
      <c r="I1170" s="6" t="e">
        <f>VLOOKUP(F1170,'Customer Info'!A1162:I1661,5,0)</f>
        <v>#N/A</v>
      </c>
      <c r="J1170" s="2">
        <v>166</v>
      </c>
      <c r="K1170" s="2">
        <v>149</v>
      </c>
      <c r="L1170" s="2">
        <v>4</v>
      </c>
      <c r="M1170" s="7">
        <f t="shared" si="72"/>
        <v>596</v>
      </c>
      <c r="N1170" s="7">
        <f t="shared" si="73"/>
        <v>664</v>
      </c>
      <c r="O1170" s="2">
        <v>30</v>
      </c>
      <c r="P1170" s="8">
        <f t="shared" si="74"/>
        <v>694</v>
      </c>
      <c r="Q1170" s="8">
        <f t="shared" si="75"/>
        <v>634</v>
      </c>
      <c r="R1170" s="2" t="s">
        <v>28</v>
      </c>
      <c r="S1170" s="9">
        <f>VLOOKUP(P1170,$T$2:U1167,2,1)</f>
        <v>0.02</v>
      </c>
    </row>
    <row r="1171" spans="1:19" x14ac:dyDescent="0.25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e">
        <f>VLOOKUP(F1171,'Customer Info'!A1163:I1662,2,0)</f>
        <v>#N/A</v>
      </c>
      <c r="H1171" s="6" t="e">
        <f>VLOOKUP(F1171,'Customer Info'!A1163:I1662,3,0)</f>
        <v>#N/A</v>
      </c>
      <c r="I1171" s="6" t="e">
        <f>VLOOKUP(F1171,'Customer Info'!A1163:I1662,5,0)</f>
        <v>#N/A</v>
      </c>
      <c r="J1171" s="2">
        <v>726</v>
      </c>
      <c r="K1171" s="2">
        <v>646</v>
      </c>
      <c r="L1171" s="2">
        <v>2</v>
      </c>
      <c r="M1171" s="7">
        <f t="shared" si="72"/>
        <v>1292</v>
      </c>
      <c r="N1171" s="7">
        <f t="shared" si="73"/>
        <v>1452</v>
      </c>
      <c r="O1171" s="2">
        <v>39</v>
      </c>
      <c r="P1171" s="8">
        <f t="shared" si="74"/>
        <v>1491</v>
      </c>
      <c r="Q1171" s="8">
        <f t="shared" si="75"/>
        <v>1413</v>
      </c>
      <c r="R1171" s="2" t="s">
        <v>26</v>
      </c>
      <c r="S1171" s="9">
        <f>VLOOKUP(P1171,$T$2:U1168,2,1)</f>
        <v>0.02</v>
      </c>
    </row>
    <row r="1172" spans="1:19" x14ac:dyDescent="0.25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e">
        <f>VLOOKUP(F1172,'Customer Info'!A1164:I1663,2,0)</f>
        <v>#N/A</v>
      </c>
      <c r="H1172" s="6" t="e">
        <f>VLOOKUP(F1172,'Customer Info'!A1164:I1663,3,0)</f>
        <v>#N/A</v>
      </c>
      <c r="I1172" s="6" t="e">
        <f>VLOOKUP(F1172,'Customer Info'!A1164:I1663,5,0)</f>
        <v>#N/A</v>
      </c>
      <c r="J1172" s="2">
        <v>7960</v>
      </c>
      <c r="K1172" s="2">
        <v>7375</v>
      </c>
      <c r="L1172" s="2">
        <v>4</v>
      </c>
      <c r="M1172" s="7">
        <f t="shared" si="72"/>
        <v>29500</v>
      </c>
      <c r="N1172" s="7">
        <f t="shared" si="73"/>
        <v>31840</v>
      </c>
      <c r="O1172" s="2">
        <v>26</v>
      </c>
      <c r="P1172" s="8">
        <f t="shared" si="74"/>
        <v>31866</v>
      </c>
      <c r="Q1172" s="8">
        <f t="shared" si="75"/>
        <v>31814</v>
      </c>
      <c r="R1172" s="2" t="s">
        <v>28</v>
      </c>
      <c r="S1172" s="9">
        <f>VLOOKUP(P1172,$T$2:U1169,2,1)</f>
        <v>7.0000000000000007E-2</v>
      </c>
    </row>
    <row r="1173" spans="1:19" x14ac:dyDescent="0.25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e">
        <f>VLOOKUP(F1173,'Customer Info'!A1165:I1664,2,0)</f>
        <v>#N/A</v>
      </c>
      <c r="H1173" s="6" t="e">
        <f>VLOOKUP(F1173,'Customer Info'!A1165:I1664,3,0)</f>
        <v>#N/A</v>
      </c>
      <c r="I1173" s="6" t="e">
        <f>VLOOKUP(F1173,'Customer Info'!A1165:I1664,5,0)</f>
        <v>#N/A</v>
      </c>
      <c r="J1173" s="2">
        <v>825</v>
      </c>
      <c r="K1173" s="2">
        <v>793</v>
      </c>
      <c r="L1173" s="2">
        <v>5</v>
      </c>
      <c r="M1173" s="7">
        <f t="shared" si="72"/>
        <v>3965</v>
      </c>
      <c r="N1173" s="7">
        <f t="shared" si="73"/>
        <v>4125</v>
      </c>
      <c r="O1173" s="2">
        <v>77</v>
      </c>
      <c r="P1173" s="8">
        <f t="shared" si="74"/>
        <v>4202</v>
      </c>
      <c r="Q1173" s="8">
        <f t="shared" si="75"/>
        <v>4048</v>
      </c>
      <c r="R1173" s="2" t="s">
        <v>28</v>
      </c>
      <c r="S1173" s="9">
        <f>VLOOKUP(P1173,$T$2:U1170,2,1)</f>
        <v>0.02</v>
      </c>
    </row>
    <row r="1174" spans="1:19" x14ac:dyDescent="0.25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e">
        <f>VLOOKUP(F1174,'Customer Info'!A1166:I1665,2,0)</f>
        <v>#N/A</v>
      </c>
      <c r="H1174" s="6" t="e">
        <f>VLOOKUP(F1174,'Customer Info'!A1166:I1665,3,0)</f>
        <v>#N/A</v>
      </c>
      <c r="I1174" s="6" t="e">
        <f>VLOOKUP(F1174,'Customer Info'!A1166:I1665,5,0)</f>
        <v>#N/A</v>
      </c>
      <c r="J1174" s="2">
        <v>2453</v>
      </c>
      <c r="K1174" s="2">
        <v>2336</v>
      </c>
      <c r="L1174" s="2">
        <v>7</v>
      </c>
      <c r="M1174" s="7">
        <f t="shared" si="72"/>
        <v>16352</v>
      </c>
      <c r="N1174" s="7">
        <f t="shared" si="73"/>
        <v>17171</v>
      </c>
      <c r="O1174" s="2">
        <v>90</v>
      </c>
      <c r="P1174" s="8">
        <f t="shared" si="74"/>
        <v>17261</v>
      </c>
      <c r="Q1174" s="8">
        <f t="shared" si="75"/>
        <v>17081</v>
      </c>
      <c r="R1174" s="2" t="s">
        <v>28</v>
      </c>
      <c r="S1174" s="9">
        <f>VLOOKUP(P1174,$T$2:U1171,2,1)</f>
        <v>0.05</v>
      </c>
    </row>
    <row r="1175" spans="1:19" x14ac:dyDescent="0.25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e">
        <f>VLOOKUP(F1175,'Customer Info'!A1167:I1666,2,0)</f>
        <v>#N/A</v>
      </c>
      <c r="H1175" s="6" t="e">
        <f>VLOOKUP(F1175,'Customer Info'!A1167:I1666,3,0)</f>
        <v>#N/A</v>
      </c>
      <c r="I1175" s="6" t="e">
        <f>VLOOKUP(F1175,'Customer Info'!A1167:I1666,5,0)</f>
        <v>#N/A</v>
      </c>
      <c r="J1175" s="2">
        <v>1305</v>
      </c>
      <c r="K1175" s="2">
        <v>1197</v>
      </c>
      <c r="L1175" s="2">
        <v>3</v>
      </c>
      <c r="M1175" s="7">
        <f t="shared" si="72"/>
        <v>3591</v>
      </c>
      <c r="N1175" s="7">
        <f t="shared" si="73"/>
        <v>3915</v>
      </c>
      <c r="O1175" s="2">
        <v>38</v>
      </c>
      <c r="P1175" s="8">
        <f t="shared" si="74"/>
        <v>3953</v>
      </c>
      <c r="Q1175" s="8">
        <f t="shared" si="75"/>
        <v>3877</v>
      </c>
      <c r="R1175" s="2" t="s">
        <v>28</v>
      </c>
      <c r="S1175" s="9">
        <f>VLOOKUP(P1175,$T$2:U1172,2,1)</f>
        <v>0.02</v>
      </c>
    </row>
    <row r="1176" spans="1:19" x14ac:dyDescent="0.25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e">
        <f>VLOOKUP(F1176,'Customer Info'!A1168:I1667,2,0)</f>
        <v>#N/A</v>
      </c>
      <c r="H1176" s="6" t="e">
        <f>VLOOKUP(F1176,'Customer Info'!A1168:I1667,3,0)</f>
        <v>#N/A</v>
      </c>
      <c r="I1176" s="6" t="e">
        <f>VLOOKUP(F1176,'Customer Info'!A1168:I1667,5,0)</f>
        <v>#N/A</v>
      </c>
      <c r="J1176" s="2">
        <v>6481</v>
      </c>
      <c r="K1176" s="2">
        <v>5884</v>
      </c>
      <c r="L1176" s="2">
        <v>6</v>
      </c>
      <c r="M1176" s="7">
        <f t="shared" si="72"/>
        <v>35304</v>
      </c>
      <c r="N1176" s="7">
        <f t="shared" si="73"/>
        <v>38886</v>
      </c>
      <c r="O1176" s="2">
        <v>21</v>
      </c>
      <c r="P1176" s="8">
        <f t="shared" si="74"/>
        <v>38907</v>
      </c>
      <c r="Q1176" s="8">
        <f t="shared" si="75"/>
        <v>38865</v>
      </c>
      <c r="R1176" s="2" t="s">
        <v>26</v>
      </c>
      <c r="S1176" s="9">
        <f>VLOOKUP(P1176,$T$2:U1173,2,1)</f>
        <v>7.0000000000000007E-2</v>
      </c>
    </row>
    <row r="1177" spans="1:19" x14ac:dyDescent="0.25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e">
        <f>VLOOKUP(F1177,'Customer Info'!A1169:I1668,2,0)</f>
        <v>#N/A</v>
      </c>
      <c r="H1177" s="6" t="e">
        <f>VLOOKUP(F1177,'Customer Info'!A1169:I1668,3,0)</f>
        <v>#N/A</v>
      </c>
      <c r="I1177" s="6" t="e">
        <f>VLOOKUP(F1177,'Customer Info'!A1169:I1668,5,0)</f>
        <v>#N/A</v>
      </c>
      <c r="J1177" s="2">
        <v>2027</v>
      </c>
      <c r="K1177" s="2">
        <v>1913</v>
      </c>
      <c r="L1177" s="2">
        <v>3</v>
      </c>
      <c r="M1177" s="7">
        <f t="shared" si="72"/>
        <v>5739</v>
      </c>
      <c r="N1177" s="7">
        <f t="shared" si="73"/>
        <v>6081</v>
      </c>
      <c r="O1177" s="2">
        <v>80</v>
      </c>
      <c r="P1177" s="8">
        <f t="shared" si="74"/>
        <v>6161</v>
      </c>
      <c r="Q1177" s="8">
        <f t="shared" si="75"/>
        <v>6001</v>
      </c>
      <c r="R1177" s="2" t="s">
        <v>28</v>
      </c>
      <c r="S1177" s="9">
        <f>VLOOKUP(P1177,$T$2:U1174,2,1)</f>
        <v>0.05</v>
      </c>
    </row>
    <row r="1178" spans="1:19" x14ac:dyDescent="0.25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e">
        <f>VLOOKUP(F1178,'Customer Info'!A1170:I1669,2,0)</f>
        <v>#N/A</v>
      </c>
      <c r="H1178" s="6" t="e">
        <f>VLOOKUP(F1178,'Customer Info'!A1170:I1669,3,0)</f>
        <v>#N/A</v>
      </c>
      <c r="I1178" s="6" t="e">
        <f>VLOOKUP(F1178,'Customer Info'!A1170:I1669,5,0)</f>
        <v>#N/A</v>
      </c>
      <c r="J1178" s="2">
        <v>2200</v>
      </c>
      <c r="K1178" s="2">
        <v>2020</v>
      </c>
      <c r="L1178" s="2">
        <v>3</v>
      </c>
      <c r="M1178" s="7">
        <f t="shared" si="72"/>
        <v>6060</v>
      </c>
      <c r="N1178" s="7">
        <f t="shared" si="73"/>
        <v>6600</v>
      </c>
      <c r="O1178" s="2">
        <v>71</v>
      </c>
      <c r="P1178" s="8">
        <f t="shared" si="74"/>
        <v>6671</v>
      </c>
      <c r="Q1178" s="8">
        <f t="shared" si="75"/>
        <v>6529</v>
      </c>
      <c r="R1178" s="2" t="s">
        <v>28</v>
      </c>
      <c r="S1178" s="9">
        <f>VLOOKUP(P1178,$T$2:U1175,2,1)</f>
        <v>0.05</v>
      </c>
    </row>
    <row r="1179" spans="1:19" x14ac:dyDescent="0.25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e">
        <f>VLOOKUP(F1179,'Customer Info'!A1171:I1670,2,0)</f>
        <v>#N/A</v>
      </c>
      <c r="H1179" s="6" t="e">
        <f>VLOOKUP(F1179,'Customer Info'!A1171:I1670,3,0)</f>
        <v>#N/A</v>
      </c>
      <c r="I1179" s="6" t="e">
        <f>VLOOKUP(F1179,'Customer Info'!A1171:I1670,5,0)</f>
        <v>#N/A</v>
      </c>
      <c r="J1179" s="2">
        <v>8738</v>
      </c>
      <c r="K1179" s="2">
        <v>8162</v>
      </c>
      <c r="L1179" s="2">
        <v>2</v>
      </c>
      <c r="M1179" s="7">
        <f t="shared" si="72"/>
        <v>16324</v>
      </c>
      <c r="N1179" s="7">
        <f t="shared" si="73"/>
        <v>17476</v>
      </c>
      <c r="O1179" s="2">
        <v>42</v>
      </c>
      <c r="P1179" s="8">
        <f t="shared" si="74"/>
        <v>17518</v>
      </c>
      <c r="Q1179" s="8">
        <f t="shared" si="75"/>
        <v>17434</v>
      </c>
      <c r="R1179" s="2" t="s">
        <v>28</v>
      </c>
      <c r="S1179" s="9">
        <f>VLOOKUP(P1179,$T$2:U1176,2,1)</f>
        <v>0.05</v>
      </c>
    </row>
    <row r="1180" spans="1:19" x14ac:dyDescent="0.25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e">
        <f>VLOOKUP(F1180,'Customer Info'!A1172:I1671,2,0)</f>
        <v>#N/A</v>
      </c>
      <c r="H1180" s="6" t="e">
        <f>VLOOKUP(F1180,'Customer Info'!A1172:I1671,3,0)</f>
        <v>#N/A</v>
      </c>
      <c r="I1180" s="6" t="e">
        <f>VLOOKUP(F1180,'Customer Info'!A1172:I1671,5,0)</f>
        <v>#N/A</v>
      </c>
      <c r="J1180" s="2">
        <v>1146</v>
      </c>
      <c r="K1180" s="2">
        <v>1061</v>
      </c>
      <c r="L1180" s="2">
        <v>2</v>
      </c>
      <c r="M1180" s="7">
        <f t="shared" si="72"/>
        <v>2122</v>
      </c>
      <c r="N1180" s="7">
        <f t="shared" si="73"/>
        <v>2292</v>
      </c>
      <c r="O1180" s="2">
        <v>31</v>
      </c>
      <c r="P1180" s="8">
        <f t="shared" si="74"/>
        <v>2323</v>
      </c>
      <c r="Q1180" s="8">
        <f t="shared" si="75"/>
        <v>2261</v>
      </c>
      <c r="R1180" s="2" t="s">
        <v>50</v>
      </c>
      <c r="S1180" s="9">
        <f>VLOOKUP(P1180,$T$2:U1177,2,1)</f>
        <v>0.02</v>
      </c>
    </row>
    <row r="1181" spans="1:19" x14ac:dyDescent="0.25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e">
        <f>VLOOKUP(F1181,'Customer Info'!A1173:I1672,2,0)</f>
        <v>#N/A</v>
      </c>
      <c r="H1181" s="6" t="e">
        <f>VLOOKUP(F1181,'Customer Info'!A1173:I1672,3,0)</f>
        <v>#N/A</v>
      </c>
      <c r="I1181" s="6" t="e">
        <f>VLOOKUP(F1181,'Customer Info'!A1173:I1672,5,0)</f>
        <v>#N/A</v>
      </c>
      <c r="J1181" s="2">
        <v>1790</v>
      </c>
      <c r="K1181" s="2">
        <v>1706</v>
      </c>
      <c r="L1181" s="2">
        <v>1</v>
      </c>
      <c r="M1181" s="7">
        <f t="shared" si="72"/>
        <v>1706</v>
      </c>
      <c r="N1181" s="7">
        <f t="shared" si="73"/>
        <v>1790</v>
      </c>
      <c r="O1181" s="2">
        <v>61</v>
      </c>
      <c r="P1181" s="8">
        <f t="shared" si="74"/>
        <v>1851</v>
      </c>
      <c r="Q1181" s="8">
        <f t="shared" si="75"/>
        <v>1729</v>
      </c>
      <c r="R1181" s="2" t="s">
        <v>28</v>
      </c>
      <c r="S1181" s="9">
        <f>VLOOKUP(P1181,$T$2:U1178,2,1)</f>
        <v>0.02</v>
      </c>
    </row>
    <row r="1182" spans="1:19" x14ac:dyDescent="0.25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e">
        <f>VLOOKUP(F1182,'Customer Info'!A1174:I1673,2,0)</f>
        <v>#N/A</v>
      </c>
      <c r="H1182" s="6" t="e">
        <f>VLOOKUP(F1182,'Customer Info'!A1174:I1673,3,0)</f>
        <v>#N/A</v>
      </c>
      <c r="I1182" s="6" t="e">
        <f>VLOOKUP(F1182,'Customer Info'!A1174:I1673,5,0)</f>
        <v>#N/A</v>
      </c>
      <c r="J1182" s="2">
        <v>135</v>
      </c>
      <c r="K1182" s="2">
        <v>126</v>
      </c>
      <c r="L1182" s="2">
        <v>2</v>
      </c>
      <c r="M1182" s="7">
        <f t="shared" si="72"/>
        <v>252</v>
      </c>
      <c r="N1182" s="7">
        <f t="shared" si="73"/>
        <v>270</v>
      </c>
      <c r="O1182" s="2">
        <v>30</v>
      </c>
      <c r="P1182" s="8">
        <f t="shared" si="74"/>
        <v>300</v>
      </c>
      <c r="Q1182" s="8">
        <f t="shared" si="75"/>
        <v>240</v>
      </c>
      <c r="R1182" s="2" t="s">
        <v>50</v>
      </c>
      <c r="S1182" s="9">
        <f>VLOOKUP(P1182,$T$2:U1179,2,1)</f>
        <v>0.02</v>
      </c>
    </row>
    <row r="1183" spans="1:19" x14ac:dyDescent="0.25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e">
        <f>VLOOKUP(F1183,'Customer Info'!A1175:I1674,2,0)</f>
        <v>#N/A</v>
      </c>
      <c r="H1183" s="6" t="e">
        <f>VLOOKUP(F1183,'Customer Info'!A1175:I1674,3,0)</f>
        <v>#N/A</v>
      </c>
      <c r="I1183" s="6" t="e">
        <f>VLOOKUP(F1183,'Customer Info'!A1175:I1674,5,0)</f>
        <v>#N/A</v>
      </c>
      <c r="J1183" s="2">
        <v>3248</v>
      </c>
      <c r="K1183" s="2">
        <v>3035</v>
      </c>
      <c r="L1183" s="2">
        <v>2</v>
      </c>
      <c r="M1183" s="7">
        <f t="shared" si="72"/>
        <v>6070</v>
      </c>
      <c r="N1183" s="7">
        <f t="shared" si="73"/>
        <v>6496</v>
      </c>
      <c r="O1183" s="2">
        <v>30</v>
      </c>
      <c r="P1183" s="8">
        <f t="shared" si="74"/>
        <v>6526</v>
      </c>
      <c r="Q1183" s="8">
        <f t="shared" si="75"/>
        <v>6466</v>
      </c>
      <c r="R1183" s="2" t="s">
        <v>56</v>
      </c>
      <c r="S1183" s="9">
        <f>VLOOKUP(P1183,$T$2:U1180,2,1)</f>
        <v>0.05</v>
      </c>
    </row>
    <row r="1184" spans="1:19" x14ac:dyDescent="0.25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e">
        <f>VLOOKUP(F1184,'Customer Info'!A1176:I1675,2,0)</f>
        <v>#N/A</v>
      </c>
      <c r="H1184" s="6" t="e">
        <f>VLOOKUP(F1184,'Customer Info'!A1176:I1675,3,0)</f>
        <v>#N/A</v>
      </c>
      <c r="I1184" s="6" t="e">
        <f>VLOOKUP(F1184,'Customer Info'!A1176:I1675,5,0)</f>
        <v>#N/A</v>
      </c>
      <c r="J1184" s="2">
        <v>179</v>
      </c>
      <c r="K1184" s="2">
        <v>166</v>
      </c>
      <c r="L1184" s="2">
        <v>5</v>
      </c>
      <c r="M1184" s="7">
        <f t="shared" si="72"/>
        <v>830</v>
      </c>
      <c r="N1184" s="7">
        <f t="shared" si="73"/>
        <v>895</v>
      </c>
      <c r="O1184" s="2">
        <v>30</v>
      </c>
      <c r="P1184" s="8">
        <f t="shared" si="74"/>
        <v>925</v>
      </c>
      <c r="Q1184" s="8">
        <f t="shared" si="75"/>
        <v>865</v>
      </c>
      <c r="R1184" s="2" t="s">
        <v>50</v>
      </c>
      <c r="S1184" s="9">
        <f>VLOOKUP(P1184,$T$2:U1181,2,1)</f>
        <v>0.02</v>
      </c>
    </row>
    <row r="1185" spans="1:19" x14ac:dyDescent="0.25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e">
        <f>VLOOKUP(F1185,'Customer Info'!A1177:I1676,2,0)</f>
        <v>#N/A</v>
      </c>
      <c r="H1185" s="6" t="e">
        <f>VLOOKUP(F1185,'Customer Info'!A1177:I1676,3,0)</f>
        <v>#N/A</v>
      </c>
      <c r="I1185" s="6" t="e">
        <f>VLOOKUP(F1185,'Customer Info'!A1177:I1676,5,0)</f>
        <v>#N/A</v>
      </c>
      <c r="J1185" s="2">
        <v>82</v>
      </c>
      <c r="K1185" s="2">
        <v>79</v>
      </c>
      <c r="L1185" s="2">
        <v>7</v>
      </c>
      <c r="M1185" s="7">
        <f t="shared" si="72"/>
        <v>553</v>
      </c>
      <c r="N1185" s="7">
        <f t="shared" si="73"/>
        <v>574</v>
      </c>
      <c r="O1185" s="2">
        <v>10</v>
      </c>
      <c r="P1185" s="8">
        <f t="shared" si="74"/>
        <v>584</v>
      </c>
      <c r="Q1185" s="8">
        <f t="shared" si="75"/>
        <v>564</v>
      </c>
      <c r="R1185" s="2" t="s">
        <v>56</v>
      </c>
      <c r="S1185" s="9">
        <f>VLOOKUP(P1185,$T$2:U1182,2,1)</f>
        <v>0.02</v>
      </c>
    </row>
    <row r="1186" spans="1:19" x14ac:dyDescent="0.25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e">
        <f>VLOOKUP(F1186,'Customer Info'!A1178:I1677,2,0)</f>
        <v>#N/A</v>
      </c>
      <c r="H1186" s="6" t="e">
        <f>VLOOKUP(F1186,'Customer Info'!A1178:I1677,3,0)</f>
        <v>#N/A</v>
      </c>
      <c r="I1186" s="6" t="e">
        <f>VLOOKUP(F1186,'Customer Info'!A1178:I1677,5,0)</f>
        <v>#N/A</v>
      </c>
      <c r="J1186" s="2">
        <v>4798</v>
      </c>
      <c r="K1186" s="2">
        <v>4448</v>
      </c>
      <c r="L1186" s="2">
        <v>1</v>
      </c>
      <c r="M1186" s="7">
        <f t="shared" si="72"/>
        <v>4448</v>
      </c>
      <c r="N1186" s="7">
        <f t="shared" si="73"/>
        <v>4798</v>
      </c>
      <c r="O1186" s="2">
        <v>87</v>
      </c>
      <c r="P1186" s="8">
        <f t="shared" si="74"/>
        <v>4885</v>
      </c>
      <c r="Q1186" s="8">
        <f t="shared" si="75"/>
        <v>4711</v>
      </c>
      <c r="R1186" s="2" t="s">
        <v>50</v>
      </c>
      <c r="S1186" s="9">
        <f>VLOOKUP(P1186,$T$2:U1183,2,1)</f>
        <v>0.02</v>
      </c>
    </row>
    <row r="1187" spans="1:19" x14ac:dyDescent="0.25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e">
        <f>VLOOKUP(F1187,'Customer Info'!A1179:I1678,2,0)</f>
        <v>#N/A</v>
      </c>
      <c r="H1187" s="6" t="e">
        <f>VLOOKUP(F1187,'Customer Info'!A1179:I1678,3,0)</f>
        <v>#N/A</v>
      </c>
      <c r="I1187" s="6" t="e">
        <f>VLOOKUP(F1187,'Customer Info'!A1179:I1678,5,0)</f>
        <v>#N/A</v>
      </c>
      <c r="J1187" s="2">
        <v>1619</v>
      </c>
      <c r="K1187" s="2">
        <v>1442</v>
      </c>
      <c r="L1187" s="2">
        <v>3</v>
      </c>
      <c r="M1187" s="7">
        <f t="shared" si="72"/>
        <v>4326</v>
      </c>
      <c r="N1187" s="7">
        <f t="shared" si="73"/>
        <v>4857</v>
      </c>
      <c r="O1187" s="2">
        <v>87</v>
      </c>
      <c r="P1187" s="8">
        <f t="shared" si="74"/>
        <v>4944</v>
      </c>
      <c r="Q1187" s="8">
        <f t="shared" si="75"/>
        <v>4770</v>
      </c>
      <c r="R1187" s="2" t="s">
        <v>28</v>
      </c>
      <c r="S1187" s="9">
        <f>VLOOKUP(P1187,$T$2:U1184,2,1)</f>
        <v>0.02</v>
      </c>
    </row>
    <row r="1188" spans="1:19" x14ac:dyDescent="0.25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e">
        <f>VLOOKUP(F1188,'Customer Info'!A1180:I1679,2,0)</f>
        <v>#N/A</v>
      </c>
      <c r="H1188" s="6" t="e">
        <f>VLOOKUP(F1188,'Customer Info'!A1180:I1679,3,0)</f>
        <v>#N/A</v>
      </c>
      <c r="I1188" s="6" t="e">
        <f>VLOOKUP(F1188,'Customer Info'!A1180:I1679,5,0)</f>
        <v>#N/A</v>
      </c>
      <c r="J1188" s="2">
        <v>1498</v>
      </c>
      <c r="K1188" s="2">
        <v>1335</v>
      </c>
      <c r="L1188" s="2">
        <v>6</v>
      </c>
      <c r="M1188" s="7">
        <f t="shared" si="72"/>
        <v>8010</v>
      </c>
      <c r="N1188" s="7">
        <f t="shared" si="73"/>
        <v>8988</v>
      </c>
      <c r="O1188" s="2">
        <v>57</v>
      </c>
      <c r="P1188" s="8">
        <f t="shared" si="74"/>
        <v>9045</v>
      </c>
      <c r="Q1188" s="8">
        <f t="shared" si="75"/>
        <v>8931</v>
      </c>
      <c r="R1188" s="2" t="s">
        <v>50</v>
      </c>
      <c r="S1188" s="9">
        <f>VLOOKUP(P1188,$T$2:U1185,2,1)</f>
        <v>0.05</v>
      </c>
    </row>
    <row r="1189" spans="1:19" x14ac:dyDescent="0.25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e">
        <f>VLOOKUP(F1189,'Customer Info'!A1181:I1680,2,0)</f>
        <v>#N/A</v>
      </c>
      <c r="H1189" s="6" t="e">
        <f>VLOOKUP(F1189,'Customer Info'!A1181:I1680,3,0)</f>
        <v>#N/A</v>
      </c>
      <c r="I1189" s="6" t="e">
        <f>VLOOKUP(F1189,'Customer Info'!A1181:I1680,5,0)</f>
        <v>#N/A</v>
      </c>
      <c r="J1189" s="2">
        <v>1734</v>
      </c>
      <c r="K1189" s="2">
        <v>1702</v>
      </c>
      <c r="L1189" s="2">
        <v>1</v>
      </c>
      <c r="M1189" s="7">
        <f t="shared" si="72"/>
        <v>1702</v>
      </c>
      <c r="N1189" s="7">
        <f t="shared" si="73"/>
        <v>1734</v>
      </c>
      <c r="O1189" s="2">
        <v>42</v>
      </c>
      <c r="P1189" s="8">
        <f t="shared" si="74"/>
        <v>1776</v>
      </c>
      <c r="Q1189" s="8">
        <f t="shared" si="75"/>
        <v>1692</v>
      </c>
      <c r="R1189" s="2" t="s">
        <v>50</v>
      </c>
      <c r="S1189" s="9">
        <f>VLOOKUP(P1189,$T$2:U1186,2,1)</f>
        <v>0.02</v>
      </c>
    </row>
    <row r="1190" spans="1:19" x14ac:dyDescent="0.25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e">
        <f>VLOOKUP(F1190,'Customer Info'!A1182:I1681,2,0)</f>
        <v>#N/A</v>
      </c>
      <c r="H1190" s="6" t="e">
        <f>VLOOKUP(F1190,'Customer Info'!A1182:I1681,3,0)</f>
        <v>#N/A</v>
      </c>
      <c r="I1190" s="6" t="e">
        <f>VLOOKUP(F1190,'Customer Info'!A1182:I1681,5,0)</f>
        <v>#N/A</v>
      </c>
      <c r="J1190" s="2">
        <v>2921</v>
      </c>
      <c r="K1190" s="2">
        <v>2809</v>
      </c>
      <c r="L1190" s="2">
        <v>5</v>
      </c>
      <c r="M1190" s="7">
        <f t="shared" si="72"/>
        <v>14045</v>
      </c>
      <c r="N1190" s="7">
        <f t="shared" si="73"/>
        <v>14605</v>
      </c>
      <c r="O1190" s="2">
        <v>80</v>
      </c>
      <c r="P1190" s="8">
        <f t="shared" si="74"/>
        <v>14685</v>
      </c>
      <c r="Q1190" s="8">
        <f t="shared" si="75"/>
        <v>14525</v>
      </c>
      <c r="R1190" s="2" t="s">
        <v>56</v>
      </c>
      <c r="S1190" s="9">
        <f>VLOOKUP(P1190,$T$2:U1187,2,1)</f>
        <v>0.05</v>
      </c>
    </row>
    <row r="1191" spans="1:19" x14ac:dyDescent="0.25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e">
        <f>VLOOKUP(F1191,'Customer Info'!A1183:I1682,2,0)</f>
        <v>#N/A</v>
      </c>
      <c r="H1191" s="6" t="e">
        <f>VLOOKUP(F1191,'Customer Info'!A1183:I1682,3,0)</f>
        <v>#N/A</v>
      </c>
      <c r="I1191" s="6" t="e">
        <f>VLOOKUP(F1191,'Customer Info'!A1183:I1682,5,0)</f>
        <v>#N/A</v>
      </c>
      <c r="J1191" s="2">
        <v>465</v>
      </c>
      <c r="K1191" s="2">
        <v>439</v>
      </c>
      <c r="L1191" s="2">
        <v>3</v>
      </c>
      <c r="M1191" s="7">
        <f t="shared" si="72"/>
        <v>1317</v>
      </c>
      <c r="N1191" s="7">
        <f t="shared" si="73"/>
        <v>1395</v>
      </c>
      <c r="O1191" s="2">
        <v>99</v>
      </c>
      <c r="P1191" s="8">
        <f t="shared" si="74"/>
        <v>1494</v>
      </c>
      <c r="Q1191" s="8">
        <f t="shared" si="75"/>
        <v>1296</v>
      </c>
      <c r="R1191" s="2" t="s">
        <v>50</v>
      </c>
      <c r="S1191" s="9">
        <f>VLOOKUP(P1191,$T$2:U1188,2,1)</f>
        <v>0.02</v>
      </c>
    </row>
    <row r="1192" spans="1:19" x14ac:dyDescent="0.25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e">
        <f>VLOOKUP(F1192,'Customer Info'!A1184:I1683,2,0)</f>
        <v>#N/A</v>
      </c>
      <c r="H1192" s="6" t="e">
        <f>VLOOKUP(F1192,'Customer Info'!A1184:I1683,3,0)</f>
        <v>#N/A</v>
      </c>
      <c r="I1192" s="6" t="e">
        <f>VLOOKUP(F1192,'Customer Info'!A1184:I1683,5,0)</f>
        <v>#N/A</v>
      </c>
      <c r="J1192" s="2">
        <v>128</v>
      </c>
      <c r="K1192" s="2">
        <v>115</v>
      </c>
      <c r="L1192" s="2">
        <v>1</v>
      </c>
      <c r="M1192" s="7">
        <f t="shared" si="72"/>
        <v>115</v>
      </c>
      <c r="N1192" s="7">
        <f t="shared" si="73"/>
        <v>128</v>
      </c>
      <c r="O1192" s="2">
        <v>30</v>
      </c>
      <c r="P1192" s="8">
        <f t="shared" si="74"/>
        <v>158</v>
      </c>
      <c r="Q1192" s="8">
        <f t="shared" si="75"/>
        <v>98</v>
      </c>
      <c r="R1192" s="2" t="s">
        <v>28</v>
      </c>
      <c r="S1192" s="9">
        <f>VLOOKUP(P1192,$T$2:U1189,2,1)</f>
        <v>0.02</v>
      </c>
    </row>
    <row r="1193" spans="1:19" x14ac:dyDescent="0.25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e">
        <f>VLOOKUP(F1193,'Customer Info'!A1185:I1684,2,0)</f>
        <v>#N/A</v>
      </c>
      <c r="H1193" s="6" t="e">
        <f>VLOOKUP(F1193,'Customer Info'!A1185:I1684,3,0)</f>
        <v>#N/A</v>
      </c>
      <c r="I1193" s="6" t="e">
        <f>VLOOKUP(F1193,'Customer Info'!A1185:I1684,5,0)</f>
        <v>#N/A</v>
      </c>
      <c r="J1193" s="2">
        <v>1552</v>
      </c>
      <c r="K1193" s="2">
        <v>1466</v>
      </c>
      <c r="L1193" s="2">
        <v>2</v>
      </c>
      <c r="M1193" s="7">
        <f t="shared" si="72"/>
        <v>2932</v>
      </c>
      <c r="N1193" s="7">
        <f t="shared" si="73"/>
        <v>3104</v>
      </c>
      <c r="O1193" s="2">
        <v>37</v>
      </c>
      <c r="P1193" s="8">
        <f t="shared" si="74"/>
        <v>3141</v>
      </c>
      <c r="Q1193" s="8">
        <f t="shared" si="75"/>
        <v>3067</v>
      </c>
      <c r="R1193" s="2" t="s">
        <v>28</v>
      </c>
      <c r="S1193" s="9">
        <f>VLOOKUP(P1193,$T$2:U1190,2,1)</f>
        <v>0.02</v>
      </c>
    </row>
    <row r="1194" spans="1:19" x14ac:dyDescent="0.25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e">
        <f>VLOOKUP(F1194,'Customer Info'!A1186:I1685,2,0)</f>
        <v>#N/A</v>
      </c>
      <c r="H1194" s="6" t="e">
        <f>VLOOKUP(F1194,'Customer Info'!A1186:I1685,3,0)</f>
        <v>#N/A</v>
      </c>
      <c r="I1194" s="6" t="e">
        <f>VLOOKUP(F1194,'Customer Info'!A1186:I1685,5,0)</f>
        <v>#N/A</v>
      </c>
      <c r="J1194" s="2">
        <v>789</v>
      </c>
      <c r="K1194" s="2">
        <v>739</v>
      </c>
      <c r="L1194" s="2">
        <v>3</v>
      </c>
      <c r="M1194" s="7">
        <f t="shared" si="72"/>
        <v>2217</v>
      </c>
      <c r="N1194" s="7">
        <f t="shared" si="73"/>
        <v>2367</v>
      </c>
      <c r="O1194" s="2">
        <v>98</v>
      </c>
      <c r="P1194" s="8">
        <f t="shared" si="74"/>
        <v>2465</v>
      </c>
      <c r="Q1194" s="8">
        <f t="shared" si="75"/>
        <v>2269</v>
      </c>
      <c r="R1194" s="2" t="s">
        <v>50</v>
      </c>
      <c r="S1194" s="9">
        <f>VLOOKUP(P1194,$T$2:U1191,2,1)</f>
        <v>0.02</v>
      </c>
    </row>
    <row r="1195" spans="1:19" x14ac:dyDescent="0.25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e">
        <f>VLOOKUP(F1195,'Customer Info'!A1187:I1686,2,0)</f>
        <v>#N/A</v>
      </c>
      <c r="H1195" s="6" t="e">
        <f>VLOOKUP(F1195,'Customer Info'!A1187:I1686,3,0)</f>
        <v>#N/A</v>
      </c>
      <c r="I1195" s="6" t="e">
        <f>VLOOKUP(F1195,'Customer Info'!A1187:I1686,5,0)</f>
        <v>#N/A</v>
      </c>
      <c r="J1195" s="2">
        <v>695</v>
      </c>
      <c r="K1195" s="2">
        <v>661</v>
      </c>
      <c r="L1195" s="2">
        <v>1</v>
      </c>
      <c r="M1195" s="7">
        <f t="shared" si="72"/>
        <v>661</v>
      </c>
      <c r="N1195" s="7">
        <f t="shared" si="73"/>
        <v>695</v>
      </c>
      <c r="O1195" s="2">
        <v>100</v>
      </c>
      <c r="P1195" s="8">
        <f t="shared" si="74"/>
        <v>795</v>
      </c>
      <c r="Q1195" s="8">
        <f t="shared" si="75"/>
        <v>595</v>
      </c>
      <c r="R1195" s="2" t="s">
        <v>28</v>
      </c>
      <c r="S1195" s="9">
        <f>VLOOKUP(P1195,$T$2:U1192,2,1)</f>
        <v>0.02</v>
      </c>
    </row>
    <row r="1196" spans="1:19" x14ac:dyDescent="0.25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e">
        <f>VLOOKUP(F1196,'Customer Info'!A1188:I1687,2,0)</f>
        <v>#N/A</v>
      </c>
      <c r="H1196" s="6" t="e">
        <f>VLOOKUP(F1196,'Customer Info'!A1188:I1687,3,0)</f>
        <v>#N/A</v>
      </c>
      <c r="I1196" s="6" t="e">
        <f>VLOOKUP(F1196,'Customer Info'!A1188:I1687,5,0)</f>
        <v>#N/A</v>
      </c>
      <c r="J1196" s="2">
        <v>6012</v>
      </c>
      <c r="K1196" s="2">
        <v>5677</v>
      </c>
      <c r="L1196" s="2">
        <v>3</v>
      </c>
      <c r="M1196" s="7">
        <f t="shared" si="72"/>
        <v>17031</v>
      </c>
      <c r="N1196" s="7">
        <f t="shared" si="73"/>
        <v>18036</v>
      </c>
      <c r="O1196" s="2">
        <v>48</v>
      </c>
      <c r="P1196" s="8">
        <f t="shared" si="74"/>
        <v>18084</v>
      </c>
      <c r="Q1196" s="8">
        <f t="shared" si="75"/>
        <v>17988</v>
      </c>
      <c r="R1196" s="2" t="s">
        <v>28</v>
      </c>
      <c r="S1196" s="9">
        <f>VLOOKUP(P1196,$T$2:U1193,2,1)</f>
        <v>0.05</v>
      </c>
    </row>
    <row r="1197" spans="1:19" x14ac:dyDescent="0.25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e">
        <f>VLOOKUP(F1197,'Customer Info'!A1189:I1688,2,0)</f>
        <v>#N/A</v>
      </c>
      <c r="H1197" s="6" t="e">
        <f>VLOOKUP(F1197,'Customer Info'!A1189:I1688,3,0)</f>
        <v>#N/A</v>
      </c>
      <c r="I1197" s="6" t="e">
        <f>VLOOKUP(F1197,'Customer Info'!A1189:I1688,5,0)</f>
        <v>#N/A</v>
      </c>
      <c r="J1197" s="2">
        <v>2787</v>
      </c>
      <c r="K1197" s="2">
        <v>2681</v>
      </c>
      <c r="L1197" s="2">
        <v>3</v>
      </c>
      <c r="M1197" s="7">
        <f t="shared" si="72"/>
        <v>8043</v>
      </c>
      <c r="N1197" s="7">
        <f t="shared" si="73"/>
        <v>8361</v>
      </c>
      <c r="O1197" s="2">
        <v>85</v>
      </c>
      <c r="P1197" s="8">
        <f t="shared" si="74"/>
        <v>8446</v>
      </c>
      <c r="Q1197" s="8">
        <f t="shared" si="75"/>
        <v>8276</v>
      </c>
      <c r="R1197" s="2" t="s">
        <v>50</v>
      </c>
      <c r="S1197" s="9">
        <f>VLOOKUP(P1197,$T$2:U1194,2,1)</f>
        <v>0.05</v>
      </c>
    </row>
    <row r="1198" spans="1:19" x14ac:dyDescent="0.25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e">
        <f>VLOOKUP(F1198,'Customer Info'!A1190:I1689,2,0)</f>
        <v>#N/A</v>
      </c>
      <c r="H1198" s="6" t="e">
        <f>VLOOKUP(F1198,'Customer Info'!A1190:I1689,3,0)</f>
        <v>#N/A</v>
      </c>
      <c r="I1198" s="6" t="e">
        <f>VLOOKUP(F1198,'Customer Info'!A1190:I1689,5,0)</f>
        <v>#N/A</v>
      </c>
      <c r="J1198" s="2">
        <v>7327</v>
      </c>
      <c r="K1198" s="2">
        <v>6658</v>
      </c>
      <c r="L1198" s="2">
        <v>4</v>
      </c>
      <c r="M1198" s="7">
        <f t="shared" si="72"/>
        <v>26632</v>
      </c>
      <c r="N1198" s="7">
        <f t="shared" si="73"/>
        <v>29308</v>
      </c>
      <c r="O1198" s="2">
        <v>95</v>
      </c>
      <c r="P1198" s="8">
        <f t="shared" si="74"/>
        <v>29403</v>
      </c>
      <c r="Q1198" s="8">
        <f t="shared" si="75"/>
        <v>29213</v>
      </c>
      <c r="R1198" s="2" t="s">
        <v>28</v>
      </c>
      <c r="S1198" s="9">
        <f>VLOOKUP(P1198,$T$2:U1195,2,1)</f>
        <v>7.0000000000000007E-2</v>
      </c>
    </row>
    <row r="1199" spans="1:19" x14ac:dyDescent="0.25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e">
        <f>VLOOKUP(F1199,'Customer Info'!A1191:I1690,2,0)</f>
        <v>#N/A</v>
      </c>
      <c r="H1199" s="6" t="e">
        <f>VLOOKUP(F1199,'Customer Info'!A1191:I1690,3,0)</f>
        <v>#N/A</v>
      </c>
      <c r="I1199" s="6" t="e">
        <f>VLOOKUP(F1199,'Customer Info'!A1191:I1690,5,0)</f>
        <v>#N/A</v>
      </c>
      <c r="J1199" s="2">
        <v>4487</v>
      </c>
      <c r="K1199" s="2">
        <v>4201</v>
      </c>
      <c r="L1199" s="2">
        <v>2</v>
      </c>
      <c r="M1199" s="7">
        <f t="shared" si="72"/>
        <v>8402</v>
      </c>
      <c r="N1199" s="7">
        <f t="shared" si="73"/>
        <v>8974</v>
      </c>
      <c r="O1199" s="2">
        <v>99</v>
      </c>
      <c r="P1199" s="8">
        <f t="shared" si="74"/>
        <v>9073</v>
      </c>
      <c r="Q1199" s="8">
        <f t="shared" si="75"/>
        <v>8875</v>
      </c>
      <c r="R1199" s="2" t="s">
        <v>50</v>
      </c>
      <c r="S1199" s="9">
        <f>VLOOKUP(P1199,$T$2:U1196,2,1)</f>
        <v>0.05</v>
      </c>
    </row>
    <row r="1200" spans="1:19" x14ac:dyDescent="0.25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e">
        <f>VLOOKUP(F1200,'Customer Info'!A1192:I1691,2,0)</f>
        <v>#N/A</v>
      </c>
      <c r="H1200" s="6" t="e">
        <f>VLOOKUP(F1200,'Customer Info'!A1192:I1691,3,0)</f>
        <v>#N/A</v>
      </c>
      <c r="I1200" s="6" t="e">
        <f>VLOOKUP(F1200,'Customer Info'!A1192:I1691,5,0)</f>
        <v>#N/A</v>
      </c>
      <c r="J1200" s="2">
        <v>2250</v>
      </c>
      <c r="K1200" s="2">
        <v>2207</v>
      </c>
      <c r="L1200" s="2">
        <v>5</v>
      </c>
      <c r="M1200" s="7">
        <f t="shared" si="72"/>
        <v>11035</v>
      </c>
      <c r="N1200" s="7">
        <f t="shared" si="73"/>
        <v>11250</v>
      </c>
      <c r="O1200" s="2">
        <v>78</v>
      </c>
      <c r="P1200" s="8">
        <f t="shared" si="74"/>
        <v>11328</v>
      </c>
      <c r="Q1200" s="8">
        <f t="shared" si="75"/>
        <v>11172</v>
      </c>
      <c r="R1200" s="2" t="s">
        <v>28</v>
      </c>
      <c r="S1200" s="9">
        <f>VLOOKUP(P1200,$T$2:U1197,2,1)</f>
        <v>0.05</v>
      </c>
    </row>
    <row r="1201" spans="1:19" x14ac:dyDescent="0.25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e">
        <f>VLOOKUP(F1201,'Customer Info'!A1193:I1692,2,0)</f>
        <v>#N/A</v>
      </c>
      <c r="H1201" s="6" t="e">
        <f>VLOOKUP(F1201,'Customer Info'!A1193:I1692,3,0)</f>
        <v>#N/A</v>
      </c>
      <c r="I1201" s="6" t="e">
        <f>VLOOKUP(F1201,'Customer Info'!A1193:I1692,5,0)</f>
        <v>#N/A</v>
      </c>
      <c r="J1201" s="2">
        <v>2697</v>
      </c>
      <c r="K1201" s="2">
        <v>2498</v>
      </c>
      <c r="L1201" s="2">
        <v>3</v>
      </c>
      <c r="M1201" s="7">
        <f t="shared" si="72"/>
        <v>7494</v>
      </c>
      <c r="N1201" s="7">
        <f t="shared" si="73"/>
        <v>8091</v>
      </c>
      <c r="O1201" s="2">
        <v>21</v>
      </c>
      <c r="P1201" s="8">
        <f t="shared" si="74"/>
        <v>8112</v>
      </c>
      <c r="Q1201" s="8">
        <f t="shared" si="75"/>
        <v>8070</v>
      </c>
      <c r="R1201" s="2" t="s">
        <v>50</v>
      </c>
      <c r="S1201" s="9">
        <f>VLOOKUP(P1201,$T$2:U1198,2,1)</f>
        <v>0.05</v>
      </c>
    </row>
    <row r="1202" spans="1:19" x14ac:dyDescent="0.25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e">
        <f>VLOOKUP(F1202,'Customer Info'!A1194:I1693,2,0)</f>
        <v>#N/A</v>
      </c>
      <c r="H1202" s="6" t="e">
        <f>VLOOKUP(F1202,'Customer Info'!A1194:I1693,3,0)</f>
        <v>#N/A</v>
      </c>
      <c r="I1202" s="6" t="e">
        <f>VLOOKUP(F1202,'Customer Info'!A1194:I1693,5,0)</f>
        <v>#N/A</v>
      </c>
      <c r="J1202" s="2">
        <v>138</v>
      </c>
      <c r="K1202" s="2">
        <v>128</v>
      </c>
      <c r="L1202" s="2">
        <v>2</v>
      </c>
      <c r="M1202" s="7">
        <f t="shared" si="72"/>
        <v>256</v>
      </c>
      <c r="N1202" s="7">
        <f t="shared" si="73"/>
        <v>276</v>
      </c>
      <c r="O1202" s="2">
        <v>30</v>
      </c>
      <c r="P1202" s="8">
        <f t="shared" si="74"/>
        <v>306</v>
      </c>
      <c r="Q1202" s="8">
        <f t="shared" si="75"/>
        <v>246</v>
      </c>
      <c r="R1202" s="2" t="s">
        <v>28</v>
      </c>
      <c r="S1202" s="9">
        <f>VLOOKUP(P1202,$T$2:U1199,2,1)</f>
        <v>0.02</v>
      </c>
    </row>
    <row r="1203" spans="1:19" x14ac:dyDescent="0.25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e">
        <f>VLOOKUP(F1203,'Customer Info'!A1195:I1694,2,0)</f>
        <v>#N/A</v>
      </c>
      <c r="H1203" s="6" t="e">
        <f>VLOOKUP(F1203,'Customer Info'!A1195:I1694,3,0)</f>
        <v>#N/A</v>
      </c>
      <c r="I1203" s="6" t="e">
        <f>VLOOKUP(F1203,'Customer Info'!A1195:I1694,5,0)</f>
        <v>#N/A</v>
      </c>
      <c r="J1203" s="2">
        <v>2249</v>
      </c>
      <c r="K1203" s="2">
        <v>2102</v>
      </c>
      <c r="L1203" s="2">
        <v>8</v>
      </c>
      <c r="M1203" s="7">
        <f t="shared" si="72"/>
        <v>16816</v>
      </c>
      <c r="N1203" s="7">
        <f t="shared" si="73"/>
        <v>17992</v>
      </c>
      <c r="O1203" s="2">
        <v>70</v>
      </c>
      <c r="P1203" s="8">
        <f t="shared" si="74"/>
        <v>18062</v>
      </c>
      <c r="Q1203" s="8">
        <f t="shared" si="75"/>
        <v>17922</v>
      </c>
      <c r="R1203" s="2" t="s">
        <v>28</v>
      </c>
      <c r="S1203" s="9">
        <f>VLOOKUP(P1203,$T$2:U1200,2,1)</f>
        <v>0.05</v>
      </c>
    </row>
    <row r="1204" spans="1:19" x14ac:dyDescent="0.25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e">
        <f>VLOOKUP(F1204,'Customer Info'!A1196:I1695,2,0)</f>
        <v>#N/A</v>
      </c>
      <c r="H1204" s="6" t="e">
        <f>VLOOKUP(F1204,'Customer Info'!A1196:I1695,3,0)</f>
        <v>#N/A</v>
      </c>
      <c r="I1204" s="6" t="e">
        <f>VLOOKUP(F1204,'Customer Info'!A1196:I1695,5,0)</f>
        <v>#N/A</v>
      </c>
      <c r="J1204" s="2">
        <v>1605</v>
      </c>
      <c r="K1204" s="2">
        <v>1487</v>
      </c>
      <c r="L1204" s="2">
        <v>5</v>
      </c>
      <c r="M1204" s="7">
        <f t="shared" si="72"/>
        <v>7435</v>
      </c>
      <c r="N1204" s="7">
        <f t="shared" si="73"/>
        <v>8025</v>
      </c>
      <c r="O1204" s="2">
        <v>90</v>
      </c>
      <c r="P1204" s="8">
        <f t="shared" si="74"/>
        <v>8115</v>
      </c>
      <c r="Q1204" s="8">
        <f t="shared" si="75"/>
        <v>7935</v>
      </c>
      <c r="R1204" s="2" t="s">
        <v>28</v>
      </c>
      <c r="S1204" s="9">
        <f>VLOOKUP(P1204,$T$2:U1201,2,1)</f>
        <v>0.05</v>
      </c>
    </row>
    <row r="1205" spans="1:19" x14ac:dyDescent="0.25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e">
        <f>VLOOKUP(F1205,'Customer Info'!A1197:I1696,2,0)</f>
        <v>#N/A</v>
      </c>
      <c r="H1205" s="6" t="e">
        <f>VLOOKUP(F1205,'Customer Info'!A1197:I1696,3,0)</f>
        <v>#N/A</v>
      </c>
      <c r="I1205" s="6" t="e">
        <f>VLOOKUP(F1205,'Customer Info'!A1197:I1696,5,0)</f>
        <v>#N/A</v>
      </c>
      <c r="J1205" s="2">
        <v>4443</v>
      </c>
      <c r="K1205" s="2">
        <v>4079</v>
      </c>
      <c r="L1205" s="2">
        <v>3</v>
      </c>
      <c r="M1205" s="7">
        <f t="shared" si="72"/>
        <v>12237</v>
      </c>
      <c r="N1205" s="7">
        <f t="shared" si="73"/>
        <v>13329</v>
      </c>
      <c r="O1205" s="2">
        <v>26</v>
      </c>
      <c r="P1205" s="8">
        <f t="shared" si="74"/>
        <v>13355</v>
      </c>
      <c r="Q1205" s="8">
        <f t="shared" si="75"/>
        <v>13303</v>
      </c>
      <c r="R1205" s="2" t="s">
        <v>50</v>
      </c>
      <c r="S1205" s="9">
        <f>VLOOKUP(P1205,$T$2:U1202,2,1)</f>
        <v>0.05</v>
      </c>
    </row>
    <row r="1206" spans="1:19" x14ac:dyDescent="0.25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e">
        <f>VLOOKUP(F1206,'Customer Info'!A1198:I1697,2,0)</f>
        <v>#N/A</v>
      </c>
      <c r="H1206" s="6" t="e">
        <f>VLOOKUP(F1206,'Customer Info'!A1198:I1697,3,0)</f>
        <v>#N/A</v>
      </c>
      <c r="I1206" s="6" t="e">
        <f>VLOOKUP(F1206,'Customer Info'!A1198:I1697,5,0)</f>
        <v>#N/A</v>
      </c>
      <c r="J1206" s="2">
        <v>6354</v>
      </c>
      <c r="K1206" s="2">
        <v>5769</v>
      </c>
      <c r="L1206" s="2">
        <v>2</v>
      </c>
      <c r="M1206" s="7">
        <f t="shared" si="72"/>
        <v>11538</v>
      </c>
      <c r="N1206" s="7">
        <f t="shared" si="73"/>
        <v>12708</v>
      </c>
      <c r="O1206" s="2">
        <v>52</v>
      </c>
      <c r="P1206" s="8">
        <f t="shared" si="74"/>
        <v>12760</v>
      </c>
      <c r="Q1206" s="8">
        <f t="shared" si="75"/>
        <v>12656</v>
      </c>
      <c r="R1206" s="2" t="s">
        <v>50</v>
      </c>
      <c r="S1206" s="9">
        <f>VLOOKUP(P1206,$T$2:U1203,2,1)</f>
        <v>0.05</v>
      </c>
    </row>
    <row r="1207" spans="1:19" x14ac:dyDescent="0.25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e">
        <f>VLOOKUP(F1207,'Customer Info'!A1199:I1698,2,0)</f>
        <v>#N/A</v>
      </c>
      <c r="H1207" s="6" t="e">
        <f>VLOOKUP(F1207,'Customer Info'!A1199:I1698,3,0)</f>
        <v>#N/A</v>
      </c>
      <c r="I1207" s="6" t="e">
        <f>VLOOKUP(F1207,'Customer Info'!A1199:I1698,5,0)</f>
        <v>#N/A</v>
      </c>
      <c r="J1207" s="2">
        <v>7474</v>
      </c>
      <c r="K1207" s="2">
        <v>6858</v>
      </c>
      <c r="L1207" s="2">
        <v>1</v>
      </c>
      <c r="M1207" s="7">
        <f t="shared" si="72"/>
        <v>6858</v>
      </c>
      <c r="N1207" s="7">
        <f t="shared" si="73"/>
        <v>7474</v>
      </c>
      <c r="O1207" s="2">
        <v>44</v>
      </c>
      <c r="P1207" s="8">
        <f t="shared" si="74"/>
        <v>7518</v>
      </c>
      <c r="Q1207" s="8">
        <f t="shared" si="75"/>
        <v>7430</v>
      </c>
      <c r="R1207" s="2" t="s">
        <v>50</v>
      </c>
      <c r="S1207" s="9">
        <f>VLOOKUP(P1207,$T$2:U1204,2,1)</f>
        <v>0.05</v>
      </c>
    </row>
    <row r="1208" spans="1:19" x14ac:dyDescent="0.25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e">
        <f>VLOOKUP(F1208,'Customer Info'!A1200:I1699,2,0)</f>
        <v>#N/A</v>
      </c>
      <c r="H1208" s="6" t="e">
        <f>VLOOKUP(F1208,'Customer Info'!A1200:I1699,3,0)</f>
        <v>#N/A</v>
      </c>
      <c r="I1208" s="6" t="e">
        <f>VLOOKUP(F1208,'Customer Info'!A1200:I1699,5,0)</f>
        <v>#N/A</v>
      </c>
      <c r="J1208" s="2">
        <v>2501</v>
      </c>
      <c r="K1208" s="2">
        <v>2361</v>
      </c>
      <c r="L1208" s="2">
        <v>3</v>
      </c>
      <c r="M1208" s="7">
        <f t="shared" si="72"/>
        <v>7083</v>
      </c>
      <c r="N1208" s="7">
        <f t="shared" si="73"/>
        <v>7503</v>
      </c>
      <c r="O1208" s="2">
        <v>96</v>
      </c>
      <c r="P1208" s="8">
        <f t="shared" si="74"/>
        <v>7599</v>
      </c>
      <c r="Q1208" s="8">
        <f t="shared" si="75"/>
        <v>7407</v>
      </c>
      <c r="R1208" s="2" t="s">
        <v>28</v>
      </c>
      <c r="S1208" s="9">
        <f>VLOOKUP(P1208,$T$2:U1205,2,1)</f>
        <v>0.05</v>
      </c>
    </row>
    <row r="1209" spans="1:19" x14ac:dyDescent="0.25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e">
        <f>VLOOKUP(F1209,'Customer Info'!A1201:I1700,2,0)</f>
        <v>#N/A</v>
      </c>
      <c r="H1209" s="6" t="e">
        <f>VLOOKUP(F1209,'Customer Info'!A1201:I1700,3,0)</f>
        <v>#N/A</v>
      </c>
      <c r="I1209" s="6" t="e">
        <f>VLOOKUP(F1209,'Customer Info'!A1201:I1700,5,0)</f>
        <v>#N/A</v>
      </c>
      <c r="J1209" s="2">
        <v>2627</v>
      </c>
      <c r="K1209" s="2">
        <v>2528</v>
      </c>
      <c r="L1209" s="2">
        <v>1</v>
      </c>
      <c r="M1209" s="7">
        <f t="shared" si="72"/>
        <v>2528</v>
      </c>
      <c r="N1209" s="7">
        <f t="shared" si="73"/>
        <v>2627</v>
      </c>
      <c r="O1209" s="2">
        <v>93</v>
      </c>
      <c r="P1209" s="8">
        <f t="shared" si="74"/>
        <v>2720</v>
      </c>
      <c r="Q1209" s="8">
        <f t="shared" si="75"/>
        <v>2534</v>
      </c>
      <c r="R1209" s="2" t="s">
        <v>50</v>
      </c>
      <c r="S1209" s="9">
        <f>VLOOKUP(P1209,$T$2:U1206,2,1)</f>
        <v>0.02</v>
      </c>
    </row>
    <row r="1210" spans="1:19" x14ac:dyDescent="0.25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e">
        <f>VLOOKUP(F1210,'Customer Info'!A1202:I1701,2,0)</f>
        <v>#N/A</v>
      </c>
      <c r="H1210" s="6" t="e">
        <f>VLOOKUP(F1210,'Customer Info'!A1202:I1701,3,0)</f>
        <v>#N/A</v>
      </c>
      <c r="I1210" s="6" t="e">
        <f>VLOOKUP(F1210,'Customer Info'!A1202:I1701,5,0)</f>
        <v>#N/A</v>
      </c>
      <c r="J1210" s="2">
        <v>526</v>
      </c>
      <c r="K1210" s="2">
        <v>487</v>
      </c>
      <c r="L1210" s="2">
        <v>5</v>
      </c>
      <c r="M1210" s="7">
        <f t="shared" si="72"/>
        <v>2435</v>
      </c>
      <c r="N1210" s="7">
        <f t="shared" si="73"/>
        <v>2630</v>
      </c>
      <c r="O1210" s="2">
        <v>72</v>
      </c>
      <c r="P1210" s="8">
        <f t="shared" si="74"/>
        <v>2702</v>
      </c>
      <c r="Q1210" s="8">
        <f t="shared" si="75"/>
        <v>2558</v>
      </c>
      <c r="R1210" s="2" t="s">
        <v>50</v>
      </c>
      <c r="S1210" s="9">
        <f>VLOOKUP(P1210,$T$2:U1207,2,1)</f>
        <v>0.02</v>
      </c>
    </row>
    <row r="1211" spans="1:19" x14ac:dyDescent="0.25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e">
        <f>VLOOKUP(F1211,'Customer Info'!A1203:I1702,2,0)</f>
        <v>#N/A</v>
      </c>
      <c r="H1211" s="6" t="e">
        <f>VLOOKUP(F1211,'Customer Info'!A1203:I1702,3,0)</f>
        <v>#N/A</v>
      </c>
      <c r="I1211" s="6" t="e">
        <f>VLOOKUP(F1211,'Customer Info'!A1203:I1702,5,0)</f>
        <v>#N/A</v>
      </c>
      <c r="J1211" s="2">
        <v>1181</v>
      </c>
      <c r="K1211" s="2">
        <v>1136</v>
      </c>
      <c r="L1211" s="2">
        <v>2</v>
      </c>
      <c r="M1211" s="7">
        <f t="shared" si="72"/>
        <v>2272</v>
      </c>
      <c r="N1211" s="7">
        <f t="shared" si="73"/>
        <v>2362</v>
      </c>
      <c r="O1211" s="2">
        <v>59</v>
      </c>
      <c r="P1211" s="8">
        <f t="shared" si="74"/>
        <v>2421</v>
      </c>
      <c r="Q1211" s="8">
        <f t="shared" si="75"/>
        <v>2303</v>
      </c>
      <c r="R1211" s="2" t="s">
        <v>56</v>
      </c>
      <c r="S1211" s="9">
        <f>VLOOKUP(P1211,$T$2:U1208,2,1)</f>
        <v>0.02</v>
      </c>
    </row>
    <row r="1212" spans="1:19" x14ac:dyDescent="0.25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e">
        <f>VLOOKUP(F1212,'Customer Info'!A1204:I1703,2,0)</f>
        <v>#N/A</v>
      </c>
      <c r="H1212" s="6" t="e">
        <f>VLOOKUP(F1212,'Customer Info'!A1204:I1703,3,0)</f>
        <v>#N/A</v>
      </c>
      <c r="I1212" s="6" t="e">
        <f>VLOOKUP(F1212,'Customer Info'!A1204:I1703,5,0)</f>
        <v>#N/A</v>
      </c>
      <c r="J1212" s="2">
        <v>6060</v>
      </c>
      <c r="K1212" s="2">
        <v>6002</v>
      </c>
      <c r="L1212" s="2">
        <v>2</v>
      </c>
      <c r="M1212" s="7">
        <f t="shared" si="72"/>
        <v>12004</v>
      </c>
      <c r="N1212" s="7">
        <f t="shared" si="73"/>
        <v>12120</v>
      </c>
      <c r="O1212" s="2">
        <v>51</v>
      </c>
      <c r="P1212" s="8">
        <f t="shared" si="74"/>
        <v>12171</v>
      </c>
      <c r="Q1212" s="8">
        <f t="shared" si="75"/>
        <v>12069</v>
      </c>
      <c r="R1212" s="2" t="s">
        <v>28</v>
      </c>
      <c r="S1212" s="9">
        <f>VLOOKUP(P1212,$T$2:U1209,2,1)</f>
        <v>0.05</v>
      </c>
    </row>
    <row r="1213" spans="1:19" x14ac:dyDescent="0.25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e">
        <f>VLOOKUP(F1213,'Customer Info'!A1205:I1704,2,0)</f>
        <v>#N/A</v>
      </c>
      <c r="H1213" s="6" t="e">
        <f>VLOOKUP(F1213,'Customer Info'!A1205:I1704,3,0)</f>
        <v>#N/A</v>
      </c>
      <c r="I1213" s="6" t="e">
        <f>VLOOKUP(F1213,'Customer Info'!A1205:I1704,5,0)</f>
        <v>#N/A</v>
      </c>
      <c r="J1213" s="2">
        <v>1653</v>
      </c>
      <c r="K1213" s="2">
        <v>1560</v>
      </c>
      <c r="L1213" s="2">
        <v>12</v>
      </c>
      <c r="M1213" s="7">
        <f t="shared" si="72"/>
        <v>18720</v>
      </c>
      <c r="N1213" s="7">
        <f t="shared" si="73"/>
        <v>19836</v>
      </c>
      <c r="O1213" s="2">
        <v>64</v>
      </c>
      <c r="P1213" s="8">
        <f t="shared" si="74"/>
        <v>19900</v>
      </c>
      <c r="Q1213" s="8">
        <f t="shared" si="75"/>
        <v>19772</v>
      </c>
      <c r="R1213" s="2" t="s">
        <v>28</v>
      </c>
      <c r="S1213" s="9">
        <f>VLOOKUP(P1213,$T$2:U1210,2,1)</f>
        <v>0.05</v>
      </c>
    </row>
    <row r="1214" spans="1:19" x14ac:dyDescent="0.25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e">
        <f>VLOOKUP(F1214,'Customer Info'!A1206:I1705,2,0)</f>
        <v>#N/A</v>
      </c>
      <c r="H1214" s="6" t="e">
        <f>VLOOKUP(F1214,'Customer Info'!A1206:I1705,3,0)</f>
        <v>#N/A</v>
      </c>
      <c r="I1214" s="6" t="e">
        <f>VLOOKUP(F1214,'Customer Info'!A1206:I1705,5,0)</f>
        <v>#N/A</v>
      </c>
      <c r="J1214" s="2">
        <v>6354</v>
      </c>
      <c r="K1214" s="2">
        <v>5769</v>
      </c>
      <c r="L1214" s="2">
        <v>6</v>
      </c>
      <c r="M1214" s="7">
        <f t="shared" si="72"/>
        <v>34614</v>
      </c>
      <c r="N1214" s="7">
        <f t="shared" si="73"/>
        <v>38124</v>
      </c>
      <c r="O1214" s="2">
        <v>92</v>
      </c>
      <c r="P1214" s="8">
        <f t="shared" si="74"/>
        <v>38216</v>
      </c>
      <c r="Q1214" s="8">
        <f t="shared" si="75"/>
        <v>38032</v>
      </c>
      <c r="R1214" s="2" t="s">
        <v>28</v>
      </c>
      <c r="S1214" s="9">
        <f>VLOOKUP(P1214,$T$2:U1211,2,1)</f>
        <v>7.0000000000000007E-2</v>
      </c>
    </row>
    <row r="1215" spans="1:19" x14ac:dyDescent="0.25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e">
        <f>VLOOKUP(F1215,'Customer Info'!A1207:I1706,2,0)</f>
        <v>#N/A</v>
      </c>
      <c r="H1215" s="6" t="e">
        <f>VLOOKUP(F1215,'Customer Info'!A1207:I1706,3,0)</f>
        <v>#N/A</v>
      </c>
      <c r="I1215" s="6" t="e">
        <f>VLOOKUP(F1215,'Customer Info'!A1207:I1706,5,0)</f>
        <v>#N/A</v>
      </c>
      <c r="J1215" s="2">
        <v>2747</v>
      </c>
      <c r="K1215" s="2">
        <v>2545</v>
      </c>
      <c r="L1215" s="2">
        <v>2</v>
      </c>
      <c r="M1215" s="7">
        <f t="shared" si="72"/>
        <v>5090</v>
      </c>
      <c r="N1215" s="7">
        <f t="shared" si="73"/>
        <v>5494</v>
      </c>
      <c r="O1215" s="2">
        <v>77</v>
      </c>
      <c r="P1215" s="8">
        <f t="shared" si="74"/>
        <v>5571</v>
      </c>
      <c r="Q1215" s="8">
        <f t="shared" si="75"/>
        <v>5417</v>
      </c>
      <c r="R1215" s="2" t="s">
        <v>28</v>
      </c>
      <c r="S1215" s="9">
        <f>VLOOKUP(P1215,$T$2:U1212,2,1)</f>
        <v>0.05</v>
      </c>
    </row>
    <row r="1216" spans="1:19" x14ac:dyDescent="0.25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e">
        <f>VLOOKUP(F1216,'Customer Info'!A1208:I1707,2,0)</f>
        <v>#N/A</v>
      </c>
      <c r="H1216" s="6" t="e">
        <f>VLOOKUP(F1216,'Customer Info'!A1208:I1707,3,0)</f>
        <v>#N/A</v>
      </c>
      <c r="I1216" s="6" t="e">
        <f>VLOOKUP(F1216,'Customer Info'!A1208:I1707,5,0)</f>
        <v>#N/A</v>
      </c>
      <c r="J1216" s="2">
        <v>674</v>
      </c>
      <c r="K1216" s="2">
        <v>629</v>
      </c>
      <c r="L1216" s="2">
        <v>1</v>
      </c>
      <c r="M1216" s="7">
        <f t="shared" si="72"/>
        <v>629</v>
      </c>
      <c r="N1216" s="7">
        <f t="shared" si="73"/>
        <v>674</v>
      </c>
      <c r="O1216" s="2">
        <v>43</v>
      </c>
      <c r="P1216" s="8">
        <f t="shared" si="74"/>
        <v>717</v>
      </c>
      <c r="Q1216" s="8">
        <f t="shared" si="75"/>
        <v>631</v>
      </c>
      <c r="R1216" s="2" t="s">
        <v>50</v>
      </c>
      <c r="S1216" s="9">
        <f>VLOOKUP(P1216,$T$2:U1213,2,1)</f>
        <v>0.02</v>
      </c>
    </row>
    <row r="1217" spans="1:19" x14ac:dyDescent="0.25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e">
        <f>VLOOKUP(F1217,'Customer Info'!A1209:I1708,2,0)</f>
        <v>#N/A</v>
      </c>
      <c r="H1217" s="6" t="e">
        <f>VLOOKUP(F1217,'Customer Info'!A1209:I1708,3,0)</f>
        <v>#N/A</v>
      </c>
      <c r="I1217" s="6" t="e">
        <f>VLOOKUP(F1217,'Customer Info'!A1209:I1708,5,0)</f>
        <v>#N/A</v>
      </c>
      <c r="J1217" s="2">
        <v>1925</v>
      </c>
      <c r="K1217" s="2">
        <v>1834</v>
      </c>
      <c r="L1217" s="2">
        <v>1</v>
      </c>
      <c r="M1217" s="7">
        <f t="shared" si="72"/>
        <v>1834</v>
      </c>
      <c r="N1217" s="7">
        <f t="shared" si="73"/>
        <v>1925</v>
      </c>
      <c r="O1217" s="2">
        <v>33</v>
      </c>
      <c r="P1217" s="8">
        <f t="shared" si="74"/>
        <v>1958</v>
      </c>
      <c r="Q1217" s="8">
        <f t="shared" si="75"/>
        <v>1892</v>
      </c>
      <c r="R1217" s="2" t="s">
        <v>26</v>
      </c>
      <c r="S1217" s="9">
        <f>VLOOKUP(P1217,$T$2:U1214,2,1)</f>
        <v>0.02</v>
      </c>
    </row>
    <row r="1218" spans="1:19" x14ac:dyDescent="0.25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e">
        <f>VLOOKUP(F1218,'Customer Info'!A1210:I1709,2,0)</f>
        <v>#N/A</v>
      </c>
      <c r="H1218" s="6" t="e">
        <f>VLOOKUP(F1218,'Customer Info'!A1210:I1709,3,0)</f>
        <v>#N/A</v>
      </c>
      <c r="I1218" s="6" t="e">
        <f>VLOOKUP(F1218,'Customer Info'!A1210:I1709,5,0)</f>
        <v>#N/A</v>
      </c>
      <c r="J1218" s="2">
        <v>79</v>
      </c>
      <c r="K1218" s="2">
        <v>75</v>
      </c>
      <c r="L1218" s="2">
        <v>4</v>
      </c>
      <c r="M1218" s="7">
        <f t="shared" si="72"/>
        <v>300</v>
      </c>
      <c r="N1218" s="7">
        <f t="shared" si="73"/>
        <v>316</v>
      </c>
      <c r="O1218" s="2">
        <v>10</v>
      </c>
      <c r="P1218" s="8">
        <f t="shared" si="74"/>
        <v>326</v>
      </c>
      <c r="Q1218" s="8">
        <f t="shared" si="75"/>
        <v>306</v>
      </c>
      <c r="R1218" s="2" t="s">
        <v>50</v>
      </c>
      <c r="S1218" s="9">
        <f>VLOOKUP(P1218,$T$2:U1215,2,1)</f>
        <v>0.02</v>
      </c>
    </row>
    <row r="1219" spans="1:19" x14ac:dyDescent="0.25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e">
        <f>VLOOKUP(F1219,'Customer Info'!A1211:I1710,2,0)</f>
        <v>#N/A</v>
      </c>
      <c r="H1219" s="6" t="e">
        <f>VLOOKUP(F1219,'Customer Info'!A1211:I1710,3,0)</f>
        <v>#N/A</v>
      </c>
      <c r="I1219" s="6" t="e">
        <f>VLOOKUP(F1219,'Customer Info'!A1211:I1710,5,0)</f>
        <v>#N/A</v>
      </c>
      <c r="J1219" s="2">
        <v>900</v>
      </c>
      <c r="K1219" s="2">
        <v>834</v>
      </c>
      <c r="L1219" s="2">
        <v>3</v>
      </c>
      <c r="M1219" s="7">
        <f t="shared" si="72"/>
        <v>2502</v>
      </c>
      <c r="N1219" s="7">
        <f t="shared" si="73"/>
        <v>2700</v>
      </c>
      <c r="O1219" s="2">
        <v>98</v>
      </c>
      <c r="P1219" s="8">
        <f t="shared" si="74"/>
        <v>2798</v>
      </c>
      <c r="Q1219" s="8">
        <f t="shared" si="75"/>
        <v>2602</v>
      </c>
      <c r="R1219" s="2" t="s">
        <v>28</v>
      </c>
      <c r="S1219" s="9">
        <f>VLOOKUP(P1219,$T$2:U1216,2,1)</f>
        <v>0.02</v>
      </c>
    </row>
    <row r="1220" spans="1:19" x14ac:dyDescent="0.25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e">
        <f>VLOOKUP(F1220,'Customer Info'!A1212:I1711,2,0)</f>
        <v>#N/A</v>
      </c>
      <c r="H1220" s="6" t="e">
        <f>VLOOKUP(F1220,'Customer Info'!A1212:I1711,3,0)</f>
        <v>#N/A</v>
      </c>
      <c r="I1220" s="6" t="e">
        <f>VLOOKUP(F1220,'Customer Info'!A1212:I1711,5,0)</f>
        <v>#N/A</v>
      </c>
      <c r="J1220" s="2">
        <v>7609</v>
      </c>
      <c r="K1220" s="2">
        <v>7248</v>
      </c>
      <c r="L1220" s="2">
        <v>4</v>
      </c>
      <c r="M1220" s="7">
        <f t="shared" si="72"/>
        <v>28992</v>
      </c>
      <c r="N1220" s="7">
        <f t="shared" si="73"/>
        <v>30436</v>
      </c>
      <c r="O1220" s="2">
        <v>55</v>
      </c>
      <c r="P1220" s="8">
        <f t="shared" si="74"/>
        <v>30491</v>
      </c>
      <c r="Q1220" s="8">
        <f t="shared" si="75"/>
        <v>30381</v>
      </c>
      <c r="R1220" s="2" t="s">
        <v>28</v>
      </c>
      <c r="S1220" s="9">
        <f>VLOOKUP(P1220,$T$2:U1217,2,1)</f>
        <v>7.0000000000000007E-2</v>
      </c>
    </row>
    <row r="1221" spans="1:19" x14ac:dyDescent="0.25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e">
        <f>VLOOKUP(F1221,'Customer Info'!A1213:I1712,2,0)</f>
        <v>#N/A</v>
      </c>
      <c r="H1221" s="6" t="e">
        <f>VLOOKUP(F1221,'Customer Info'!A1213:I1712,3,0)</f>
        <v>#N/A</v>
      </c>
      <c r="I1221" s="6" t="e">
        <f>VLOOKUP(F1221,'Customer Info'!A1213:I1712,5,0)</f>
        <v>#N/A</v>
      </c>
      <c r="J1221" s="2">
        <v>179</v>
      </c>
      <c r="K1221" s="2">
        <v>171</v>
      </c>
      <c r="L1221" s="2">
        <v>5</v>
      </c>
      <c r="M1221" s="7">
        <f t="shared" si="72"/>
        <v>855</v>
      </c>
      <c r="N1221" s="7">
        <f t="shared" si="73"/>
        <v>895</v>
      </c>
      <c r="O1221" s="2">
        <v>30</v>
      </c>
      <c r="P1221" s="8">
        <f t="shared" si="74"/>
        <v>925</v>
      </c>
      <c r="Q1221" s="8">
        <f t="shared" si="75"/>
        <v>865</v>
      </c>
      <c r="R1221" s="2" t="s">
        <v>50</v>
      </c>
      <c r="S1221" s="9">
        <f>VLOOKUP(P1221,$T$2:U1218,2,1)</f>
        <v>0.02</v>
      </c>
    </row>
    <row r="1222" spans="1:19" x14ac:dyDescent="0.25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e">
        <f>VLOOKUP(F1222,'Customer Info'!A1214:I1713,2,0)</f>
        <v>#N/A</v>
      </c>
      <c r="H1222" s="6" t="e">
        <f>VLOOKUP(F1222,'Customer Info'!A1214:I1713,3,0)</f>
        <v>#N/A</v>
      </c>
      <c r="I1222" s="6" t="e">
        <f>VLOOKUP(F1222,'Customer Info'!A1214:I1713,5,0)</f>
        <v>#N/A</v>
      </c>
      <c r="J1222" s="2">
        <v>1125</v>
      </c>
      <c r="K1222" s="2">
        <v>1040</v>
      </c>
      <c r="L1222" s="2">
        <v>10</v>
      </c>
      <c r="M1222" s="7">
        <f t="shared" si="72"/>
        <v>10400</v>
      </c>
      <c r="N1222" s="7">
        <f t="shared" si="73"/>
        <v>11250</v>
      </c>
      <c r="O1222" s="2">
        <v>74</v>
      </c>
      <c r="P1222" s="8">
        <f t="shared" si="74"/>
        <v>11324</v>
      </c>
      <c r="Q1222" s="8">
        <f t="shared" si="75"/>
        <v>11176</v>
      </c>
      <c r="R1222" s="2" t="s">
        <v>26</v>
      </c>
      <c r="S1222" s="9">
        <f>VLOOKUP(P1222,$T$2:U1219,2,1)</f>
        <v>0.05</v>
      </c>
    </row>
    <row r="1223" spans="1:19" x14ac:dyDescent="0.25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e">
        <f>VLOOKUP(F1223,'Customer Info'!A1215:I1714,2,0)</f>
        <v>#N/A</v>
      </c>
      <c r="H1223" s="6" t="e">
        <f>VLOOKUP(F1223,'Customer Info'!A1215:I1714,3,0)</f>
        <v>#N/A</v>
      </c>
      <c r="I1223" s="6" t="e">
        <f>VLOOKUP(F1223,'Customer Info'!A1215:I1714,5,0)</f>
        <v>#N/A</v>
      </c>
      <c r="J1223" s="2">
        <v>1246</v>
      </c>
      <c r="K1223" s="2">
        <v>1164</v>
      </c>
      <c r="L1223" s="2">
        <v>1</v>
      </c>
      <c r="M1223" s="7">
        <f t="shared" si="72"/>
        <v>1164</v>
      </c>
      <c r="N1223" s="7">
        <f t="shared" si="73"/>
        <v>1246</v>
      </c>
      <c r="O1223" s="2">
        <v>47</v>
      </c>
      <c r="P1223" s="8">
        <f t="shared" si="74"/>
        <v>1293</v>
      </c>
      <c r="Q1223" s="8">
        <f t="shared" si="75"/>
        <v>1199</v>
      </c>
      <c r="R1223" s="2" t="s">
        <v>50</v>
      </c>
      <c r="S1223" s="9">
        <f>VLOOKUP(P1223,$T$2:U1220,2,1)</f>
        <v>0.02</v>
      </c>
    </row>
    <row r="1224" spans="1:19" x14ac:dyDescent="0.25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e">
        <f>VLOOKUP(F1224,'Customer Info'!A1216:I1715,2,0)</f>
        <v>#N/A</v>
      </c>
      <c r="H1224" s="6" t="e">
        <f>VLOOKUP(F1224,'Customer Info'!A1216:I1715,3,0)</f>
        <v>#N/A</v>
      </c>
      <c r="I1224" s="6" t="e">
        <f>VLOOKUP(F1224,'Customer Info'!A1216:I1715,5,0)</f>
        <v>#N/A</v>
      </c>
      <c r="J1224" s="2">
        <v>214</v>
      </c>
      <c r="K1224" s="2">
        <v>200</v>
      </c>
      <c r="L1224" s="2">
        <v>1</v>
      </c>
      <c r="M1224" s="7">
        <f t="shared" si="72"/>
        <v>200</v>
      </c>
      <c r="N1224" s="7">
        <f t="shared" si="73"/>
        <v>214</v>
      </c>
      <c r="O1224" s="2">
        <v>68</v>
      </c>
      <c r="P1224" s="8">
        <f t="shared" si="74"/>
        <v>282</v>
      </c>
      <c r="Q1224" s="8">
        <f t="shared" si="75"/>
        <v>146</v>
      </c>
      <c r="R1224" s="2" t="s">
        <v>50</v>
      </c>
      <c r="S1224" s="9">
        <f>VLOOKUP(P1224,$T$2:U1221,2,1)</f>
        <v>0.02</v>
      </c>
    </row>
    <row r="1225" spans="1:19" x14ac:dyDescent="0.25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e">
        <f>VLOOKUP(F1225,'Customer Info'!A1217:I1716,2,0)</f>
        <v>#N/A</v>
      </c>
      <c r="H1225" s="6" t="e">
        <f>VLOOKUP(F1225,'Customer Info'!A1217:I1716,3,0)</f>
        <v>#N/A</v>
      </c>
      <c r="I1225" s="6" t="e">
        <f>VLOOKUP(F1225,'Customer Info'!A1217:I1716,5,0)</f>
        <v>#N/A</v>
      </c>
      <c r="J1225" s="2">
        <v>77</v>
      </c>
      <c r="K1225" s="2">
        <v>73</v>
      </c>
      <c r="L1225" s="2">
        <v>2</v>
      </c>
      <c r="M1225" s="7">
        <f t="shared" si="72"/>
        <v>146</v>
      </c>
      <c r="N1225" s="7">
        <f t="shared" si="73"/>
        <v>154</v>
      </c>
      <c r="O1225" s="2">
        <v>10</v>
      </c>
      <c r="P1225" s="8">
        <f t="shared" si="74"/>
        <v>164</v>
      </c>
      <c r="Q1225" s="8">
        <f t="shared" si="75"/>
        <v>144</v>
      </c>
      <c r="R1225" s="2" t="s">
        <v>26</v>
      </c>
      <c r="S1225" s="9">
        <f>VLOOKUP(P1225,$T$2:U1222,2,1)</f>
        <v>0.02</v>
      </c>
    </row>
    <row r="1226" spans="1:19" x14ac:dyDescent="0.25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e">
        <f>VLOOKUP(F1226,'Customer Info'!A1218:I1717,2,0)</f>
        <v>#N/A</v>
      </c>
      <c r="H1226" s="6" t="e">
        <f>VLOOKUP(F1226,'Customer Info'!A1218:I1717,3,0)</f>
        <v>#N/A</v>
      </c>
      <c r="I1226" s="6" t="e">
        <f>VLOOKUP(F1226,'Customer Info'!A1218:I1717,5,0)</f>
        <v>#N/A</v>
      </c>
      <c r="J1226" s="2">
        <v>90</v>
      </c>
      <c r="K1226" s="2">
        <v>81</v>
      </c>
      <c r="L1226" s="2">
        <v>4</v>
      </c>
      <c r="M1226" s="7">
        <f t="shared" si="72"/>
        <v>324</v>
      </c>
      <c r="N1226" s="7">
        <f t="shared" si="73"/>
        <v>360</v>
      </c>
      <c r="O1226" s="2">
        <v>10</v>
      </c>
      <c r="P1226" s="8">
        <f t="shared" si="74"/>
        <v>370</v>
      </c>
      <c r="Q1226" s="8">
        <f t="shared" si="75"/>
        <v>350</v>
      </c>
      <c r="R1226" s="2" t="s">
        <v>50</v>
      </c>
      <c r="S1226" s="9">
        <f>VLOOKUP(P1226,$T$2:U1223,2,1)</f>
        <v>0.02</v>
      </c>
    </row>
    <row r="1227" spans="1:19" x14ac:dyDescent="0.25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e">
        <f>VLOOKUP(F1227,'Customer Info'!A1219:I1718,2,0)</f>
        <v>#N/A</v>
      </c>
      <c r="H1227" s="6" t="e">
        <f>VLOOKUP(F1227,'Customer Info'!A1219:I1718,3,0)</f>
        <v>#N/A</v>
      </c>
      <c r="I1227" s="6" t="e">
        <f>VLOOKUP(F1227,'Customer Info'!A1219:I1718,5,0)</f>
        <v>#N/A</v>
      </c>
      <c r="J1227" s="2">
        <v>1399</v>
      </c>
      <c r="K1227" s="2">
        <v>1308</v>
      </c>
      <c r="L1227" s="2">
        <v>1</v>
      </c>
      <c r="M1227" s="7">
        <f t="shared" ref="M1227:M1290" si="76">K1227*L1227</f>
        <v>1308</v>
      </c>
      <c r="N1227" s="7">
        <f t="shared" ref="N1227:N1290" si="77">J1227*L1227</f>
        <v>1399</v>
      </c>
      <c r="O1227" s="2">
        <v>56</v>
      </c>
      <c r="P1227" s="8">
        <f t="shared" ref="P1227:P1290" si="78">SUM(N1227,O1227)</f>
        <v>1455</v>
      </c>
      <c r="Q1227" s="8">
        <f t="shared" ref="Q1227:Q1290" si="79">N1227-O1227</f>
        <v>1343</v>
      </c>
      <c r="R1227" s="2" t="s">
        <v>50</v>
      </c>
      <c r="S1227" s="9">
        <f>VLOOKUP(P1227,$T$2:U1224,2,1)</f>
        <v>0.02</v>
      </c>
    </row>
    <row r="1228" spans="1:19" x14ac:dyDescent="0.25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e">
        <f>VLOOKUP(F1228,'Customer Info'!A1220:I1719,2,0)</f>
        <v>#N/A</v>
      </c>
      <c r="H1228" s="6" t="e">
        <f>VLOOKUP(F1228,'Customer Info'!A1220:I1719,3,0)</f>
        <v>#N/A</v>
      </c>
      <c r="I1228" s="6" t="e">
        <f>VLOOKUP(F1228,'Customer Info'!A1220:I1719,5,0)</f>
        <v>#N/A</v>
      </c>
      <c r="J1228" s="2">
        <v>1605</v>
      </c>
      <c r="K1228" s="2">
        <v>1487</v>
      </c>
      <c r="L1228" s="2">
        <v>1</v>
      </c>
      <c r="M1228" s="7">
        <f t="shared" si="76"/>
        <v>1487</v>
      </c>
      <c r="N1228" s="7">
        <f t="shared" si="77"/>
        <v>1605</v>
      </c>
      <c r="O1228" s="2">
        <v>56</v>
      </c>
      <c r="P1228" s="8">
        <f t="shared" si="78"/>
        <v>1661</v>
      </c>
      <c r="Q1228" s="8">
        <f t="shared" si="79"/>
        <v>1549</v>
      </c>
      <c r="R1228" s="2" t="s">
        <v>28</v>
      </c>
      <c r="S1228" s="9">
        <f>VLOOKUP(P1228,$T$2:U1225,2,1)</f>
        <v>0.02</v>
      </c>
    </row>
    <row r="1229" spans="1:19" x14ac:dyDescent="0.25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e">
        <f>VLOOKUP(F1229,'Customer Info'!A1221:I1720,2,0)</f>
        <v>#N/A</v>
      </c>
      <c r="H1229" s="6" t="e">
        <f>VLOOKUP(F1229,'Customer Info'!A1221:I1720,3,0)</f>
        <v>#N/A</v>
      </c>
      <c r="I1229" s="6" t="e">
        <f>VLOOKUP(F1229,'Customer Info'!A1221:I1720,5,0)</f>
        <v>#N/A</v>
      </c>
      <c r="J1229" s="2">
        <v>173</v>
      </c>
      <c r="K1229" s="2">
        <v>155</v>
      </c>
      <c r="L1229" s="2">
        <v>1</v>
      </c>
      <c r="M1229" s="7">
        <f t="shared" si="76"/>
        <v>155</v>
      </c>
      <c r="N1229" s="7">
        <f t="shared" si="77"/>
        <v>173</v>
      </c>
      <c r="O1229" s="2">
        <v>30</v>
      </c>
      <c r="P1229" s="8">
        <f t="shared" si="78"/>
        <v>203</v>
      </c>
      <c r="Q1229" s="8">
        <f t="shared" si="79"/>
        <v>143</v>
      </c>
      <c r="R1229" s="2" t="s">
        <v>28</v>
      </c>
      <c r="S1229" s="9">
        <f>VLOOKUP(P1229,$T$2:U1226,2,1)</f>
        <v>0.02</v>
      </c>
    </row>
    <row r="1230" spans="1:19" x14ac:dyDescent="0.25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e">
        <f>VLOOKUP(F1230,'Customer Info'!A1222:I1721,2,0)</f>
        <v>#N/A</v>
      </c>
      <c r="H1230" s="6" t="e">
        <f>VLOOKUP(F1230,'Customer Info'!A1222:I1721,3,0)</f>
        <v>#N/A</v>
      </c>
      <c r="I1230" s="6" t="e">
        <f>VLOOKUP(F1230,'Customer Info'!A1222:I1721,5,0)</f>
        <v>#N/A</v>
      </c>
      <c r="J1230" s="2">
        <v>1413</v>
      </c>
      <c r="K1230" s="2">
        <v>1334</v>
      </c>
      <c r="L1230" s="2">
        <v>4</v>
      </c>
      <c r="M1230" s="7">
        <f t="shared" si="76"/>
        <v>5336</v>
      </c>
      <c r="N1230" s="7">
        <f t="shared" si="77"/>
        <v>5652</v>
      </c>
      <c r="O1230" s="2">
        <v>50</v>
      </c>
      <c r="P1230" s="8">
        <f t="shared" si="78"/>
        <v>5702</v>
      </c>
      <c r="Q1230" s="8">
        <f t="shared" si="79"/>
        <v>5602</v>
      </c>
      <c r="R1230" s="2" t="s">
        <v>26</v>
      </c>
      <c r="S1230" s="9">
        <f>VLOOKUP(P1230,$T$2:U1227,2,1)</f>
        <v>0.05</v>
      </c>
    </row>
    <row r="1231" spans="1:19" x14ac:dyDescent="0.25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e">
        <f>VLOOKUP(F1231,'Customer Info'!A1223:I1722,2,0)</f>
        <v>#N/A</v>
      </c>
      <c r="H1231" s="6" t="e">
        <f>VLOOKUP(F1231,'Customer Info'!A1223:I1722,3,0)</f>
        <v>#N/A</v>
      </c>
      <c r="I1231" s="6" t="e">
        <f>VLOOKUP(F1231,'Customer Info'!A1223:I1722,5,0)</f>
        <v>#N/A</v>
      </c>
      <c r="J1231" s="2">
        <v>2526</v>
      </c>
      <c r="K1231" s="2">
        <v>2408</v>
      </c>
      <c r="L1231" s="2">
        <v>5</v>
      </c>
      <c r="M1231" s="7">
        <f t="shared" si="76"/>
        <v>12040</v>
      </c>
      <c r="N1231" s="7">
        <f t="shared" si="77"/>
        <v>12630</v>
      </c>
      <c r="O1231" s="2">
        <v>55</v>
      </c>
      <c r="P1231" s="8">
        <f t="shared" si="78"/>
        <v>12685</v>
      </c>
      <c r="Q1231" s="8">
        <f t="shared" si="79"/>
        <v>12575</v>
      </c>
      <c r="R1231" s="2" t="s">
        <v>28</v>
      </c>
      <c r="S1231" s="9">
        <f>VLOOKUP(P1231,$T$2:U1228,2,1)</f>
        <v>0.05</v>
      </c>
    </row>
    <row r="1232" spans="1:19" x14ac:dyDescent="0.25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e">
        <f>VLOOKUP(F1232,'Customer Info'!A1224:I1723,2,0)</f>
        <v>#N/A</v>
      </c>
      <c r="H1232" s="6" t="e">
        <f>VLOOKUP(F1232,'Customer Info'!A1224:I1723,3,0)</f>
        <v>#N/A</v>
      </c>
      <c r="I1232" s="6" t="e">
        <f>VLOOKUP(F1232,'Customer Info'!A1224:I1723,5,0)</f>
        <v>#N/A</v>
      </c>
      <c r="J1232" s="2">
        <v>100</v>
      </c>
      <c r="K1232" s="2">
        <v>95</v>
      </c>
      <c r="L1232" s="2">
        <v>8</v>
      </c>
      <c r="M1232" s="7">
        <f t="shared" si="76"/>
        <v>760</v>
      </c>
      <c r="N1232" s="7">
        <f t="shared" si="77"/>
        <v>800</v>
      </c>
      <c r="O1232" s="2">
        <v>10</v>
      </c>
      <c r="P1232" s="8">
        <f t="shared" si="78"/>
        <v>810</v>
      </c>
      <c r="Q1232" s="8">
        <f t="shared" si="79"/>
        <v>790</v>
      </c>
      <c r="R1232" s="2" t="s">
        <v>28</v>
      </c>
      <c r="S1232" s="9">
        <f>VLOOKUP(P1232,$T$2:U1229,2,1)</f>
        <v>0.02</v>
      </c>
    </row>
    <row r="1233" spans="1:19" x14ac:dyDescent="0.25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e">
        <f>VLOOKUP(F1233,'Customer Info'!A1225:I1724,2,0)</f>
        <v>#N/A</v>
      </c>
      <c r="H1233" s="6" t="e">
        <f>VLOOKUP(F1233,'Customer Info'!A1225:I1724,3,0)</f>
        <v>#N/A</v>
      </c>
      <c r="I1233" s="6" t="e">
        <f>VLOOKUP(F1233,'Customer Info'!A1225:I1724,5,0)</f>
        <v>#N/A</v>
      </c>
      <c r="J1233" s="2">
        <v>138</v>
      </c>
      <c r="K1233" s="2">
        <v>128</v>
      </c>
      <c r="L1233" s="2">
        <v>5</v>
      </c>
      <c r="M1233" s="7">
        <f t="shared" si="76"/>
        <v>640</v>
      </c>
      <c r="N1233" s="7">
        <f t="shared" si="77"/>
        <v>690</v>
      </c>
      <c r="O1233" s="2">
        <v>30</v>
      </c>
      <c r="P1233" s="8">
        <f t="shared" si="78"/>
        <v>720</v>
      </c>
      <c r="Q1233" s="8">
        <f t="shared" si="79"/>
        <v>660</v>
      </c>
      <c r="R1233" s="2" t="s">
        <v>56</v>
      </c>
      <c r="S1233" s="9">
        <f>VLOOKUP(P1233,$T$2:U1230,2,1)</f>
        <v>0.02</v>
      </c>
    </row>
    <row r="1234" spans="1:19" x14ac:dyDescent="0.25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e">
        <f>VLOOKUP(F1234,'Customer Info'!A1226:I1725,2,0)</f>
        <v>#N/A</v>
      </c>
      <c r="H1234" s="6" t="e">
        <f>VLOOKUP(F1234,'Customer Info'!A1226:I1725,3,0)</f>
        <v>#N/A</v>
      </c>
      <c r="I1234" s="6" t="e">
        <f>VLOOKUP(F1234,'Customer Info'!A1226:I1725,5,0)</f>
        <v>#N/A</v>
      </c>
      <c r="J1234" s="2">
        <v>149</v>
      </c>
      <c r="K1234" s="2">
        <v>131</v>
      </c>
      <c r="L1234" s="2">
        <v>1</v>
      </c>
      <c r="M1234" s="7">
        <f t="shared" si="76"/>
        <v>131</v>
      </c>
      <c r="N1234" s="7">
        <f t="shared" si="77"/>
        <v>149</v>
      </c>
      <c r="O1234" s="2">
        <v>30</v>
      </c>
      <c r="P1234" s="8">
        <f t="shared" si="78"/>
        <v>179</v>
      </c>
      <c r="Q1234" s="8">
        <f t="shared" si="79"/>
        <v>119</v>
      </c>
      <c r="R1234" s="2" t="s">
        <v>28</v>
      </c>
      <c r="S1234" s="9">
        <f>VLOOKUP(P1234,$T$2:U1231,2,1)</f>
        <v>0.02</v>
      </c>
    </row>
    <row r="1235" spans="1:19" x14ac:dyDescent="0.25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e">
        <f>VLOOKUP(F1235,'Customer Info'!A1227:I1726,2,0)</f>
        <v>#N/A</v>
      </c>
      <c r="H1235" s="6" t="e">
        <f>VLOOKUP(F1235,'Customer Info'!A1227:I1726,3,0)</f>
        <v>#N/A</v>
      </c>
      <c r="I1235" s="6" t="e">
        <f>VLOOKUP(F1235,'Customer Info'!A1227:I1726,5,0)</f>
        <v>#N/A</v>
      </c>
      <c r="J1235" s="2">
        <v>4704</v>
      </c>
      <c r="K1235" s="2">
        <v>4361</v>
      </c>
      <c r="L1235" s="2">
        <v>2</v>
      </c>
      <c r="M1235" s="7">
        <f t="shared" si="76"/>
        <v>8722</v>
      </c>
      <c r="N1235" s="7">
        <f t="shared" si="77"/>
        <v>9408</v>
      </c>
      <c r="O1235" s="2">
        <v>90</v>
      </c>
      <c r="P1235" s="8">
        <f t="shared" si="78"/>
        <v>9498</v>
      </c>
      <c r="Q1235" s="8">
        <f t="shared" si="79"/>
        <v>9318</v>
      </c>
      <c r="R1235" s="2" t="s">
        <v>50</v>
      </c>
      <c r="S1235" s="9">
        <f>VLOOKUP(P1235,$T$2:U1232,2,1)</f>
        <v>0.05</v>
      </c>
    </row>
    <row r="1236" spans="1:19" x14ac:dyDescent="0.25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e">
        <f>VLOOKUP(F1236,'Customer Info'!A1228:I1727,2,0)</f>
        <v>#N/A</v>
      </c>
      <c r="H1236" s="6" t="e">
        <f>VLOOKUP(F1236,'Customer Info'!A1228:I1727,3,0)</f>
        <v>#N/A</v>
      </c>
      <c r="I1236" s="6" t="e">
        <f>VLOOKUP(F1236,'Customer Info'!A1228:I1727,5,0)</f>
        <v>#N/A</v>
      </c>
      <c r="J1236" s="2">
        <v>6611</v>
      </c>
      <c r="K1236" s="2">
        <v>5943</v>
      </c>
      <c r="L1236" s="2">
        <v>3</v>
      </c>
      <c r="M1236" s="7">
        <f t="shared" si="76"/>
        <v>17829</v>
      </c>
      <c r="N1236" s="7">
        <f t="shared" si="77"/>
        <v>19833</v>
      </c>
      <c r="O1236" s="2">
        <v>99</v>
      </c>
      <c r="P1236" s="8">
        <f t="shared" si="78"/>
        <v>19932</v>
      </c>
      <c r="Q1236" s="8">
        <f t="shared" si="79"/>
        <v>19734</v>
      </c>
      <c r="R1236" s="2" t="s">
        <v>28</v>
      </c>
      <c r="S1236" s="9">
        <f>VLOOKUP(P1236,$T$2:U1233,2,1)</f>
        <v>0.05</v>
      </c>
    </row>
    <row r="1237" spans="1:19" x14ac:dyDescent="0.25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e">
        <f>VLOOKUP(F1237,'Customer Info'!A1229:I1728,2,0)</f>
        <v>#N/A</v>
      </c>
      <c r="H1237" s="6" t="e">
        <f>VLOOKUP(F1237,'Customer Info'!A1229:I1728,3,0)</f>
        <v>#N/A</v>
      </c>
      <c r="I1237" s="6" t="e">
        <f>VLOOKUP(F1237,'Customer Info'!A1229:I1728,5,0)</f>
        <v>#N/A</v>
      </c>
      <c r="J1237" s="2">
        <v>2177</v>
      </c>
      <c r="K1237" s="2">
        <v>2054</v>
      </c>
      <c r="L1237" s="2">
        <v>6</v>
      </c>
      <c r="M1237" s="7">
        <f t="shared" si="76"/>
        <v>12324</v>
      </c>
      <c r="N1237" s="7">
        <f t="shared" si="77"/>
        <v>13062</v>
      </c>
      <c r="O1237" s="2">
        <v>98</v>
      </c>
      <c r="P1237" s="8">
        <f t="shared" si="78"/>
        <v>13160</v>
      </c>
      <c r="Q1237" s="8">
        <f t="shared" si="79"/>
        <v>12964</v>
      </c>
      <c r="R1237" s="2" t="s">
        <v>28</v>
      </c>
      <c r="S1237" s="9">
        <f>VLOOKUP(P1237,$T$2:U1234,2,1)</f>
        <v>0.05</v>
      </c>
    </row>
    <row r="1238" spans="1:19" x14ac:dyDescent="0.25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e">
        <f>VLOOKUP(F1238,'Customer Info'!A1230:I1729,2,0)</f>
        <v>#N/A</v>
      </c>
      <c r="H1238" s="6" t="e">
        <f>VLOOKUP(F1238,'Customer Info'!A1230:I1729,3,0)</f>
        <v>#N/A</v>
      </c>
      <c r="I1238" s="6" t="e">
        <f>VLOOKUP(F1238,'Customer Info'!A1230:I1729,5,0)</f>
        <v>#N/A</v>
      </c>
      <c r="J1238" s="2">
        <v>1292</v>
      </c>
      <c r="K1238" s="2">
        <v>1185</v>
      </c>
      <c r="L1238" s="2">
        <v>3</v>
      </c>
      <c r="M1238" s="7">
        <f t="shared" si="76"/>
        <v>3555</v>
      </c>
      <c r="N1238" s="7">
        <f t="shared" si="77"/>
        <v>3876</v>
      </c>
      <c r="O1238" s="2">
        <v>95</v>
      </c>
      <c r="P1238" s="8">
        <f t="shared" si="78"/>
        <v>3971</v>
      </c>
      <c r="Q1238" s="8">
        <f t="shared" si="79"/>
        <v>3781</v>
      </c>
      <c r="R1238" s="2" t="s">
        <v>28</v>
      </c>
      <c r="S1238" s="9">
        <f>VLOOKUP(P1238,$T$2:U1235,2,1)</f>
        <v>0.02</v>
      </c>
    </row>
    <row r="1239" spans="1:19" x14ac:dyDescent="0.25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e">
        <f>VLOOKUP(F1239,'Customer Info'!A1231:I1730,2,0)</f>
        <v>#N/A</v>
      </c>
      <c r="H1239" s="6" t="e">
        <f>VLOOKUP(F1239,'Customer Info'!A1231:I1730,3,0)</f>
        <v>#N/A</v>
      </c>
      <c r="I1239" s="6" t="e">
        <f>VLOOKUP(F1239,'Customer Info'!A1231:I1730,5,0)</f>
        <v>#N/A</v>
      </c>
      <c r="J1239" s="2">
        <v>456</v>
      </c>
      <c r="K1239" s="2">
        <v>430</v>
      </c>
      <c r="L1239" s="2">
        <v>4</v>
      </c>
      <c r="M1239" s="7">
        <f t="shared" si="76"/>
        <v>1720</v>
      </c>
      <c r="N1239" s="7">
        <f t="shared" si="77"/>
        <v>1824</v>
      </c>
      <c r="O1239" s="2">
        <v>46</v>
      </c>
      <c r="P1239" s="8">
        <f t="shared" si="78"/>
        <v>1870</v>
      </c>
      <c r="Q1239" s="8">
        <f t="shared" si="79"/>
        <v>1778</v>
      </c>
      <c r="R1239" s="2" t="s">
        <v>26</v>
      </c>
      <c r="S1239" s="9">
        <f>VLOOKUP(P1239,$T$2:U1236,2,1)</f>
        <v>0.02</v>
      </c>
    </row>
    <row r="1240" spans="1:19" x14ac:dyDescent="0.25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e">
        <f>VLOOKUP(F1240,'Customer Info'!A1232:I1731,2,0)</f>
        <v>#N/A</v>
      </c>
      <c r="H1240" s="6" t="e">
        <f>VLOOKUP(F1240,'Customer Info'!A1232:I1731,3,0)</f>
        <v>#N/A</v>
      </c>
      <c r="I1240" s="6" t="e">
        <f>VLOOKUP(F1240,'Customer Info'!A1232:I1731,5,0)</f>
        <v>#N/A</v>
      </c>
      <c r="J1240" s="2">
        <v>932</v>
      </c>
      <c r="K1240" s="2">
        <v>838</v>
      </c>
      <c r="L1240" s="2">
        <v>1</v>
      </c>
      <c r="M1240" s="7">
        <f t="shared" si="76"/>
        <v>838</v>
      </c>
      <c r="N1240" s="7">
        <f t="shared" si="77"/>
        <v>932</v>
      </c>
      <c r="O1240" s="2">
        <v>85</v>
      </c>
      <c r="P1240" s="8">
        <f t="shared" si="78"/>
        <v>1017</v>
      </c>
      <c r="Q1240" s="8">
        <f t="shared" si="79"/>
        <v>847</v>
      </c>
      <c r="R1240" s="2" t="s">
        <v>28</v>
      </c>
      <c r="S1240" s="9">
        <f>VLOOKUP(P1240,$T$2:U1237,2,1)</f>
        <v>0.02</v>
      </c>
    </row>
    <row r="1241" spans="1:19" x14ac:dyDescent="0.25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e">
        <f>VLOOKUP(F1241,'Customer Info'!A1233:I1732,2,0)</f>
        <v>#N/A</v>
      </c>
      <c r="H1241" s="6" t="e">
        <f>VLOOKUP(F1241,'Customer Info'!A1233:I1732,3,0)</f>
        <v>#N/A</v>
      </c>
      <c r="I1241" s="6" t="e">
        <f>VLOOKUP(F1241,'Customer Info'!A1233:I1732,5,0)</f>
        <v>#N/A</v>
      </c>
      <c r="J1241" s="2">
        <v>7943</v>
      </c>
      <c r="K1241" s="2">
        <v>7790</v>
      </c>
      <c r="L1241" s="2">
        <v>6</v>
      </c>
      <c r="M1241" s="7">
        <f t="shared" si="76"/>
        <v>46740</v>
      </c>
      <c r="N1241" s="7">
        <f t="shared" si="77"/>
        <v>47658</v>
      </c>
      <c r="O1241" s="2">
        <v>29</v>
      </c>
      <c r="P1241" s="8">
        <f t="shared" si="78"/>
        <v>47687</v>
      </c>
      <c r="Q1241" s="8">
        <f t="shared" si="79"/>
        <v>47629</v>
      </c>
      <c r="R1241" s="2" t="s">
        <v>28</v>
      </c>
      <c r="S1241" s="9">
        <f>VLOOKUP(P1241,$T$2:U1238,2,1)</f>
        <v>7.0000000000000007E-2</v>
      </c>
    </row>
    <row r="1242" spans="1:19" x14ac:dyDescent="0.25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e">
        <f>VLOOKUP(F1242,'Customer Info'!A1234:I1733,2,0)</f>
        <v>#N/A</v>
      </c>
      <c r="H1242" s="6" t="e">
        <f>VLOOKUP(F1242,'Customer Info'!A1234:I1733,3,0)</f>
        <v>#N/A</v>
      </c>
      <c r="I1242" s="6" t="e">
        <f>VLOOKUP(F1242,'Customer Info'!A1234:I1733,5,0)</f>
        <v>#N/A</v>
      </c>
      <c r="J1242" s="2">
        <v>1399</v>
      </c>
      <c r="K1242" s="2">
        <v>1308</v>
      </c>
      <c r="L1242" s="2">
        <v>1</v>
      </c>
      <c r="M1242" s="7">
        <f t="shared" si="76"/>
        <v>1308</v>
      </c>
      <c r="N1242" s="7">
        <f t="shared" si="77"/>
        <v>1399</v>
      </c>
      <c r="O1242" s="2">
        <v>84</v>
      </c>
      <c r="P1242" s="8">
        <f t="shared" si="78"/>
        <v>1483</v>
      </c>
      <c r="Q1242" s="8">
        <f t="shared" si="79"/>
        <v>1315</v>
      </c>
      <c r="R1242" s="2" t="s">
        <v>28</v>
      </c>
      <c r="S1242" s="9">
        <f>VLOOKUP(P1242,$T$2:U1239,2,1)</f>
        <v>0.02</v>
      </c>
    </row>
    <row r="1243" spans="1:19" x14ac:dyDescent="0.25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e">
        <f>VLOOKUP(F1243,'Customer Info'!A1235:I1734,2,0)</f>
        <v>#N/A</v>
      </c>
      <c r="H1243" s="6" t="e">
        <f>VLOOKUP(F1243,'Customer Info'!A1235:I1734,3,0)</f>
        <v>#N/A</v>
      </c>
      <c r="I1243" s="6" t="e">
        <f>VLOOKUP(F1243,'Customer Info'!A1235:I1734,5,0)</f>
        <v>#N/A</v>
      </c>
      <c r="J1243" s="2">
        <v>2540</v>
      </c>
      <c r="K1243" s="2">
        <v>2397</v>
      </c>
      <c r="L1243" s="2">
        <v>2</v>
      </c>
      <c r="M1243" s="7">
        <f t="shared" si="76"/>
        <v>4794</v>
      </c>
      <c r="N1243" s="7">
        <f t="shared" si="77"/>
        <v>5080</v>
      </c>
      <c r="O1243" s="2">
        <v>48</v>
      </c>
      <c r="P1243" s="8">
        <f t="shared" si="78"/>
        <v>5128</v>
      </c>
      <c r="Q1243" s="8">
        <f t="shared" si="79"/>
        <v>5032</v>
      </c>
      <c r="R1243" s="2" t="s">
        <v>28</v>
      </c>
      <c r="S1243" s="9">
        <f>VLOOKUP(P1243,$T$2:U1240,2,1)</f>
        <v>0.05</v>
      </c>
    </row>
    <row r="1244" spans="1:19" x14ac:dyDescent="0.25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e">
        <f>VLOOKUP(F1244,'Customer Info'!A1236:I1735,2,0)</f>
        <v>#N/A</v>
      </c>
      <c r="H1244" s="6" t="e">
        <f>VLOOKUP(F1244,'Customer Info'!A1236:I1735,3,0)</f>
        <v>#N/A</v>
      </c>
      <c r="I1244" s="6" t="e">
        <f>VLOOKUP(F1244,'Customer Info'!A1236:I1735,5,0)</f>
        <v>#N/A</v>
      </c>
      <c r="J1244" s="2">
        <v>92</v>
      </c>
      <c r="K1244" s="2">
        <v>82</v>
      </c>
      <c r="L1244" s="2">
        <v>2</v>
      </c>
      <c r="M1244" s="7">
        <f t="shared" si="76"/>
        <v>164</v>
      </c>
      <c r="N1244" s="7">
        <f t="shared" si="77"/>
        <v>184</v>
      </c>
      <c r="O1244" s="2">
        <v>10</v>
      </c>
      <c r="P1244" s="8">
        <f t="shared" si="78"/>
        <v>194</v>
      </c>
      <c r="Q1244" s="8">
        <f t="shared" si="79"/>
        <v>174</v>
      </c>
      <c r="R1244" s="2" t="s">
        <v>50</v>
      </c>
      <c r="S1244" s="9">
        <f>VLOOKUP(P1244,$T$2:U1241,2,1)</f>
        <v>0.02</v>
      </c>
    </row>
    <row r="1245" spans="1:19" x14ac:dyDescent="0.25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e">
        <f>VLOOKUP(F1245,'Customer Info'!A1237:I1736,2,0)</f>
        <v>#N/A</v>
      </c>
      <c r="H1245" s="6" t="e">
        <f>VLOOKUP(F1245,'Customer Info'!A1237:I1736,3,0)</f>
        <v>#N/A</v>
      </c>
      <c r="I1245" s="6" t="e">
        <f>VLOOKUP(F1245,'Customer Info'!A1237:I1736,5,0)</f>
        <v>#N/A</v>
      </c>
      <c r="J1245" s="2">
        <v>8773</v>
      </c>
      <c r="K1245" s="2">
        <v>8115</v>
      </c>
      <c r="L1245" s="2">
        <v>3</v>
      </c>
      <c r="M1245" s="7">
        <f t="shared" si="76"/>
        <v>24345</v>
      </c>
      <c r="N1245" s="7">
        <f t="shared" si="77"/>
        <v>26319</v>
      </c>
      <c r="O1245" s="2">
        <v>71</v>
      </c>
      <c r="P1245" s="8">
        <f t="shared" si="78"/>
        <v>26390</v>
      </c>
      <c r="Q1245" s="8">
        <f t="shared" si="79"/>
        <v>26248</v>
      </c>
      <c r="R1245" s="2" t="s">
        <v>50</v>
      </c>
      <c r="S1245" s="9">
        <f>VLOOKUP(P1245,$T$2:U1242,2,1)</f>
        <v>7.0000000000000007E-2</v>
      </c>
    </row>
    <row r="1246" spans="1:19" x14ac:dyDescent="0.25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e">
        <f>VLOOKUP(F1246,'Customer Info'!A1238:I1737,2,0)</f>
        <v>#N/A</v>
      </c>
      <c r="H1246" s="6" t="e">
        <f>VLOOKUP(F1246,'Customer Info'!A1238:I1737,3,0)</f>
        <v>#N/A</v>
      </c>
      <c r="I1246" s="6" t="e">
        <f>VLOOKUP(F1246,'Customer Info'!A1238:I1737,5,0)</f>
        <v>#N/A</v>
      </c>
      <c r="J1246" s="2">
        <v>1901</v>
      </c>
      <c r="K1246" s="2">
        <v>1810</v>
      </c>
      <c r="L1246" s="2">
        <v>2</v>
      </c>
      <c r="M1246" s="7">
        <f t="shared" si="76"/>
        <v>3620</v>
      </c>
      <c r="N1246" s="7">
        <f t="shared" si="77"/>
        <v>3802</v>
      </c>
      <c r="O1246" s="2">
        <v>74</v>
      </c>
      <c r="P1246" s="8">
        <f t="shared" si="78"/>
        <v>3876</v>
      </c>
      <c r="Q1246" s="8">
        <f t="shared" si="79"/>
        <v>3728</v>
      </c>
      <c r="R1246" s="2" t="s">
        <v>28</v>
      </c>
      <c r="S1246" s="9">
        <f>VLOOKUP(P1246,$T$2:U1243,2,1)</f>
        <v>0.02</v>
      </c>
    </row>
    <row r="1247" spans="1:19" x14ac:dyDescent="0.25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e">
        <f>VLOOKUP(F1247,'Customer Info'!A1239:I1738,2,0)</f>
        <v>#N/A</v>
      </c>
      <c r="H1247" s="6" t="e">
        <f>VLOOKUP(F1247,'Customer Info'!A1239:I1738,3,0)</f>
        <v>#N/A</v>
      </c>
      <c r="I1247" s="6" t="e">
        <f>VLOOKUP(F1247,'Customer Info'!A1239:I1738,5,0)</f>
        <v>#N/A</v>
      </c>
      <c r="J1247" s="2">
        <v>144</v>
      </c>
      <c r="K1247" s="2">
        <v>132</v>
      </c>
      <c r="L1247" s="2">
        <v>1</v>
      </c>
      <c r="M1247" s="7">
        <f t="shared" si="76"/>
        <v>132</v>
      </c>
      <c r="N1247" s="7">
        <f t="shared" si="77"/>
        <v>144</v>
      </c>
      <c r="O1247" s="2">
        <v>30</v>
      </c>
      <c r="P1247" s="8">
        <f t="shared" si="78"/>
        <v>174</v>
      </c>
      <c r="Q1247" s="8">
        <f t="shared" si="79"/>
        <v>114</v>
      </c>
      <c r="R1247" s="2" t="s">
        <v>28</v>
      </c>
      <c r="S1247" s="9">
        <f>VLOOKUP(P1247,$T$2:U1244,2,1)</f>
        <v>0.02</v>
      </c>
    </row>
    <row r="1248" spans="1:19" x14ac:dyDescent="0.25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e">
        <f>VLOOKUP(F1248,'Customer Info'!A1240:I1739,2,0)</f>
        <v>#N/A</v>
      </c>
      <c r="H1248" s="6" t="e">
        <f>VLOOKUP(F1248,'Customer Info'!A1240:I1739,3,0)</f>
        <v>#N/A</v>
      </c>
      <c r="I1248" s="6" t="e">
        <f>VLOOKUP(F1248,'Customer Info'!A1240:I1739,5,0)</f>
        <v>#N/A</v>
      </c>
      <c r="J1248" s="2">
        <v>759</v>
      </c>
      <c r="K1248" s="2">
        <v>703</v>
      </c>
      <c r="L1248" s="2">
        <v>6</v>
      </c>
      <c r="M1248" s="7">
        <f t="shared" si="76"/>
        <v>4218</v>
      </c>
      <c r="N1248" s="7">
        <f t="shared" si="77"/>
        <v>4554</v>
      </c>
      <c r="O1248" s="2">
        <v>52</v>
      </c>
      <c r="P1248" s="8">
        <f t="shared" si="78"/>
        <v>4606</v>
      </c>
      <c r="Q1248" s="8">
        <f t="shared" si="79"/>
        <v>4502</v>
      </c>
      <c r="R1248" s="2" t="s">
        <v>50</v>
      </c>
      <c r="S1248" s="9">
        <f>VLOOKUP(P1248,$T$2:U1245,2,1)</f>
        <v>0.02</v>
      </c>
    </row>
    <row r="1249" spans="1:19" x14ac:dyDescent="0.25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e">
        <f>VLOOKUP(F1249,'Customer Info'!A1241:I1740,2,0)</f>
        <v>#N/A</v>
      </c>
      <c r="H1249" s="6" t="e">
        <f>VLOOKUP(F1249,'Customer Info'!A1241:I1740,3,0)</f>
        <v>#N/A</v>
      </c>
      <c r="I1249" s="6" t="e">
        <f>VLOOKUP(F1249,'Customer Info'!A1241:I1740,5,0)</f>
        <v>#N/A</v>
      </c>
      <c r="J1249" s="2">
        <v>2273</v>
      </c>
      <c r="K1249" s="2">
        <v>2229</v>
      </c>
      <c r="L1249" s="2">
        <v>1</v>
      </c>
      <c r="M1249" s="7">
        <f t="shared" si="76"/>
        <v>2229</v>
      </c>
      <c r="N1249" s="7">
        <f t="shared" si="77"/>
        <v>2273</v>
      </c>
      <c r="O1249" s="2">
        <v>37</v>
      </c>
      <c r="P1249" s="8">
        <f t="shared" si="78"/>
        <v>2310</v>
      </c>
      <c r="Q1249" s="8">
        <f t="shared" si="79"/>
        <v>2236</v>
      </c>
      <c r="R1249" s="2" t="s">
        <v>50</v>
      </c>
      <c r="S1249" s="9">
        <f>VLOOKUP(P1249,$T$2:U1246,2,1)</f>
        <v>0.02</v>
      </c>
    </row>
    <row r="1250" spans="1:19" x14ac:dyDescent="0.25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e">
        <f>VLOOKUP(F1250,'Customer Info'!A1242:I1741,2,0)</f>
        <v>#N/A</v>
      </c>
      <c r="H1250" s="6" t="e">
        <f>VLOOKUP(F1250,'Customer Info'!A1242:I1741,3,0)</f>
        <v>#N/A</v>
      </c>
      <c r="I1250" s="6" t="e">
        <f>VLOOKUP(F1250,'Customer Info'!A1242:I1741,5,0)</f>
        <v>#N/A</v>
      </c>
      <c r="J1250" s="2">
        <v>1413</v>
      </c>
      <c r="K1250" s="2">
        <v>1334</v>
      </c>
      <c r="L1250" s="2">
        <v>4</v>
      </c>
      <c r="M1250" s="7">
        <f t="shared" si="76"/>
        <v>5336</v>
      </c>
      <c r="N1250" s="7">
        <f t="shared" si="77"/>
        <v>5652</v>
      </c>
      <c r="O1250" s="2">
        <v>56</v>
      </c>
      <c r="P1250" s="8">
        <f t="shared" si="78"/>
        <v>5708</v>
      </c>
      <c r="Q1250" s="8">
        <f t="shared" si="79"/>
        <v>5596</v>
      </c>
      <c r="R1250" s="2" t="s">
        <v>50</v>
      </c>
      <c r="S1250" s="9">
        <f>VLOOKUP(P1250,$T$2:U1247,2,1)</f>
        <v>0.05</v>
      </c>
    </row>
    <row r="1251" spans="1:19" x14ac:dyDescent="0.25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e">
        <f>VLOOKUP(F1251,'Customer Info'!A1243:I1742,2,0)</f>
        <v>#N/A</v>
      </c>
      <c r="H1251" s="6" t="e">
        <f>VLOOKUP(F1251,'Customer Info'!A1243:I1742,3,0)</f>
        <v>#N/A</v>
      </c>
      <c r="I1251" s="6" t="e">
        <f>VLOOKUP(F1251,'Customer Info'!A1243:I1742,5,0)</f>
        <v>#N/A</v>
      </c>
      <c r="J1251" s="2">
        <v>932</v>
      </c>
      <c r="K1251" s="2">
        <v>838</v>
      </c>
      <c r="L1251" s="2">
        <v>3</v>
      </c>
      <c r="M1251" s="7">
        <f t="shared" si="76"/>
        <v>2514</v>
      </c>
      <c r="N1251" s="7">
        <f t="shared" si="77"/>
        <v>2796</v>
      </c>
      <c r="O1251" s="2">
        <v>88</v>
      </c>
      <c r="P1251" s="8">
        <f t="shared" si="78"/>
        <v>2884</v>
      </c>
      <c r="Q1251" s="8">
        <f t="shared" si="79"/>
        <v>2708</v>
      </c>
      <c r="R1251" s="2" t="s">
        <v>50</v>
      </c>
      <c r="S1251" s="9">
        <f>VLOOKUP(P1251,$T$2:U1248,2,1)</f>
        <v>0.02</v>
      </c>
    </row>
    <row r="1252" spans="1:19" x14ac:dyDescent="0.25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e">
        <f>VLOOKUP(F1252,'Customer Info'!A1244:I1743,2,0)</f>
        <v>#N/A</v>
      </c>
      <c r="H1252" s="6" t="e">
        <f>VLOOKUP(F1252,'Customer Info'!A1244:I1743,3,0)</f>
        <v>#N/A</v>
      </c>
      <c r="I1252" s="6" t="e">
        <f>VLOOKUP(F1252,'Customer Info'!A1244:I1743,5,0)</f>
        <v>#N/A</v>
      </c>
      <c r="J1252" s="2">
        <v>1816</v>
      </c>
      <c r="K1252" s="2">
        <v>1699</v>
      </c>
      <c r="L1252" s="2">
        <v>2</v>
      </c>
      <c r="M1252" s="7">
        <f t="shared" si="76"/>
        <v>3398</v>
      </c>
      <c r="N1252" s="7">
        <f t="shared" si="77"/>
        <v>3632</v>
      </c>
      <c r="O1252" s="2">
        <v>84</v>
      </c>
      <c r="P1252" s="8">
        <f t="shared" si="78"/>
        <v>3716</v>
      </c>
      <c r="Q1252" s="8">
        <f t="shared" si="79"/>
        <v>3548</v>
      </c>
      <c r="R1252" s="2" t="s">
        <v>26</v>
      </c>
      <c r="S1252" s="9">
        <f>VLOOKUP(P1252,$T$2:U1249,2,1)</f>
        <v>0.02</v>
      </c>
    </row>
    <row r="1253" spans="1:19" x14ac:dyDescent="0.25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e">
        <f>VLOOKUP(F1253,'Customer Info'!A1245:I1744,2,0)</f>
        <v>#N/A</v>
      </c>
      <c r="H1253" s="6" t="e">
        <f>VLOOKUP(F1253,'Customer Info'!A1245:I1744,3,0)</f>
        <v>#N/A</v>
      </c>
      <c r="I1253" s="6" t="e">
        <f>VLOOKUP(F1253,'Customer Info'!A1245:I1744,5,0)</f>
        <v>#N/A</v>
      </c>
      <c r="J1253" s="2">
        <v>69</v>
      </c>
      <c r="K1253" s="2">
        <v>64</v>
      </c>
      <c r="L1253" s="2">
        <v>1</v>
      </c>
      <c r="M1253" s="7">
        <f t="shared" si="76"/>
        <v>64</v>
      </c>
      <c r="N1253" s="7">
        <f t="shared" si="77"/>
        <v>69</v>
      </c>
      <c r="O1253" s="2">
        <v>10</v>
      </c>
      <c r="P1253" s="8">
        <f t="shared" si="78"/>
        <v>79</v>
      </c>
      <c r="Q1253" s="8">
        <f t="shared" si="79"/>
        <v>59</v>
      </c>
      <c r="R1253" s="2" t="s">
        <v>28</v>
      </c>
      <c r="S1253" s="9">
        <f>VLOOKUP(P1253,$T$2:U1250,2,1)</f>
        <v>0.02</v>
      </c>
    </row>
    <row r="1254" spans="1:19" x14ac:dyDescent="0.25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e">
        <f>VLOOKUP(F1254,'Customer Info'!A1246:I1745,2,0)</f>
        <v>#N/A</v>
      </c>
      <c r="H1254" s="6" t="e">
        <f>VLOOKUP(F1254,'Customer Info'!A1246:I1745,3,0)</f>
        <v>#N/A</v>
      </c>
      <c r="I1254" s="6" t="e">
        <f>VLOOKUP(F1254,'Customer Info'!A1246:I1745,5,0)</f>
        <v>#N/A</v>
      </c>
      <c r="J1254" s="2">
        <v>69</v>
      </c>
      <c r="K1254" s="2">
        <v>64</v>
      </c>
      <c r="L1254" s="2">
        <v>1</v>
      </c>
      <c r="M1254" s="7">
        <f t="shared" si="76"/>
        <v>64</v>
      </c>
      <c r="N1254" s="7">
        <f t="shared" si="77"/>
        <v>69</v>
      </c>
      <c r="O1254" s="2">
        <v>10</v>
      </c>
      <c r="P1254" s="8">
        <f t="shared" si="78"/>
        <v>79</v>
      </c>
      <c r="Q1254" s="8">
        <f t="shared" si="79"/>
        <v>59</v>
      </c>
      <c r="R1254" s="2" t="s">
        <v>28</v>
      </c>
      <c r="S1254" s="9">
        <f>VLOOKUP(P1254,$T$2:U1251,2,1)</f>
        <v>0.02</v>
      </c>
    </row>
    <row r="1255" spans="1:19" x14ac:dyDescent="0.25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e">
        <f>VLOOKUP(F1255,'Customer Info'!A1247:I1746,2,0)</f>
        <v>#N/A</v>
      </c>
      <c r="H1255" s="6" t="e">
        <f>VLOOKUP(F1255,'Customer Info'!A1247:I1746,3,0)</f>
        <v>#N/A</v>
      </c>
      <c r="I1255" s="6" t="e">
        <f>VLOOKUP(F1255,'Customer Info'!A1247:I1746,5,0)</f>
        <v>#N/A</v>
      </c>
      <c r="J1255" s="2">
        <v>1585</v>
      </c>
      <c r="K1255" s="2">
        <v>1495</v>
      </c>
      <c r="L1255" s="2">
        <v>2</v>
      </c>
      <c r="M1255" s="7">
        <f t="shared" si="76"/>
        <v>2990</v>
      </c>
      <c r="N1255" s="7">
        <f t="shared" si="77"/>
        <v>3170</v>
      </c>
      <c r="O1255" s="2">
        <v>92</v>
      </c>
      <c r="P1255" s="8">
        <f t="shared" si="78"/>
        <v>3262</v>
      </c>
      <c r="Q1255" s="8">
        <f t="shared" si="79"/>
        <v>3078</v>
      </c>
      <c r="R1255" s="2" t="s">
        <v>28</v>
      </c>
      <c r="S1255" s="9">
        <f>VLOOKUP(P1255,$T$2:U1252,2,1)</f>
        <v>0.02</v>
      </c>
    </row>
    <row r="1256" spans="1:19" x14ac:dyDescent="0.25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e">
        <f>VLOOKUP(F1256,'Customer Info'!A1248:I1747,2,0)</f>
        <v>#N/A</v>
      </c>
      <c r="H1256" s="6" t="e">
        <f>VLOOKUP(F1256,'Customer Info'!A1248:I1747,3,0)</f>
        <v>#N/A</v>
      </c>
      <c r="I1256" s="6" t="e">
        <f>VLOOKUP(F1256,'Customer Info'!A1248:I1747,5,0)</f>
        <v>#N/A</v>
      </c>
      <c r="J1256" s="2">
        <v>7065</v>
      </c>
      <c r="K1256" s="2">
        <v>6545</v>
      </c>
      <c r="L1256" s="2">
        <v>4</v>
      </c>
      <c r="M1256" s="7">
        <f t="shared" si="76"/>
        <v>26180</v>
      </c>
      <c r="N1256" s="7">
        <f t="shared" si="77"/>
        <v>28260</v>
      </c>
      <c r="O1256" s="2">
        <v>39</v>
      </c>
      <c r="P1256" s="8">
        <f t="shared" si="78"/>
        <v>28299</v>
      </c>
      <c r="Q1256" s="8">
        <f t="shared" si="79"/>
        <v>28221</v>
      </c>
      <c r="R1256" s="2" t="s">
        <v>28</v>
      </c>
      <c r="S1256" s="9">
        <f>VLOOKUP(P1256,$T$2:U1253,2,1)</f>
        <v>7.0000000000000007E-2</v>
      </c>
    </row>
    <row r="1257" spans="1:19" x14ac:dyDescent="0.25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e">
        <f>VLOOKUP(F1257,'Customer Info'!A1249:I1748,2,0)</f>
        <v>#N/A</v>
      </c>
      <c r="H1257" s="6" t="e">
        <f>VLOOKUP(F1257,'Customer Info'!A1249:I1748,3,0)</f>
        <v>#N/A</v>
      </c>
      <c r="I1257" s="6" t="e">
        <f>VLOOKUP(F1257,'Customer Info'!A1249:I1748,5,0)</f>
        <v>#N/A</v>
      </c>
      <c r="J1257" s="2">
        <v>1790</v>
      </c>
      <c r="K1257" s="2">
        <v>1706</v>
      </c>
      <c r="L1257" s="2">
        <v>1</v>
      </c>
      <c r="M1257" s="7">
        <f t="shared" si="76"/>
        <v>1706</v>
      </c>
      <c r="N1257" s="7">
        <f t="shared" si="77"/>
        <v>1790</v>
      </c>
      <c r="O1257" s="2">
        <v>100</v>
      </c>
      <c r="P1257" s="8">
        <f t="shared" si="78"/>
        <v>1890</v>
      </c>
      <c r="Q1257" s="8">
        <f t="shared" si="79"/>
        <v>1690</v>
      </c>
      <c r="R1257" s="2" t="s">
        <v>50</v>
      </c>
      <c r="S1257" s="9">
        <f>VLOOKUP(P1257,$T$2:U1254,2,1)</f>
        <v>0.02</v>
      </c>
    </row>
    <row r="1258" spans="1:19" x14ac:dyDescent="0.25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e">
        <f>VLOOKUP(F1258,'Customer Info'!A1250:I1749,2,0)</f>
        <v>#N/A</v>
      </c>
      <c r="H1258" s="6" t="e">
        <f>VLOOKUP(F1258,'Customer Info'!A1250:I1749,3,0)</f>
        <v>#N/A</v>
      </c>
      <c r="I1258" s="6" t="e">
        <f>VLOOKUP(F1258,'Customer Info'!A1250:I1749,5,0)</f>
        <v>#N/A</v>
      </c>
      <c r="J1258" s="2">
        <v>1704</v>
      </c>
      <c r="K1258" s="2">
        <v>1624</v>
      </c>
      <c r="L1258" s="2">
        <v>2</v>
      </c>
      <c r="M1258" s="7">
        <f t="shared" si="76"/>
        <v>3248</v>
      </c>
      <c r="N1258" s="7">
        <f t="shared" si="77"/>
        <v>3408</v>
      </c>
      <c r="O1258" s="2">
        <v>27</v>
      </c>
      <c r="P1258" s="8">
        <f t="shared" si="78"/>
        <v>3435</v>
      </c>
      <c r="Q1258" s="8">
        <f t="shared" si="79"/>
        <v>3381</v>
      </c>
      <c r="R1258" s="2" t="s">
        <v>50</v>
      </c>
      <c r="S1258" s="9">
        <f>VLOOKUP(P1258,$T$2:U1255,2,1)</f>
        <v>0.02</v>
      </c>
    </row>
    <row r="1259" spans="1:19" x14ac:dyDescent="0.25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e">
        <f>VLOOKUP(F1259,'Customer Info'!A1251:I1750,2,0)</f>
        <v>#N/A</v>
      </c>
      <c r="H1259" s="6" t="e">
        <f>VLOOKUP(F1259,'Customer Info'!A1251:I1750,3,0)</f>
        <v>#N/A</v>
      </c>
      <c r="I1259" s="6" t="e">
        <f>VLOOKUP(F1259,'Customer Info'!A1251:I1750,5,0)</f>
        <v>#N/A</v>
      </c>
      <c r="J1259" s="2">
        <v>1482</v>
      </c>
      <c r="K1259" s="2">
        <v>1453</v>
      </c>
      <c r="L1259" s="2">
        <v>2</v>
      </c>
      <c r="M1259" s="7">
        <f t="shared" si="76"/>
        <v>2906</v>
      </c>
      <c r="N1259" s="7">
        <f t="shared" si="77"/>
        <v>2964</v>
      </c>
      <c r="O1259" s="2">
        <v>44</v>
      </c>
      <c r="P1259" s="8">
        <f t="shared" si="78"/>
        <v>3008</v>
      </c>
      <c r="Q1259" s="8">
        <f t="shared" si="79"/>
        <v>2920</v>
      </c>
      <c r="R1259" s="2" t="s">
        <v>28</v>
      </c>
      <c r="S1259" s="9">
        <f>VLOOKUP(P1259,$T$2:U1256,2,1)</f>
        <v>0.02</v>
      </c>
    </row>
    <row r="1260" spans="1:19" x14ac:dyDescent="0.25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e">
        <f>VLOOKUP(F1260,'Customer Info'!A1252:I1751,2,0)</f>
        <v>#N/A</v>
      </c>
      <c r="H1260" s="6" t="e">
        <f>VLOOKUP(F1260,'Customer Info'!A1252:I1751,3,0)</f>
        <v>#N/A</v>
      </c>
      <c r="I1260" s="6" t="e">
        <f>VLOOKUP(F1260,'Customer Info'!A1252:I1751,5,0)</f>
        <v>#N/A</v>
      </c>
      <c r="J1260" s="2">
        <v>167</v>
      </c>
      <c r="K1260" s="2">
        <v>152</v>
      </c>
      <c r="L1260" s="2">
        <v>8</v>
      </c>
      <c r="M1260" s="7">
        <f t="shared" si="76"/>
        <v>1216</v>
      </c>
      <c r="N1260" s="7">
        <f t="shared" si="77"/>
        <v>1336</v>
      </c>
      <c r="O1260" s="2">
        <v>30</v>
      </c>
      <c r="P1260" s="8">
        <f t="shared" si="78"/>
        <v>1366</v>
      </c>
      <c r="Q1260" s="8">
        <f t="shared" si="79"/>
        <v>1306</v>
      </c>
      <c r="R1260" s="2" t="s">
        <v>50</v>
      </c>
      <c r="S1260" s="9">
        <f>VLOOKUP(P1260,$T$2:U1257,2,1)</f>
        <v>0.02</v>
      </c>
    </row>
    <row r="1261" spans="1:19" x14ac:dyDescent="0.25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e">
        <f>VLOOKUP(F1261,'Customer Info'!A1253:I1752,2,0)</f>
        <v>#N/A</v>
      </c>
      <c r="H1261" s="6" t="e">
        <f>VLOOKUP(F1261,'Customer Info'!A1253:I1752,3,0)</f>
        <v>#N/A</v>
      </c>
      <c r="I1261" s="6" t="e">
        <f>VLOOKUP(F1261,'Customer Info'!A1253:I1752,5,0)</f>
        <v>#N/A</v>
      </c>
      <c r="J1261" s="2">
        <v>679</v>
      </c>
      <c r="K1261" s="2">
        <v>654</v>
      </c>
      <c r="L1261" s="2">
        <v>5</v>
      </c>
      <c r="M1261" s="7">
        <f t="shared" si="76"/>
        <v>3270</v>
      </c>
      <c r="N1261" s="7">
        <f t="shared" si="77"/>
        <v>3395</v>
      </c>
      <c r="O1261" s="2">
        <v>100</v>
      </c>
      <c r="P1261" s="8">
        <f t="shared" si="78"/>
        <v>3495</v>
      </c>
      <c r="Q1261" s="8">
        <f t="shared" si="79"/>
        <v>3295</v>
      </c>
      <c r="R1261" s="2" t="s">
        <v>28</v>
      </c>
      <c r="S1261" s="9">
        <f>VLOOKUP(P1261,$T$2:U1258,2,1)</f>
        <v>0.02</v>
      </c>
    </row>
    <row r="1262" spans="1:19" x14ac:dyDescent="0.25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e">
        <f>VLOOKUP(F1262,'Customer Info'!A1254:I1753,2,0)</f>
        <v>#N/A</v>
      </c>
      <c r="H1262" s="6" t="e">
        <f>VLOOKUP(F1262,'Customer Info'!A1254:I1753,3,0)</f>
        <v>#N/A</v>
      </c>
      <c r="I1262" s="6" t="e">
        <f>VLOOKUP(F1262,'Customer Info'!A1254:I1753,5,0)</f>
        <v>#N/A</v>
      </c>
      <c r="J1262" s="2">
        <v>1983</v>
      </c>
      <c r="K1262" s="2">
        <v>1908</v>
      </c>
      <c r="L1262" s="2">
        <v>4</v>
      </c>
      <c r="M1262" s="7">
        <f t="shared" si="76"/>
        <v>7632</v>
      </c>
      <c r="N1262" s="7">
        <f t="shared" si="77"/>
        <v>7932</v>
      </c>
      <c r="O1262" s="2">
        <v>59</v>
      </c>
      <c r="P1262" s="8">
        <f t="shared" si="78"/>
        <v>7991</v>
      </c>
      <c r="Q1262" s="8">
        <f t="shared" si="79"/>
        <v>7873</v>
      </c>
      <c r="R1262" s="2" t="s">
        <v>28</v>
      </c>
      <c r="S1262" s="9">
        <f>VLOOKUP(P1262,$T$2:U1259,2,1)</f>
        <v>0.05</v>
      </c>
    </row>
    <row r="1263" spans="1:19" x14ac:dyDescent="0.25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e">
        <f>VLOOKUP(F1263,'Customer Info'!A1255:I1754,2,0)</f>
        <v>#N/A</v>
      </c>
      <c r="H1263" s="6" t="e">
        <f>VLOOKUP(F1263,'Customer Info'!A1255:I1754,3,0)</f>
        <v>#N/A</v>
      </c>
      <c r="I1263" s="6" t="e">
        <f>VLOOKUP(F1263,'Customer Info'!A1255:I1754,5,0)</f>
        <v>#N/A</v>
      </c>
      <c r="J1263" s="2">
        <v>7315</v>
      </c>
      <c r="K1263" s="2">
        <v>6967</v>
      </c>
      <c r="L1263" s="2">
        <v>2</v>
      </c>
      <c r="M1263" s="7">
        <f t="shared" si="76"/>
        <v>13934</v>
      </c>
      <c r="N1263" s="7">
        <f t="shared" si="77"/>
        <v>14630</v>
      </c>
      <c r="O1263" s="2">
        <v>82</v>
      </c>
      <c r="P1263" s="8">
        <f t="shared" si="78"/>
        <v>14712</v>
      </c>
      <c r="Q1263" s="8">
        <f t="shared" si="79"/>
        <v>14548</v>
      </c>
      <c r="R1263" s="2" t="s">
        <v>26</v>
      </c>
      <c r="S1263" s="9">
        <f>VLOOKUP(P1263,$T$2:U1260,2,1)</f>
        <v>0.05</v>
      </c>
    </row>
    <row r="1264" spans="1:19" x14ac:dyDescent="0.25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e">
        <f>VLOOKUP(F1264,'Customer Info'!A1256:I1755,2,0)</f>
        <v>#N/A</v>
      </c>
      <c r="H1264" s="6" t="e">
        <f>VLOOKUP(F1264,'Customer Info'!A1256:I1755,3,0)</f>
        <v>#N/A</v>
      </c>
      <c r="I1264" s="6" t="e">
        <f>VLOOKUP(F1264,'Customer Info'!A1256:I1755,5,0)</f>
        <v>#N/A</v>
      </c>
      <c r="J1264" s="2">
        <v>1654</v>
      </c>
      <c r="K1264" s="2">
        <v>1577</v>
      </c>
      <c r="L1264" s="2">
        <v>1</v>
      </c>
      <c r="M1264" s="7">
        <f t="shared" si="76"/>
        <v>1577</v>
      </c>
      <c r="N1264" s="7">
        <f t="shared" si="77"/>
        <v>1654</v>
      </c>
      <c r="O1264" s="2">
        <v>81</v>
      </c>
      <c r="P1264" s="8">
        <f t="shared" si="78"/>
        <v>1735</v>
      </c>
      <c r="Q1264" s="8">
        <f t="shared" si="79"/>
        <v>1573</v>
      </c>
      <c r="R1264" s="2" t="s">
        <v>26</v>
      </c>
      <c r="S1264" s="9">
        <f>VLOOKUP(P1264,$T$2:U1261,2,1)</f>
        <v>0.02</v>
      </c>
    </row>
    <row r="1265" spans="1:19" x14ac:dyDescent="0.25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e">
        <f>VLOOKUP(F1265,'Customer Info'!A1257:I1756,2,0)</f>
        <v>#N/A</v>
      </c>
      <c r="H1265" s="6" t="e">
        <f>VLOOKUP(F1265,'Customer Info'!A1257:I1756,3,0)</f>
        <v>#N/A</v>
      </c>
      <c r="I1265" s="6" t="e">
        <f>VLOOKUP(F1265,'Customer Info'!A1257:I1756,5,0)</f>
        <v>#N/A</v>
      </c>
      <c r="J1265" s="2">
        <v>495</v>
      </c>
      <c r="K1265" s="2">
        <v>458</v>
      </c>
      <c r="L1265" s="2">
        <v>8</v>
      </c>
      <c r="M1265" s="7">
        <f t="shared" si="76"/>
        <v>3664</v>
      </c>
      <c r="N1265" s="7">
        <f t="shared" si="77"/>
        <v>3960</v>
      </c>
      <c r="O1265" s="2">
        <v>56</v>
      </c>
      <c r="P1265" s="8">
        <f t="shared" si="78"/>
        <v>4016</v>
      </c>
      <c r="Q1265" s="8">
        <f t="shared" si="79"/>
        <v>3904</v>
      </c>
      <c r="R1265" s="2" t="s">
        <v>26</v>
      </c>
      <c r="S1265" s="9">
        <f>VLOOKUP(P1265,$T$2:U1262,2,1)</f>
        <v>0.02</v>
      </c>
    </row>
    <row r="1266" spans="1:19" x14ac:dyDescent="0.25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e">
        <f>VLOOKUP(F1266,'Customer Info'!A1258:I1757,2,0)</f>
        <v>#N/A</v>
      </c>
      <c r="H1266" s="6" t="e">
        <f>VLOOKUP(F1266,'Customer Info'!A1258:I1757,3,0)</f>
        <v>#N/A</v>
      </c>
      <c r="I1266" s="6" t="e">
        <f>VLOOKUP(F1266,'Customer Info'!A1258:I1757,5,0)</f>
        <v>#N/A</v>
      </c>
      <c r="J1266" s="2">
        <v>887</v>
      </c>
      <c r="K1266" s="2">
        <v>814</v>
      </c>
      <c r="L1266" s="2">
        <v>3</v>
      </c>
      <c r="M1266" s="7">
        <f t="shared" si="76"/>
        <v>2442</v>
      </c>
      <c r="N1266" s="7">
        <f t="shared" si="77"/>
        <v>2661</v>
      </c>
      <c r="O1266" s="2">
        <v>93</v>
      </c>
      <c r="P1266" s="8">
        <f t="shared" si="78"/>
        <v>2754</v>
      </c>
      <c r="Q1266" s="8">
        <f t="shared" si="79"/>
        <v>2568</v>
      </c>
      <c r="R1266" s="2" t="s">
        <v>50</v>
      </c>
      <c r="S1266" s="9">
        <f>VLOOKUP(P1266,$T$2:U1263,2,1)</f>
        <v>0.02</v>
      </c>
    </row>
    <row r="1267" spans="1:19" x14ac:dyDescent="0.25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e">
        <f>VLOOKUP(F1267,'Customer Info'!A1259:I1758,2,0)</f>
        <v>#N/A</v>
      </c>
      <c r="H1267" s="6" t="e">
        <f>VLOOKUP(F1267,'Customer Info'!A1259:I1758,3,0)</f>
        <v>#N/A</v>
      </c>
      <c r="I1267" s="6" t="e">
        <f>VLOOKUP(F1267,'Customer Info'!A1259:I1758,5,0)</f>
        <v>#N/A</v>
      </c>
      <c r="J1267" s="2">
        <v>2857</v>
      </c>
      <c r="K1267" s="2">
        <v>2622</v>
      </c>
      <c r="L1267" s="2">
        <v>2</v>
      </c>
      <c r="M1267" s="7">
        <f t="shared" si="76"/>
        <v>5244</v>
      </c>
      <c r="N1267" s="7">
        <f t="shared" si="77"/>
        <v>5714</v>
      </c>
      <c r="O1267" s="2">
        <v>90</v>
      </c>
      <c r="P1267" s="8">
        <f t="shared" si="78"/>
        <v>5804</v>
      </c>
      <c r="Q1267" s="8">
        <f t="shared" si="79"/>
        <v>5624</v>
      </c>
      <c r="R1267" s="2" t="s">
        <v>28</v>
      </c>
      <c r="S1267" s="9">
        <f>VLOOKUP(P1267,$T$2:U1264,2,1)</f>
        <v>0.05</v>
      </c>
    </row>
    <row r="1268" spans="1:19" x14ac:dyDescent="0.25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e">
        <f>VLOOKUP(F1268,'Customer Info'!A1260:I1759,2,0)</f>
        <v>#N/A</v>
      </c>
      <c r="H1268" s="6" t="e">
        <f>VLOOKUP(F1268,'Customer Info'!A1260:I1759,3,0)</f>
        <v>#N/A</v>
      </c>
      <c r="I1268" s="6" t="e">
        <f>VLOOKUP(F1268,'Customer Info'!A1260:I1759,5,0)</f>
        <v>#N/A</v>
      </c>
      <c r="J1268" s="2">
        <v>8619</v>
      </c>
      <c r="K1268" s="2">
        <v>7759</v>
      </c>
      <c r="L1268" s="2">
        <v>14</v>
      </c>
      <c r="M1268" s="7">
        <f t="shared" si="76"/>
        <v>108626</v>
      </c>
      <c r="N1268" s="7">
        <f t="shared" si="77"/>
        <v>120666</v>
      </c>
      <c r="O1268" s="2">
        <v>24</v>
      </c>
      <c r="P1268" s="8">
        <f t="shared" si="78"/>
        <v>120690</v>
      </c>
      <c r="Q1268" s="8">
        <f t="shared" si="79"/>
        <v>120642</v>
      </c>
      <c r="R1268" s="2" t="s">
        <v>28</v>
      </c>
      <c r="S1268" s="9">
        <f>VLOOKUP(P1268,$T$2:U1265,2,1)</f>
        <v>0.12</v>
      </c>
    </row>
    <row r="1269" spans="1:19" x14ac:dyDescent="0.25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e">
        <f>VLOOKUP(F1269,'Customer Info'!A1261:I1760,2,0)</f>
        <v>#N/A</v>
      </c>
      <c r="H1269" s="6" t="e">
        <f>VLOOKUP(F1269,'Customer Info'!A1261:I1760,3,0)</f>
        <v>#N/A</v>
      </c>
      <c r="I1269" s="6" t="e">
        <f>VLOOKUP(F1269,'Customer Info'!A1261:I1760,5,0)</f>
        <v>#N/A</v>
      </c>
      <c r="J1269" s="2">
        <v>393</v>
      </c>
      <c r="K1269" s="2">
        <v>374</v>
      </c>
      <c r="L1269" s="2">
        <v>3</v>
      </c>
      <c r="M1269" s="7">
        <f t="shared" si="76"/>
        <v>1122</v>
      </c>
      <c r="N1269" s="7">
        <f t="shared" si="77"/>
        <v>1179</v>
      </c>
      <c r="O1269" s="2">
        <v>32</v>
      </c>
      <c r="P1269" s="8">
        <f t="shared" si="78"/>
        <v>1211</v>
      </c>
      <c r="Q1269" s="8">
        <f t="shared" si="79"/>
        <v>1147</v>
      </c>
      <c r="R1269" s="2" t="s">
        <v>28</v>
      </c>
      <c r="S1269" s="9">
        <f>VLOOKUP(P1269,$T$2:U1266,2,1)</f>
        <v>0.02</v>
      </c>
    </row>
    <row r="1270" spans="1:19" x14ac:dyDescent="0.25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e">
        <f>VLOOKUP(F1270,'Customer Info'!A1262:I1761,2,0)</f>
        <v>#N/A</v>
      </c>
      <c r="H1270" s="6" t="e">
        <f>VLOOKUP(F1270,'Customer Info'!A1262:I1761,3,0)</f>
        <v>#N/A</v>
      </c>
      <c r="I1270" s="6" t="e">
        <f>VLOOKUP(F1270,'Customer Info'!A1262:I1761,5,0)</f>
        <v>#N/A</v>
      </c>
      <c r="J1270" s="2">
        <v>2681</v>
      </c>
      <c r="K1270" s="2">
        <v>2458</v>
      </c>
      <c r="L1270" s="2">
        <v>1</v>
      </c>
      <c r="M1270" s="7">
        <f t="shared" si="76"/>
        <v>2458</v>
      </c>
      <c r="N1270" s="7">
        <f t="shared" si="77"/>
        <v>2681</v>
      </c>
      <c r="O1270" s="2">
        <v>41</v>
      </c>
      <c r="P1270" s="8">
        <f t="shared" si="78"/>
        <v>2722</v>
      </c>
      <c r="Q1270" s="8">
        <f t="shared" si="79"/>
        <v>2640</v>
      </c>
      <c r="R1270" s="2" t="s">
        <v>28</v>
      </c>
      <c r="S1270" s="9">
        <f>VLOOKUP(P1270,$T$2:U1267,2,1)</f>
        <v>0.02</v>
      </c>
    </row>
    <row r="1271" spans="1:19" x14ac:dyDescent="0.25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e">
        <f>VLOOKUP(F1271,'Customer Info'!A1263:I1762,2,0)</f>
        <v>#N/A</v>
      </c>
      <c r="H1271" s="6" t="e">
        <f>VLOOKUP(F1271,'Customer Info'!A1263:I1762,3,0)</f>
        <v>#N/A</v>
      </c>
      <c r="I1271" s="6" t="e">
        <f>VLOOKUP(F1271,'Customer Info'!A1263:I1762,5,0)</f>
        <v>#N/A</v>
      </c>
      <c r="J1271" s="2">
        <v>1305</v>
      </c>
      <c r="K1271" s="2">
        <v>1197</v>
      </c>
      <c r="L1271" s="2">
        <v>2</v>
      </c>
      <c r="M1271" s="7">
        <f t="shared" si="76"/>
        <v>2394</v>
      </c>
      <c r="N1271" s="7">
        <f t="shared" si="77"/>
        <v>2610</v>
      </c>
      <c r="O1271" s="2">
        <v>94</v>
      </c>
      <c r="P1271" s="8">
        <f t="shared" si="78"/>
        <v>2704</v>
      </c>
      <c r="Q1271" s="8">
        <f t="shared" si="79"/>
        <v>2516</v>
      </c>
      <c r="R1271" s="2" t="s">
        <v>28</v>
      </c>
      <c r="S1271" s="9">
        <f>VLOOKUP(P1271,$T$2:U1268,2,1)</f>
        <v>0.02</v>
      </c>
    </row>
    <row r="1272" spans="1:19" x14ac:dyDescent="0.25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e">
        <f>VLOOKUP(F1272,'Customer Info'!A1264:I1763,2,0)</f>
        <v>#N/A</v>
      </c>
      <c r="H1272" s="6" t="e">
        <f>VLOOKUP(F1272,'Customer Info'!A1264:I1763,3,0)</f>
        <v>#N/A</v>
      </c>
      <c r="I1272" s="6" t="e">
        <f>VLOOKUP(F1272,'Customer Info'!A1264:I1763,5,0)</f>
        <v>#N/A</v>
      </c>
      <c r="J1272" s="2">
        <v>8651</v>
      </c>
      <c r="K1272" s="2">
        <v>8081</v>
      </c>
      <c r="L1272" s="2">
        <v>3</v>
      </c>
      <c r="M1272" s="7">
        <f t="shared" si="76"/>
        <v>24243</v>
      </c>
      <c r="N1272" s="7">
        <f t="shared" si="77"/>
        <v>25953</v>
      </c>
      <c r="O1272" s="2">
        <v>28</v>
      </c>
      <c r="P1272" s="8">
        <f t="shared" si="78"/>
        <v>25981</v>
      </c>
      <c r="Q1272" s="8">
        <f t="shared" si="79"/>
        <v>25925</v>
      </c>
      <c r="R1272" s="2" t="s">
        <v>50</v>
      </c>
      <c r="S1272" s="9">
        <f>VLOOKUP(P1272,$T$2:U1269,2,1)</f>
        <v>7.0000000000000007E-2</v>
      </c>
    </row>
    <row r="1273" spans="1:19" x14ac:dyDescent="0.25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e">
        <f>VLOOKUP(F1273,'Customer Info'!A1265:I1764,2,0)</f>
        <v>#N/A</v>
      </c>
      <c r="H1273" s="6" t="e">
        <f>VLOOKUP(F1273,'Customer Info'!A1265:I1764,3,0)</f>
        <v>#N/A</v>
      </c>
      <c r="I1273" s="6" t="e">
        <f>VLOOKUP(F1273,'Customer Info'!A1265:I1764,5,0)</f>
        <v>#N/A</v>
      </c>
      <c r="J1273" s="2">
        <v>1283</v>
      </c>
      <c r="K1273" s="2">
        <v>1187</v>
      </c>
      <c r="L1273" s="2">
        <v>3</v>
      </c>
      <c r="M1273" s="7">
        <f t="shared" si="76"/>
        <v>3561</v>
      </c>
      <c r="N1273" s="7">
        <f t="shared" si="77"/>
        <v>3849</v>
      </c>
      <c r="O1273" s="2">
        <v>80</v>
      </c>
      <c r="P1273" s="8">
        <f t="shared" si="78"/>
        <v>3929</v>
      </c>
      <c r="Q1273" s="8">
        <f t="shared" si="79"/>
        <v>3769</v>
      </c>
      <c r="R1273" s="2" t="s">
        <v>28</v>
      </c>
      <c r="S1273" s="9">
        <f>VLOOKUP(P1273,$T$2:U1270,2,1)</f>
        <v>0.02</v>
      </c>
    </row>
    <row r="1274" spans="1:19" x14ac:dyDescent="0.25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e">
        <f>VLOOKUP(F1274,'Customer Info'!A1266:I1765,2,0)</f>
        <v>#N/A</v>
      </c>
      <c r="H1274" s="6" t="e">
        <f>VLOOKUP(F1274,'Customer Info'!A1266:I1765,3,0)</f>
        <v>#N/A</v>
      </c>
      <c r="I1274" s="6" t="e">
        <f>VLOOKUP(F1274,'Customer Info'!A1266:I1765,5,0)</f>
        <v>#N/A</v>
      </c>
      <c r="J1274" s="2">
        <v>1552</v>
      </c>
      <c r="K1274" s="2">
        <v>1466</v>
      </c>
      <c r="L1274" s="2">
        <v>3</v>
      </c>
      <c r="M1274" s="7">
        <f t="shared" si="76"/>
        <v>4398</v>
      </c>
      <c r="N1274" s="7">
        <f t="shared" si="77"/>
        <v>4656</v>
      </c>
      <c r="O1274" s="2">
        <v>57</v>
      </c>
      <c r="P1274" s="8">
        <f t="shared" si="78"/>
        <v>4713</v>
      </c>
      <c r="Q1274" s="8">
        <f t="shared" si="79"/>
        <v>4599</v>
      </c>
      <c r="R1274" s="2" t="s">
        <v>50</v>
      </c>
      <c r="S1274" s="9">
        <f>VLOOKUP(P1274,$T$2:U1271,2,1)</f>
        <v>0.02</v>
      </c>
    </row>
    <row r="1275" spans="1:19" x14ac:dyDescent="0.25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e">
        <f>VLOOKUP(F1275,'Customer Info'!A1267:I1766,2,0)</f>
        <v>#N/A</v>
      </c>
      <c r="H1275" s="6" t="e">
        <f>VLOOKUP(F1275,'Customer Info'!A1267:I1766,3,0)</f>
        <v>#N/A</v>
      </c>
      <c r="I1275" s="6" t="e">
        <f>VLOOKUP(F1275,'Customer Info'!A1267:I1766,5,0)</f>
        <v>#N/A</v>
      </c>
      <c r="J1275" s="2">
        <v>1498</v>
      </c>
      <c r="K1275" s="2">
        <v>1335</v>
      </c>
      <c r="L1275" s="2">
        <v>4</v>
      </c>
      <c r="M1275" s="7">
        <f t="shared" si="76"/>
        <v>5340</v>
      </c>
      <c r="N1275" s="7">
        <f t="shared" si="77"/>
        <v>5992</v>
      </c>
      <c r="O1275" s="2">
        <v>85</v>
      </c>
      <c r="P1275" s="8">
        <f t="shared" si="78"/>
        <v>6077</v>
      </c>
      <c r="Q1275" s="8">
        <f t="shared" si="79"/>
        <v>5907</v>
      </c>
      <c r="R1275" s="2" t="s">
        <v>28</v>
      </c>
      <c r="S1275" s="9">
        <f>VLOOKUP(P1275,$T$2:U1272,2,1)</f>
        <v>0.05</v>
      </c>
    </row>
    <row r="1276" spans="1:19" x14ac:dyDescent="0.25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e">
        <f>VLOOKUP(F1276,'Customer Info'!A1268:I1767,2,0)</f>
        <v>#N/A</v>
      </c>
      <c r="H1276" s="6" t="e">
        <f>VLOOKUP(F1276,'Customer Info'!A1268:I1767,3,0)</f>
        <v>#N/A</v>
      </c>
      <c r="I1276" s="6" t="e">
        <f>VLOOKUP(F1276,'Customer Info'!A1268:I1767,5,0)</f>
        <v>#N/A</v>
      </c>
      <c r="J1276" s="2">
        <v>2759</v>
      </c>
      <c r="K1276" s="2">
        <v>2628</v>
      </c>
      <c r="L1276" s="2">
        <v>2</v>
      </c>
      <c r="M1276" s="7">
        <f t="shared" si="76"/>
        <v>5256</v>
      </c>
      <c r="N1276" s="7">
        <f t="shared" si="77"/>
        <v>5518</v>
      </c>
      <c r="O1276" s="2">
        <v>89</v>
      </c>
      <c r="P1276" s="8">
        <f t="shared" si="78"/>
        <v>5607</v>
      </c>
      <c r="Q1276" s="8">
        <f t="shared" si="79"/>
        <v>5429</v>
      </c>
      <c r="R1276" s="2" t="s">
        <v>50</v>
      </c>
      <c r="S1276" s="9">
        <f>VLOOKUP(P1276,$T$2:U1273,2,1)</f>
        <v>0.05</v>
      </c>
    </row>
    <row r="1277" spans="1:19" x14ac:dyDescent="0.25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e">
        <f>VLOOKUP(F1277,'Customer Info'!A1269:I1768,2,0)</f>
        <v>#N/A</v>
      </c>
      <c r="H1277" s="6" t="e">
        <f>VLOOKUP(F1277,'Customer Info'!A1269:I1768,3,0)</f>
        <v>#N/A</v>
      </c>
      <c r="I1277" s="6" t="e">
        <f>VLOOKUP(F1277,'Customer Info'!A1269:I1768,5,0)</f>
        <v>#N/A</v>
      </c>
      <c r="J1277" s="2">
        <v>141</v>
      </c>
      <c r="K1277" s="2">
        <v>131</v>
      </c>
      <c r="L1277" s="2">
        <v>1</v>
      </c>
      <c r="M1277" s="7">
        <f t="shared" si="76"/>
        <v>131</v>
      </c>
      <c r="N1277" s="7">
        <f t="shared" si="77"/>
        <v>141</v>
      </c>
      <c r="O1277" s="2">
        <v>30</v>
      </c>
      <c r="P1277" s="8">
        <f t="shared" si="78"/>
        <v>171</v>
      </c>
      <c r="Q1277" s="8">
        <f t="shared" si="79"/>
        <v>111</v>
      </c>
      <c r="R1277" s="2" t="s">
        <v>50</v>
      </c>
      <c r="S1277" s="9">
        <f>VLOOKUP(P1277,$T$2:U1274,2,1)</f>
        <v>0.02</v>
      </c>
    </row>
    <row r="1278" spans="1:19" x14ac:dyDescent="0.25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e">
        <f>VLOOKUP(F1278,'Customer Info'!A1270:I1769,2,0)</f>
        <v>#N/A</v>
      </c>
      <c r="H1278" s="6" t="e">
        <f>VLOOKUP(F1278,'Customer Info'!A1270:I1769,3,0)</f>
        <v>#N/A</v>
      </c>
      <c r="I1278" s="6" t="e">
        <f>VLOOKUP(F1278,'Customer Info'!A1270:I1769,5,0)</f>
        <v>#N/A</v>
      </c>
      <c r="J1278" s="2">
        <v>751</v>
      </c>
      <c r="K1278" s="2">
        <v>696</v>
      </c>
      <c r="L1278" s="2">
        <v>2</v>
      </c>
      <c r="M1278" s="7">
        <f t="shared" si="76"/>
        <v>1392</v>
      </c>
      <c r="N1278" s="7">
        <f t="shared" si="77"/>
        <v>1502</v>
      </c>
      <c r="O1278" s="2">
        <v>59</v>
      </c>
      <c r="P1278" s="8">
        <f t="shared" si="78"/>
        <v>1561</v>
      </c>
      <c r="Q1278" s="8">
        <f t="shared" si="79"/>
        <v>1443</v>
      </c>
      <c r="R1278" s="2" t="s">
        <v>50</v>
      </c>
      <c r="S1278" s="9">
        <f>VLOOKUP(P1278,$T$2:U1275,2,1)</f>
        <v>0.02</v>
      </c>
    </row>
    <row r="1279" spans="1:19" x14ac:dyDescent="0.25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e">
        <f>VLOOKUP(F1279,'Customer Info'!A1271:I1770,2,0)</f>
        <v>#N/A</v>
      </c>
      <c r="H1279" s="6" t="e">
        <f>VLOOKUP(F1279,'Customer Info'!A1271:I1770,3,0)</f>
        <v>#N/A</v>
      </c>
      <c r="I1279" s="6" t="e">
        <f>VLOOKUP(F1279,'Customer Info'!A1271:I1770,5,0)</f>
        <v>#N/A</v>
      </c>
      <c r="J1279" s="2">
        <v>8379</v>
      </c>
      <c r="K1279" s="2">
        <v>8061</v>
      </c>
      <c r="L1279" s="2">
        <v>5</v>
      </c>
      <c r="M1279" s="7">
        <f t="shared" si="76"/>
        <v>40305</v>
      </c>
      <c r="N1279" s="7">
        <f t="shared" si="77"/>
        <v>41895</v>
      </c>
      <c r="O1279" s="2">
        <v>62</v>
      </c>
      <c r="P1279" s="8">
        <f t="shared" si="78"/>
        <v>41957</v>
      </c>
      <c r="Q1279" s="8">
        <f t="shared" si="79"/>
        <v>41833</v>
      </c>
      <c r="R1279" s="2" t="s">
        <v>28</v>
      </c>
      <c r="S1279" s="9">
        <f>VLOOKUP(P1279,$T$2:U1276,2,1)</f>
        <v>7.0000000000000007E-2</v>
      </c>
    </row>
    <row r="1280" spans="1:19" x14ac:dyDescent="0.25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e">
        <f>VLOOKUP(F1280,'Customer Info'!A1272:I1771,2,0)</f>
        <v>#N/A</v>
      </c>
      <c r="H1280" s="6" t="e">
        <f>VLOOKUP(F1280,'Customer Info'!A1272:I1771,3,0)</f>
        <v>#N/A</v>
      </c>
      <c r="I1280" s="6" t="e">
        <f>VLOOKUP(F1280,'Customer Info'!A1272:I1771,5,0)</f>
        <v>#N/A</v>
      </c>
      <c r="J1280" s="2">
        <v>142</v>
      </c>
      <c r="K1280" s="2">
        <v>134</v>
      </c>
      <c r="L1280" s="2">
        <v>2</v>
      </c>
      <c r="M1280" s="7">
        <f t="shared" si="76"/>
        <v>268</v>
      </c>
      <c r="N1280" s="7">
        <f t="shared" si="77"/>
        <v>284</v>
      </c>
      <c r="O1280" s="2">
        <v>30</v>
      </c>
      <c r="P1280" s="8">
        <f t="shared" si="78"/>
        <v>314</v>
      </c>
      <c r="Q1280" s="8">
        <f t="shared" si="79"/>
        <v>254</v>
      </c>
      <c r="R1280" s="2" t="s">
        <v>56</v>
      </c>
      <c r="S1280" s="9">
        <f>VLOOKUP(P1280,$T$2:U1277,2,1)</f>
        <v>0.02</v>
      </c>
    </row>
    <row r="1281" spans="1:19" x14ac:dyDescent="0.25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e">
        <f>VLOOKUP(F1281,'Customer Info'!A1273:I1772,2,0)</f>
        <v>#N/A</v>
      </c>
      <c r="H1281" s="6" t="e">
        <f>VLOOKUP(F1281,'Customer Info'!A1273:I1772,3,0)</f>
        <v>#N/A</v>
      </c>
      <c r="I1281" s="6" t="e">
        <f>VLOOKUP(F1281,'Customer Info'!A1273:I1772,5,0)</f>
        <v>#N/A</v>
      </c>
      <c r="J1281" s="2">
        <v>167</v>
      </c>
      <c r="K1281" s="2">
        <v>155</v>
      </c>
      <c r="L1281" s="2">
        <v>6</v>
      </c>
      <c r="M1281" s="7">
        <f t="shared" si="76"/>
        <v>930</v>
      </c>
      <c r="N1281" s="7">
        <f t="shared" si="77"/>
        <v>1002</v>
      </c>
      <c r="O1281" s="2">
        <v>30</v>
      </c>
      <c r="P1281" s="8">
        <f t="shared" si="78"/>
        <v>1032</v>
      </c>
      <c r="Q1281" s="8">
        <f t="shared" si="79"/>
        <v>972</v>
      </c>
      <c r="R1281" s="2" t="s">
        <v>50</v>
      </c>
      <c r="S1281" s="9">
        <f>VLOOKUP(P1281,$T$2:U1278,2,1)</f>
        <v>0.02</v>
      </c>
    </row>
    <row r="1282" spans="1:19" x14ac:dyDescent="0.25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e">
        <f>VLOOKUP(F1282,'Customer Info'!A1274:I1773,2,0)</f>
        <v>#N/A</v>
      </c>
      <c r="H1282" s="6" t="e">
        <f>VLOOKUP(F1282,'Customer Info'!A1274:I1773,3,0)</f>
        <v>#N/A</v>
      </c>
      <c r="I1282" s="6" t="e">
        <f>VLOOKUP(F1282,'Customer Info'!A1274:I1773,5,0)</f>
        <v>#N/A</v>
      </c>
      <c r="J1282" s="2">
        <v>8967</v>
      </c>
      <c r="K1282" s="2">
        <v>8151</v>
      </c>
      <c r="L1282" s="2">
        <v>12</v>
      </c>
      <c r="M1282" s="7">
        <f t="shared" si="76"/>
        <v>97812</v>
      </c>
      <c r="N1282" s="7">
        <f t="shared" si="77"/>
        <v>107604</v>
      </c>
      <c r="O1282" s="2">
        <v>90</v>
      </c>
      <c r="P1282" s="8">
        <f t="shared" si="78"/>
        <v>107694</v>
      </c>
      <c r="Q1282" s="8">
        <f t="shared" si="79"/>
        <v>107514</v>
      </c>
      <c r="R1282" s="2" t="s">
        <v>28</v>
      </c>
      <c r="S1282" s="9">
        <f>VLOOKUP(P1282,$T$2:U1279,2,1)</f>
        <v>0.12</v>
      </c>
    </row>
    <row r="1283" spans="1:19" x14ac:dyDescent="0.25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e">
        <f>VLOOKUP(F1283,'Customer Info'!A1275:I1774,2,0)</f>
        <v>#N/A</v>
      </c>
      <c r="H1283" s="6" t="e">
        <f>VLOOKUP(F1283,'Customer Info'!A1275:I1774,3,0)</f>
        <v>#N/A</v>
      </c>
      <c r="I1283" s="6" t="e">
        <f>VLOOKUP(F1283,'Customer Info'!A1275:I1774,5,0)</f>
        <v>#N/A</v>
      </c>
      <c r="J1283" s="2">
        <v>3289</v>
      </c>
      <c r="K1283" s="2">
        <v>3105</v>
      </c>
      <c r="L1283" s="2">
        <v>5</v>
      </c>
      <c r="M1283" s="7">
        <f t="shared" si="76"/>
        <v>15525</v>
      </c>
      <c r="N1283" s="7">
        <f t="shared" si="77"/>
        <v>16445</v>
      </c>
      <c r="O1283" s="2">
        <v>46</v>
      </c>
      <c r="P1283" s="8">
        <f t="shared" si="78"/>
        <v>16491</v>
      </c>
      <c r="Q1283" s="8">
        <f t="shared" si="79"/>
        <v>16399</v>
      </c>
      <c r="R1283" s="2" t="s">
        <v>28</v>
      </c>
      <c r="S1283" s="9">
        <f>VLOOKUP(P1283,$T$2:U1280,2,1)</f>
        <v>0.05</v>
      </c>
    </row>
    <row r="1284" spans="1:19" x14ac:dyDescent="0.25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e">
        <f>VLOOKUP(F1284,'Customer Info'!A1276:I1775,2,0)</f>
        <v>#N/A</v>
      </c>
      <c r="H1284" s="6" t="e">
        <f>VLOOKUP(F1284,'Customer Info'!A1276:I1775,3,0)</f>
        <v>#N/A</v>
      </c>
      <c r="I1284" s="6" t="e">
        <f>VLOOKUP(F1284,'Customer Info'!A1276:I1775,5,0)</f>
        <v>#N/A</v>
      </c>
      <c r="J1284" s="2">
        <v>1574</v>
      </c>
      <c r="K1284" s="2">
        <v>1375</v>
      </c>
      <c r="L1284" s="2">
        <v>4</v>
      </c>
      <c r="M1284" s="7">
        <f t="shared" si="76"/>
        <v>5500</v>
      </c>
      <c r="N1284" s="7">
        <f t="shared" si="77"/>
        <v>6296</v>
      </c>
      <c r="O1284" s="2">
        <v>77</v>
      </c>
      <c r="P1284" s="8">
        <f t="shared" si="78"/>
        <v>6373</v>
      </c>
      <c r="Q1284" s="8">
        <f t="shared" si="79"/>
        <v>6219</v>
      </c>
      <c r="R1284" s="2" t="s">
        <v>28</v>
      </c>
      <c r="S1284" s="9">
        <f>VLOOKUP(P1284,$T$2:U1281,2,1)</f>
        <v>0.05</v>
      </c>
    </row>
    <row r="1285" spans="1:19" x14ac:dyDescent="0.25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e">
        <f>VLOOKUP(F1285,'Customer Info'!A1277:I1776,2,0)</f>
        <v>#N/A</v>
      </c>
      <c r="H1285" s="6" t="e">
        <f>VLOOKUP(F1285,'Customer Info'!A1277:I1776,3,0)</f>
        <v>#N/A</v>
      </c>
      <c r="I1285" s="6" t="e">
        <f>VLOOKUP(F1285,'Customer Info'!A1277:I1776,5,0)</f>
        <v>#N/A</v>
      </c>
      <c r="J1285" s="2">
        <v>2151</v>
      </c>
      <c r="K1285" s="2">
        <v>2009</v>
      </c>
      <c r="L1285" s="2">
        <v>1</v>
      </c>
      <c r="M1285" s="7">
        <f t="shared" si="76"/>
        <v>2009</v>
      </c>
      <c r="N1285" s="7">
        <f t="shared" si="77"/>
        <v>2151</v>
      </c>
      <c r="O1285" s="2">
        <v>72</v>
      </c>
      <c r="P1285" s="8">
        <f t="shared" si="78"/>
        <v>2223</v>
      </c>
      <c r="Q1285" s="8">
        <f t="shared" si="79"/>
        <v>2079</v>
      </c>
      <c r="R1285" s="2" t="s">
        <v>50</v>
      </c>
      <c r="S1285" s="9">
        <f>VLOOKUP(P1285,$T$2:U1282,2,1)</f>
        <v>0.02</v>
      </c>
    </row>
    <row r="1286" spans="1:19" x14ac:dyDescent="0.25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e">
        <f>VLOOKUP(F1286,'Customer Info'!A1278:I1777,2,0)</f>
        <v>#N/A</v>
      </c>
      <c r="H1286" s="6" t="e">
        <f>VLOOKUP(F1286,'Customer Info'!A1278:I1777,3,0)</f>
        <v>#N/A</v>
      </c>
      <c r="I1286" s="6" t="e">
        <f>VLOOKUP(F1286,'Customer Info'!A1278:I1777,5,0)</f>
        <v>#N/A</v>
      </c>
      <c r="J1286" s="2">
        <v>526</v>
      </c>
      <c r="K1286" s="2">
        <v>487</v>
      </c>
      <c r="L1286" s="2">
        <v>6</v>
      </c>
      <c r="M1286" s="7">
        <f t="shared" si="76"/>
        <v>2922</v>
      </c>
      <c r="N1286" s="7">
        <f t="shared" si="77"/>
        <v>3156</v>
      </c>
      <c r="O1286" s="2">
        <v>98</v>
      </c>
      <c r="P1286" s="8">
        <f t="shared" si="78"/>
        <v>3254</v>
      </c>
      <c r="Q1286" s="8">
        <f t="shared" si="79"/>
        <v>3058</v>
      </c>
      <c r="R1286" s="2" t="s">
        <v>28</v>
      </c>
      <c r="S1286" s="9">
        <f>VLOOKUP(P1286,$T$2:U1283,2,1)</f>
        <v>0.02</v>
      </c>
    </row>
    <row r="1287" spans="1:19" x14ac:dyDescent="0.25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e">
        <f>VLOOKUP(F1287,'Customer Info'!A1279:I1778,2,0)</f>
        <v>#N/A</v>
      </c>
      <c r="H1287" s="6" t="e">
        <f>VLOOKUP(F1287,'Customer Info'!A1279:I1778,3,0)</f>
        <v>#N/A</v>
      </c>
      <c r="I1287" s="6" t="e">
        <f>VLOOKUP(F1287,'Customer Info'!A1279:I1778,5,0)</f>
        <v>#N/A</v>
      </c>
      <c r="J1287" s="2">
        <v>3321</v>
      </c>
      <c r="K1287" s="2">
        <v>2989</v>
      </c>
      <c r="L1287" s="2">
        <v>4</v>
      </c>
      <c r="M1287" s="7">
        <f t="shared" si="76"/>
        <v>11956</v>
      </c>
      <c r="N1287" s="7">
        <f t="shared" si="77"/>
        <v>13284</v>
      </c>
      <c r="O1287" s="2">
        <v>69</v>
      </c>
      <c r="P1287" s="8">
        <f t="shared" si="78"/>
        <v>13353</v>
      </c>
      <c r="Q1287" s="8">
        <f t="shared" si="79"/>
        <v>13215</v>
      </c>
      <c r="R1287" s="2" t="s">
        <v>56</v>
      </c>
      <c r="S1287" s="9">
        <f>VLOOKUP(P1287,$T$2:U1284,2,1)</f>
        <v>0.05</v>
      </c>
    </row>
    <row r="1288" spans="1:19" x14ac:dyDescent="0.25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e">
        <f>VLOOKUP(F1288,'Customer Info'!A1280:I1779,2,0)</f>
        <v>#N/A</v>
      </c>
      <c r="H1288" s="6" t="e">
        <f>VLOOKUP(F1288,'Customer Info'!A1280:I1779,3,0)</f>
        <v>#N/A</v>
      </c>
      <c r="I1288" s="6" t="e">
        <f>VLOOKUP(F1288,'Customer Info'!A1280:I1779,5,0)</f>
        <v>#N/A</v>
      </c>
      <c r="J1288" s="2">
        <v>1372</v>
      </c>
      <c r="K1288" s="2">
        <v>1308</v>
      </c>
      <c r="L1288" s="2">
        <v>5</v>
      </c>
      <c r="M1288" s="7">
        <f t="shared" si="76"/>
        <v>6540</v>
      </c>
      <c r="N1288" s="7">
        <f t="shared" si="77"/>
        <v>6860</v>
      </c>
      <c r="O1288" s="2">
        <v>63</v>
      </c>
      <c r="P1288" s="8">
        <f t="shared" si="78"/>
        <v>6923</v>
      </c>
      <c r="Q1288" s="8">
        <f t="shared" si="79"/>
        <v>6797</v>
      </c>
      <c r="R1288" s="2" t="s">
        <v>28</v>
      </c>
      <c r="S1288" s="9">
        <f>VLOOKUP(P1288,$T$2:U1285,2,1)</f>
        <v>0.05</v>
      </c>
    </row>
    <row r="1289" spans="1:19" x14ac:dyDescent="0.25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e">
        <f>VLOOKUP(F1289,'Customer Info'!A1281:I1780,2,0)</f>
        <v>#N/A</v>
      </c>
      <c r="H1289" s="6" t="e">
        <f>VLOOKUP(F1289,'Customer Info'!A1281:I1780,3,0)</f>
        <v>#N/A</v>
      </c>
      <c r="I1289" s="6" t="e">
        <f>VLOOKUP(F1289,'Customer Info'!A1281:I1780,5,0)</f>
        <v>#N/A</v>
      </c>
      <c r="J1289" s="2">
        <v>887</v>
      </c>
      <c r="K1289" s="2">
        <v>814</v>
      </c>
      <c r="L1289" s="2">
        <v>4</v>
      </c>
      <c r="M1289" s="7">
        <f t="shared" si="76"/>
        <v>3256</v>
      </c>
      <c r="N1289" s="7">
        <f t="shared" si="77"/>
        <v>3548</v>
      </c>
      <c r="O1289" s="2">
        <v>68</v>
      </c>
      <c r="P1289" s="8">
        <f t="shared" si="78"/>
        <v>3616</v>
      </c>
      <c r="Q1289" s="8">
        <f t="shared" si="79"/>
        <v>3480</v>
      </c>
      <c r="R1289" s="2" t="s">
        <v>28</v>
      </c>
      <c r="S1289" s="9">
        <f>VLOOKUP(P1289,$T$2:U1286,2,1)</f>
        <v>0.02</v>
      </c>
    </row>
    <row r="1290" spans="1:19" x14ac:dyDescent="0.25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e">
        <f>VLOOKUP(F1290,'Customer Info'!A1282:I1781,2,0)</f>
        <v>#N/A</v>
      </c>
      <c r="H1290" s="6" t="e">
        <f>VLOOKUP(F1290,'Customer Info'!A1282:I1781,3,0)</f>
        <v>#N/A</v>
      </c>
      <c r="I1290" s="6" t="e">
        <f>VLOOKUP(F1290,'Customer Info'!A1282:I1781,5,0)</f>
        <v>#N/A</v>
      </c>
      <c r="J1290" s="2">
        <v>516</v>
      </c>
      <c r="K1290" s="2">
        <v>473</v>
      </c>
      <c r="L1290" s="2">
        <v>6</v>
      </c>
      <c r="M1290" s="7">
        <f t="shared" si="76"/>
        <v>2838</v>
      </c>
      <c r="N1290" s="7">
        <f t="shared" si="77"/>
        <v>3096</v>
      </c>
      <c r="O1290" s="2">
        <v>71</v>
      </c>
      <c r="P1290" s="8">
        <f t="shared" si="78"/>
        <v>3167</v>
      </c>
      <c r="Q1290" s="8">
        <f t="shared" si="79"/>
        <v>3025</v>
      </c>
      <c r="R1290" s="2" t="s">
        <v>28</v>
      </c>
      <c r="S1290" s="9">
        <f>VLOOKUP(P1290,$T$2:U1287,2,1)</f>
        <v>0.02</v>
      </c>
    </row>
    <row r="1291" spans="1:19" x14ac:dyDescent="0.25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e">
        <f>VLOOKUP(F1291,'Customer Info'!A1283:I1782,2,0)</f>
        <v>#N/A</v>
      </c>
      <c r="H1291" s="6" t="e">
        <f>VLOOKUP(F1291,'Customer Info'!A1283:I1782,3,0)</f>
        <v>#N/A</v>
      </c>
      <c r="I1291" s="6" t="e">
        <f>VLOOKUP(F1291,'Customer Info'!A1283:I1782,5,0)</f>
        <v>#N/A</v>
      </c>
      <c r="J1291" s="2">
        <v>2540</v>
      </c>
      <c r="K1291" s="2">
        <v>2397</v>
      </c>
      <c r="L1291" s="2">
        <v>2</v>
      </c>
      <c r="M1291" s="7">
        <f t="shared" ref="M1291:M1354" si="80">K1291*L1291</f>
        <v>4794</v>
      </c>
      <c r="N1291" s="7">
        <f t="shared" ref="N1291:N1354" si="81">J1291*L1291</f>
        <v>5080</v>
      </c>
      <c r="O1291" s="2">
        <v>38</v>
      </c>
      <c r="P1291" s="8">
        <f t="shared" ref="P1291:P1354" si="82">SUM(N1291,O1291)</f>
        <v>5118</v>
      </c>
      <c r="Q1291" s="8">
        <f t="shared" ref="Q1291:Q1354" si="83">N1291-O1291</f>
        <v>5042</v>
      </c>
      <c r="R1291" s="2" t="s">
        <v>28</v>
      </c>
      <c r="S1291" s="9">
        <f>VLOOKUP(P1291,$T$2:U1288,2,1)</f>
        <v>0.05</v>
      </c>
    </row>
    <row r="1292" spans="1:19" x14ac:dyDescent="0.25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e">
        <f>VLOOKUP(F1292,'Customer Info'!A1284:I1783,2,0)</f>
        <v>#N/A</v>
      </c>
      <c r="H1292" s="6" t="e">
        <f>VLOOKUP(F1292,'Customer Info'!A1284:I1783,3,0)</f>
        <v>#N/A</v>
      </c>
      <c r="I1292" s="6" t="e">
        <f>VLOOKUP(F1292,'Customer Info'!A1284:I1783,5,0)</f>
        <v>#N/A</v>
      </c>
      <c r="J1292" s="2">
        <v>1222</v>
      </c>
      <c r="K1292" s="2">
        <v>1187</v>
      </c>
      <c r="L1292" s="2">
        <v>6</v>
      </c>
      <c r="M1292" s="7">
        <f t="shared" si="80"/>
        <v>7122</v>
      </c>
      <c r="N1292" s="7">
        <f t="shared" si="81"/>
        <v>7332</v>
      </c>
      <c r="O1292" s="2">
        <v>68</v>
      </c>
      <c r="P1292" s="8">
        <f t="shared" si="82"/>
        <v>7400</v>
      </c>
      <c r="Q1292" s="8">
        <f t="shared" si="83"/>
        <v>7264</v>
      </c>
      <c r="R1292" s="2" t="s">
        <v>28</v>
      </c>
      <c r="S1292" s="9">
        <f>VLOOKUP(P1292,$T$2:U1289,2,1)</f>
        <v>0.05</v>
      </c>
    </row>
    <row r="1293" spans="1:19" x14ac:dyDescent="0.25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e">
        <f>VLOOKUP(F1293,'Customer Info'!A1285:I1784,2,0)</f>
        <v>#N/A</v>
      </c>
      <c r="H1293" s="6" t="e">
        <f>VLOOKUP(F1293,'Customer Info'!A1285:I1784,3,0)</f>
        <v>#N/A</v>
      </c>
      <c r="I1293" s="6" t="e">
        <f>VLOOKUP(F1293,'Customer Info'!A1285:I1784,5,0)</f>
        <v>#N/A</v>
      </c>
      <c r="J1293" s="2">
        <v>8202</v>
      </c>
      <c r="K1293" s="2">
        <v>7594</v>
      </c>
      <c r="L1293" s="2">
        <v>6</v>
      </c>
      <c r="M1293" s="7">
        <f t="shared" si="80"/>
        <v>45564</v>
      </c>
      <c r="N1293" s="7">
        <f t="shared" si="81"/>
        <v>49212</v>
      </c>
      <c r="O1293" s="2">
        <v>84</v>
      </c>
      <c r="P1293" s="8">
        <f t="shared" si="82"/>
        <v>49296</v>
      </c>
      <c r="Q1293" s="8">
        <f t="shared" si="83"/>
        <v>49128</v>
      </c>
      <c r="R1293" s="2" t="s">
        <v>26</v>
      </c>
      <c r="S1293" s="9">
        <f>VLOOKUP(P1293,$T$2:U1290,2,1)</f>
        <v>7.0000000000000007E-2</v>
      </c>
    </row>
    <row r="1294" spans="1:19" x14ac:dyDescent="0.25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e">
        <f>VLOOKUP(F1294,'Customer Info'!A1286:I1785,2,0)</f>
        <v>#N/A</v>
      </c>
      <c r="H1294" s="6" t="e">
        <f>VLOOKUP(F1294,'Customer Info'!A1286:I1785,3,0)</f>
        <v>#N/A</v>
      </c>
      <c r="I1294" s="6" t="e">
        <f>VLOOKUP(F1294,'Customer Info'!A1286:I1785,5,0)</f>
        <v>#N/A</v>
      </c>
      <c r="J1294" s="2">
        <v>5941</v>
      </c>
      <c r="K1294" s="2">
        <v>5827</v>
      </c>
      <c r="L1294" s="2">
        <v>1</v>
      </c>
      <c r="M1294" s="7">
        <f t="shared" si="80"/>
        <v>5827</v>
      </c>
      <c r="N1294" s="7">
        <f t="shared" si="81"/>
        <v>5941</v>
      </c>
      <c r="O1294" s="2">
        <v>40</v>
      </c>
      <c r="P1294" s="8">
        <f t="shared" si="82"/>
        <v>5981</v>
      </c>
      <c r="Q1294" s="8">
        <f t="shared" si="83"/>
        <v>5901</v>
      </c>
      <c r="R1294" s="2" t="s">
        <v>28</v>
      </c>
      <c r="S1294" s="9">
        <f>VLOOKUP(P1294,$T$2:U1291,2,1)</f>
        <v>0.05</v>
      </c>
    </row>
    <row r="1295" spans="1:19" x14ac:dyDescent="0.25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e">
        <f>VLOOKUP(F1295,'Customer Info'!A1287:I1786,2,0)</f>
        <v>#N/A</v>
      </c>
      <c r="H1295" s="6" t="e">
        <f>VLOOKUP(F1295,'Customer Info'!A1287:I1786,3,0)</f>
        <v>#N/A</v>
      </c>
      <c r="I1295" s="6" t="e">
        <f>VLOOKUP(F1295,'Customer Info'!A1287:I1786,5,0)</f>
        <v>#N/A</v>
      </c>
      <c r="J1295" s="2">
        <v>214</v>
      </c>
      <c r="K1295" s="2">
        <v>199</v>
      </c>
      <c r="L1295" s="2">
        <v>2</v>
      </c>
      <c r="M1295" s="7">
        <f t="shared" si="80"/>
        <v>398</v>
      </c>
      <c r="N1295" s="7">
        <f t="shared" si="81"/>
        <v>428</v>
      </c>
      <c r="O1295" s="2">
        <v>45</v>
      </c>
      <c r="P1295" s="8">
        <f t="shared" si="82"/>
        <v>473</v>
      </c>
      <c r="Q1295" s="8">
        <f t="shared" si="83"/>
        <v>383</v>
      </c>
      <c r="R1295" s="2" t="s">
        <v>28</v>
      </c>
      <c r="S1295" s="9">
        <f>VLOOKUP(P1295,$T$2:U1292,2,1)</f>
        <v>0.02</v>
      </c>
    </row>
    <row r="1296" spans="1:19" x14ac:dyDescent="0.25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e">
        <f>VLOOKUP(F1296,'Customer Info'!A1288:I1787,2,0)</f>
        <v>#N/A</v>
      </c>
      <c r="H1296" s="6" t="e">
        <f>VLOOKUP(F1296,'Customer Info'!A1288:I1787,3,0)</f>
        <v>#N/A</v>
      </c>
      <c r="I1296" s="6" t="e">
        <f>VLOOKUP(F1296,'Customer Info'!A1288:I1787,5,0)</f>
        <v>#N/A</v>
      </c>
      <c r="J1296" s="2">
        <v>8379</v>
      </c>
      <c r="K1296" s="2">
        <v>8061</v>
      </c>
      <c r="L1296" s="2">
        <v>3</v>
      </c>
      <c r="M1296" s="7">
        <f t="shared" si="80"/>
        <v>24183</v>
      </c>
      <c r="N1296" s="7">
        <f t="shared" si="81"/>
        <v>25137</v>
      </c>
      <c r="O1296" s="2">
        <v>88</v>
      </c>
      <c r="P1296" s="8">
        <f t="shared" si="82"/>
        <v>25225</v>
      </c>
      <c r="Q1296" s="8">
        <f t="shared" si="83"/>
        <v>25049</v>
      </c>
      <c r="R1296" s="2" t="s">
        <v>26</v>
      </c>
      <c r="S1296" s="9">
        <f>VLOOKUP(P1296,$T$2:U1293,2,1)</f>
        <v>7.0000000000000007E-2</v>
      </c>
    </row>
    <row r="1297" spans="1:19" x14ac:dyDescent="0.25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e">
        <f>VLOOKUP(F1297,'Customer Info'!A1289:I1788,2,0)</f>
        <v>#N/A</v>
      </c>
      <c r="H1297" s="6" t="e">
        <f>VLOOKUP(F1297,'Customer Info'!A1289:I1788,3,0)</f>
        <v>#N/A</v>
      </c>
      <c r="I1297" s="6" t="e">
        <f>VLOOKUP(F1297,'Customer Info'!A1289:I1788,5,0)</f>
        <v>#N/A</v>
      </c>
      <c r="J1297" s="2">
        <v>8773</v>
      </c>
      <c r="K1297" s="2">
        <v>8115</v>
      </c>
      <c r="L1297" s="2">
        <v>3</v>
      </c>
      <c r="M1297" s="7">
        <f t="shared" si="80"/>
        <v>24345</v>
      </c>
      <c r="N1297" s="7">
        <f t="shared" si="81"/>
        <v>26319</v>
      </c>
      <c r="O1297" s="2">
        <v>64</v>
      </c>
      <c r="P1297" s="8">
        <f t="shared" si="82"/>
        <v>26383</v>
      </c>
      <c r="Q1297" s="8">
        <f t="shared" si="83"/>
        <v>26255</v>
      </c>
      <c r="R1297" s="2" t="s">
        <v>50</v>
      </c>
      <c r="S1297" s="9">
        <f>VLOOKUP(P1297,$T$2:U1294,2,1)</f>
        <v>7.0000000000000007E-2</v>
      </c>
    </row>
    <row r="1298" spans="1:19" x14ac:dyDescent="0.25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e">
        <f>VLOOKUP(F1298,'Customer Info'!A1290:I1789,2,0)</f>
        <v>#N/A</v>
      </c>
      <c r="H1298" s="6" t="e">
        <f>VLOOKUP(F1298,'Customer Info'!A1290:I1789,3,0)</f>
        <v>#N/A</v>
      </c>
      <c r="I1298" s="6" t="e">
        <f>VLOOKUP(F1298,'Customer Info'!A1290:I1789,5,0)</f>
        <v>#N/A</v>
      </c>
      <c r="J1298" s="2">
        <v>4846</v>
      </c>
      <c r="K1298" s="2">
        <v>4492</v>
      </c>
      <c r="L1298" s="2">
        <v>1</v>
      </c>
      <c r="M1298" s="7">
        <f t="shared" si="80"/>
        <v>4492</v>
      </c>
      <c r="N1298" s="7">
        <f t="shared" si="81"/>
        <v>4846</v>
      </c>
      <c r="O1298" s="2">
        <v>30</v>
      </c>
      <c r="P1298" s="8">
        <f t="shared" si="82"/>
        <v>4876</v>
      </c>
      <c r="Q1298" s="8">
        <f t="shared" si="83"/>
        <v>4816</v>
      </c>
      <c r="R1298" s="2" t="s">
        <v>28</v>
      </c>
      <c r="S1298" s="9">
        <f>VLOOKUP(P1298,$T$2:U1295,2,1)</f>
        <v>0.02</v>
      </c>
    </row>
    <row r="1299" spans="1:19" x14ac:dyDescent="0.25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e">
        <f>VLOOKUP(F1299,'Customer Info'!A1291:I1790,2,0)</f>
        <v>#N/A</v>
      </c>
      <c r="H1299" s="6" t="e">
        <f>VLOOKUP(F1299,'Customer Info'!A1291:I1790,3,0)</f>
        <v>#N/A</v>
      </c>
      <c r="I1299" s="6" t="e">
        <f>VLOOKUP(F1299,'Customer Info'!A1291:I1790,5,0)</f>
        <v>#N/A</v>
      </c>
      <c r="J1299" s="2">
        <v>743</v>
      </c>
      <c r="K1299" s="2">
        <v>694</v>
      </c>
      <c r="L1299" s="2">
        <v>2</v>
      </c>
      <c r="M1299" s="7">
        <f t="shared" si="80"/>
        <v>1388</v>
      </c>
      <c r="N1299" s="7">
        <f t="shared" si="81"/>
        <v>1486</v>
      </c>
      <c r="O1299" s="2">
        <v>95</v>
      </c>
      <c r="P1299" s="8">
        <f t="shared" si="82"/>
        <v>1581</v>
      </c>
      <c r="Q1299" s="8">
        <f t="shared" si="83"/>
        <v>1391</v>
      </c>
      <c r="R1299" s="2" t="s">
        <v>28</v>
      </c>
      <c r="S1299" s="9">
        <f>VLOOKUP(P1299,$T$2:U1296,2,1)</f>
        <v>0.02</v>
      </c>
    </row>
    <row r="1300" spans="1:19" x14ac:dyDescent="0.25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e">
        <f>VLOOKUP(F1300,'Customer Info'!A1292:I1791,2,0)</f>
        <v>#N/A</v>
      </c>
      <c r="H1300" s="6" t="e">
        <f>VLOOKUP(F1300,'Customer Info'!A1292:I1791,3,0)</f>
        <v>#N/A</v>
      </c>
      <c r="I1300" s="6" t="e">
        <f>VLOOKUP(F1300,'Customer Info'!A1292:I1791,5,0)</f>
        <v>#N/A</v>
      </c>
      <c r="J1300" s="2">
        <v>2342</v>
      </c>
      <c r="K1300" s="2">
        <v>2210</v>
      </c>
      <c r="L1300" s="2">
        <v>3</v>
      </c>
      <c r="M1300" s="7">
        <f t="shared" si="80"/>
        <v>6630</v>
      </c>
      <c r="N1300" s="7">
        <f t="shared" si="81"/>
        <v>7026</v>
      </c>
      <c r="O1300" s="2">
        <v>62</v>
      </c>
      <c r="P1300" s="8">
        <f t="shared" si="82"/>
        <v>7088</v>
      </c>
      <c r="Q1300" s="8">
        <f t="shared" si="83"/>
        <v>6964</v>
      </c>
      <c r="R1300" s="2" t="s">
        <v>50</v>
      </c>
      <c r="S1300" s="9">
        <f>VLOOKUP(P1300,$T$2:U1297,2,1)</f>
        <v>0.05</v>
      </c>
    </row>
    <row r="1301" spans="1:19" x14ac:dyDescent="0.25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e">
        <f>VLOOKUP(F1301,'Customer Info'!A1293:I1792,2,0)</f>
        <v>#N/A</v>
      </c>
      <c r="H1301" s="6" t="e">
        <f>VLOOKUP(F1301,'Customer Info'!A1293:I1792,3,0)</f>
        <v>#N/A</v>
      </c>
      <c r="I1301" s="6" t="e">
        <f>VLOOKUP(F1301,'Customer Info'!A1293:I1792,5,0)</f>
        <v>#N/A</v>
      </c>
      <c r="J1301" s="2">
        <v>664</v>
      </c>
      <c r="K1301" s="2">
        <v>576</v>
      </c>
      <c r="L1301" s="2">
        <v>2</v>
      </c>
      <c r="M1301" s="7">
        <f t="shared" si="80"/>
        <v>1152</v>
      </c>
      <c r="N1301" s="7">
        <f t="shared" si="81"/>
        <v>1328</v>
      </c>
      <c r="O1301" s="2">
        <v>92</v>
      </c>
      <c r="P1301" s="8">
        <f t="shared" si="82"/>
        <v>1420</v>
      </c>
      <c r="Q1301" s="8">
        <f t="shared" si="83"/>
        <v>1236</v>
      </c>
      <c r="R1301" s="2" t="s">
        <v>50</v>
      </c>
      <c r="S1301" s="9">
        <f>VLOOKUP(P1301,$T$2:U1298,2,1)</f>
        <v>0.02</v>
      </c>
    </row>
    <row r="1302" spans="1:19" x14ac:dyDescent="0.25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e">
        <f>VLOOKUP(F1302,'Customer Info'!A1294:I1793,2,0)</f>
        <v>#N/A</v>
      </c>
      <c r="H1302" s="6" t="e">
        <f>VLOOKUP(F1302,'Customer Info'!A1294:I1793,3,0)</f>
        <v>#N/A</v>
      </c>
      <c r="I1302" s="6" t="e">
        <f>VLOOKUP(F1302,'Customer Info'!A1294:I1793,5,0)</f>
        <v>#N/A</v>
      </c>
      <c r="J1302" s="2">
        <v>183</v>
      </c>
      <c r="K1302" s="2">
        <v>168</v>
      </c>
      <c r="L1302" s="2">
        <v>5</v>
      </c>
      <c r="M1302" s="7">
        <f t="shared" si="80"/>
        <v>840</v>
      </c>
      <c r="N1302" s="7">
        <f t="shared" si="81"/>
        <v>915</v>
      </c>
      <c r="O1302" s="2">
        <v>30</v>
      </c>
      <c r="P1302" s="8">
        <f t="shared" si="82"/>
        <v>945</v>
      </c>
      <c r="Q1302" s="8">
        <f t="shared" si="83"/>
        <v>885</v>
      </c>
      <c r="R1302" s="2" t="s">
        <v>28</v>
      </c>
      <c r="S1302" s="9">
        <f>VLOOKUP(P1302,$T$2:U1299,2,1)</f>
        <v>0.02</v>
      </c>
    </row>
    <row r="1303" spans="1:19" x14ac:dyDescent="0.25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e">
        <f>VLOOKUP(F1303,'Customer Info'!A1295:I1794,2,0)</f>
        <v>#N/A</v>
      </c>
      <c r="H1303" s="6" t="e">
        <f>VLOOKUP(F1303,'Customer Info'!A1295:I1794,3,0)</f>
        <v>#N/A</v>
      </c>
      <c r="I1303" s="6" t="e">
        <f>VLOOKUP(F1303,'Customer Info'!A1295:I1794,5,0)</f>
        <v>#N/A</v>
      </c>
      <c r="J1303" s="2">
        <v>1845</v>
      </c>
      <c r="K1303" s="2">
        <v>1742</v>
      </c>
      <c r="L1303" s="2">
        <v>6</v>
      </c>
      <c r="M1303" s="7">
        <f t="shared" si="80"/>
        <v>10452</v>
      </c>
      <c r="N1303" s="7">
        <f t="shared" si="81"/>
        <v>11070</v>
      </c>
      <c r="O1303" s="2">
        <v>52</v>
      </c>
      <c r="P1303" s="8">
        <f t="shared" si="82"/>
        <v>11122</v>
      </c>
      <c r="Q1303" s="8">
        <f t="shared" si="83"/>
        <v>11018</v>
      </c>
      <c r="R1303" s="2" t="s">
        <v>50</v>
      </c>
      <c r="S1303" s="9">
        <f>VLOOKUP(P1303,$T$2:U1300,2,1)</f>
        <v>0.05</v>
      </c>
    </row>
    <row r="1304" spans="1:19" x14ac:dyDescent="0.25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e">
        <f>VLOOKUP(F1304,'Customer Info'!A1296:I1795,2,0)</f>
        <v>#N/A</v>
      </c>
      <c r="H1304" s="6" t="e">
        <f>VLOOKUP(F1304,'Customer Info'!A1296:I1795,3,0)</f>
        <v>#N/A</v>
      </c>
      <c r="I1304" s="6" t="e">
        <f>VLOOKUP(F1304,'Customer Info'!A1296:I1795,5,0)</f>
        <v>#N/A</v>
      </c>
      <c r="J1304" s="2">
        <v>671</v>
      </c>
      <c r="K1304" s="2">
        <v>627</v>
      </c>
      <c r="L1304" s="2">
        <v>3</v>
      </c>
      <c r="M1304" s="7">
        <f t="shared" si="80"/>
        <v>1881</v>
      </c>
      <c r="N1304" s="7">
        <f t="shared" si="81"/>
        <v>2013</v>
      </c>
      <c r="O1304" s="2">
        <v>56</v>
      </c>
      <c r="P1304" s="8">
        <f t="shared" si="82"/>
        <v>2069</v>
      </c>
      <c r="Q1304" s="8">
        <f t="shared" si="83"/>
        <v>1957</v>
      </c>
      <c r="R1304" s="2" t="s">
        <v>28</v>
      </c>
      <c r="S1304" s="9">
        <f>VLOOKUP(P1304,$T$2:U1301,2,1)</f>
        <v>0.02</v>
      </c>
    </row>
    <row r="1305" spans="1:19" x14ac:dyDescent="0.25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e">
        <f>VLOOKUP(F1305,'Customer Info'!A1297:I1796,2,0)</f>
        <v>#N/A</v>
      </c>
      <c r="H1305" s="6" t="e">
        <f>VLOOKUP(F1305,'Customer Info'!A1297:I1796,3,0)</f>
        <v>#N/A</v>
      </c>
      <c r="I1305" s="6" t="e">
        <f>VLOOKUP(F1305,'Customer Info'!A1297:I1796,5,0)</f>
        <v>#N/A</v>
      </c>
      <c r="J1305" s="2">
        <v>36778</v>
      </c>
      <c r="K1305" s="2">
        <v>34709</v>
      </c>
      <c r="L1305" s="2">
        <v>2</v>
      </c>
      <c r="M1305" s="7">
        <f t="shared" si="80"/>
        <v>69418</v>
      </c>
      <c r="N1305" s="7">
        <f t="shared" si="81"/>
        <v>73556</v>
      </c>
      <c r="O1305" s="2">
        <v>54</v>
      </c>
      <c r="P1305" s="8">
        <f t="shared" si="82"/>
        <v>73610</v>
      </c>
      <c r="Q1305" s="8">
        <f t="shared" si="83"/>
        <v>73502</v>
      </c>
      <c r="R1305" s="2" t="s">
        <v>28</v>
      </c>
      <c r="S1305" s="9">
        <f>VLOOKUP(P1305,$T$2:U1302,2,1)</f>
        <v>0.09</v>
      </c>
    </row>
    <row r="1306" spans="1:19" x14ac:dyDescent="0.25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e">
        <f>VLOOKUP(F1306,'Customer Info'!A1298:I1797,2,0)</f>
        <v>#N/A</v>
      </c>
      <c r="H1306" s="6" t="e">
        <f>VLOOKUP(F1306,'Customer Info'!A1298:I1797,3,0)</f>
        <v>#N/A</v>
      </c>
      <c r="I1306" s="6" t="e">
        <f>VLOOKUP(F1306,'Customer Info'!A1298:I1797,5,0)</f>
        <v>#N/A</v>
      </c>
      <c r="J1306" s="2">
        <v>36057</v>
      </c>
      <c r="K1306" s="2">
        <v>34028</v>
      </c>
      <c r="L1306" s="2">
        <v>4</v>
      </c>
      <c r="M1306" s="7">
        <f t="shared" si="80"/>
        <v>136112</v>
      </c>
      <c r="N1306" s="7">
        <f t="shared" si="81"/>
        <v>144228</v>
      </c>
      <c r="O1306" s="2">
        <v>62</v>
      </c>
      <c r="P1306" s="8">
        <f t="shared" si="82"/>
        <v>144290</v>
      </c>
      <c r="Q1306" s="8">
        <f t="shared" si="83"/>
        <v>144166</v>
      </c>
      <c r="R1306" s="2" t="s">
        <v>26</v>
      </c>
      <c r="S1306" s="9">
        <f>VLOOKUP(P1306,$T$2:U1303,2,1)</f>
        <v>0.12</v>
      </c>
    </row>
    <row r="1307" spans="1:19" x14ac:dyDescent="0.25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e">
        <f>VLOOKUP(F1307,'Customer Info'!A1299:I1798,2,0)</f>
        <v>#N/A</v>
      </c>
      <c r="H1307" s="6" t="e">
        <f>VLOOKUP(F1307,'Customer Info'!A1299:I1798,3,0)</f>
        <v>#N/A</v>
      </c>
      <c r="I1307" s="6" t="e">
        <f>VLOOKUP(F1307,'Customer Info'!A1299:I1798,5,0)</f>
        <v>#N/A</v>
      </c>
      <c r="J1307" s="2">
        <v>1983</v>
      </c>
      <c r="K1307" s="2">
        <v>1908</v>
      </c>
      <c r="L1307" s="2">
        <v>8</v>
      </c>
      <c r="M1307" s="7">
        <f t="shared" si="80"/>
        <v>15264</v>
      </c>
      <c r="N1307" s="7">
        <f t="shared" si="81"/>
        <v>15864</v>
      </c>
      <c r="O1307" s="2">
        <v>100</v>
      </c>
      <c r="P1307" s="8">
        <f t="shared" si="82"/>
        <v>15964</v>
      </c>
      <c r="Q1307" s="8">
        <f t="shared" si="83"/>
        <v>15764</v>
      </c>
      <c r="R1307" s="2" t="s">
        <v>28</v>
      </c>
      <c r="S1307" s="9">
        <f>VLOOKUP(P1307,$T$2:U1304,2,1)</f>
        <v>0.05</v>
      </c>
    </row>
    <row r="1308" spans="1:19" x14ac:dyDescent="0.25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e">
        <f>VLOOKUP(F1308,'Customer Info'!A1300:I1799,2,0)</f>
        <v>#N/A</v>
      </c>
      <c r="H1308" s="6" t="e">
        <f>VLOOKUP(F1308,'Customer Info'!A1300:I1799,3,0)</f>
        <v>#N/A</v>
      </c>
      <c r="I1308" s="6" t="e">
        <f>VLOOKUP(F1308,'Customer Info'!A1300:I1799,5,0)</f>
        <v>#N/A</v>
      </c>
      <c r="J1308" s="2">
        <v>61</v>
      </c>
      <c r="K1308" s="2">
        <v>57</v>
      </c>
      <c r="L1308" s="2">
        <v>3</v>
      </c>
      <c r="M1308" s="7">
        <f t="shared" si="80"/>
        <v>171</v>
      </c>
      <c r="N1308" s="7">
        <f t="shared" si="81"/>
        <v>183</v>
      </c>
      <c r="O1308" s="2">
        <v>10</v>
      </c>
      <c r="P1308" s="8">
        <f t="shared" si="82"/>
        <v>193</v>
      </c>
      <c r="Q1308" s="8">
        <f t="shared" si="83"/>
        <v>173</v>
      </c>
      <c r="R1308" s="2" t="s">
        <v>56</v>
      </c>
      <c r="S1308" s="9">
        <f>VLOOKUP(P1308,$T$2:U1305,2,1)</f>
        <v>0.02</v>
      </c>
    </row>
    <row r="1309" spans="1:19" x14ac:dyDescent="0.25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e">
        <f>VLOOKUP(F1309,'Customer Info'!A1301:I1800,2,0)</f>
        <v>#N/A</v>
      </c>
      <c r="H1309" s="6" t="e">
        <f>VLOOKUP(F1309,'Customer Info'!A1301:I1800,3,0)</f>
        <v>#N/A</v>
      </c>
      <c r="I1309" s="6" t="e">
        <f>VLOOKUP(F1309,'Customer Info'!A1301:I1800,5,0)</f>
        <v>#N/A</v>
      </c>
      <c r="J1309" s="2">
        <v>142</v>
      </c>
      <c r="K1309" s="2">
        <v>134</v>
      </c>
      <c r="L1309" s="2">
        <v>6</v>
      </c>
      <c r="M1309" s="7">
        <f t="shared" si="80"/>
        <v>804</v>
      </c>
      <c r="N1309" s="7">
        <f t="shared" si="81"/>
        <v>852</v>
      </c>
      <c r="O1309" s="2">
        <v>30</v>
      </c>
      <c r="P1309" s="8">
        <f t="shared" si="82"/>
        <v>882</v>
      </c>
      <c r="Q1309" s="8">
        <f t="shared" si="83"/>
        <v>822</v>
      </c>
      <c r="R1309" s="2" t="s">
        <v>26</v>
      </c>
      <c r="S1309" s="9">
        <f>VLOOKUP(P1309,$T$2:U1306,2,1)</f>
        <v>0.02</v>
      </c>
    </row>
    <row r="1310" spans="1:19" x14ac:dyDescent="0.25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e">
        <f>VLOOKUP(F1310,'Customer Info'!A1302:I1801,2,0)</f>
        <v>#N/A</v>
      </c>
      <c r="H1310" s="6" t="e">
        <f>VLOOKUP(F1310,'Customer Info'!A1302:I1801,3,0)</f>
        <v>#N/A</v>
      </c>
      <c r="I1310" s="6" t="e">
        <f>VLOOKUP(F1310,'Customer Info'!A1302:I1801,5,0)</f>
        <v>#N/A</v>
      </c>
      <c r="J1310" s="2">
        <v>1605</v>
      </c>
      <c r="K1310" s="2">
        <v>1530</v>
      </c>
      <c r="L1310" s="2">
        <v>1</v>
      </c>
      <c r="M1310" s="7">
        <f t="shared" si="80"/>
        <v>1530</v>
      </c>
      <c r="N1310" s="7">
        <f t="shared" si="81"/>
        <v>1605</v>
      </c>
      <c r="O1310" s="2">
        <v>36</v>
      </c>
      <c r="P1310" s="8">
        <f t="shared" si="82"/>
        <v>1641</v>
      </c>
      <c r="Q1310" s="8">
        <f t="shared" si="83"/>
        <v>1569</v>
      </c>
      <c r="R1310" s="2" t="s">
        <v>50</v>
      </c>
      <c r="S1310" s="9">
        <f>VLOOKUP(P1310,$T$2:U1307,2,1)</f>
        <v>0.02</v>
      </c>
    </row>
    <row r="1311" spans="1:19" x14ac:dyDescent="0.25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e">
        <f>VLOOKUP(F1311,'Customer Info'!A1303:I1802,2,0)</f>
        <v>#N/A</v>
      </c>
      <c r="H1311" s="6" t="e">
        <f>VLOOKUP(F1311,'Customer Info'!A1303:I1802,3,0)</f>
        <v>#N/A</v>
      </c>
      <c r="I1311" s="6" t="e">
        <f>VLOOKUP(F1311,'Customer Info'!A1303:I1802,5,0)</f>
        <v>#N/A</v>
      </c>
      <c r="J1311" s="2">
        <v>2829</v>
      </c>
      <c r="K1311" s="2">
        <v>2596</v>
      </c>
      <c r="L1311" s="2">
        <v>2</v>
      </c>
      <c r="M1311" s="7">
        <f t="shared" si="80"/>
        <v>5192</v>
      </c>
      <c r="N1311" s="7">
        <f t="shared" si="81"/>
        <v>5658</v>
      </c>
      <c r="O1311" s="2">
        <v>47</v>
      </c>
      <c r="P1311" s="8">
        <f t="shared" si="82"/>
        <v>5705</v>
      </c>
      <c r="Q1311" s="8">
        <f t="shared" si="83"/>
        <v>5611</v>
      </c>
      <c r="R1311" s="2" t="s">
        <v>26</v>
      </c>
      <c r="S1311" s="9">
        <f>VLOOKUP(P1311,$T$2:U1308,2,1)</f>
        <v>0.05</v>
      </c>
    </row>
    <row r="1312" spans="1:19" x14ac:dyDescent="0.25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e">
        <f>VLOOKUP(F1312,'Customer Info'!A1304:I1803,2,0)</f>
        <v>#N/A</v>
      </c>
      <c r="H1312" s="6" t="e">
        <f>VLOOKUP(F1312,'Customer Info'!A1304:I1803,3,0)</f>
        <v>#N/A</v>
      </c>
      <c r="I1312" s="6" t="e">
        <f>VLOOKUP(F1312,'Customer Info'!A1304:I1803,5,0)</f>
        <v>#N/A</v>
      </c>
      <c r="J1312" s="2">
        <v>288</v>
      </c>
      <c r="K1312" s="2">
        <v>264</v>
      </c>
      <c r="L1312" s="2">
        <v>3</v>
      </c>
      <c r="M1312" s="7">
        <f t="shared" si="80"/>
        <v>792</v>
      </c>
      <c r="N1312" s="7">
        <f t="shared" si="81"/>
        <v>864</v>
      </c>
      <c r="O1312" s="2">
        <v>56</v>
      </c>
      <c r="P1312" s="8">
        <f t="shared" si="82"/>
        <v>920</v>
      </c>
      <c r="Q1312" s="8">
        <f t="shared" si="83"/>
        <v>808</v>
      </c>
      <c r="R1312" s="2" t="s">
        <v>28</v>
      </c>
      <c r="S1312" s="9">
        <f>VLOOKUP(P1312,$T$2:U1309,2,1)</f>
        <v>0.02</v>
      </c>
    </row>
    <row r="1313" spans="1:19" x14ac:dyDescent="0.25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e">
        <f>VLOOKUP(F1313,'Customer Info'!A1305:I1804,2,0)</f>
        <v>#N/A</v>
      </c>
      <c r="H1313" s="6" t="e">
        <f>VLOOKUP(F1313,'Customer Info'!A1305:I1804,3,0)</f>
        <v>#N/A</v>
      </c>
      <c r="I1313" s="6" t="e">
        <f>VLOOKUP(F1313,'Customer Info'!A1305:I1804,5,0)</f>
        <v>#N/A</v>
      </c>
      <c r="J1313" s="2">
        <v>1901</v>
      </c>
      <c r="K1313" s="2">
        <v>1810</v>
      </c>
      <c r="L1313" s="2">
        <v>10</v>
      </c>
      <c r="M1313" s="7">
        <f t="shared" si="80"/>
        <v>18100</v>
      </c>
      <c r="N1313" s="7">
        <f t="shared" si="81"/>
        <v>19010</v>
      </c>
      <c r="O1313" s="2">
        <v>35</v>
      </c>
      <c r="P1313" s="8">
        <f t="shared" si="82"/>
        <v>19045</v>
      </c>
      <c r="Q1313" s="8">
        <f t="shared" si="83"/>
        <v>18975</v>
      </c>
      <c r="R1313" s="2" t="s">
        <v>28</v>
      </c>
      <c r="S1313" s="9">
        <f>VLOOKUP(P1313,$T$2:U1310,2,1)</f>
        <v>0.05</v>
      </c>
    </row>
    <row r="1314" spans="1:19" x14ac:dyDescent="0.25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e">
        <f>VLOOKUP(F1314,'Customer Info'!A1306:I1805,2,0)</f>
        <v>#N/A</v>
      </c>
      <c r="H1314" s="6" t="e">
        <f>VLOOKUP(F1314,'Customer Info'!A1306:I1805,3,0)</f>
        <v>#N/A</v>
      </c>
      <c r="I1314" s="6" t="e">
        <f>VLOOKUP(F1314,'Customer Info'!A1306:I1805,5,0)</f>
        <v>#N/A</v>
      </c>
      <c r="J1314" s="2">
        <v>1305</v>
      </c>
      <c r="K1314" s="2">
        <v>1197</v>
      </c>
      <c r="L1314" s="2">
        <v>1</v>
      </c>
      <c r="M1314" s="7">
        <f t="shared" si="80"/>
        <v>1197</v>
      </c>
      <c r="N1314" s="7">
        <f t="shared" si="81"/>
        <v>1305</v>
      </c>
      <c r="O1314" s="2">
        <v>66</v>
      </c>
      <c r="P1314" s="8">
        <f t="shared" si="82"/>
        <v>1371</v>
      </c>
      <c r="Q1314" s="8">
        <f t="shared" si="83"/>
        <v>1239</v>
      </c>
      <c r="R1314" s="2" t="s">
        <v>50</v>
      </c>
      <c r="S1314" s="9">
        <f>VLOOKUP(P1314,$T$2:U1311,2,1)</f>
        <v>0.02</v>
      </c>
    </row>
    <row r="1315" spans="1:19" x14ac:dyDescent="0.25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e">
        <f>VLOOKUP(F1315,'Customer Info'!A1307:I1806,2,0)</f>
        <v>#N/A</v>
      </c>
      <c r="H1315" s="6" t="e">
        <f>VLOOKUP(F1315,'Customer Info'!A1307:I1806,3,0)</f>
        <v>#N/A</v>
      </c>
      <c r="I1315" s="6" t="e">
        <f>VLOOKUP(F1315,'Customer Info'!A1307:I1806,5,0)</f>
        <v>#N/A</v>
      </c>
      <c r="J1315" s="2">
        <v>8379</v>
      </c>
      <c r="K1315" s="2">
        <v>8061</v>
      </c>
      <c r="L1315" s="2">
        <v>8</v>
      </c>
      <c r="M1315" s="7">
        <f t="shared" si="80"/>
        <v>64488</v>
      </c>
      <c r="N1315" s="7">
        <f t="shared" si="81"/>
        <v>67032</v>
      </c>
      <c r="O1315" s="2">
        <v>67</v>
      </c>
      <c r="P1315" s="8">
        <f t="shared" si="82"/>
        <v>67099</v>
      </c>
      <c r="Q1315" s="8">
        <f t="shared" si="83"/>
        <v>66965</v>
      </c>
      <c r="R1315" s="2" t="s">
        <v>50</v>
      </c>
      <c r="S1315" s="9">
        <f>VLOOKUP(P1315,$T$2:U1312,2,1)</f>
        <v>0.09</v>
      </c>
    </row>
    <row r="1316" spans="1:19" x14ac:dyDescent="0.25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e">
        <f>VLOOKUP(F1316,'Customer Info'!A1308:I1807,2,0)</f>
        <v>#N/A</v>
      </c>
      <c r="H1316" s="6" t="e">
        <f>VLOOKUP(F1316,'Customer Info'!A1308:I1807,3,0)</f>
        <v>#N/A</v>
      </c>
      <c r="I1316" s="6" t="e">
        <f>VLOOKUP(F1316,'Customer Info'!A1308:I1807,5,0)</f>
        <v>#N/A</v>
      </c>
      <c r="J1316" s="2">
        <v>6274</v>
      </c>
      <c r="K1316" s="2">
        <v>6093</v>
      </c>
      <c r="L1316" s="2">
        <v>1</v>
      </c>
      <c r="M1316" s="7">
        <f t="shared" si="80"/>
        <v>6093</v>
      </c>
      <c r="N1316" s="7">
        <f t="shared" si="81"/>
        <v>6274</v>
      </c>
      <c r="O1316" s="2">
        <v>53</v>
      </c>
      <c r="P1316" s="8">
        <f t="shared" si="82"/>
        <v>6327</v>
      </c>
      <c r="Q1316" s="8">
        <f t="shared" si="83"/>
        <v>6221</v>
      </c>
      <c r="R1316" s="2" t="s">
        <v>50</v>
      </c>
      <c r="S1316" s="9">
        <f>VLOOKUP(P1316,$T$2:U1313,2,1)</f>
        <v>0.05</v>
      </c>
    </row>
    <row r="1317" spans="1:19" x14ac:dyDescent="0.25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e">
        <f>VLOOKUP(F1317,'Customer Info'!A1309:I1808,2,0)</f>
        <v>#N/A</v>
      </c>
      <c r="H1317" s="6" t="e">
        <f>VLOOKUP(F1317,'Customer Info'!A1309:I1808,3,0)</f>
        <v>#N/A</v>
      </c>
      <c r="I1317" s="6" t="e">
        <f>VLOOKUP(F1317,'Customer Info'!A1309:I1808,5,0)</f>
        <v>#N/A</v>
      </c>
      <c r="J1317" s="2">
        <v>896</v>
      </c>
      <c r="K1317" s="2">
        <v>870</v>
      </c>
      <c r="L1317" s="2">
        <v>4</v>
      </c>
      <c r="M1317" s="7">
        <f t="shared" si="80"/>
        <v>3480</v>
      </c>
      <c r="N1317" s="7">
        <f t="shared" si="81"/>
        <v>3584</v>
      </c>
      <c r="O1317" s="2">
        <v>39</v>
      </c>
      <c r="P1317" s="8">
        <f t="shared" si="82"/>
        <v>3623</v>
      </c>
      <c r="Q1317" s="8">
        <f t="shared" si="83"/>
        <v>3545</v>
      </c>
      <c r="R1317" s="2" t="s">
        <v>50</v>
      </c>
      <c r="S1317" s="9">
        <f>VLOOKUP(P1317,$T$2:U1314,2,1)</f>
        <v>0.02</v>
      </c>
    </row>
    <row r="1318" spans="1:19" x14ac:dyDescent="0.25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e">
        <f>VLOOKUP(F1318,'Customer Info'!A1310:I1809,2,0)</f>
        <v>#N/A</v>
      </c>
      <c r="H1318" s="6" t="e">
        <f>VLOOKUP(F1318,'Customer Info'!A1310:I1809,3,0)</f>
        <v>#N/A</v>
      </c>
      <c r="I1318" s="6" t="e">
        <f>VLOOKUP(F1318,'Customer Info'!A1310:I1809,5,0)</f>
        <v>#N/A</v>
      </c>
      <c r="J1318" s="2">
        <v>63</v>
      </c>
      <c r="K1318" s="2">
        <v>58</v>
      </c>
      <c r="L1318" s="2">
        <v>5</v>
      </c>
      <c r="M1318" s="7">
        <f t="shared" si="80"/>
        <v>290</v>
      </c>
      <c r="N1318" s="7">
        <f t="shared" si="81"/>
        <v>315</v>
      </c>
      <c r="O1318" s="2">
        <v>10</v>
      </c>
      <c r="P1318" s="8">
        <f t="shared" si="82"/>
        <v>325</v>
      </c>
      <c r="Q1318" s="8">
        <f t="shared" si="83"/>
        <v>305</v>
      </c>
      <c r="R1318" s="2" t="s">
        <v>28</v>
      </c>
      <c r="S1318" s="9">
        <f>VLOOKUP(P1318,$T$2:U1315,2,1)</f>
        <v>0.02</v>
      </c>
    </row>
    <row r="1319" spans="1:19" x14ac:dyDescent="0.25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e">
        <f>VLOOKUP(F1319,'Customer Info'!A1311:I1810,2,0)</f>
        <v>#N/A</v>
      </c>
      <c r="H1319" s="6" t="e">
        <f>VLOOKUP(F1319,'Customer Info'!A1311:I1810,3,0)</f>
        <v>#N/A</v>
      </c>
      <c r="I1319" s="6" t="e">
        <f>VLOOKUP(F1319,'Customer Info'!A1311:I1810,5,0)</f>
        <v>#N/A</v>
      </c>
      <c r="J1319" s="2">
        <v>392</v>
      </c>
      <c r="K1319" s="2">
        <v>356</v>
      </c>
      <c r="L1319" s="2">
        <v>2</v>
      </c>
      <c r="M1319" s="7">
        <f t="shared" si="80"/>
        <v>712</v>
      </c>
      <c r="N1319" s="7">
        <f t="shared" si="81"/>
        <v>784</v>
      </c>
      <c r="O1319" s="2">
        <v>78</v>
      </c>
      <c r="P1319" s="8">
        <f t="shared" si="82"/>
        <v>862</v>
      </c>
      <c r="Q1319" s="8">
        <f t="shared" si="83"/>
        <v>706</v>
      </c>
      <c r="R1319" s="2" t="s">
        <v>28</v>
      </c>
      <c r="S1319" s="9">
        <f>VLOOKUP(P1319,$T$2:U1316,2,1)</f>
        <v>0.02</v>
      </c>
    </row>
    <row r="1320" spans="1:19" x14ac:dyDescent="0.25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e">
        <f>VLOOKUP(F1320,'Customer Info'!A1312:I1811,2,0)</f>
        <v>#N/A</v>
      </c>
      <c r="H1320" s="6" t="e">
        <f>VLOOKUP(F1320,'Customer Info'!A1312:I1811,3,0)</f>
        <v>#N/A</v>
      </c>
      <c r="I1320" s="6" t="e">
        <f>VLOOKUP(F1320,'Customer Info'!A1312:I1811,5,0)</f>
        <v>#N/A</v>
      </c>
      <c r="J1320" s="2">
        <v>6400</v>
      </c>
      <c r="K1320" s="2">
        <v>6401</v>
      </c>
      <c r="L1320" s="2">
        <v>2</v>
      </c>
      <c r="M1320" s="7">
        <f t="shared" si="80"/>
        <v>12802</v>
      </c>
      <c r="N1320" s="7">
        <f t="shared" si="81"/>
        <v>12800</v>
      </c>
      <c r="O1320" s="2">
        <v>38</v>
      </c>
      <c r="P1320" s="8">
        <f t="shared" si="82"/>
        <v>12838</v>
      </c>
      <c r="Q1320" s="8">
        <f t="shared" si="83"/>
        <v>12762</v>
      </c>
      <c r="R1320" s="2" t="s">
        <v>50</v>
      </c>
      <c r="S1320" s="9">
        <f>VLOOKUP(P1320,$T$2:U1317,2,1)</f>
        <v>0.05</v>
      </c>
    </row>
    <row r="1321" spans="1:19" x14ac:dyDescent="0.25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e">
        <f>VLOOKUP(F1321,'Customer Info'!A1313:I1812,2,0)</f>
        <v>#N/A</v>
      </c>
      <c r="H1321" s="6" t="e">
        <f>VLOOKUP(F1321,'Customer Info'!A1313:I1812,3,0)</f>
        <v>#N/A</v>
      </c>
      <c r="I1321" s="6" t="e">
        <f>VLOOKUP(F1321,'Customer Info'!A1313:I1812,5,0)</f>
        <v>#N/A</v>
      </c>
      <c r="J1321" s="2">
        <v>101</v>
      </c>
      <c r="K1321" s="2">
        <v>98</v>
      </c>
      <c r="L1321" s="2">
        <v>5</v>
      </c>
      <c r="M1321" s="7">
        <f t="shared" si="80"/>
        <v>490</v>
      </c>
      <c r="N1321" s="7">
        <f t="shared" si="81"/>
        <v>505</v>
      </c>
      <c r="O1321" s="2">
        <v>10</v>
      </c>
      <c r="P1321" s="8">
        <f t="shared" si="82"/>
        <v>515</v>
      </c>
      <c r="Q1321" s="8">
        <f t="shared" si="83"/>
        <v>495</v>
      </c>
      <c r="R1321" s="2" t="s">
        <v>50</v>
      </c>
      <c r="S1321" s="9">
        <f>VLOOKUP(P1321,$T$2:U1318,2,1)</f>
        <v>0.02</v>
      </c>
    </row>
    <row r="1322" spans="1:19" x14ac:dyDescent="0.25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e">
        <f>VLOOKUP(F1322,'Customer Info'!A1314:I1813,2,0)</f>
        <v>#N/A</v>
      </c>
      <c r="H1322" s="6" t="e">
        <f>VLOOKUP(F1322,'Customer Info'!A1314:I1813,3,0)</f>
        <v>#N/A</v>
      </c>
      <c r="I1322" s="6" t="e">
        <f>VLOOKUP(F1322,'Customer Info'!A1314:I1813,5,0)</f>
        <v>#N/A</v>
      </c>
      <c r="J1322" s="2">
        <v>59</v>
      </c>
      <c r="K1322" s="2">
        <v>55</v>
      </c>
      <c r="L1322" s="2">
        <v>7</v>
      </c>
      <c r="M1322" s="7">
        <f t="shared" si="80"/>
        <v>385</v>
      </c>
      <c r="N1322" s="7">
        <f t="shared" si="81"/>
        <v>413</v>
      </c>
      <c r="O1322" s="2">
        <v>10</v>
      </c>
      <c r="P1322" s="8">
        <f t="shared" si="82"/>
        <v>423</v>
      </c>
      <c r="Q1322" s="8">
        <f t="shared" si="83"/>
        <v>403</v>
      </c>
      <c r="R1322" s="2" t="s">
        <v>50</v>
      </c>
      <c r="S1322" s="9">
        <f>VLOOKUP(P1322,$T$2:U1319,2,1)</f>
        <v>0.02</v>
      </c>
    </row>
    <row r="1323" spans="1:19" x14ac:dyDescent="0.25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e">
        <f>VLOOKUP(F1323,'Customer Info'!A1315:I1814,2,0)</f>
        <v>#N/A</v>
      </c>
      <c r="H1323" s="6" t="e">
        <f>VLOOKUP(F1323,'Customer Info'!A1315:I1814,3,0)</f>
        <v>#N/A</v>
      </c>
      <c r="I1323" s="6" t="e">
        <f>VLOOKUP(F1323,'Customer Info'!A1315:I1814,5,0)</f>
        <v>#N/A</v>
      </c>
      <c r="J1323" s="2">
        <v>645</v>
      </c>
      <c r="K1323" s="2">
        <v>565</v>
      </c>
      <c r="L1323" s="2">
        <v>2</v>
      </c>
      <c r="M1323" s="7">
        <f t="shared" si="80"/>
        <v>1130</v>
      </c>
      <c r="N1323" s="7">
        <f t="shared" si="81"/>
        <v>1290</v>
      </c>
      <c r="O1323" s="2">
        <v>24</v>
      </c>
      <c r="P1323" s="8">
        <f t="shared" si="82"/>
        <v>1314</v>
      </c>
      <c r="Q1323" s="8">
        <f t="shared" si="83"/>
        <v>1266</v>
      </c>
      <c r="R1323" s="2" t="s">
        <v>28</v>
      </c>
      <c r="S1323" s="9">
        <f>VLOOKUP(P1323,$T$2:U1320,2,1)</f>
        <v>0.02</v>
      </c>
    </row>
    <row r="1324" spans="1:19" x14ac:dyDescent="0.25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e">
        <f>VLOOKUP(F1324,'Customer Info'!A1316:I1815,2,0)</f>
        <v>#N/A</v>
      </c>
      <c r="H1324" s="6" t="e">
        <f>VLOOKUP(F1324,'Customer Info'!A1316:I1815,3,0)</f>
        <v>#N/A</v>
      </c>
      <c r="I1324" s="6" t="e">
        <f>VLOOKUP(F1324,'Customer Info'!A1316:I1815,5,0)</f>
        <v>#N/A</v>
      </c>
      <c r="J1324" s="2">
        <v>1615</v>
      </c>
      <c r="K1324" s="2">
        <v>1525</v>
      </c>
      <c r="L1324" s="2">
        <v>6</v>
      </c>
      <c r="M1324" s="7">
        <f t="shared" si="80"/>
        <v>9150</v>
      </c>
      <c r="N1324" s="7">
        <f t="shared" si="81"/>
        <v>9690</v>
      </c>
      <c r="O1324" s="2">
        <v>36</v>
      </c>
      <c r="P1324" s="8">
        <f t="shared" si="82"/>
        <v>9726</v>
      </c>
      <c r="Q1324" s="8">
        <f t="shared" si="83"/>
        <v>9654</v>
      </c>
      <c r="R1324" s="2" t="s">
        <v>26</v>
      </c>
      <c r="S1324" s="9">
        <f>VLOOKUP(P1324,$T$2:U1321,2,1)</f>
        <v>0.05</v>
      </c>
    </row>
    <row r="1325" spans="1:19" x14ac:dyDescent="0.25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e">
        <f>VLOOKUP(F1325,'Customer Info'!A1317:I1816,2,0)</f>
        <v>#N/A</v>
      </c>
      <c r="H1325" s="6" t="e">
        <f>VLOOKUP(F1325,'Customer Info'!A1317:I1816,3,0)</f>
        <v>#N/A</v>
      </c>
      <c r="I1325" s="6" t="e">
        <f>VLOOKUP(F1325,'Customer Info'!A1317:I1816,5,0)</f>
        <v>#N/A</v>
      </c>
      <c r="J1325" s="2">
        <v>1585</v>
      </c>
      <c r="K1325" s="2">
        <v>1495</v>
      </c>
      <c r="L1325" s="2">
        <v>2</v>
      </c>
      <c r="M1325" s="7">
        <f t="shared" si="80"/>
        <v>2990</v>
      </c>
      <c r="N1325" s="7">
        <f t="shared" si="81"/>
        <v>3170</v>
      </c>
      <c r="O1325" s="2">
        <v>25</v>
      </c>
      <c r="P1325" s="8">
        <f t="shared" si="82"/>
        <v>3195</v>
      </c>
      <c r="Q1325" s="8">
        <f t="shared" si="83"/>
        <v>3145</v>
      </c>
      <c r="R1325" s="2" t="s">
        <v>50</v>
      </c>
      <c r="S1325" s="9">
        <f>VLOOKUP(P1325,$T$2:U1322,2,1)</f>
        <v>0.02</v>
      </c>
    </row>
    <row r="1326" spans="1:19" x14ac:dyDescent="0.25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e">
        <f>VLOOKUP(F1326,'Customer Info'!A1318:I1817,2,0)</f>
        <v>#N/A</v>
      </c>
      <c r="H1326" s="6" t="e">
        <f>VLOOKUP(F1326,'Customer Info'!A1318:I1817,3,0)</f>
        <v>#N/A</v>
      </c>
      <c r="I1326" s="6" t="e">
        <f>VLOOKUP(F1326,'Customer Info'!A1318:I1817,5,0)</f>
        <v>#N/A</v>
      </c>
      <c r="J1326" s="2">
        <v>1246</v>
      </c>
      <c r="K1326" s="2">
        <v>1164</v>
      </c>
      <c r="L1326" s="2">
        <v>3</v>
      </c>
      <c r="M1326" s="7">
        <f t="shared" si="80"/>
        <v>3492</v>
      </c>
      <c r="N1326" s="7">
        <f t="shared" si="81"/>
        <v>3738</v>
      </c>
      <c r="O1326" s="2">
        <v>45</v>
      </c>
      <c r="P1326" s="8">
        <f t="shared" si="82"/>
        <v>3783</v>
      </c>
      <c r="Q1326" s="8">
        <f t="shared" si="83"/>
        <v>3693</v>
      </c>
      <c r="R1326" s="2" t="s">
        <v>50</v>
      </c>
      <c r="S1326" s="9">
        <f>VLOOKUP(P1326,$T$2:U1323,2,1)</f>
        <v>0.02</v>
      </c>
    </row>
    <row r="1327" spans="1:19" x14ac:dyDescent="0.25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e">
        <f>VLOOKUP(F1327,'Customer Info'!A1319:I1818,2,0)</f>
        <v>#N/A</v>
      </c>
      <c r="H1327" s="6" t="e">
        <f>VLOOKUP(F1327,'Customer Info'!A1319:I1818,3,0)</f>
        <v>#N/A</v>
      </c>
      <c r="I1327" s="6" t="e">
        <f>VLOOKUP(F1327,'Customer Info'!A1319:I1818,5,0)</f>
        <v>#N/A</v>
      </c>
      <c r="J1327" s="2">
        <v>3054</v>
      </c>
      <c r="K1327" s="2">
        <v>2721</v>
      </c>
      <c r="L1327" s="2">
        <v>1</v>
      </c>
      <c r="M1327" s="7">
        <f t="shared" si="80"/>
        <v>2721</v>
      </c>
      <c r="N1327" s="7">
        <f t="shared" si="81"/>
        <v>3054</v>
      </c>
      <c r="O1327" s="2">
        <v>90</v>
      </c>
      <c r="P1327" s="8">
        <f t="shared" si="82"/>
        <v>3144</v>
      </c>
      <c r="Q1327" s="8">
        <f t="shared" si="83"/>
        <v>2964</v>
      </c>
      <c r="R1327" s="2" t="s">
        <v>28</v>
      </c>
      <c r="S1327" s="9">
        <f>VLOOKUP(P1327,$T$2:U1324,2,1)</f>
        <v>0.02</v>
      </c>
    </row>
    <row r="1328" spans="1:19" x14ac:dyDescent="0.25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e">
        <f>VLOOKUP(F1328,'Customer Info'!A1320:I1819,2,0)</f>
        <v>#N/A</v>
      </c>
      <c r="H1328" s="6" t="e">
        <f>VLOOKUP(F1328,'Customer Info'!A1320:I1819,3,0)</f>
        <v>#N/A</v>
      </c>
      <c r="I1328" s="6" t="e">
        <f>VLOOKUP(F1328,'Customer Info'!A1320:I1819,5,0)</f>
        <v>#N/A</v>
      </c>
      <c r="J1328" s="2">
        <v>4714</v>
      </c>
      <c r="K1328" s="2">
        <v>4323</v>
      </c>
      <c r="L1328" s="2">
        <v>1</v>
      </c>
      <c r="M1328" s="7">
        <f t="shared" si="80"/>
        <v>4323</v>
      </c>
      <c r="N1328" s="7">
        <f t="shared" si="81"/>
        <v>4714</v>
      </c>
      <c r="O1328" s="2">
        <v>50</v>
      </c>
      <c r="P1328" s="8">
        <f t="shared" si="82"/>
        <v>4764</v>
      </c>
      <c r="Q1328" s="8">
        <f t="shared" si="83"/>
        <v>4664</v>
      </c>
      <c r="R1328" s="2" t="s">
        <v>26</v>
      </c>
      <c r="S1328" s="9">
        <f>VLOOKUP(P1328,$T$2:U1325,2,1)</f>
        <v>0.02</v>
      </c>
    </row>
    <row r="1329" spans="1:19" x14ac:dyDescent="0.25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e">
        <f>VLOOKUP(F1329,'Customer Info'!A1321:I1820,2,0)</f>
        <v>#N/A</v>
      </c>
      <c r="H1329" s="6" t="e">
        <f>VLOOKUP(F1329,'Customer Info'!A1321:I1820,3,0)</f>
        <v>#N/A</v>
      </c>
      <c r="I1329" s="6" t="e">
        <f>VLOOKUP(F1329,'Customer Info'!A1321:I1820,5,0)</f>
        <v>#N/A</v>
      </c>
      <c r="J1329" s="2">
        <v>1359</v>
      </c>
      <c r="K1329" s="2">
        <v>1221</v>
      </c>
      <c r="L1329" s="2">
        <v>7</v>
      </c>
      <c r="M1329" s="7">
        <f t="shared" si="80"/>
        <v>8547</v>
      </c>
      <c r="N1329" s="7">
        <f t="shared" si="81"/>
        <v>9513</v>
      </c>
      <c r="O1329" s="2">
        <v>87</v>
      </c>
      <c r="P1329" s="8">
        <f t="shared" si="82"/>
        <v>9600</v>
      </c>
      <c r="Q1329" s="8">
        <f t="shared" si="83"/>
        <v>9426</v>
      </c>
      <c r="R1329" s="2" t="s">
        <v>50</v>
      </c>
      <c r="S1329" s="9">
        <f>VLOOKUP(P1329,$T$2:U1326,2,1)</f>
        <v>0.05</v>
      </c>
    </row>
    <row r="1330" spans="1:19" x14ac:dyDescent="0.25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e">
        <f>VLOOKUP(F1330,'Customer Info'!A1322:I1821,2,0)</f>
        <v>#N/A</v>
      </c>
      <c r="H1330" s="6" t="e">
        <f>VLOOKUP(F1330,'Customer Info'!A1322:I1821,3,0)</f>
        <v>#N/A</v>
      </c>
      <c r="I1330" s="6" t="e">
        <f>VLOOKUP(F1330,'Customer Info'!A1322:I1821,5,0)</f>
        <v>#N/A</v>
      </c>
      <c r="J1330" s="2">
        <v>7609</v>
      </c>
      <c r="K1330" s="2">
        <v>7248</v>
      </c>
      <c r="L1330" s="2">
        <v>2</v>
      </c>
      <c r="M1330" s="7">
        <f t="shared" si="80"/>
        <v>14496</v>
      </c>
      <c r="N1330" s="7">
        <f t="shared" si="81"/>
        <v>15218</v>
      </c>
      <c r="O1330" s="2">
        <v>89</v>
      </c>
      <c r="P1330" s="8">
        <f t="shared" si="82"/>
        <v>15307</v>
      </c>
      <c r="Q1330" s="8">
        <f t="shared" si="83"/>
        <v>15129</v>
      </c>
      <c r="R1330" s="2" t="s">
        <v>28</v>
      </c>
      <c r="S1330" s="9">
        <f>VLOOKUP(P1330,$T$2:U1327,2,1)</f>
        <v>0.05</v>
      </c>
    </row>
    <row r="1331" spans="1:19" x14ac:dyDescent="0.25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e">
        <f>VLOOKUP(F1331,'Customer Info'!A1323:I1822,2,0)</f>
        <v>#N/A</v>
      </c>
      <c r="H1331" s="6" t="e">
        <f>VLOOKUP(F1331,'Customer Info'!A1323:I1822,3,0)</f>
        <v>#N/A</v>
      </c>
      <c r="I1331" s="6" t="e">
        <f>VLOOKUP(F1331,'Customer Info'!A1323:I1822,5,0)</f>
        <v>#N/A</v>
      </c>
      <c r="J1331" s="2">
        <v>2874</v>
      </c>
      <c r="K1331" s="2">
        <v>2583</v>
      </c>
      <c r="L1331" s="2">
        <v>2</v>
      </c>
      <c r="M1331" s="7">
        <f t="shared" si="80"/>
        <v>5166</v>
      </c>
      <c r="N1331" s="7">
        <f t="shared" si="81"/>
        <v>5748</v>
      </c>
      <c r="O1331" s="2">
        <v>58</v>
      </c>
      <c r="P1331" s="8">
        <f t="shared" si="82"/>
        <v>5806</v>
      </c>
      <c r="Q1331" s="8">
        <f t="shared" si="83"/>
        <v>5690</v>
      </c>
      <c r="R1331" s="2" t="s">
        <v>26</v>
      </c>
      <c r="S1331" s="9">
        <f>VLOOKUP(P1331,$T$2:U1328,2,1)</f>
        <v>0.05</v>
      </c>
    </row>
    <row r="1332" spans="1:19" x14ac:dyDescent="0.25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e">
        <f>VLOOKUP(F1332,'Customer Info'!A1324:I1823,2,0)</f>
        <v>#N/A</v>
      </c>
      <c r="H1332" s="6" t="e">
        <f>VLOOKUP(F1332,'Customer Info'!A1324:I1823,3,0)</f>
        <v>#N/A</v>
      </c>
      <c r="I1332" s="6" t="e">
        <f>VLOOKUP(F1332,'Customer Info'!A1324:I1823,5,0)</f>
        <v>#N/A</v>
      </c>
      <c r="J1332" s="2">
        <v>3256</v>
      </c>
      <c r="K1332" s="2">
        <v>2959</v>
      </c>
      <c r="L1332" s="2">
        <v>1</v>
      </c>
      <c r="M1332" s="7">
        <f t="shared" si="80"/>
        <v>2959</v>
      </c>
      <c r="N1332" s="7">
        <f t="shared" si="81"/>
        <v>3256</v>
      </c>
      <c r="O1332" s="2">
        <v>49</v>
      </c>
      <c r="P1332" s="8">
        <f t="shared" si="82"/>
        <v>3305</v>
      </c>
      <c r="Q1332" s="8">
        <f t="shared" si="83"/>
        <v>3207</v>
      </c>
      <c r="R1332" s="2" t="s">
        <v>28</v>
      </c>
      <c r="S1332" s="9">
        <f>VLOOKUP(P1332,$T$2:U1329,2,1)</f>
        <v>0.02</v>
      </c>
    </row>
    <row r="1333" spans="1:19" x14ac:dyDescent="0.25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e">
        <f>VLOOKUP(F1333,'Customer Info'!A1325:I1824,2,0)</f>
        <v>#N/A</v>
      </c>
      <c r="H1333" s="6" t="e">
        <f>VLOOKUP(F1333,'Customer Info'!A1325:I1824,3,0)</f>
        <v>#N/A</v>
      </c>
      <c r="I1333" s="6" t="e">
        <f>VLOOKUP(F1333,'Customer Info'!A1325:I1824,5,0)</f>
        <v>#N/A</v>
      </c>
      <c r="J1333" s="2">
        <v>773</v>
      </c>
      <c r="K1333" s="2">
        <v>708</v>
      </c>
      <c r="L1333" s="2">
        <v>6</v>
      </c>
      <c r="M1333" s="7">
        <f t="shared" si="80"/>
        <v>4248</v>
      </c>
      <c r="N1333" s="7">
        <f t="shared" si="81"/>
        <v>4638</v>
      </c>
      <c r="O1333" s="2">
        <v>85</v>
      </c>
      <c r="P1333" s="8">
        <f t="shared" si="82"/>
        <v>4723</v>
      </c>
      <c r="Q1333" s="8">
        <f t="shared" si="83"/>
        <v>4553</v>
      </c>
      <c r="R1333" s="2" t="s">
        <v>28</v>
      </c>
      <c r="S1333" s="9">
        <f>VLOOKUP(P1333,$T$2:U1330,2,1)</f>
        <v>0.02</v>
      </c>
    </row>
    <row r="1334" spans="1:19" x14ac:dyDescent="0.25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e">
        <f>VLOOKUP(F1334,'Customer Info'!A1326:I1825,2,0)</f>
        <v>#N/A</v>
      </c>
      <c r="H1334" s="6" t="e">
        <f>VLOOKUP(F1334,'Customer Info'!A1326:I1825,3,0)</f>
        <v>#N/A</v>
      </c>
      <c r="I1334" s="6" t="e">
        <f>VLOOKUP(F1334,'Customer Info'!A1326:I1825,5,0)</f>
        <v>#N/A</v>
      </c>
      <c r="J1334" s="2">
        <v>6864</v>
      </c>
      <c r="K1334" s="2">
        <v>6667</v>
      </c>
      <c r="L1334" s="2">
        <v>1</v>
      </c>
      <c r="M1334" s="7">
        <f t="shared" si="80"/>
        <v>6667</v>
      </c>
      <c r="N1334" s="7">
        <f t="shared" si="81"/>
        <v>6864</v>
      </c>
      <c r="O1334" s="2">
        <v>86</v>
      </c>
      <c r="P1334" s="8">
        <f t="shared" si="82"/>
        <v>6950</v>
      </c>
      <c r="Q1334" s="8">
        <f t="shared" si="83"/>
        <v>6778</v>
      </c>
      <c r="R1334" s="2" t="s">
        <v>50</v>
      </c>
      <c r="S1334" s="9">
        <f>VLOOKUP(P1334,$T$2:U1331,2,1)</f>
        <v>0.05</v>
      </c>
    </row>
    <row r="1335" spans="1:19" x14ac:dyDescent="0.25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e">
        <f>VLOOKUP(F1335,'Customer Info'!A1327:I1826,2,0)</f>
        <v>#N/A</v>
      </c>
      <c r="H1335" s="6" t="e">
        <f>VLOOKUP(F1335,'Customer Info'!A1327:I1826,3,0)</f>
        <v>#N/A</v>
      </c>
      <c r="I1335" s="6" t="e">
        <f>VLOOKUP(F1335,'Customer Info'!A1327:I1826,5,0)</f>
        <v>#N/A</v>
      </c>
      <c r="J1335" s="2">
        <v>2442</v>
      </c>
      <c r="K1335" s="2">
        <v>2304</v>
      </c>
      <c r="L1335" s="2">
        <v>5</v>
      </c>
      <c r="M1335" s="7">
        <f t="shared" si="80"/>
        <v>11520</v>
      </c>
      <c r="N1335" s="7">
        <f t="shared" si="81"/>
        <v>12210</v>
      </c>
      <c r="O1335" s="2">
        <v>72</v>
      </c>
      <c r="P1335" s="8">
        <f t="shared" si="82"/>
        <v>12282</v>
      </c>
      <c r="Q1335" s="8">
        <f t="shared" si="83"/>
        <v>12138</v>
      </c>
      <c r="R1335" s="2" t="s">
        <v>28</v>
      </c>
      <c r="S1335" s="9">
        <f>VLOOKUP(P1335,$T$2:U1332,2,1)</f>
        <v>0.05</v>
      </c>
    </row>
    <row r="1336" spans="1:19" x14ac:dyDescent="0.25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e">
        <f>VLOOKUP(F1336,'Customer Info'!A1328:I1827,2,0)</f>
        <v>#N/A</v>
      </c>
      <c r="H1336" s="6" t="e">
        <f>VLOOKUP(F1336,'Customer Info'!A1328:I1827,3,0)</f>
        <v>#N/A</v>
      </c>
      <c r="I1336" s="6" t="e">
        <f>VLOOKUP(F1336,'Customer Info'!A1328:I1827,5,0)</f>
        <v>#N/A</v>
      </c>
      <c r="J1336" s="2">
        <v>886</v>
      </c>
      <c r="K1336" s="2">
        <v>796</v>
      </c>
      <c r="L1336" s="2">
        <v>5</v>
      </c>
      <c r="M1336" s="7">
        <f t="shared" si="80"/>
        <v>3980</v>
      </c>
      <c r="N1336" s="7">
        <f t="shared" si="81"/>
        <v>4430</v>
      </c>
      <c r="O1336" s="2">
        <v>46</v>
      </c>
      <c r="P1336" s="8">
        <f t="shared" si="82"/>
        <v>4476</v>
      </c>
      <c r="Q1336" s="8">
        <f t="shared" si="83"/>
        <v>4384</v>
      </c>
      <c r="R1336" s="2" t="s">
        <v>56</v>
      </c>
      <c r="S1336" s="9">
        <f>VLOOKUP(P1336,$T$2:U1333,2,1)</f>
        <v>0.02</v>
      </c>
    </row>
    <row r="1337" spans="1:19" x14ac:dyDescent="0.25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e">
        <f>VLOOKUP(F1337,'Customer Info'!A1329:I1828,2,0)</f>
        <v>#N/A</v>
      </c>
      <c r="H1337" s="6" t="e">
        <f>VLOOKUP(F1337,'Customer Info'!A1329:I1828,3,0)</f>
        <v>#N/A</v>
      </c>
      <c r="I1337" s="6" t="e">
        <f>VLOOKUP(F1337,'Customer Info'!A1329:I1828,5,0)</f>
        <v>#N/A</v>
      </c>
      <c r="J1337" s="2">
        <v>887</v>
      </c>
      <c r="K1337" s="2">
        <v>814</v>
      </c>
      <c r="L1337" s="2">
        <v>5</v>
      </c>
      <c r="M1337" s="7">
        <f t="shared" si="80"/>
        <v>4070</v>
      </c>
      <c r="N1337" s="7">
        <f t="shared" si="81"/>
        <v>4435</v>
      </c>
      <c r="O1337" s="2">
        <v>71</v>
      </c>
      <c r="P1337" s="8">
        <f t="shared" si="82"/>
        <v>4506</v>
      </c>
      <c r="Q1337" s="8">
        <f t="shared" si="83"/>
        <v>4364</v>
      </c>
      <c r="R1337" s="2" t="s">
        <v>28</v>
      </c>
      <c r="S1337" s="9">
        <f>VLOOKUP(P1337,$T$2:U1334,2,1)</f>
        <v>0.02</v>
      </c>
    </row>
    <row r="1338" spans="1:19" x14ac:dyDescent="0.25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e">
        <f>VLOOKUP(F1338,'Customer Info'!A1330:I1829,2,0)</f>
        <v>#N/A</v>
      </c>
      <c r="H1338" s="6" t="e">
        <f>VLOOKUP(F1338,'Customer Info'!A1330:I1829,3,0)</f>
        <v>#N/A</v>
      </c>
      <c r="I1338" s="6" t="e">
        <f>VLOOKUP(F1338,'Customer Info'!A1330:I1829,5,0)</f>
        <v>#N/A</v>
      </c>
      <c r="J1338" s="2">
        <v>69</v>
      </c>
      <c r="K1338" s="2">
        <v>64</v>
      </c>
      <c r="L1338" s="2">
        <v>1</v>
      </c>
      <c r="M1338" s="7">
        <f t="shared" si="80"/>
        <v>64</v>
      </c>
      <c r="N1338" s="7">
        <f t="shared" si="81"/>
        <v>69</v>
      </c>
      <c r="O1338" s="2">
        <v>10</v>
      </c>
      <c r="P1338" s="8">
        <f t="shared" si="82"/>
        <v>79</v>
      </c>
      <c r="Q1338" s="8">
        <f t="shared" si="83"/>
        <v>59</v>
      </c>
      <c r="R1338" s="2" t="s">
        <v>28</v>
      </c>
      <c r="S1338" s="9">
        <f>VLOOKUP(P1338,$T$2:U1335,2,1)</f>
        <v>0.02</v>
      </c>
    </row>
    <row r="1339" spans="1:19" x14ac:dyDescent="0.25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e">
        <f>VLOOKUP(F1339,'Customer Info'!A1331:I1830,2,0)</f>
        <v>#N/A</v>
      </c>
      <c r="H1339" s="6" t="e">
        <f>VLOOKUP(F1339,'Customer Info'!A1331:I1830,3,0)</f>
        <v>#N/A</v>
      </c>
      <c r="I1339" s="6" t="e">
        <f>VLOOKUP(F1339,'Customer Info'!A1331:I1830,5,0)</f>
        <v>#N/A</v>
      </c>
      <c r="J1339" s="2">
        <v>1246</v>
      </c>
      <c r="K1339" s="2">
        <v>1164</v>
      </c>
      <c r="L1339" s="2">
        <v>8</v>
      </c>
      <c r="M1339" s="7">
        <f t="shared" si="80"/>
        <v>9312</v>
      </c>
      <c r="N1339" s="7">
        <f t="shared" si="81"/>
        <v>9968</v>
      </c>
      <c r="O1339" s="2">
        <v>59</v>
      </c>
      <c r="P1339" s="8">
        <f t="shared" si="82"/>
        <v>10027</v>
      </c>
      <c r="Q1339" s="8">
        <f t="shared" si="83"/>
        <v>9909</v>
      </c>
      <c r="R1339" s="2" t="s">
        <v>26</v>
      </c>
      <c r="S1339" s="9">
        <f>VLOOKUP(P1339,$T$2:U1336,2,1)</f>
        <v>0.05</v>
      </c>
    </row>
    <row r="1340" spans="1:19" x14ac:dyDescent="0.25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e">
        <f>VLOOKUP(F1340,'Customer Info'!A1332:I1831,2,0)</f>
        <v>#N/A</v>
      </c>
      <c r="H1340" s="6" t="e">
        <f>VLOOKUP(F1340,'Customer Info'!A1332:I1831,3,0)</f>
        <v>#N/A</v>
      </c>
      <c r="I1340" s="6" t="e">
        <f>VLOOKUP(F1340,'Customer Info'!A1332:I1831,5,0)</f>
        <v>#N/A</v>
      </c>
      <c r="J1340" s="2">
        <v>2503</v>
      </c>
      <c r="K1340" s="2">
        <v>2454</v>
      </c>
      <c r="L1340" s="2">
        <v>3</v>
      </c>
      <c r="M1340" s="7">
        <f t="shared" si="80"/>
        <v>7362</v>
      </c>
      <c r="N1340" s="7">
        <f t="shared" si="81"/>
        <v>7509</v>
      </c>
      <c r="O1340" s="2">
        <v>78</v>
      </c>
      <c r="P1340" s="8">
        <f t="shared" si="82"/>
        <v>7587</v>
      </c>
      <c r="Q1340" s="8">
        <f t="shared" si="83"/>
        <v>7431</v>
      </c>
      <c r="R1340" s="2" t="s">
        <v>50</v>
      </c>
      <c r="S1340" s="9">
        <f>VLOOKUP(P1340,$T$2:U1337,2,1)</f>
        <v>0.05</v>
      </c>
    </row>
    <row r="1341" spans="1:19" x14ac:dyDescent="0.25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e">
        <f>VLOOKUP(F1341,'Customer Info'!A1333:I1832,2,0)</f>
        <v>#N/A</v>
      </c>
      <c r="H1341" s="6" t="e">
        <f>VLOOKUP(F1341,'Customer Info'!A1333:I1832,3,0)</f>
        <v>#N/A</v>
      </c>
      <c r="I1341" s="6" t="e">
        <f>VLOOKUP(F1341,'Customer Info'!A1333:I1832,5,0)</f>
        <v>#N/A</v>
      </c>
      <c r="J1341" s="2">
        <v>138</v>
      </c>
      <c r="K1341" s="2">
        <v>128</v>
      </c>
      <c r="L1341" s="2">
        <v>1</v>
      </c>
      <c r="M1341" s="7">
        <f t="shared" si="80"/>
        <v>128</v>
      </c>
      <c r="N1341" s="7">
        <f t="shared" si="81"/>
        <v>138</v>
      </c>
      <c r="O1341" s="2">
        <v>30</v>
      </c>
      <c r="P1341" s="8">
        <f t="shared" si="82"/>
        <v>168</v>
      </c>
      <c r="Q1341" s="8">
        <f t="shared" si="83"/>
        <v>108</v>
      </c>
      <c r="R1341" s="2" t="s">
        <v>28</v>
      </c>
      <c r="S1341" s="9">
        <f>VLOOKUP(P1341,$T$2:U1338,2,1)</f>
        <v>0.02</v>
      </c>
    </row>
    <row r="1342" spans="1:19" x14ac:dyDescent="0.25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e">
        <f>VLOOKUP(F1342,'Customer Info'!A1334:I1833,2,0)</f>
        <v>#N/A</v>
      </c>
      <c r="H1342" s="6" t="e">
        <f>VLOOKUP(F1342,'Customer Info'!A1334:I1833,3,0)</f>
        <v>#N/A</v>
      </c>
      <c r="I1342" s="6" t="e">
        <f>VLOOKUP(F1342,'Customer Info'!A1334:I1833,5,0)</f>
        <v>#N/A</v>
      </c>
      <c r="J1342" s="2">
        <v>3289</v>
      </c>
      <c r="K1342" s="2">
        <v>3105</v>
      </c>
      <c r="L1342" s="2">
        <v>4</v>
      </c>
      <c r="M1342" s="7">
        <f t="shared" si="80"/>
        <v>12420</v>
      </c>
      <c r="N1342" s="7">
        <f t="shared" si="81"/>
        <v>13156</v>
      </c>
      <c r="O1342" s="2">
        <v>31</v>
      </c>
      <c r="P1342" s="8">
        <f t="shared" si="82"/>
        <v>13187</v>
      </c>
      <c r="Q1342" s="8">
        <f t="shared" si="83"/>
        <v>13125</v>
      </c>
      <c r="R1342" s="2" t="s">
        <v>50</v>
      </c>
      <c r="S1342" s="9">
        <f>VLOOKUP(P1342,$T$2:U1339,2,1)</f>
        <v>0.05</v>
      </c>
    </row>
    <row r="1343" spans="1:19" x14ac:dyDescent="0.25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e">
        <f>VLOOKUP(F1343,'Customer Info'!A1335:I1834,2,0)</f>
        <v>#N/A</v>
      </c>
      <c r="H1343" s="6" t="e">
        <f>VLOOKUP(F1343,'Customer Info'!A1335:I1834,3,0)</f>
        <v>#N/A</v>
      </c>
      <c r="I1343" s="6" t="e">
        <f>VLOOKUP(F1343,'Customer Info'!A1335:I1834,5,0)</f>
        <v>#N/A</v>
      </c>
      <c r="J1343" s="2">
        <v>1637</v>
      </c>
      <c r="K1343" s="2">
        <v>1532</v>
      </c>
      <c r="L1343" s="2">
        <v>5</v>
      </c>
      <c r="M1343" s="7">
        <f t="shared" si="80"/>
        <v>7660</v>
      </c>
      <c r="N1343" s="7">
        <f t="shared" si="81"/>
        <v>8185</v>
      </c>
      <c r="O1343" s="2">
        <v>41</v>
      </c>
      <c r="P1343" s="8">
        <f t="shared" si="82"/>
        <v>8226</v>
      </c>
      <c r="Q1343" s="8">
        <f t="shared" si="83"/>
        <v>8144</v>
      </c>
      <c r="R1343" s="2" t="s">
        <v>28</v>
      </c>
      <c r="S1343" s="9">
        <f>VLOOKUP(P1343,$T$2:U1340,2,1)</f>
        <v>0.05</v>
      </c>
    </row>
    <row r="1344" spans="1:19" x14ac:dyDescent="0.25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e">
        <f>VLOOKUP(F1344,'Customer Info'!A1336:I1835,2,0)</f>
        <v>#N/A</v>
      </c>
      <c r="H1344" s="6" t="e">
        <f>VLOOKUP(F1344,'Customer Info'!A1336:I1835,3,0)</f>
        <v>#N/A</v>
      </c>
      <c r="I1344" s="6" t="e">
        <f>VLOOKUP(F1344,'Customer Info'!A1336:I1835,5,0)</f>
        <v>#N/A</v>
      </c>
      <c r="J1344" s="2">
        <v>1246</v>
      </c>
      <c r="K1344" s="2">
        <v>1164</v>
      </c>
      <c r="L1344" s="2">
        <v>2</v>
      </c>
      <c r="M1344" s="7">
        <f t="shared" si="80"/>
        <v>2328</v>
      </c>
      <c r="N1344" s="7">
        <f t="shared" si="81"/>
        <v>2492</v>
      </c>
      <c r="O1344" s="2">
        <v>73</v>
      </c>
      <c r="P1344" s="8">
        <f t="shared" si="82"/>
        <v>2565</v>
      </c>
      <c r="Q1344" s="8">
        <f t="shared" si="83"/>
        <v>2419</v>
      </c>
      <c r="R1344" s="2" t="s">
        <v>50</v>
      </c>
      <c r="S1344" s="9">
        <f>VLOOKUP(P1344,$T$2:U1341,2,1)</f>
        <v>0.02</v>
      </c>
    </row>
    <row r="1345" spans="1:19" x14ac:dyDescent="0.25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e">
        <f>VLOOKUP(F1345,'Customer Info'!A1337:I1836,2,0)</f>
        <v>#N/A</v>
      </c>
      <c r="H1345" s="6" t="e">
        <f>VLOOKUP(F1345,'Customer Info'!A1337:I1836,3,0)</f>
        <v>#N/A</v>
      </c>
      <c r="I1345" s="6" t="e">
        <f>VLOOKUP(F1345,'Customer Info'!A1337:I1836,5,0)</f>
        <v>#N/A</v>
      </c>
      <c r="J1345" s="2">
        <v>8665</v>
      </c>
      <c r="K1345" s="2">
        <v>7723</v>
      </c>
      <c r="L1345" s="2">
        <v>3</v>
      </c>
      <c r="M1345" s="7">
        <f t="shared" si="80"/>
        <v>23169</v>
      </c>
      <c r="N1345" s="7">
        <f t="shared" si="81"/>
        <v>25995</v>
      </c>
      <c r="O1345" s="2">
        <v>68</v>
      </c>
      <c r="P1345" s="8">
        <f t="shared" si="82"/>
        <v>26063</v>
      </c>
      <c r="Q1345" s="8">
        <f t="shared" si="83"/>
        <v>25927</v>
      </c>
      <c r="R1345" s="2" t="s">
        <v>50</v>
      </c>
      <c r="S1345" s="9">
        <f>VLOOKUP(P1345,$T$2:U1342,2,1)</f>
        <v>7.0000000000000007E-2</v>
      </c>
    </row>
    <row r="1346" spans="1:19" x14ac:dyDescent="0.25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e">
        <f>VLOOKUP(F1346,'Customer Info'!A1338:I1837,2,0)</f>
        <v>#N/A</v>
      </c>
      <c r="H1346" s="6" t="e">
        <f>VLOOKUP(F1346,'Customer Info'!A1338:I1837,3,0)</f>
        <v>#N/A</v>
      </c>
      <c r="I1346" s="6" t="e">
        <f>VLOOKUP(F1346,'Customer Info'!A1338:I1837,5,0)</f>
        <v>#N/A</v>
      </c>
      <c r="J1346" s="2">
        <v>531</v>
      </c>
      <c r="K1346" s="2">
        <v>487</v>
      </c>
      <c r="L1346" s="2">
        <v>3</v>
      </c>
      <c r="M1346" s="7">
        <f t="shared" si="80"/>
        <v>1461</v>
      </c>
      <c r="N1346" s="7">
        <f t="shared" si="81"/>
        <v>1593</v>
      </c>
      <c r="O1346" s="2">
        <v>96</v>
      </c>
      <c r="P1346" s="8">
        <f t="shared" si="82"/>
        <v>1689</v>
      </c>
      <c r="Q1346" s="8">
        <f t="shared" si="83"/>
        <v>1497</v>
      </c>
      <c r="R1346" s="2" t="s">
        <v>50</v>
      </c>
      <c r="S1346" s="9">
        <f>VLOOKUP(P1346,$T$2:U1343,2,1)</f>
        <v>0.02</v>
      </c>
    </row>
    <row r="1347" spans="1:19" x14ac:dyDescent="0.25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e">
        <f>VLOOKUP(F1347,'Customer Info'!A1339:I1838,2,0)</f>
        <v>#N/A</v>
      </c>
      <c r="H1347" s="6" t="e">
        <f>VLOOKUP(F1347,'Customer Info'!A1339:I1838,3,0)</f>
        <v>#N/A</v>
      </c>
      <c r="I1347" s="6" t="e">
        <f>VLOOKUP(F1347,'Customer Info'!A1339:I1838,5,0)</f>
        <v>#N/A</v>
      </c>
      <c r="J1347" s="2">
        <v>170</v>
      </c>
      <c r="K1347" s="2">
        <v>153</v>
      </c>
      <c r="L1347" s="2">
        <v>1</v>
      </c>
      <c r="M1347" s="7">
        <f t="shared" si="80"/>
        <v>153</v>
      </c>
      <c r="N1347" s="7">
        <f t="shared" si="81"/>
        <v>170</v>
      </c>
      <c r="O1347" s="2">
        <v>30</v>
      </c>
      <c r="P1347" s="8">
        <f t="shared" si="82"/>
        <v>200</v>
      </c>
      <c r="Q1347" s="8">
        <f t="shared" si="83"/>
        <v>140</v>
      </c>
      <c r="R1347" s="2" t="s">
        <v>28</v>
      </c>
      <c r="S1347" s="9">
        <f>VLOOKUP(P1347,$T$2:U1344,2,1)</f>
        <v>0.02</v>
      </c>
    </row>
    <row r="1348" spans="1:19" x14ac:dyDescent="0.25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e">
        <f>VLOOKUP(F1348,'Customer Info'!A1340:I1839,2,0)</f>
        <v>#N/A</v>
      </c>
      <c r="H1348" s="6" t="e">
        <f>VLOOKUP(F1348,'Customer Info'!A1340:I1839,3,0)</f>
        <v>#N/A</v>
      </c>
      <c r="I1348" s="6" t="e">
        <f>VLOOKUP(F1348,'Customer Info'!A1340:I1839,5,0)</f>
        <v>#N/A</v>
      </c>
      <c r="J1348" s="2">
        <v>6598</v>
      </c>
      <c r="K1348" s="2">
        <v>6346</v>
      </c>
      <c r="L1348" s="2">
        <v>2</v>
      </c>
      <c r="M1348" s="7">
        <f t="shared" si="80"/>
        <v>12692</v>
      </c>
      <c r="N1348" s="7">
        <f t="shared" si="81"/>
        <v>13196</v>
      </c>
      <c r="O1348" s="2">
        <v>57</v>
      </c>
      <c r="P1348" s="8">
        <f t="shared" si="82"/>
        <v>13253</v>
      </c>
      <c r="Q1348" s="8">
        <f t="shared" si="83"/>
        <v>13139</v>
      </c>
      <c r="R1348" s="2" t="s">
        <v>50</v>
      </c>
      <c r="S1348" s="9">
        <f>VLOOKUP(P1348,$T$2:U1345,2,1)</f>
        <v>0.05</v>
      </c>
    </row>
    <row r="1349" spans="1:19" x14ac:dyDescent="0.25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e">
        <f>VLOOKUP(F1349,'Customer Info'!A1341:I1840,2,0)</f>
        <v>#N/A</v>
      </c>
      <c r="H1349" s="6" t="e">
        <f>VLOOKUP(F1349,'Customer Info'!A1341:I1840,3,0)</f>
        <v>#N/A</v>
      </c>
      <c r="I1349" s="6" t="e">
        <f>VLOOKUP(F1349,'Customer Info'!A1341:I1840,5,0)</f>
        <v>#N/A</v>
      </c>
      <c r="J1349" s="2">
        <v>1585</v>
      </c>
      <c r="K1349" s="2">
        <v>1495</v>
      </c>
      <c r="L1349" s="2">
        <v>1</v>
      </c>
      <c r="M1349" s="7">
        <f t="shared" si="80"/>
        <v>1495</v>
      </c>
      <c r="N1349" s="7">
        <f t="shared" si="81"/>
        <v>1585</v>
      </c>
      <c r="O1349" s="2">
        <v>61</v>
      </c>
      <c r="P1349" s="8">
        <f t="shared" si="82"/>
        <v>1646</v>
      </c>
      <c r="Q1349" s="8">
        <f t="shared" si="83"/>
        <v>1524</v>
      </c>
      <c r="R1349" s="2" t="s">
        <v>28</v>
      </c>
      <c r="S1349" s="9">
        <f>VLOOKUP(P1349,$T$2:U1346,2,1)</f>
        <v>0.02</v>
      </c>
    </row>
    <row r="1350" spans="1:19" x14ac:dyDescent="0.25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e">
        <f>VLOOKUP(F1350,'Customer Info'!A1342:I1841,2,0)</f>
        <v>#N/A</v>
      </c>
      <c r="H1350" s="6" t="e">
        <f>VLOOKUP(F1350,'Customer Info'!A1342:I1841,3,0)</f>
        <v>#N/A</v>
      </c>
      <c r="I1350" s="6" t="e">
        <f>VLOOKUP(F1350,'Customer Info'!A1342:I1841,5,0)</f>
        <v>#N/A</v>
      </c>
      <c r="J1350" s="2">
        <v>1816</v>
      </c>
      <c r="K1350" s="2">
        <v>1700</v>
      </c>
      <c r="L1350" s="2">
        <v>1</v>
      </c>
      <c r="M1350" s="7">
        <f t="shared" si="80"/>
        <v>1700</v>
      </c>
      <c r="N1350" s="7">
        <f t="shared" si="81"/>
        <v>1816</v>
      </c>
      <c r="O1350" s="2">
        <v>95</v>
      </c>
      <c r="P1350" s="8">
        <f t="shared" si="82"/>
        <v>1911</v>
      </c>
      <c r="Q1350" s="8">
        <f t="shared" si="83"/>
        <v>1721</v>
      </c>
      <c r="R1350" s="2" t="s">
        <v>28</v>
      </c>
      <c r="S1350" s="9">
        <f>VLOOKUP(P1350,$T$2:U1347,2,1)</f>
        <v>0.02</v>
      </c>
    </row>
    <row r="1351" spans="1:19" x14ac:dyDescent="0.25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e">
        <f>VLOOKUP(F1351,'Customer Info'!A1343:I1842,2,0)</f>
        <v>#N/A</v>
      </c>
      <c r="H1351" s="6" t="e">
        <f>VLOOKUP(F1351,'Customer Info'!A1343:I1842,3,0)</f>
        <v>#N/A</v>
      </c>
      <c r="I1351" s="6" t="e">
        <f>VLOOKUP(F1351,'Customer Info'!A1343:I1842,5,0)</f>
        <v>#N/A</v>
      </c>
      <c r="J1351" s="2">
        <v>2864</v>
      </c>
      <c r="K1351" s="2">
        <v>2754</v>
      </c>
      <c r="L1351" s="2">
        <v>5</v>
      </c>
      <c r="M1351" s="7">
        <f t="shared" si="80"/>
        <v>13770</v>
      </c>
      <c r="N1351" s="7">
        <f t="shared" si="81"/>
        <v>14320</v>
      </c>
      <c r="O1351" s="2">
        <v>54</v>
      </c>
      <c r="P1351" s="8">
        <f t="shared" si="82"/>
        <v>14374</v>
      </c>
      <c r="Q1351" s="8">
        <f t="shared" si="83"/>
        <v>14266</v>
      </c>
      <c r="R1351" s="2" t="s">
        <v>28</v>
      </c>
      <c r="S1351" s="9">
        <f>VLOOKUP(P1351,$T$2:U1348,2,1)</f>
        <v>0.05</v>
      </c>
    </row>
    <row r="1352" spans="1:19" x14ac:dyDescent="0.25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e">
        <f>VLOOKUP(F1352,'Customer Info'!A1344:I1843,2,0)</f>
        <v>#N/A</v>
      </c>
      <c r="H1352" s="6" t="e">
        <f>VLOOKUP(F1352,'Customer Info'!A1344:I1843,3,0)</f>
        <v>#N/A</v>
      </c>
      <c r="I1352" s="6" t="e">
        <f>VLOOKUP(F1352,'Customer Info'!A1344:I1843,5,0)</f>
        <v>#N/A</v>
      </c>
      <c r="J1352" s="2">
        <v>5906</v>
      </c>
      <c r="K1352" s="2">
        <v>5266</v>
      </c>
      <c r="L1352" s="2">
        <v>2</v>
      </c>
      <c r="M1352" s="7">
        <f t="shared" si="80"/>
        <v>10532</v>
      </c>
      <c r="N1352" s="7">
        <f t="shared" si="81"/>
        <v>11812</v>
      </c>
      <c r="O1352" s="2">
        <v>34</v>
      </c>
      <c r="P1352" s="8">
        <f t="shared" si="82"/>
        <v>11846</v>
      </c>
      <c r="Q1352" s="8">
        <f t="shared" si="83"/>
        <v>11778</v>
      </c>
      <c r="R1352" s="2" t="s">
        <v>28</v>
      </c>
      <c r="S1352" s="9">
        <f>VLOOKUP(P1352,$T$2:U1349,2,1)</f>
        <v>0.05</v>
      </c>
    </row>
    <row r="1353" spans="1:19" x14ac:dyDescent="0.25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e">
        <f>VLOOKUP(F1353,'Customer Info'!A1345:I1844,2,0)</f>
        <v>#N/A</v>
      </c>
      <c r="H1353" s="6" t="e">
        <f>VLOOKUP(F1353,'Customer Info'!A1345:I1844,3,0)</f>
        <v>#N/A</v>
      </c>
      <c r="I1353" s="6" t="e">
        <f>VLOOKUP(F1353,'Customer Info'!A1345:I1844,5,0)</f>
        <v>#N/A</v>
      </c>
      <c r="J1353" s="2">
        <v>4002</v>
      </c>
      <c r="K1353" s="2">
        <v>3744</v>
      </c>
      <c r="L1353" s="2">
        <v>6</v>
      </c>
      <c r="M1353" s="7">
        <f t="shared" si="80"/>
        <v>22464</v>
      </c>
      <c r="N1353" s="7">
        <f t="shared" si="81"/>
        <v>24012</v>
      </c>
      <c r="O1353" s="2">
        <v>59</v>
      </c>
      <c r="P1353" s="8">
        <f t="shared" si="82"/>
        <v>24071</v>
      </c>
      <c r="Q1353" s="8">
        <f t="shared" si="83"/>
        <v>23953</v>
      </c>
      <c r="R1353" s="2" t="s">
        <v>50</v>
      </c>
      <c r="S1353" s="9">
        <f>VLOOKUP(P1353,$T$2:U1350,2,1)</f>
        <v>0.05</v>
      </c>
    </row>
    <row r="1354" spans="1:19" x14ac:dyDescent="0.25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e">
        <f>VLOOKUP(F1354,'Customer Info'!A1346:I1845,2,0)</f>
        <v>#N/A</v>
      </c>
      <c r="H1354" s="6" t="e">
        <f>VLOOKUP(F1354,'Customer Info'!A1346:I1845,3,0)</f>
        <v>#N/A</v>
      </c>
      <c r="I1354" s="6" t="e">
        <f>VLOOKUP(F1354,'Customer Info'!A1346:I1845,5,0)</f>
        <v>#N/A</v>
      </c>
      <c r="J1354" s="2">
        <v>222</v>
      </c>
      <c r="K1354" s="2">
        <v>204</v>
      </c>
      <c r="L1354" s="2">
        <v>6</v>
      </c>
      <c r="M1354" s="7">
        <f t="shared" si="80"/>
        <v>1224</v>
      </c>
      <c r="N1354" s="7">
        <f t="shared" si="81"/>
        <v>1332</v>
      </c>
      <c r="O1354" s="2">
        <v>43</v>
      </c>
      <c r="P1354" s="8">
        <f t="shared" si="82"/>
        <v>1375</v>
      </c>
      <c r="Q1354" s="8">
        <f t="shared" si="83"/>
        <v>1289</v>
      </c>
      <c r="R1354" s="2" t="s">
        <v>28</v>
      </c>
      <c r="S1354" s="9">
        <f>VLOOKUP(P1354,$T$2:U1351,2,1)</f>
        <v>0.02</v>
      </c>
    </row>
    <row r="1355" spans="1:19" x14ac:dyDescent="0.25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e">
        <f>VLOOKUP(F1355,'Customer Info'!A1347:I1846,2,0)</f>
        <v>#N/A</v>
      </c>
      <c r="H1355" s="6" t="e">
        <f>VLOOKUP(F1355,'Customer Info'!A1347:I1846,3,0)</f>
        <v>#N/A</v>
      </c>
      <c r="I1355" s="6" t="e">
        <f>VLOOKUP(F1355,'Customer Info'!A1347:I1846,5,0)</f>
        <v>#N/A</v>
      </c>
      <c r="J1355" s="2">
        <v>1358</v>
      </c>
      <c r="K1355" s="2">
        <v>1257</v>
      </c>
      <c r="L1355" s="2">
        <v>2</v>
      </c>
      <c r="M1355" s="7">
        <f t="shared" ref="M1355:M1418" si="84">K1355*L1355</f>
        <v>2514</v>
      </c>
      <c r="N1355" s="7">
        <f t="shared" ref="N1355:N1418" si="85">J1355*L1355</f>
        <v>2716</v>
      </c>
      <c r="O1355" s="2">
        <v>33</v>
      </c>
      <c r="P1355" s="8">
        <f t="shared" ref="P1355:P1418" si="86">SUM(N1355,O1355)</f>
        <v>2749</v>
      </c>
      <c r="Q1355" s="8">
        <f t="shared" ref="Q1355:Q1418" si="87">N1355-O1355</f>
        <v>2683</v>
      </c>
      <c r="R1355" s="2" t="s">
        <v>28</v>
      </c>
      <c r="S1355" s="9">
        <f>VLOOKUP(P1355,$T$2:U1352,2,1)</f>
        <v>0.02</v>
      </c>
    </row>
    <row r="1356" spans="1:19" x14ac:dyDescent="0.25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e">
        <f>VLOOKUP(F1356,'Customer Info'!A1348:I1847,2,0)</f>
        <v>#N/A</v>
      </c>
      <c r="H1356" s="6" t="e">
        <f>VLOOKUP(F1356,'Customer Info'!A1348:I1847,3,0)</f>
        <v>#N/A</v>
      </c>
      <c r="I1356" s="6" t="e">
        <f>VLOOKUP(F1356,'Customer Info'!A1348:I1847,5,0)</f>
        <v>#N/A</v>
      </c>
      <c r="J1356" s="2">
        <v>914</v>
      </c>
      <c r="K1356" s="2">
        <v>830</v>
      </c>
      <c r="L1356" s="2">
        <v>7</v>
      </c>
      <c r="M1356" s="7">
        <f t="shared" si="84"/>
        <v>5810</v>
      </c>
      <c r="N1356" s="7">
        <f t="shared" si="85"/>
        <v>6398</v>
      </c>
      <c r="O1356" s="2">
        <v>66</v>
      </c>
      <c r="P1356" s="8">
        <f t="shared" si="86"/>
        <v>6464</v>
      </c>
      <c r="Q1356" s="8">
        <f t="shared" si="87"/>
        <v>6332</v>
      </c>
      <c r="R1356" s="2" t="s">
        <v>50</v>
      </c>
      <c r="S1356" s="9">
        <f>VLOOKUP(P1356,$T$2:U1353,2,1)</f>
        <v>0.05</v>
      </c>
    </row>
    <row r="1357" spans="1:19" x14ac:dyDescent="0.25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e">
        <f>VLOOKUP(F1357,'Customer Info'!A1349:I1848,2,0)</f>
        <v>#N/A</v>
      </c>
      <c r="H1357" s="6" t="e">
        <f>VLOOKUP(F1357,'Customer Info'!A1349:I1848,3,0)</f>
        <v>#N/A</v>
      </c>
      <c r="I1357" s="6" t="e">
        <f>VLOOKUP(F1357,'Customer Info'!A1349:I1848,5,0)</f>
        <v>#N/A</v>
      </c>
      <c r="J1357" s="2">
        <v>171</v>
      </c>
      <c r="K1357" s="2">
        <v>153</v>
      </c>
      <c r="L1357" s="2">
        <v>4</v>
      </c>
      <c r="M1357" s="7">
        <f t="shared" si="84"/>
        <v>612</v>
      </c>
      <c r="N1357" s="7">
        <f t="shared" si="85"/>
        <v>684</v>
      </c>
      <c r="O1357" s="2">
        <v>30</v>
      </c>
      <c r="P1357" s="8">
        <f t="shared" si="86"/>
        <v>714</v>
      </c>
      <c r="Q1357" s="8">
        <f t="shared" si="87"/>
        <v>654</v>
      </c>
      <c r="R1357" s="2" t="s">
        <v>28</v>
      </c>
      <c r="S1357" s="9">
        <f>VLOOKUP(P1357,$T$2:U1354,2,1)</f>
        <v>0.02</v>
      </c>
    </row>
    <row r="1358" spans="1:19" x14ac:dyDescent="0.25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e">
        <f>VLOOKUP(F1358,'Customer Info'!A1350:I1849,2,0)</f>
        <v>#N/A</v>
      </c>
      <c r="H1358" s="6" t="e">
        <f>VLOOKUP(F1358,'Customer Info'!A1350:I1849,3,0)</f>
        <v>#N/A</v>
      </c>
      <c r="I1358" s="6" t="e">
        <f>VLOOKUP(F1358,'Customer Info'!A1350:I1849,5,0)</f>
        <v>#N/A</v>
      </c>
      <c r="J1358" s="2">
        <v>2088</v>
      </c>
      <c r="K1358" s="2">
        <v>1970</v>
      </c>
      <c r="L1358" s="2">
        <v>3</v>
      </c>
      <c r="M1358" s="7">
        <f t="shared" si="84"/>
        <v>5910</v>
      </c>
      <c r="N1358" s="7">
        <f t="shared" si="85"/>
        <v>6264</v>
      </c>
      <c r="O1358" s="2">
        <v>94</v>
      </c>
      <c r="P1358" s="8">
        <f t="shared" si="86"/>
        <v>6358</v>
      </c>
      <c r="Q1358" s="8">
        <f t="shared" si="87"/>
        <v>6170</v>
      </c>
      <c r="R1358" s="2" t="s">
        <v>50</v>
      </c>
      <c r="S1358" s="9">
        <f>VLOOKUP(P1358,$T$2:U1355,2,1)</f>
        <v>0.05</v>
      </c>
    </row>
    <row r="1359" spans="1:19" x14ac:dyDescent="0.25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e">
        <f>VLOOKUP(F1359,'Customer Info'!A1351:I1850,2,0)</f>
        <v>#N/A</v>
      </c>
      <c r="H1359" s="6" t="e">
        <f>VLOOKUP(F1359,'Customer Info'!A1351:I1850,3,0)</f>
        <v>#N/A</v>
      </c>
      <c r="I1359" s="6" t="e">
        <f>VLOOKUP(F1359,'Customer Info'!A1351:I1850,5,0)</f>
        <v>#N/A</v>
      </c>
      <c r="J1359" s="2">
        <v>69</v>
      </c>
      <c r="K1359" s="2">
        <v>64</v>
      </c>
      <c r="L1359" s="2">
        <v>2</v>
      </c>
      <c r="M1359" s="7">
        <f t="shared" si="84"/>
        <v>128</v>
      </c>
      <c r="N1359" s="7">
        <f t="shared" si="85"/>
        <v>138</v>
      </c>
      <c r="O1359" s="2">
        <v>10</v>
      </c>
      <c r="P1359" s="8">
        <f t="shared" si="86"/>
        <v>148</v>
      </c>
      <c r="Q1359" s="8">
        <f t="shared" si="87"/>
        <v>128</v>
      </c>
      <c r="R1359" s="2" t="s">
        <v>28</v>
      </c>
      <c r="S1359" s="9">
        <f>VLOOKUP(P1359,$T$2:U1356,2,1)</f>
        <v>0.02</v>
      </c>
    </row>
    <row r="1360" spans="1:19" x14ac:dyDescent="0.25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e">
        <f>VLOOKUP(F1360,'Customer Info'!A1352:I1851,2,0)</f>
        <v>#N/A</v>
      </c>
      <c r="H1360" s="6" t="e">
        <f>VLOOKUP(F1360,'Customer Info'!A1352:I1851,3,0)</f>
        <v>#N/A</v>
      </c>
      <c r="I1360" s="6" t="e">
        <f>VLOOKUP(F1360,'Customer Info'!A1352:I1851,5,0)</f>
        <v>#N/A</v>
      </c>
      <c r="J1360" s="2">
        <v>1283</v>
      </c>
      <c r="K1360" s="2">
        <v>1187</v>
      </c>
      <c r="L1360" s="2">
        <v>3</v>
      </c>
      <c r="M1360" s="7">
        <f t="shared" si="84"/>
        <v>3561</v>
      </c>
      <c r="N1360" s="7">
        <f t="shared" si="85"/>
        <v>3849</v>
      </c>
      <c r="O1360" s="2">
        <v>69</v>
      </c>
      <c r="P1360" s="8">
        <f t="shared" si="86"/>
        <v>3918</v>
      </c>
      <c r="Q1360" s="8">
        <f t="shared" si="87"/>
        <v>3780</v>
      </c>
      <c r="R1360" s="2" t="s">
        <v>50</v>
      </c>
      <c r="S1360" s="9">
        <f>VLOOKUP(P1360,$T$2:U1357,2,1)</f>
        <v>0.02</v>
      </c>
    </row>
    <row r="1361" spans="1:19" x14ac:dyDescent="0.25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e">
        <f>VLOOKUP(F1361,'Customer Info'!A1353:I1852,2,0)</f>
        <v>#N/A</v>
      </c>
      <c r="H1361" s="6" t="e">
        <f>VLOOKUP(F1361,'Customer Info'!A1353:I1852,3,0)</f>
        <v>#N/A</v>
      </c>
      <c r="I1361" s="6" t="e">
        <f>VLOOKUP(F1361,'Customer Info'!A1353:I1852,5,0)</f>
        <v>#N/A</v>
      </c>
      <c r="J1361" s="2">
        <v>62</v>
      </c>
      <c r="K1361" s="2">
        <v>58</v>
      </c>
      <c r="L1361" s="2">
        <v>11</v>
      </c>
      <c r="M1361" s="7">
        <f t="shared" si="84"/>
        <v>638</v>
      </c>
      <c r="N1361" s="7">
        <f t="shared" si="85"/>
        <v>682</v>
      </c>
      <c r="O1361" s="2">
        <v>10</v>
      </c>
      <c r="P1361" s="8">
        <f t="shared" si="86"/>
        <v>692</v>
      </c>
      <c r="Q1361" s="8">
        <f t="shared" si="87"/>
        <v>672</v>
      </c>
      <c r="R1361" s="2" t="s">
        <v>50</v>
      </c>
      <c r="S1361" s="9">
        <f>VLOOKUP(P1361,$T$2:U1358,2,1)</f>
        <v>0.02</v>
      </c>
    </row>
    <row r="1362" spans="1:19" x14ac:dyDescent="0.25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e">
        <f>VLOOKUP(F1362,'Customer Info'!A1354:I1853,2,0)</f>
        <v>#N/A</v>
      </c>
      <c r="H1362" s="6" t="e">
        <f>VLOOKUP(F1362,'Customer Info'!A1354:I1853,3,0)</f>
        <v>#N/A</v>
      </c>
      <c r="I1362" s="6" t="e">
        <f>VLOOKUP(F1362,'Customer Info'!A1354:I1853,5,0)</f>
        <v>#N/A</v>
      </c>
      <c r="J1362" s="2">
        <v>2155</v>
      </c>
      <c r="K1362" s="2">
        <v>2014</v>
      </c>
      <c r="L1362" s="2">
        <v>5</v>
      </c>
      <c r="M1362" s="7">
        <f t="shared" si="84"/>
        <v>10070</v>
      </c>
      <c r="N1362" s="7">
        <f t="shared" si="85"/>
        <v>10775</v>
      </c>
      <c r="O1362" s="2">
        <v>56</v>
      </c>
      <c r="P1362" s="8">
        <f t="shared" si="86"/>
        <v>10831</v>
      </c>
      <c r="Q1362" s="8">
        <f t="shared" si="87"/>
        <v>10719</v>
      </c>
      <c r="R1362" s="2" t="s">
        <v>28</v>
      </c>
      <c r="S1362" s="9">
        <f>VLOOKUP(P1362,$T$2:U1359,2,1)</f>
        <v>0.05</v>
      </c>
    </row>
    <row r="1363" spans="1:19" x14ac:dyDescent="0.25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e">
        <f>VLOOKUP(F1363,'Customer Info'!A1355:I1854,2,0)</f>
        <v>#N/A</v>
      </c>
      <c r="H1363" s="6" t="e">
        <f>VLOOKUP(F1363,'Customer Info'!A1355:I1854,3,0)</f>
        <v>#N/A</v>
      </c>
      <c r="I1363" s="6" t="e">
        <f>VLOOKUP(F1363,'Customer Info'!A1355:I1854,5,0)</f>
        <v>#N/A</v>
      </c>
      <c r="J1363" s="2">
        <v>1556</v>
      </c>
      <c r="K1363" s="2">
        <v>1414</v>
      </c>
      <c r="L1363" s="2">
        <v>2</v>
      </c>
      <c r="M1363" s="7">
        <f t="shared" si="84"/>
        <v>2828</v>
      </c>
      <c r="N1363" s="7">
        <f t="shared" si="85"/>
        <v>3112</v>
      </c>
      <c r="O1363" s="2">
        <v>93</v>
      </c>
      <c r="P1363" s="8">
        <f t="shared" si="86"/>
        <v>3205</v>
      </c>
      <c r="Q1363" s="8">
        <f t="shared" si="87"/>
        <v>3019</v>
      </c>
      <c r="R1363" s="2" t="s">
        <v>28</v>
      </c>
      <c r="S1363" s="9">
        <f>VLOOKUP(P1363,$T$2:U1360,2,1)</f>
        <v>0.02</v>
      </c>
    </row>
    <row r="1364" spans="1:19" x14ac:dyDescent="0.25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e">
        <f>VLOOKUP(F1364,'Customer Info'!A1356:I1855,2,0)</f>
        <v>#N/A</v>
      </c>
      <c r="H1364" s="6" t="e">
        <f>VLOOKUP(F1364,'Customer Info'!A1356:I1855,3,0)</f>
        <v>#N/A</v>
      </c>
      <c r="I1364" s="6" t="e">
        <f>VLOOKUP(F1364,'Customer Info'!A1356:I1855,5,0)</f>
        <v>#N/A</v>
      </c>
      <c r="J1364" s="2">
        <v>1453</v>
      </c>
      <c r="K1364" s="2">
        <v>1411</v>
      </c>
      <c r="L1364" s="2">
        <v>2</v>
      </c>
      <c r="M1364" s="7">
        <f t="shared" si="84"/>
        <v>2822</v>
      </c>
      <c r="N1364" s="7">
        <f t="shared" si="85"/>
        <v>2906</v>
      </c>
      <c r="O1364" s="2">
        <v>32</v>
      </c>
      <c r="P1364" s="8">
        <f t="shared" si="86"/>
        <v>2938</v>
      </c>
      <c r="Q1364" s="8">
        <f t="shared" si="87"/>
        <v>2874</v>
      </c>
      <c r="R1364" s="2" t="s">
        <v>28</v>
      </c>
      <c r="S1364" s="9">
        <f>VLOOKUP(P1364,$T$2:U1361,2,1)</f>
        <v>0.02</v>
      </c>
    </row>
    <row r="1365" spans="1:19" x14ac:dyDescent="0.25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e">
        <f>VLOOKUP(F1365,'Customer Info'!A1357:I1856,2,0)</f>
        <v>#N/A</v>
      </c>
      <c r="H1365" s="6" t="e">
        <f>VLOOKUP(F1365,'Customer Info'!A1357:I1856,3,0)</f>
        <v>#N/A</v>
      </c>
      <c r="I1365" s="6" t="e">
        <f>VLOOKUP(F1365,'Customer Info'!A1357:I1856,5,0)</f>
        <v>#N/A</v>
      </c>
      <c r="J1365" s="2">
        <v>144</v>
      </c>
      <c r="K1365" s="2">
        <v>132</v>
      </c>
      <c r="L1365" s="2">
        <v>6</v>
      </c>
      <c r="M1365" s="7">
        <f t="shared" si="84"/>
        <v>792</v>
      </c>
      <c r="N1365" s="7">
        <f t="shared" si="85"/>
        <v>864</v>
      </c>
      <c r="O1365" s="2">
        <v>30</v>
      </c>
      <c r="P1365" s="8">
        <f t="shared" si="86"/>
        <v>894</v>
      </c>
      <c r="Q1365" s="8">
        <f t="shared" si="87"/>
        <v>834</v>
      </c>
      <c r="R1365" s="2" t="s">
        <v>50</v>
      </c>
      <c r="S1365" s="9">
        <f>VLOOKUP(P1365,$T$2:U1362,2,1)</f>
        <v>0.02</v>
      </c>
    </row>
    <row r="1366" spans="1:19" x14ac:dyDescent="0.25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e">
        <f>VLOOKUP(F1366,'Customer Info'!A1358:I1857,2,0)</f>
        <v>#N/A</v>
      </c>
      <c r="H1366" s="6" t="e">
        <f>VLOOKUP(F1366,'Customer Info'!A1358:I1857,3,0)</f>
        <v>#N/A</v>
      </c>
      <c r="I1366" s="6" t="e">
        <f>VLOOKUP(F1366,'Customer Info'!A1358:I1857,5,0)</f>
        <v>#N/A</v>
      </c>
      <c r="J1366" s="2">
        <v>143</v>
      </c>
      <c r="K1366" s="2">
        <v>137</v>
      </c>
      <c r="L1366" s="2">
        <v>4</v>
      </c>
      <c r="M1366" s="7">
        <f t="shared" si="84"/>
        <v>548</v>
      </c>
      <c r="N1366" s="7">
        <f t="shared" si="85"/>
        <v>572</v>
      </c>
      <c r="O1366" s="2">
        <v>30</v>
      </c>
      <c r="P1366" s="8">
        <f t="shared" si="86"/>
        <v>602</v>
      </c>
      <c r="Q1366" s="8">
        <f t="shared" si="87"/>
        <v>542</v>
      </c>
      <c r="R1366" s="2" t="s">
        <v>26</v>
      </c>
      <c r="S1366" s="9">
        <f>VLOOKUP(P1366,$T$2:U1363,2,1)</f>
        <v>0.02</v>
      </c>
    </row>
    <row r="1367" spans="1:19" x14ac:dyDescent="0.25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e">
        <f>VLOOKUP(F1367,'Customer Info'!A1359:I1858,2,0)</f>
        <v>#N/A</v>
      </c>
      <c r="H1367" s="6" t="e">
        <f>VLOOKUP(F1367,'Customer Info'!A1359:I1858,3,0)</f>
        <v>#N/A</v>
      </c>
      <c r="I1367" s="6" t="e">
        <f>VLOOKUP(F1367,'Customer Info'!A1359:I1858,5,0)</f>
        <v>#N/A</v>
      </c>
      <c r="J1367" s="2">
        <v>8665</v>
      </c>
      <c r="K1367" s="2">
        <v>7723</v>
      </c>
      <c r="L1367" s="2">
        <v>12</v>
      </c>
      <c r="M1367" s="7">
        <f t="shared" si="84"/>
        <v>92676</v>
      </c>
      <c r="N1367" s="7">
        <f t="shared" si="85"/>
        <v>103980</v>
      </c>
      <c r="O1367" s="2">
        <v>49</v>
      </c>
      <c r="P1367" s="8">
        <f t="shared" si="86"/>
        <v>104029</v>
      </c>
      <c r="Q1367" s="8">
        <f t="shared" si="87"/>
        <v>103931</v>
      </c>
      <c r="R1367" s="2" t="s">
        <v>28</v>
      </c>
      <c r="S1367" s="9">
        <f>VLOOKUP(P1367,$T$2:U1364,2,1)</f>
        <v>0.12</v>
      </c>
    </row>
    <row r="1368" spans="1:19" x14ac:dyDescent="0.25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e">
        <f>VLOOKUP(F1368,'Customer Info'!A1360:I1859,2,0)</f>
        <v>#N/A</v>
      </c>
      <c r="H1368" s="6" t="e">
        <f>VLOOKUP(F1368,'Customer Info'!A1360:I1859,3,0)</f>
        <v>#N/A</v>
      </c>
      <c r="I1368" s="6" t="e">
        <f>VLOOKUP(F1368,'Customer Info'!A1360:I1859,5,0)</f>
        <v>#N/A</v>
      </c>
      <c r="J1368" s="2">
        <v>1306</v>
      </c>
      <c r="K1368" s="2">
        <v>1197</v>
      </c>
      <c r="L1368" s="2">
        <v>8</v>
      </c>
      <c r="M1368" s="7">
        <f t="shared" si="84"/>
        <v>9576</v>
      </c>
      <c r="N1368" s="7">
        <f t="shared" si="85"/>
        <v>10448</v>
      </c>
      <c r="O1368" s="2">
        <v>35</v>
      </c>
      <c r="P1368" s="8">
        <f t="shared" si="86"/>
        <v>10483</v>
      </c>
      <c r="Q1368" s="8">
        <f t="shared" si="87"/>
        <v>10413</v>
      </c>
      <c r="R1368" s="2" t="s">
        <v>28</v>
      </c>
      <c r="S1368" s="9">
        <f>VLOOKUP(P1368,$T$2:U1365,2,1)</f>
        <v>0.05</v>
      </c>
    </row>
    <row r="1369" spans="1:19" x14ac:dyDescent="0.25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e">
        <f>VLOOKUP(F1369,'Customer Info'!A1361:I1860,2,0)</f>
        <v>#N/A</v>
      </c>
      <c r="H1369" s="6" t="e">
        <f>VLOOKUP(F1369,'Customer Info'!A1361:I1860,3,0)</f>
        <v>#N/A</v>
      </c>
      <c r="I1369" s="6" t="e">
        <f>VLOOKUP(F1369,'Customer Info'!A1361:I1860,5,0)</f>
        <v>#N/A</v>
      </c>
      <c r="J1369" s="2">
        <v>811</v>
      </c>
      <c r="K1369" s="2">
        <v>780</v>
      </c>
      <c r="L1369" s="2">
        <v>1</v>
      </c>
      <c r="M1369" s="7">
        <f t="shared" si="84"/>
        <v>780</v>
      </c>
      <c r="N1369" s="7">
        <f t="shared" si="85"/>
        <v>811</v>
      </c>
      <c r="O1369" s="2">
        <v>63</v>
      </c>
      <c r="P1369" s="8">
        <f t="shared" si="86"/>
        <v>874</v>
      </c>
      <c r="Q1369" s="8">
        <f t="shared" si="87"/>
        <v>748</v>
      </c>
      <c r="R1369" s="2" t="s">
        <v>50</v>
      </c>
      <c r="S1369" s="9">
        <f>VLOOKUP(P1369,$T$2:U1366,2,1)</f>
        <v>0.02</v>
      </c>
    </row>
    <row r="1370" spans="1:19" x14ac:dyDescent="0.25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e">
        <f>VLOOKUP(F1370,'Customer Info'!A1362:I1861,2,0)</f>
        <v>#N/A</v>
      </c>
      <c r="H1370" s="6" t="e">
        <f>VLOOKUP(F1370,'Customer Info'!A1362:I1861,3,0)</f>
        <v>#N/A</v>
      </c>
      <c r="I1370" s="6" t="e">
        <f>VLOOKUP(F1370,'Customer Info'!A1362:I1861,5,0)</f>
        <v>#N/A</v>
      </c>
      <c r="J1370" s="2">
        <v>288</v>
      </c>
      <c r="K1370" s="2">
        <v>264</v>
      </c>
      <c r="L1370" s="2">
        <v>3</v>
      </c>
      <c r="M1370" s="7">
        <f t="shared" si="84"/>
        <v>792</v>
      </c>
      <c r="N1370" s="7">
        <f t="shared" si="85"/>
        <v>864</v>
      </c>
      <c r="O1370" s="2">
        <v>61</v>
      </c>
      <c r="P1370" s="8">
        <f t="shared" si="86"/>
        <v>925</v>
      </c>
      <c r="Q1370" s="8">
        <f t="shared" si="87"/>
        <v>803</v>
      </c>
      <c r="R1370" s="2" t="s">
        <v>28</v>
      </c>
      <c r="S1370" s="9">
        <f>VLOOKUP(P1370,$T$2:U1367,2,1)</f>
        <v>0.02</v>
      </c>
    </row>
    <row r="1371" spans="1:19" x14ac:dyDescent="0.25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e">
        <f>VLOOKUP(F1371,'Customer Info'!A1363:I1862,2,0)</f>
        <v>#N/A</v>
      </c>
      <c r="H1371" s="6" t="e">
        <f>VLOOKUP(F1371,'Customer Info'!A1363:I1862,3,0)</f>
        <v>#N/A</v>
      </c>
      <c r="I1371" s="6" t="e">
        <f>VLOOKUP(F1371,'Customer Info'!A1363:I1862,5,0)</f>
        <v>#N/A</v>
      </c>
      <c r="J1371" s="2">
        <v>149</v>
      </c>
      <c r="K1371" s="2">
        <v>131</v>
      </c>
      <c r="L1371" s="2">
        <v>4</v>
      </c>
      <c r="M1371" s="7">
        <f t="shared" si="84"/>
        <v>524</v>
      </c>
      <c r="N1371" s="7">
        <f t="shared" si="85"/>
        <v>596</v>
      </c>
      <c r="O1371" s="2">
        <v>30</v>
      </c>
      <c r="P1371" s="8">
        <f t="shared" si="86"/>
        <v>626</v>
      </c>
      <c r="Q1371" s="8">
        <f t="shared" si="87"/>
        <v>566</v>
      </c>
      <c r="R1371" s="2" t="s">
        <v>28</v>
      </c>
      <c r="S1371" s="9">
        <f>VLOOKUP(P1371,$T$2:U1368,2,1)</f>
        <v>0.02</v>
      </c>
    </row>
    <row r="1372" spans="1:19" x14ac:dyDescent="0.25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e">
        <f>VLOOKUP(F1372,'Customer Info'!A1364:I1863,2,0)</f>
        <v>#N/A</v>
      </c>
      <c r="H1372" s="6" t="e">
        <f>VLOOKUP(F1372,'Customer Info'!A1364:I1863,3,0)</f>
        <v>#N/A</v>
      </c>
      <c r="I1372" s="6" t="e">
        <f>VLOOKUP(F1372,'Customer Info'!A1364:I1863,5,0)</f>
        <v>#N/A</v>
      </c>
      <c r="J1372" s="2">
        <v>1518</v>
      </c>
      <c r="K1372" s="2">
        <v>1392</v>
      </c>
      <c r="L1372" s="2">
        <v>7</v>
      </c>
      <c r="M1372" s="7">
        <f t="shared" si="84"/>
        <v>9744</v>
      </c>
      <c r="N1372" s="7">
        <f t="shared" si="85"/>
        <v>10626</v>
      </c>
      <c r="O1372" s="2">
        <v>70</v>
      </c>
      <c r="P1372" s="8">
        <f t="shared" si="86"/>
        <v>10696</v>
      </c>
      <c r="Q1372" s="8">
        <f t="shared" si="87"/>
        <v>10556</v>
      </c>
      <c r="R1372" s="2" t="s">
        <v>28</v>
      </c>
      <c r="S1372" s="9">
        <f>VLOOKUP(P1372,$T$2:U1369,2,1)</f>
        <v>0.05</v>
      </c>
    </row>
    <row r="1373" spans="1:19" x14ac:dyDescent="0.25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e">
        <f>VLOOKUP(F1373,'Customer Info'!A1365:I1864,2,0)</f>
        <v>#N/A</v>
      </c>
      <c r="H1373" s="6" t="e">
        <f>VLOOKUP(F1373,'Customer Info'!A1365:I1864,3,0)</f>
        <v>#N/A</v>
      </c>
      <c r="I1373" s="6" t="e">
        <f>VLOOKUP(F1373,'Customer Info'!A1365:I1864,5,0)</f>
        <v>#N/A</v>
      </c>
      <c r="J1373" s="2">
        <v>96</v>
      </c>
      <c r="K1373" s="2">
        <v>87</v>
      </c>
      <c r="L1373" s="2">
        <v>6</v>
      </c>
      <c r="M1373" s="7">
        <f t="shared" si="84"/>
        <v>522</v>
      </c>
      <c r="N1373" s="7">
        <f t="shared" si="85"/>
        <v>576</v>
      </c>
      <c r="O1373" s="2">
        <v>10</v>
      </c>
      <c r="P1373" s="8">
        <f t="shared" si="86"/>
        <v>586</v>
      </c>
      <c r="Q1373" s="8">
        <f t="shared" si="87"/>
        <v>566</v>
      </c>
      <c r="R1373" s="2" t="s">
        <v>50</v>
      </c>
      <c r="S1373" s="9">
        <f>VLOOKUP(P1373,$T$2:U1370,2,1)</f>
        <v>0.02</v>
      </c>
    </row>
    <row r="1374" spans="1:19" x14ac:dyDescent="0.25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e">
        <f>VLOOKUP(F1374,'Customer Info'!A1366:I1865,2,0)</f>
        <v>#N/A</v>
      </c>
      <c r="H1374" s="6" t="e">
        <f>VLOOKUP(F1374,'Customer Info'!A1366:I1865,3,0)</f>
        <v>#N/A</v>
      </c>
      <c r="I1374" s="6" t="e">
        <f>VLOOKUP(F1374,'Customer Info'!A1366:I1865,5,0)</f>
        <v>#N/A</v>
      </c>
      <c r="J1374" s="2">
        <v>2453</v>
      </c>
      <c r="K1374" s="2">
        <v>2336</v>
      </c>
      <c r="L1374" s="2">
        <v>4</v>
      </c>
      <c r="M1374" s="7">
        <f t="shared" si="84"/>
        <v>9344</v>
      </c>
      <c r="N1374" s="7">
        <f t="shared" si="85"/>
        <v>9812</v>
      </c>
      <c r="O1374" s="2">
        <v>55</v>
      </c>
      <c r="P1374" s="8">
        <f t="shared" si="86"/>
        <v>9867</v>
      </c>
      <c r="Q1374" s="8">
        <f t="shared" si="87"/>
        <v>9757</v>
      </c>
      <c r="R1374" s="2" t="s">
        <v>28</v>
      </c>
      <c r="S1374" s="9">
        <f>VLOOKUP(P1374,$T$2:U1371,2,1)</f>
        <v>0.05</v>
      </c>
    </row>
    <row r="1375" spans="1:19" x14ac:dyDescent="0.25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e">
        <f>VLOOKUP(F1375,'Customer Info'!A1367:I1866,2,0)</f>
        <v>#N/A</v>
      </c>
      <c r="H1375" s="6" t="e">
        <f>VLOOKUP(F1375,'Customer Info'!A1367:I1866,3,0)</f>
        <v>#N/A</v>
      </c>
      <c r="I1375" s="6" t="e">
        <f>VLOOKUP(F1375,'Customer Info'!A1367:I1866,5,0)</f>
        <v>#N/A</v>
      </c>
      <c r="J1375" s="2">
        <v>6635</v>
      </c>
      <c r="K1375" s="2">
        <v>6321</v>
      </c>
      <c r="L1375" s="2">
        <v>2</v>
      </c>
      <c r="M1375" s="7">
        <f t="shared" si="84"/>
        <v>12642</v>
      </c>
      <c r="N1375" s="7">
        <f t="shared" si="85"/>
        <v>13270</v>
      </c>
      <c r="O1375" s="2">
        <v>60</v>
      </c>
      <c r="P1375" s="8">
        <f t="shared" si="86"/>
        <v>13330</v>
      </c>
      <c r="Q1375" s="8">
        <f t="shared" si="87"/>
        <v>13210</v>
      </c>
      <c r="R1375" s="2" t="s">
        <v>28</v>
      </c>
      <c r="S1375" s="9">
        <f>VLOOKUP(P1375,$T$2:U1372,2,1)</f>
        <v>0.05</v>
      </c>
    </row>
    <row r="1376" spans="1:19" x14ac:dyDescent="0.25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e">
        <f>VLOOKUP(F1376,'Customer Info'!A1368:I1867,2,0)</f>
        <v>#N/A</v>
      </c>
      <c r="H1376" s="6" t="e">
        <f>VLOOKUP(F1376,'Customer Info'!A1368:I1867,3,0)</f>
        <v>#N/A</v>
      </c>
      <c r="I1376" s="6" t="e">
        <f>VLOOKUP(F1376,'Customer Info'!A1368:I1867,5,0)</f>
        <v>#N/A</v>
      </c>
      <c r="J1376" s="2">
        <v>1809</v>
      </c>
      <c r="K1376" s="2">
        <v>1691</v>
      </c>
      <c r="L1376" s="2">
        <v>9</v>
      </c>
      <c r="M1376" s="7">
        <f t="shared" si="84"/>
        <v>15219</v>
      </c>
      <c r="N1376" s="7">
        <f t="shared" si="85"/>
        <v>16281</v>
      </c>
      <c r="O1376" s="2">
        <v>60</v>
      </c>
      <c r="P1376" s="8">
        <f t="shared" si="86"/>
        <v>16341</v>
      </c>
      <c r="Q1376" s="8">
        <f t="shared" si="87"/>
        <v>16221</v>
      </c>
      <c r="R1376" s="2" t="s">
        <v>28</v>
      </c>
      <c r="S1376" s="9">
        <f>VLOOKUP(P1376,$T$2:U1373,2,1)</f>
        <v>0.05</v>
      </c>
    </row>
    <row r="1377" spans="1:19" x14ac:dyDescent="0.25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e">
        <f>VLOOKUP(F1377,'Customer Info'!A1369:I1868,2,0)</f>
        <v>#N/A</v>
      </c>
      <c r="H1377" s="6" t="e">
        <f>VLOOKUP(F1377,'Customer Info'!A1369:I1868,3,0)</f>
        <v>#N/A</v>
      </c>
      <c r="I1377" s="6" t="e">
        <f>VLOOKUP(F1377,'Customer Info'!A1369:I1868,5,0)</f>
        <v>#N/A</v>
      </c>
      <c r="J1377" s="2">
        <v>505</v>
      </c>
      <c r="K1377" s="2">
        <v>463</v>
      </c>
      <c r="L1377" s="2">
        <v>2</v>
      </c>
      <c r="M1377" s="7">
        <f t="shared" si="84"/>
        <v>926</v>
      </c>
      <c r="N1377" s="7">
        <f t="shared" si="85"/>
        <v>1010</v>
      </c>
      <c r="O1377" s="2">
        <v>61</v>
      </c>
      <c r="P1377" s="8">
        <f t="shared" si="86"/>
        <v>1071</v>
      </c>
      <c r="Q1377" s="8">
        <f t="shared" si="87"/>
        <v>949</v>
      </c>
      <c r="R1377" s="2" t="s">
        <v>50</v>
      </c>
      <c r="S1377" s="9">
        <f>VLOOKUP(P1377,$T$2:U1374,2,1)</f>
        <v>0.02</v>
      </c>
    </row>
    <row r="1378" spans="1:19" x14ac:dyDescent="0.25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e">
        <f>VLOOKUP(F1378,'Customer Info'!A1370:I1869,2,0)</f>
        <v>#N/A</v>
      </c>
      <c r="H1378" s="6" t="e">
        <f>VLOOKUP(F1378,'Customer Info'!A1370:I1869,3,0)</f>
        <v>#N/A</v>
      </c>
      <c r="I1378" s="6" t="e">
        <f>VLOOKUP(F1378,'Customer Info'!A1370:I1869,5,0)</f>
        <v>#N/A</v>
      </c>
      <c r="J1378" s="2">
        <v>829</v>
      </c>
      <c r="K1378" s="2">
        <v>761</v>
      </c>
      <c r="L1378" s="2">
        <v>2</v>
      </c>
      <c r="M1378" s="7">
        <f t="shared" si="84"/>
        <v>1522</v>
      </c>
      <c r="N1378" s="7">
        <f t="shared" si="85"/>
        <v>1658</v>
      </c>
      <c r="O1378" s="2">
        <v>81</v>
      </c>
      <c r="P1378" s="8">
        <f t="shared" si="86"/>
        <v>1739</v>
      </c>
      <c r="Q1378" s="8">
        <f t="shared" si="87"/>
        <v>1577</v>
      </c>
      <c r="R1378" s="2" t="s">
        <v>28</v>
      </c>
      <c r="S1378" s="9">
        <f>VLOOKUP(P1378,$T$2:U1375,2,1)</f>
        <v>0.02</v>
      </c>
    </row>
    <row r="1379" spans="1:19" x14ac:dyDescent="0.25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e">
        <f>VLOOKUP(F1379,'Customer Info'!A1371:I1870,2,0)</f>
        <v>#N/A</v>
      </c>
      <c r="H1379" s="6" t="e">
        <f>VLOOKUP(F1379,'Customer Info'!A1371:I1870,3,0)</f>
        <v>#N/A</v>
      </c>
      <c r="I1379" s="6" t="e">
        <f>VLOOKUP(F1379,'Customer Info'!A1371:I1870,5,0)</f>
        <v>#N/A</v>
      </c>
      <c r="J1379" s="2">
        <v>7922</v>
      </c>
      <c r="K1379" s="2">
        <v>7328</v>
      </c>
      <c r="L1379" s="2">
        <v>2</v>
      </c>
      <c r="M1379" s="7">
        <f t="shared" si="84"/>
        <v>14656</v>
      </c>
      <c r="N1379" s="7">
        <f t="shared" si="85"/>
        <v>15844</v>
      </c>
      <c r="O1379" s="2">
        <v>91</v>
      </c>
      <c r="P1379" s="8">
        <f t="shared" si="86"/>
        <v>15935</v>
      </c>
      <c r="Q1379" s="8">
        <f t="shared" si="87"/>
        <v>15753</v>
      </c>
      <c r="R1379" s="2" t="s">
        <v>56</v>
      </c>
      <c r="S1379" s="9">
        <f>VLOOKUP(P1379,$T$2:U1376,2,1)</f>
        <v>0.05</v>
      </c>
    </row>
    <row r="1380" spans="1:19" x14ac:dyDescent="0.25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e">
        <f>VLOOKUP(F1380,'Customer Info'!A1372:I1871,2,0)</f>
        <v>#N/A</v>
      </c>
      <c r="H1380" s="6" t="e">
        <f>VLOOKUP(F1380,'Customer Info'!A1372:I1871,3,0)</f>
        <v>#N/A</v>
      </c>
      <c r="I1380" s="6" t="e">
        <f>VLOOKUP(F1380,'Customer Info'!A1372:I1871,5,0)</f>
        <v>#N/A</v>
      </c>
      <c r="J1380" s="2">
        <v>1552</v>
      </c>
      <c r="K1380" s="2">
        <v>1466</v>
      </c>
      <c r="L1380" s="2">
        <v>7</v>
      </c>
      <c r="M1380" s="7">
        <f t="shared" si="84"/>
        <v>10262</v>
      </c>
      <c r="N1380" s="7">
        <f t="shared" si="85"/>
        <v>10864</v>
      </c>
      <c r="O1380" s="2">
        <v>28</v>
      </c>
      <c r="P1380" s="8">
        <f t="shared" si="86"/>
        <v>10892</v>
      </c>
      <c r="Q1380" s="8">
        <f t="shared" si="87"/>
        <v>10836</v>
      </c>
      <c r="R1380" s="2" t="s">
        <v>50</v>
      </c>
      <c r="S1380" s="9">
        <f>VLOOKUP(P1380,$T$2:U1377,2,1)</f>
        <v>0.05</v>
      </c>
    </row>
    <row r="1381" spans="1:19" x14ac:dyDescent="0.25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e">
        <f>VLOOKUP(F1381,'Customer Info'!A1373:I1872,2,0)</f>
        <v>#N/A</v>
      </c>
      <c r="H1381" s="6" t="e">
        <f>VLOOKUP(F1381,'Customer Info'!A1373:I1872,3,0)</f>
        <v>#N/A</v>
      </c>
      <c r="I1381" s="6" t="e">
        <f>VLOOKUP(F1381,'Customer Info'!A1373:I1872,5,0)</f>
        <v>#N/A</v>
      </c>
      <c r="J1381" s="2">
        <v>177</v>
      </c>
      <c r="K1381" s="2">
        <v>169</v>
      </c>
      <c r="L1381" s="2">
        <v>2</v>
      </c>
      <c r="M1381" s="7">
        <f t="shared" si="84"/>
        <v>338</v>
      </c>
      <c r="N1381" s="7">
        <f t="shared" si="85"/>
        <v>354</v>
      </c>
      <c r="O1381" s="2">
        <v>30</v>
      </c>
      <c r="P1381" s="8">
        <f t="shared" si="86"/>
        <v>384</v>
      </c>
      <c r="Q1381" s="8">
        <f t="shared" si="87"/>
        <v>324</v>
      </c>
      <c r="R1381" s="2" t="s">
        <v>28</v>
      </c>
      <c r="S1381" s="9">
        <f>VLOOKUP(P1381,$T$2:U1378,2,1)</f>
        <v>0.02</v>
      </c>
    </row>
    <row r="1382" spans="1:19" x14ac:dyDescent="0.25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e">
        <f>VLOOKUP(F1382,'Customer Info'!A1374:I1873,2,0)</f>
        <v>#N/A</v>
      </c>
      <c r="H1382" s="6" t="e">
        <f>VLOOKUP(F1382,'Customer Info'!A1374:I1873,3,0)</f>
        <v>#N/A</v>
      </c>
      <c r="I1382" s="6" t="e">
        <f>VLOOKUP(F1382,'Customer Info'!A1374:I1873,5,0)</f>
        <v>#N/A</v>
      </c>
      <c r="J1382" s="2">
        <v>1283</v>
      </c>
      <c r="K1382" s="2">
        <v>1187</v>
      </c>
      <c r="L1382" s="2">
        <v>4</v>
      </c>
      <c r="M1382" s="7">
        <f t="shared" si="84"/>
        <v>4748</v>
      </c>
      <c r="N1382" s="7">
        <f t="shared" si="85"/>
        <v>5132</v>
      </c>
      <c r="O1382" s="2">
        <v>28</v>
      </c>
      <c r="P1382" s="8">
        <f t="shared" si="86"/>
        <v>5160</v>
      </c>
      <c r="Q1382" s="8">
        <f t="shared" si="87"/>
        <v>5104</v>
      </c>
      <c r="R1382" s="2" t="s">
        <v>50</v>
      </c>
      <c r="S1382" s="9">
        <f>VLOOKUP(P1382,$T$2:U1379,2,1)</f>
        <v>0.05</v>
      </c>
    </row>
    <row r="1383" spans="1:19" x14ac:dyDescent="0.25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e">
        <f>VLOOKUP(F1383,'Customer Info'!A1375:I1874,2,0)</f>
        <v>#N/A</v>
      </c>
      <c r="H1383" s="6" t="e">
        <f>VLOOKUP(F1383,'Customer Info'!A1375:I1874,3,0)</f>
        <v>#N/A</v>
      </c>
      <c r="I1383" s="6" t="e">
        <f>VLOOKUP(F1383,'Customer Info'!A1375:I1874,5,0)</f>
        <v>#N/A</v>
      </c>
      <c r="J1383" s="2">
        <v>2503</v>
      </c>
      <c r="K1383" s="2">
        <v>2454</v>
      </c>
      <c r="L1383" s="2">
        <v>2</v>
      </c>
      <c r="M1383" s="7">
        <f t="shared" si="84"/>
        <v>4908</v>
      </c>
      <c r="N1383" s="7">
        <f t="shared" si="85"/>
        <v>5006</v>
      </c>
      <c r="O1383" s="2">
        <v>60</v>
      </c>
      <c r="P1383" s="8">
        <f t="shared" si="86"/>
        <v>5066</v>
      </c>
      <c r="Q1383" s="8">
        <f t="shared" si="87"/>
        <v>4946</v>
      </c>
      <c r="R1383" s="2" t="s">
        <v>28</v>
      </c>
      <c r="S1383" s="9">
        <f>VLOOKUP(P1383,$T$2:U1380,2,1)</f>
        <v>0.05</v>
      </c>
    </row>
    <row r="1384" spans="1:19" x14ac:dyDescent="0.25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e">
        <f>VLOOKUP(F1384,'Customer Info'!A1376:I1875,2,0)</f>
        <v>#N/A</v>
      </c>
      <c r="H1384" s="6" t="e">
        <f>VLOOKUP(F1384,'Customer Info'!A1376:I1875,3,0)</f>
        <v>#N/A</v>
      </c>
      <c r="I1384" s="6" t="e">
        <f>VLOOKUP(F1384,'Customer Info'!A1376:I1875,5,0)</f>
        <v>#N/A</v>
      </c>
      <c r="J1384" s="2">
        <v>2365</v>
      </c>
      <c r="K1384" s="2">
        <v>2232</v>
      </c>
      <c r="L1384" s="2">
        <v>1</v>
      </c>
      <c r="M1384" s="7">
        <f t="shared" si="84"/>
        <v>2232</v>
      </c>
      <c r="N1384" s="7">
        <f t="shared" si="85"/>
        <v>2365</v>
      </c>
      <c r="O1384" s="2">
        <v>85</v>
      </c>
      <c r="P1384" s="8">
        <f t="shared" si="86"/>
        <v>2450</v>
      </c>
      <c r="Q1384" s="8">
        <f t="shared" si="87"/>
        <v>2280</v>
      </c>
      <c r="R1384" s="2" t="s">
        <v>28</v>
      </c>
      <c r="S1384" s="9">
        <f>VLOOKUP(P1384,$T$2:U1381,2,1)</f>
        <v>0.02</v>
      </c>
    </row>
    <row r="1385" spans="1:19" x14ac:dyDescent="0.25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e">
        <f>VLOOKUP(F1385,'Customer Info'!A1377:I1876,2,0)</f>
        <v>#N/A</v>
      </c>
      <c r="H1385" s="6" t="e">
        <f>VLOOKUP(F1385,'Customer Info'!A1377:I1876,3,0)</f>
        <v>#N/A</v>
      </c>
      <c r="I1385" s="6" t="e">
        <f>VLOOKUP(F1385,'Customer Info'!A1377:I1876,5,0)</f>
        <v>#N/A</v>
      </c>
      <c r="J1385" s="2">
        <v>1654</v>
      </c>
      <c r="K1385" s="2">
        <v>1577</v>
      </c>
      <c r="L1385" s="2">
        <v>1</v>
      </c>
      <c r="M1385" s="7">
        <f t="shared" si="84"/>
        <v>1577</v>
      </c>
      <c r="N1385" s="7">
        <f t="shared" si="85"/>
        <v>1654</v>
      </c>
      <c r="O1385" s="2">
        <v>41</v>
      </c>
      <c r="P1385" s="8">
        <f t="shared" si="86"/>
        <v>1695</v>
      </c>
      <c r="Q1385" s="8">
        <f t="shared" si="87"/>
        <v>1613</v>
      </c>
      <c r="R1385" s="2" t="s">
        <v>28</v>
      </c>
      <c r="S1385" s="9">
        <f>VLOOKUP(P1385,$T$2:U1382,2,1)</f>
        <v>0.02</v>
      </c>
    </row>
    <row r="1386" spans="1:19" x14ac:dyDescent="0.25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e">
        <f>VLOOKUP(F1386,'Customer Info'!A1378:I1877,2,0)</f>
        <v>#N/A</v>
      </c>
      <c r="H1386" s="6" t="e">
        <f>VLOOKUP(F1386,'Customer Info'!A1378:I1877,3,0)</f>
        <v>#N/A</v>
      </c>
      <c r="I1386" s="6" t="e">
        <f>VLOOKUP(F1386,'Customer Info'!A1378:I1877,5,0)</f>
        <v>#N/A</v>
      </c>
      <c r="J1386" s="2">
        <v>2442</v>
      </c>
      <c r="K1386" s="2">
        <v>2304</v>
      </c>
      <c r="L1386" s="2">
        <v>4</v>
      </c>
      <c r="M1386" s="7">
        <f t="shared" si="84"/>
        <v>9216</v>
      </c>
      <c r="N1386" s="7">
        <f t="shared" si="85"/>
        <v>9768</v>
      </c>
      <c r="O1386" s="2">
        <v>95</v>
      </c>
      <c r="P1386" s="8">
        <f t="shared" si="86"/>
        <v>9863</v>
      </c>
      <c r="Q1386" s="8">
        <f t="shared" si="87"/>
        <v>9673</v>
      </c>
      <c r="R1386" s="2" t="s">
        <v>28</v>
      </c>
      <c r="S1386" s="9">
        <f>VLOOKUP(P1386,$T$2:U1383,2,1)</f>
        <v>0.05</v>
      </c>
    </row>
    <row r="1387" spans="1:19" x14ac:dyDescent="0.25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e">
        <f>VLOOKUP(F1387,'Customer Info'!A1379:I1878,2,0)</f>
        <v>#N/A</v>
      </c>
      <c r="H1387" s="6" t="e">
        <f>VLOOKUP(F1387,'Customer Info'!A1379:I1878,3,0)</f>
        <v>#N/A</v>
      </c>
      <c r="I1387" s="6" t="e">
        <f>VLOOKUP(F1387,'Customer Info'!A1379:I1878,5,0)</f>
        <v>#N/A</v>
      </c>
      <c r="J1387" s="2">
        <v>2027</v>
      </c>
      <c r="K1387" s="2">
        <v>1913</v>
      </c>
      <c r="L1387" s="2">
        <v>7</v>
      </c>
      <c r="M1387" s="7">
        <f t="shared" si="84"/>
        <v>13391</v>
      </c>
      <c r="N1387" s="7">
        <f t="shared" si="85"/>
        <v>14189</v>
      </c>
      <c r="O1387" s="2">
        <v>39</v>
      </c>
      <c r="P1387" s="8">
        <f t="shared" si="86"/>
        <v>14228</v>
      </c>
      <c r="Q1387" s="8">
        <f t="shared" si="87"/>
        <v>14150</v>
      </c>
      <c r="R1387" s="2" t="s">
        <v>28</v>
      </c>
      <c r="S1387" s="9">
        <f>VLOOKUP(P1387,$T$2:U1384,2,1)</f>
        <v>0.05</v>
      </c>
    </row>
    <row r="1388" spans="1:19" x14ac:dyDescent="0.25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e">
        <f>VLOOKUP(F1388,'Customer Info'!A1380:I1879,2,0)</f>
        <v>#N/A</v>
      </c>
      <c r="H1388" s="6" t="e">
        <f>VLOOKUP(F1388,'Customer Info'!A1380:I1879,3,0)</f>
        <v>#N/A</v>
      </c>
      <c r="I1388" s="6" t="e">
        <f>VLOOKUP(F1388,'Customer Info'!A1380:I1879,5,0)</f>
        <v>#N/A</v>
      </c>
      <c r="J1388" s="2">
        <v>135</v>
      </c>
      <c r="K1388" s="2">
        <v>129</v>
      </c>
      <c r="L1388" s="2">
        <v>1</v>
      </c>
      <c r="M1388" s="7">
        <f t="shared" si="84"/>
        <v>129</v>
      </c>
      <c r="N1388" s="7">
        <f t="shared" si="85"/>
        <v>135</v>
      </c>
      <c r="O1388" s="2">
        <v>30</v>
      </c>
      <c r="P1388" s="8">
        <f t="shared" si="86"/>
        <v>165</v>
      </c>
      <c r="Q1388" s="8">
        <f t="shared" si="87"/>
        <v>105</v>
      </c>
      <c r="R1388" s="2" t="s">
        <v>26</v>
      </c>
      <c r="S1388" s="9">
        <f>VLOOKUP(P1388,$T$2:U1385,2,1)</f>
        <v>0.02</v>
      </c>
    </row>
    <row r="1389" spans="1:19" x14ac:dyDescent="0.25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e">
        <f>VLOOKUP(F1389,'Customer Info'!A1381:I1880,2,0)</f>
        <v>#N/A</v>
      </c>
      <c r="H1389" s="6" t="e">
        <f>VLOOKUP(F1389,'Customer Info'!A1381:I1880,3,0)</f>
        <v>#N/A</v>
      </c>
      <c r="I1389" s="6" t="e">
        <f>VLOOKUP(F1389,'Customer Info'!A1381:I1880,5,0)</f>
        <v>#N/A</v>
      </c>
      <c r="J1389" s="2">
        <v>729</v>
      </c>
      <c r="K1389" s="2">
        <v>689</v>
      </c>
      <c r="L1389" s="2">
        <v>5</v>
      </c>
      <c r="M1389" s="7">
        <f t="shared" si="84"/>
        <v>3445</v>
      </c>
      <c r="N1389" s="7">
        <f t="shared" si="85"/>
        <v>3645</v>
      </c>
      <c r="O1389" s="2">
        <v>54</v>
      </c>
      <c r="P1389" s="8">
        <f t="shared" si="86"/>
        <v>3699</v>
      </c>
      <c r="Q1389" s="8">
        <f t="shared" si="87"/>
        <v>3591</v>
      </c>
      <c r="R1389" s="2" t="s">
        <v>28</v>
      </c>
      <c r="S1389" s="9">
        <f>VLOOKUP(P1389,$T$2:U1386,2,1)</f>
        <v>0.02</v>
      </c>
    </row>
    <row r="1390" spans="1:19" x14ac:dyDescent="0.25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e">
        <f>VLOOKUP(F1390,'Customer Info'!A1382:I1881,2,0)</f>
        <v>#N/A</v>
      </c>
      <c r="H1390" s="6" t="e">
        <f>VLOOKUP(F1390,'Customer Info'!A1382:I1881,3,0)</f>
        <v>#N/A</v>
      </c>
      <c r="I1390" s="6" t="e">
        <f>VLOOKUP(F1390,'Customer Info'!A1382:I1881,5,0)</f>
        <v>#N/A</v>
      </c>
      <c r="J1390" s="2">
        <v>3091</v>
      </c>
      <c r="K1390" s="2">
        <v>2889</v>
      </c>
      <c r="L1390" s="2">
        <v>1</v>
      </c>
      <c r="M1390" s="7">
        <f t="shared" si="84"/>
        <v>2889</v>
      </c>
      <c r="N1390" s="7">
        <f t="shared" si="85"/>
        <v>3091</v>
      </c>
      <c r="O1390" s="2">
        <v>94</v>
      </c>
      <c r="P1390" s="8">
        <f t="shared" si="86"/>
        <v>3185</v>
      </c>
      <c r="Q1390" s="8">
        <f t="shared" si="87"/>
        <v>2997</v>
      </c>
      <c r="R1390" s="2" t="s">
        <v>28</v>
      </c>
      <c r="S1390" s="9">
        <f>VLOOKUP(P1390,$T$2:U1387,2,1)</f>
        <v>0.02</v>
      </c>
    </row>
    <row r="1391" spans="1:19" x14ac:dyDescent="0.25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e">
        <f>VLOOKUP(F1391,'Customer Info'!A1383:I1882,2,0)</f>
        <v>#N/A</v>
      </c>
      <c r="H1391" s="6" t="e">
        <f>VLOOKUP(F1391,'Customer Info'!A1383:I1882,3,0)</f>
        <v>#N/A</v>
      </c>
      <c r="I1391" s="6" t="e">
        <f>VLOOKUP(F1391,'Customer Info'!A1383:I1882,5,0)</f>
        <v>#N/A</v>
      </c>
      <c r="J1391" s="2">
        <v>405</v>
      </c>
      <c r="K1391" s="2">
        <v>381</v>
      </c>
      <c r="L1391" s="2">
        <v>7</v>
      </c>
      <c r="M1391" s="7">
        <f t="shared" si="84"/>
        <v>2667</v>
      </c>
      <c r="N1391" s="7">
        <f t="shared" si="85"/>
        <v>2835</v>
      </c>
      <c r="O1391" s="2">
        <v>93</v>
      </c>
      <c r="P1391" s="8">
        <f t="shared" si="86"/>
        <v>2928</v>
      </c>
      <c r="Q1391" s="8">
        <f t="shared" si="87"/>
        <v>2742</v>
      </c>
      <c r="R1391" s="2" t="s">
        <v>28</v>
      </c>
      <c r="S1391" s="9">
        <f>VLOOKUP(P1391,$T$2:U1388,2,1)</f>
        <v>0.02</v>
      </c>
    </row>
    <row r="1392" spans="1:19" x14ac:dyDescent="0.25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e">
        <f>VLOOKUP(F1392,'Customer Info'!A1384:I1883,2,0)</f>
        <v>#N/A</v>
      </c>
      <c r="H1392" s="6" t="e">
        <f>VLOOKUP(F1392,'Customer Info'!A1384:I1883,3,0)</f>
        <v>#N/A</v>
      </c>
      <c r="I1392" s="6" t="e">
        <f>VLOOKUP(F1392,'Customer Info'!A1384:I1883,5,0)</f>
        <v>#N/A</v>
      </c>
      <c r="J1392" s="2">
        <v>645</v>
      </c>
      <c r="K1392" s="2">
        <v>565</v>
      </c>
      <c r="L1392" s="2">
        <v>4</v>
      </c>
      <c r="M1392" s="7">
        <f t="shared" si="84"/>
        <v>2260</v>
      </c>
      <c r="N1392" s="7">
        <f t="shared" si="85"/>
        <v>2580</v>
      </c>
      <c r="O1392" s="2">
        <v>36</v>
      </c>
      <c r="P1392" s="8">
        <f t="shared" si="86"/>
        <v>2616</v>
      </c>
      <c r="Q1392" s="8">
        <f t="shared" si="87"/>
        <v>2544</v>
      </c>
      <c r="R1392" s="2" t="s">
        <v>50</v>
      </c>
      <c r="S1392" s="9">
        <f>VLOOKUP(P1392,$T$2:U1389,2,1)</f>
        <v>0.02</v>
      </c>
    </row>
    <row r="1393" spans="1:19" x14ac:dyDescent="0.25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e">
        <f>VLOOKUP(F1393,'Customer Info'!A1385:I1884,2,0)</f>
        <v>#N/A</v>
      </c>
      <c r="H1393" s="6" t="e">
        <f>VLOOKUP(F1393,'Customer Info'!A1385:I1884,3,0)</f>
        <v>#N/A</v>
      </c>
      <c r="I1393" s="6" t="e">
        <f>VLOOKUP(F1393,'Customer Info'!A1385:I1884,5,0)</f>
        <v>#N/A</v>
      </c>
      <c r="J1393" s="2">
        <v>2778</v>
      </c>
      <c r="K1393" s="2">
        <v>2573</v>
      </c>
      <c r="L1393" s="2">
        <v>2</v>
      </c>
      <c r="M1393" s="7">
        <f t="shared" si="84"/>
        <v>5146</v>
      </c>
      <c r="N1393" s="7">
        <f t="shared" si="85"/>
        <v>5556</v>
      </c>
      <c r="O1393" s="2">
        <v>68</v>
      </c>
      <c r="P1393" s="8">
        <f t="shared" si="86"/>
        <v>5624</v>
      </c>
      <c r="Q1393" s="8">
        <f t="shared" si="87"/>
        <v>5488</v>
      </c>
      <c r="R1393" s="2" t="s">
        <v>28</v>
      </c>
      <c r="S1393" s="9">
        <f>VLOOKUP(P1393,$T$2:U1390,2,1)</f>
        <v>0.05</v>
      </c>
    </row>
    <row r="1394" spans="1:19" x14ac:dyDescent="0.25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e">
        <f>VLOOKUP(F1394,'Customer Info'!A1386:I1885,2,0)</f>
        <v>#N/A</v>
      </c>
      <c r="H1394" s="6" t="e">
        <f>VLOOKUP(F1394,'Customer Info'!A1386:I1885,3,0)</f>
        <v>#N/A</v>
      </c>
      <c r="I1394" s="6" t="e">
        <f>VLOOKUP(F1394,'Customer Info'!A1386:I1885,5,0)</f>
        <v>#N/A</v>
      </c>
      <c r="J1394" s="2">
        <v>4487</v>
      </c>
      <c r="K1394" s="2">
        <v>4201</v>
      </c>
      <c r="L1394" s="2">
        <v>3</v>
      </c>
      <c r="M1394" s="7">
        <f t="shared" si="84"/>
        <v>12603</v>
      </c>
      <c r="N1394" s="7">
        <f t="shared" si="85"/>
        <v>13461</v>
      </c>
      <c r="O1394" s="2">
        <v>84</v>
      </c>
      <c r="P1394" s="8">
        <f t="shared" si="86"/>
        <v>13545</v>
      </c>
      <c r="Q1394" s="8">
        <f t="shared" si="87"/>
        <v>13377</v>
      </c>
      <c r="R1394" s="2" t="s">
        <v>50</v>
      </c>
      <c r="S1394" s="9">
        <f>VLOOKUP(P1394,$T$2:U1391,2,1)</f>
        <v>0.05</v>
      </c>
    </row>
    <row r="1395" spans="1:19" x14ac:dyDescent="0.25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e">
        <f>VLOOKUP(F1395,'Customer Info'!A1387:I1886,2,0)</f>
        <v>#N/A</v>
      </c>
      <c r="H1395" s="6" t="e">
        <f>VLOOKUP(F1395,'Customer Info'!A1387:I1886,3,0)</f>
        <v>#N/A</v>
      </c>
      <c r="I1395" s="6" t="e">
        <f>VLOOKUP(F1395,'Customer Info'!A1387:I1886,5,0)</f>
        <v>#N/A</v>
      </c>
      <c r="J1395" s="2">
        <v>1545</v>
      </c>
      <c r="K1395" s="2">
        <v>1486</v>
      </c>
      <c r="L1395" s="2">
        <v>2</v>
      </c>
      <c r="M1395" s="7">
        <f t="shared" si="84"/>
        <v>2972</v>
      </c>
      <c r="N1395" s="7">
        <f t="shared" si="85"/>
        <v>3090</v>
      </c>
      <c r="O1395" s="2">
        <v>76</v>
      </c>
      <c r="P1395" s="8">
        <f t="shared" si="86"/>
        <v>3166</v>
      </c>
      <c r="Q1395" s="8">
        <f t="shared" si="87"/>
        <v>3014</v>
      </c>
      <c r="R1395" s="2" t="s">
        <v>50</v>
      </c>
      <c r="S1395" s="9">
        <f>VLOOKUP(P1395,$T$2:U1392,2,1)</f>
        <v>0.02</v>
      </c>
    </row>
    <row r="1396" spans="1:19" x14ac:dyDescent="0.25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e">
        <f>VLOOKUP(F1396,'Customer Info'!A1388:I1887,2,0)</f>
        <v>#N/A</v>
      </c>
      <c r="H1396" s="6" t="e">
        <f>VLOOKUP(F1396,'Customer Info'!A1388:I1887,3,0)</f>
        <v>#N/A</v>
      </c>
      <c r="I1396" s="6" t="e">
        <f>VLOOKUP(F1396,'Customer Info'!A1388:I1887,5,0)</f>
        <v>#N/A</v>
      </c>
      <c r="J1396" s="2">
        <v>288</v>
      </c>
      <c r="K1396" s="2">
        <v>264</v>
      </c>
      <c r="L1396" s="2">
        <v>5</v>
      </c>
      <c r="M1396" s="7">
        <f t="shared" si="84"/>
        <v>1320</v>
      </c>
      <c r="N1396" s="7">
        <f t="shared" si="85"/>
        <v>1440</v>
      </c>
      <c r="O1396" s="2">
        <v>69</v>
      </c>
      <c r="P1396" s="8">
        <f t="shared" si="86"/>
        <v>1509</v>
      </c>
      <c r="Q1396" s="8">
        <f t="shared" si="87"/>
        <v>1371</v>
      </c>
      <c r="R1396" s="2" t="s">
        <v>28</v>
      </c>
      <c r="S1396" s="9">
        <f>VLOOKUP(P1396,$T$2:U1393,2,1)</f>
        <v>0.02</v>
      </c>
    </row>
    <row r="1397" spans="1:19" x14ac:dyDescent="0.25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e">
        <f>VLOOKUP(F1397,'Customer Info'!A1389:I1888,2,0)</f>
        <v>#N/A</v>
      </c>
      <c r="H1397" s="6" t="e">
        <f>VLOOKUP(F1397,'Customer Info'!A1389:I1888,3,0)</f>
        <v>#N/A</v>
      </c>
      <c r="I1397" s="6" t="e">
        <f>VLOOKUP(F1397,'Customer Info'!A1389:I1888,5,0)</f>
        <v>#N/A</v>
      </c>
      <c r="J1397" s="2">
        <v>1906</v>
      </c>
      <c r="K1397" s="2">
        <v>1798</v>
      </c>
      <c r="L1397" s="2">
        <v>4</v>
      </c>
      <c r="M1397" s="7">
        <f t="shared" si="84"/>
        <v>7192</v>
      </c>
      <c r="N1397" s="7">
        <f t="shared" si="85"/>
        <v>7624</v>
      </c>
      <c r="O1397" s="2">
        <v>29</v>
      </c>
      <c r="P1397" s="8">
        <f t="shared" si="86"/>
        <v>7653</v>
      </c>
      <c r="Q1397" s="8">
        <f t="shared" si="87"/>
        <v>7595</v>
      </c>
      <c r="R1397" s="2" t="s">
        <v>28</v>
      </c>
      <c r="S1397" s="9">
        <f>VLOOKUP(P1397,$T$2:U1394,2,1)</f>
        <v>0.05</v>
      </c>
    </row>
    <row r="1398" spans="1:19" x14ac:dyDescent="0.25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e">
        <f>VLOOKUP(F1398,'Customer Info'!A1390:I1889,2,0)</f>
        <v>#N/A</v>
      </c>
      <c r="H1398" s="6" t="e">
        <f>VLOOKUP(F1398,'Customer Info'!A1390:I1889,3,0)</f>
        <v>#N/A</v>
      </c>
      <c r="I1398" s="6" t="e">
        <f>VLOOKUP(F1398,'Customer Info'!A1390:I1889,5,0)</f>
        <v>#N/A</v>
      </c>
      <c r="J1398" s="2">
        <v>4737</v>
      </c>
      <c r="K1398" s="2">
        <v>4473</v>
      </c>
      <c r="L1398" s="2">
        <v>3</v>
      </c>
      <c r="M1398" s="7">
        <f t="shared" si="84"/>
        <v>13419</v>
      </c>
      <c r="N1398" s="7">
        <f t="shared" si="85"/>
        <v>14211</v>
      </c>
      <c r="O1398" s="2">
        <v>95</v>
      </c>
      <c r="P1398" s="8">
        <f t="shared" si="86"/>
        <v>14306</v>
      </c>
      <c r="Q1398" s="8">
        <f t="shared" si="87"/>
        <v>14116</v>
      </c>
      <c r="R1398" s="2" t="s">
        <v>26</v>
      </c>
      <c r="S1398" s="9">
        <f>VLOOKUP(P1398,$T$2:U1395,2,1)</f>
        <v>0.05</v>
      </c>
    </row>
    <row r="1399" spans="1:19" x14ac:dyDescent="0.25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e">
        <f>VLOOKUP(F1399,'Customer Info'!A1391:I1890,2,0)</f>
        <v>#N/A</v>
      </c>
      <c r="H1399" s="6" t="e">
        <f>VLOOKUP(F1399,'Customer Info'!A1391:I1890,3,0)</f>
        <v>#N/A</v>
      </c>
      <c r="I1399" s="6" t="e">
        <f>VLOOKUP(F1399,'Customer Info'!A1391:I1890,5,0)</f>
        <v>#N/A</v>
      </c>
      <c r="J1399" s="2">
        <v>2088</v>
      </c>
      <c r="K1399" s="2">
        <v>1970</v>
      </c>
      <c r="L1399" s="2">
        <v>3</v>
      </c>
      <c r="M1399" s="7">
        <f t="shared" si="84"/>
        <v>5910</v>
      </c>
      <c r="N1399" s="7">
        <f t="shared" si="85"/>
        <v>6264</v>
      </c>
      <c r="O1399" s="2">
        <v>79</v>
      </c>
      <c r="P1399" s="8">
        <f t="shared" si="86"/>
        <v>6343</v>
      </c>
      <c r="Q1399" s="8">
        <f t="shared" si="87"/>
        <v>6185</v>
      </c>
      <c r="R1399" s="2" t="s">
        <v>50</v>
      </c>
      <c r="S1399" s="9">
        <f>VLOOKUP(P1399,$T$2:U1396,2,1)</f>
        <v>0.05</v>
      </c>
    </row>
    <row r="1400" spans="1:19" x14ac:dyDescent="0.25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e">
        <f>VLOOKUP(F1400,'Customer Info'!A1392:I1891,2,0)</f>
        <v>#N/A</v>
      </c>
      <c r="H1400" s="6" t="e">
        <f>VLOOKUP(F1400,'Customer Info'!A1392:I1891,3,0)</f>
        <v>#N/A</v>
      </c>
      <c r="I1400" s="6" t="e">
        <f>VLOOKUP(F1400,'Customer Info'!A1392:I1891,5,0)</f>
        <v>#N/A</v>
      </c>
      <c r="J1400" s="2">
        <v>35350</v>
      </c>
      <c r="K1400" s="2">
        <v>33037</v>
      </c>
      <c r="L1400" s="2">
        <v>1</v>
      </c>
      <c r="M1400" s="7">
        <f t="shared" si="84"/>
        <v>33037</v>
      </c>
      <c r="N1400" s="7">
        <f t="shared" si="85"/>
        <v>35350</v>
      </c>
      <c r="O1400" s="2">
        <v>72</v>
      </c>
      <c r="P1400" s="8">
        <f t="shared" si="86"/>
        <v>35422</v>
      </c>
      <c r="Q1400" s="8">
        <f t="shared" si="87"/>
        <v>35278</v>
      </c>
      <c r="R1400" s="2" t="s">
        <v>26</v>
      </c>
      <c r="S1400" s="9">
        <f>VLOOKUP(P1400,$T$2:U1397,2,1)</f>
        <v>7.0000000000000007E-2</v>
      </c>
    </row>
    <row r="1401" spans="1:19" x14ac:dyDescent="0.25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e">
        <f>VLOOKUP(F1401,'Customer Info'!A1393:I1892,2,0)</f>
        <v>#N/A</v>
      </c>
      <c r="H1401" s="6" t="e">
        <f>VLOOKUP(F1401,'Customer Info'!A1393:I1892,3,0)</f>
        <v>#N/A</v>
      </c>
      <c r="I1401" s="6" t="e">
        <f>VLOOKUP(F1401,'Customer Info'!A1393:I1892,5,0)</f>
        <v>#N/A</v>
      </c>
      <c r="J1401" s="2">
        <v>1574</v>
      </c>
      <c r="K1401" s="2">
        <v>1375</v>
      </c>
      <c r="L1401" s="2">
        <v>7</v>
      </c>
      <c r="M1401" s="7">
        <f t="shared" si="84"/>
        <v>9625</v>
      </c>
      <c r="N1401" s="7">
        <f t="shared" si="85"/>
        <v>11018</v>
      </c>
      <c r="O1401" s="2">
        <v>58</v>
      </c>
      <c r="P1401" s="8">
        <f t="shared" si="86"/>
        <v>11076</v>
      </c>
      <c r="Q1401" s="8">
        <f t="shared" si="87"/>
        <v>10960</v>
      </c>
      <c r="R1401" s="2" t="s">
        <v>28</v>
      </c>
      <c r="S1401" s="9">
        <f>VLOOKUP(P1401,$T$2:U1398,2,1)</f>
        <v>0.05</v>
      </c>
    </row>
    <row r="1402" spans="1:19" x14ac:dyDescent="0.25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e">
        <f>VLOOKUP(F1402,'Customer Info'!A1394:I1893,2,0)</f>
        <v>#N/A</v>
      </c>
      <c r="H1402" s="6" t="e">
        <f>VLOOKUP(F1402,'Customer Info'!A1394:I1893,3,0)</f>
        <v>#N/A</v>
      </c>
      <c r="I1402" s="6" t="e">
        <f>VLOOKUP(F1402,'Customer Info'!A1394:I1893,5,0)</f>
        <v>#N/A</v>
      </c>
      <c r="J1402" s="2">
        <v>1605</v>
      </c>
      <c r="K1402" s="2">
        <v>1487</v>
      </c>
      <c r="L1402" s="2">
        <v>1</v>
      </c>
      <c r="M1402" s="7">
        <f t="shared" si="84"/>
        <v>1487</v>
      </c>
      <c r="N1402" s="7">
        <f t="shared" si="85"/>
        <v>1605</v>
      </c>
      <c r="O1402" s="2">
        <v>74</v>
      </c>
      <c r="P1402" s="8">
        <f t="shared" si="86"/>
        <v>1679</v>
      </c>
      <c r="Q1402" s="8">
        <f t="shared" si="87"/>
        <v>1531</v>
      </c>
      <c r="R1402" s="2" t="s">
        <v>28</v>
      </c>
      <c r="S1402" s="9">
        <f>VLOOKUP(P1402,$T$2:U1399,2,1)</f>
        <v>0.02</v>
      </c>
    </row>
    <row r="1403" spans="1:19" x14ac:dyDescent="0.25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e">
        <f>VLOOKUP(F1403,'Customer Info'!A1395:I1894,2,0)</f>
        <v>#N/A</v>
      </c>
      <c r="H1403" s="6" t="e">
        <f>VLOOKUP(F1403,'Customer Info'!A1395:I1894,3,0)</f>
        <v>#N/A</v>
      </c>
      <c r="I1403" s="6" t="e">
        <f>VLOOKUP(F1403,'Customer Info'!A1395:I1894,5,0)</f>
        <v>#N/A</v>
      </c>
      <c r="J1403" s="2">
        <v>37949</v>
      </c>
      <c r="K1403" s="2">
        <v>34816</v>
      </c>
      <c r="L1403" s="2">
        <v>5</v>
      </c>
      <c r="M1403" s="7">
        <f t="shared" si="84"/>
        <v>174080</v>
      </c>
      <c r="N1403" s="7">
        <f t="shared" si="85"/>
        <v>189745</v>
      </c>
      <c r="O1403" s="2">
        <v>82</v>
      </c>
      <c r="P1403" s="8">
        <f t="shared" si="86"/>
        <v>189827</v>
      </c>
      <c r="Q1403" s="8">
        <f t="shared" si="87"/>
        <v>189663</v>
      </c>
      <c r="R1403" s="2" t="s">
        <v>28</v>
      </c>
      <c r="S1403" s="9">
        <f>VLOOKUP(P1403,$T$2:U1400,2,1)</f>
        <v>0.12</v>
      </c>
    </row>
    <row r="1404" spans="1:19" x14ac:dyDescent="0.25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e">
        <f>VLOOKUP(F1404,'Customer Info'!A1396:I1895,2,0)</f>
        <v>#N/A</v>
      </c>
      <c r="H1404" s="6" t="e">
        <f>VLOOKUP(F1404,'Customer Info'!A1396:I1895,3,0)</f>
        <v>#N/A</v>
      </c>
      <c r="I1404" s="6" t="e">
        <f>VLOOKUP(F1404,'Customer Info'!A1396:I1895,5,0)</f>
        <v>#N/A</v>
      </c>
      <c r="J1404" s="2">
        <v>170</v>
      </c>
      <c r="K1404" s="2">
        <v>160</v>
      </c>
      <c r="L1404" s="2">
        <v>7</v>
      </c>
      <c r="M1404" s="7">
        <f t="shared" si="84"/>
        <v>1120</v>
      </c>
      <c r="N1404" s="7">
        <f t="shared" si="85"/>
        <v>1190</v>
      </c>
      <c r="O1404" s="2">
        <v>30</v>
      </c>
      <c r="P1404" s="8">
        <f t="shared" si="86"/>
        <v>1220</v>
      </c>
      <c r="Q1404" s="8">
        <f t="shared" si="87"/>
        <v>1160</v>
      </c>
      <c r="R1404" s="2" t="s">
        <v>26</v>
      </c>
      <c r="S1404" s="9">
        <f>VLOOKUP(P1404,$T$2:U1401,2,1)</f>
        <v>0.02</v>
      </c>
    </row>
    <row r="1405" spans="1:19" x14ac:dyDescent="0.25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e">
        <f>VLOOKUP(F1405,'Customer Info'!A1397:I1896,2,0)</f>
        <v>#N/A</v>
      </c>
      <c r="H1405" s="6" t="e">
        <f>VLOOKUP(F1405,'Customer Info'!A1397:I1896,3,0)</f>
        <v>#N/A</v>
      </c>
      <c r="I1405" s="6" t="e">
        <f>VLOOKUP(F1405,'Customer Info'!A1397:I1896,5,0)</f>
        <v>#N/A</v>
      </c>
      <c r="J1405" s="2">
        <v>28522</v>
      </c>
      <c r="K1405" s="2">
        <v>26384</v>
      </c>
      <c r="L1405" s="2">
        <v>1</v>
      </c>
      <c r="M1405" s="7">
        <f t="shared" si="84"/>
        <v>26384</v>
      </c>
      <c r="N1405" s="7">
        <f t="shared" si="85"/>
        <v>28522</v>
      </c>
      <c r="O1405" s="2">
        <v>62</v>
      </c>
      <c r="P1405" s="8">
        <f t="shared" si="86"/>
        <v>28584</v>
      </c>
      <c r="Q1405" s="8">
        <f t="shared" si="87"/>
        <v>28460</v>
      </c>
      <c r="R1405" s="2" t="s">
        <v>50</v>
      </c>
      <c r="S1405" s="9">
        <f>VLOOKUP(P1405,$T$2:U1402,2,1)</f>
        <v>7.0000000000000007E-2</v>
      </c>
    </row>
    <row r="1406" spans="1:19" x14ac:dyDescent="0.25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e">
        <f>VLOOKUP(F1406,'Customer Info'!A1398:I1897,2,0)</f>
        <v>#N/A</v>
      </c>
      <c r="H1406" s="6" t="e">
        <f>VLOOKUP(F1406,'Customer Info'!A1398:I1897,3,0)</f>
        <v>#N/A</v>
      </c>
      <c r="I1406" s="6" t="e">
        <f>VLOOKUP(F1406,'Customer Info'!A1398:I1897,5,0)</f>
        <v>#N/A</v>
      </c>
      <c r="J1406" s="2">
        <v>1717</v>
      </c>
      <c r="K1406" s="2">
        <v>1652</v>
      </c>
      <c r="L1406" s="2">
        <v>6</v>
      </c>
      <c r="M1406" s="7">
        <f t="shared" si="84"/>
        <v>9912</v>
      </c>
      <c r="N1406" s="7">
        <f t="shared" si="85"/>
        <v>10302</v>
      </c>
      <c r="O1406" s="2">
        <v>68</v>
      </c>
      <c r="P1406" s="8">
        <f t="shared" si="86"/>
        <v>10370</v>
      </c>
      <c r="Q1406" s="8">
        <f t="shared" si="87"/>
        <v>10234</v>
      </c>
      <c r="R1406" s="2" t="s">
        <v>50</v>
      </c>
      <c r="S1406" s="9">
        <f>VLOOKUP(P1406,$T$2:U1403,2,1)</f>
        <v>0.05</v>
      </c>
    </row>
    <row r="1407" spans="1:19" x14ac:dyDescent="0.25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e">
        <f>VLOOKUP(F1407,'Customer Info'!A1399:I1898,2,0)</f>
        <v>#N/A</v>
      </c>
      <c r="H1407" s="6" t="e">
        <f>VLOOKUP(F1407,'Customer Info'!A1399:I1898,3,0)</f>
        <v>#N/A</v>
      </c>
      <c r="I1407" s="6" t="e">
        <f>VLOOKUP(F1407,'Customer Info'!A1399:I1898,5,0)</f>
        <v>#N/A</v>
      </c>
      <c r="J1407" s="2">
        <v>8773</v>
      </c>
      <c r="K1407" s="2">
        <v>8115</v>
      </c>
      <c r="L1407" s="2">
        <v>3</v>
      </c>
      <c r="M1407" s="7">
        <f t="shared" si="84"/>
        <v>24345</v>
      </c>
      <c r="N1407" s="7">
        <f t="shared" si="85"/>
        <v>26319</v>
      </c>
      <c r="O1407" s="2">
        <v>45</v>
      </c>
      <c r="P1407" s="8">
        <f t="shared" si="86"/>
        <v>26364</v>
      </c>
      <c r="Q1407" s="8">
        <f t="shared" si="87"/>
        <v>26274</v>
      </c>
      <c r="R1407" s="2" t="s">
        <v>28</v>
      </c>
      <c r="S1407" s="9">
        <f>VLOOKUP(P1407,$T$2:U1404,2,1)</f>
        <v>7.0000000000000007E-2</v>
      </c>
    </row>
    <row r="1408" spans="1:19" x14ac:dyDescent="0.25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e">
        <f>VLOOKUP(F1408,'Customer Info'!A1400:I1899,2,0)</f>
        <v>#N/A</v>
      </c>
      <c r="H1408" s="6" t="e">
        <f>VLOOKUP(F1408,'Customer Info'!A1400:I1899,3,0)</f>
        <v>#N/A</v>
      </c>
      <c r="I1408" s="6" t="e">
        <f>VLOOKUP(F1408,'Customer Info'!A1400:I1899,5,0)</f>
        <v>#N/A</v>
      </c>
      <c r="J1408" s="2">
        <v>214</v>
      </c>
      <c r="K1408" s="2">
        <v>199</v>
      </c>
      <c r="L1408" s="2">
        <v>2</v>
      </c>
      <c r="M1408" s="7">
        <f t="shared" si="84"/>
        <v>398</v>
      </c>
      <c r="N1408" s="7">
        <f t="shared" si="85"/>
        <v>428</v>
      </c>
      <c r="O1408" s="2">
        <v>62</v>
      </c>
      <c r="P1408" s="8">
        <f t="shared" si="86"/>
        <v>490</v>
      </c>
      <c r="Q1408" s="8">
        <f t="shared" si="87"/>
        <v>366</v>
      </c>
      <c r="R1408" s="2" t="s">
        <v>28</v>
      </c>
      <c r="S1408" s="9">
        <f>VLOOKUP(P1408,$T$2:U1405,2,1)</f>
        <v>0.02</v>
      </c>
    </row>
    <row r="1409" spans="1:19" x14ac:dyDescent="0.25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e">
        <f>VLOOKUP(F1409,'Customer Info'!A1401:I1900,2,0)</f>
        <v>#N/A</v>
      </c>
      <c r="H1409" s="6" t="e">
        <f>VLOOKUP(F1409,'Customer Info'!A1401:I1900,3,0)</f>
        <v>#N/A</v>
      </c>
      <c r="I1409" s="6" t="e">
        <f>VLOOKUP(F1409,'Customer Info'!A1401:I1900,5,0)</f>
        <v>#N/A</v>
      </c>
      <c r="J1409" s="2">
        <v>1585</v>
      </c>
      <c r="K1409" s="2">
        <v>1495</v>
      </c>
      <c r="L1409" s="2">
        <v>5</v>
      </c>
      <c r="M1409" s="7">
        <f t="shared" si="84"/>
        <v>7475</v>
      </c>
      <c r="N1409" s="7">
        <f t="shared" si="85"/>
        <v>7925</v>
      </c>
      <c r="O1409" s="2">
        <v>82</v>
      </c>
      <c r="P1409" s="8">
        <f t="shared" si="86"/>
        <v>8007</v>
      </c>
      <c r="Q1409" s="8">
        <f t="shared" si="87"/>
        <v>7843</v>
      </c>
      <c r="R1409" s="2" t="s">
        <v>28</v>
      </c>
      <c r="S1409" s="9">
        <f>VLOOKUP(P1409,$T$2:U1406,2,1)</f>
        <v>0.05</v>
      </c>
    </row>
    <row r="1410" spans="1:19" x14ac:dyDescent="0.25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e">
        <f>VLOOKUP(F1410,'Customer Info'!A1402:I1901,2,0)</f>
        <v>#N/A</v>
      </c>
      <c r="H1410" s="6" t="e">
        <f>VLOOKUP(F1410,'Customer Info'!A1402:I1901,3,0)</f>
        <v>#N/A</v>
      </c>
      <c r="I1410" s="6" t="e">
        <f>VLOOKUP(F1410,'Customer Info'!A1402:I1901,5,0)</f>
        <v>#N/A</v>
      </c>
      <c r="J1410" s="2">
        <v>2273</v>
      </c>
      <c r="K1410" s="2">
        <v>2229</v>
      </c>
      <c r="L1410" s="2">
        <v>3</v>
      </c>
      <c r="M1410" s="7">
        <f t="shared" si="84"/>
        <v>6687</v>
      </c>
      <c r="N1410" s="7">
        <f t="shared" si="85"/>
        <v>6819</v>
      </c>
      <c r="O1410" s="2">
        <v>61</v>
      </c>
      <c r="P1410" s="8">
        <f t="shared" si="86"/>
        <v>6880</v>
      </c>
      <c r="Q1410" s="8">
        <f t="shared" si="87"/>
        <v>6758</v>
      </c>
      <c r="R1410" s="2" t="s">
        <v>28</v>
      </c>
      <c r="S1410" s="9">
        <f>VLOOKUP(P1410,$T$2:U1407,2,1)</f>
        <v>0.05</v>
      </c>
    </row>
    <row r="1411" spans="1:19" x14ac:dyDescent="0.25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e">
        <f>VLOOKUP(F1411,'Customer Info'!A1403:I1902,2,0)</f>
        <v>#N/A</v>
      </c>
      <c r="H1411" s="6" t="e">
        <f>VLOOKUP(F1411,'Customer Info'!A1403:I1902,3,0)</f>
        <v>#N/A</v>
      </c>
      <c r="I1411" s="6" t="e">
        <f>VLOOKUP(F1411,'Customer Info'!A1403:I1902,5,0)</f>
        <v>#N/A</v>
      </c>
      <c r="J1411" s="2">
        <v>1703</v>
      </c>
      <c r="K1411" s="2">
        <v>1639</v>
      </c>
      <c r="L1411" s="2">
        <v>2</v>
      </c>
      <c r="M1411" s="7">
        <f t="shared" si="84"/>
        <v>3278</v>
      </c>
      <c r="N1411" s="7">
        <f t="shared" si="85"/>
        <v>3406</v>
      </c>
      <c r="O1411" s="2">
        <v>90</v>
      </c>
      <c r="P1411" s="8">
        <f t="shared" si="86"/>
        <v>3496</v>
      </c>
      <c r="Q1411" s="8">
        <f t="shared" si="87"/>
        <v>3316</v>
      </c>
      <c r="R1411" s="2" t="s">
        <v>50</v>
      </c>
      <c r="S1411" s="9">
        <f>VLOOKUP(P1411,$T$2:U1408,2,1)</f>
        <v>0.02</v>
      </c>
    </row>
    <row r="1412" spans="1:19" x14ac:dyDescent="0.25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e">
        <f>VLOOKUP(F1412,'Customer Info'!A1404:I1903,2,0)</f>
        <v>#N/A</v>
      </c>
      <c r="H1412" s="6" t="e">
        <f>VLOOKUP(F1412,'Customer Info'!A1404:I1903,3,0)</f>
        <v>#N/A</v>
      </c>
      <c r="I1412" s="6" t="e">
        <f>VLOOKUP(F1412,'Customer Info'!A1404:I1903,5,0)</f>
        <v>#N/A</v>
      </c>
      <c r="J1412" s="2">
        <v>7609</v>
      </c>
      <c r="K1412" s="2">
        <v>7248</v>
      </c>
      <c r="L1412" s="2">
        <v>3</v>
      </c>
      <c r="M1412" s="7">
        <f t="shared" si="84"/>
        <v>21744</v>
      </c>
      <c r="N1412" s="7">
        <f t="shared" si="85"/>
        <v>22827</v>
      </c>
      <c r="O1412" s="2">
        <v>70</v>
      </c>
      <c r="P1412" s="8">
        <f t="shared" si="86"/>
        <v>22897</v>
      </c>
      <c r="Q1412" s="8">
        <f t="shared" si="87"/>
        <v>22757</v>
      </c>
      <c r="R1412" s="2" t="s">
        <v>28</v>
      </c>
      <c r="S1412" s="9">
        <f>VLOOKUP(P1412,$T$2:U1409,2,1)</f>
        <v>0.05</v>
      </c>
    </row>
    <row r="1413" spans="1:19" x14ac:dyDescent="0.25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e">
        <f>VLOOKUP(F1413,'Customer Info'!A1405:I1904,2,0)</f>
        <v>#N/A</v>
      </c>
      <c r="H1413" s="6" t="e">
        <f>VLOOKUP(F1413,'Customer Info'!A1405:I1904,3,0)</f>
        <v>#N/A</v>
      </c>
      <c r="I1413" s="6" t="e">
        <f>VLOOKUP(F1413,'Customer Info'!A1405:I1904,5,0)</f>
        <v>#N/A</v>
      </c>
      <c r="J1413" s="2">
        <v>8399</v>
      </c>
      <c r="K1413" s="2">
        <v>8001</v>
      </c>
      <c r="L1413" s="2">
        <v>2</v>
      </c>
      <c r="M1413" s="7">
        <f t="shared" si="84"/>
        <v>16002</v>
      </c>
      <c r="N1413" s="7">
        <f t="shared" si="85"/>
        <v>16798</v>
      </c>
      <c r="O1413" s="2">
        <v>40</v>
      </c>
      <c r="P1413" s="8">
        <f t="shared" si="86"/>
        <v>16838</v>
      </c>
      <c r="Q1413" s="8">
        <f t="shared" si="87"/>
        <v>16758</v>
      </c>
      <c r="R1413" s="2" t="s">
        <v>28</v>
      </c>
      <c r="S1413" s="9">
        <f>VLOOKUP(P1413,$T$2:U1410,2,1)</f>
        <v>0.05</v>
      </c>
    </row>
    <row r="1414" spans="1:19" x14ac:dyDescent="0.25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e">
        <f>VLOOKUP(F1414,'Customer Info'!A1406:I1905,2,0)</f>
        <v>#N/A</v>
      </c>
      <c r="H1414" s="6" t="e">
        <f>VLOOKUP(F1414,'Customer Info'!A1406:I1905,3,0)</f>
        <v>#N/A</v>
      </c>
      <c r="I1414" s="6" t="e">
        <f>VLOOKUP(F1414,'Customer Info'!A1406:I1905,5,0)</f>
        <v>#N/A</v>
      </c>
      <c r="J1414" s="2">
        <v>2644</v>
      </c>
      <c r="K1414" s="2">
        <v>2425</v>
      </c>
      <c r="L1414" s="2">
        <v>5</v>
      </c>
      <c r="M1414" s="7">
        <f t="shared" si="84"/>
        <v>12125</v>
      </c>
      <c r="N1414" s="7">
        <f t="shared" si="85"/>
        <v>13220</v>
      </c>
      <c r="O1414" s="2">
        <v>32</v>
      </c>
      <c r="P1414" s="8">
        <f t="shared" si="86"/>
        <v>13252</v>
      </c>
      <c r="Q1414" s="8">
        <f t="shared" si="87"/>
        <v>13188</v>
      </c>
      <c r="R1414" s="2" t="s">
        <v>28</v>
      </c>
      <c r="S1414" s="9">
        <f>VLOOKUP(P1414,$T$2:U1411,2,1)</f>
        <v>0.05</v>
      </c>
    </row>
    <row r="1415" spans="1:19" x14ac:dyDescent="0.25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e">
        <f>VLOOKUP(F1415,'Customer Info'!A1407:I1906,2,0)</f>
        <v>#N/A</v>
      </c>
      <c r="H1415" s="6" t="e">
        <f>VLOOKUP(F1415,'Customer Info'!A1407:I1906,3,0)</f>
        <v>#N/A</v>
      </c>
      <c r="I1415" s="6" t="e">
        <f>VLOOKUP(F1415,'Customer Info'!A1407:I1906,5,0)</f>
        <v>#N/A</v>
      </c>
      <c r="J1415" s="2">
        <v>28522</v>
      </c>
      <c r="K1415" s="2">
        <v>26384</v>
      </c>
      <c r="L1415" s="2">
        <v>8</v>
      </c>
      <c r="M1415" s="7">
        <f t="shared" si="84"/>
        <v>211072</v>
      </c>
      <c r="N1415" s="7">
        <f t="shared" si="85"/>
        <v>228176</v>
      </c>
      <c r="O1415" s="2">
        <v>43</v>
      </c>
      <c r="P1415" s="8">
        <f t="shared" si="86"/>
        <v>228219</v>
      </c>
      <c r="Q1415" s="8">
        <f t="shared" si="87"/>
        <v>228133</v>
      </c>
      <c r="R1415" s="2" t="s">
        <v>28</v>
      </c>
      <c r="S1415" s="9">
        <f>VLOOKUP(P1415,$T$2:U1412,2,1)</f>
        <v>0.12</v>
      </c>
    </row>
    <row r="1416" spans="1:19" x14ac:dyDescent="0.25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e">
        <f>VLOOKUP(F1416,'Customer Info'!A1408:I1907,2,0)</f>
        <v>#N/A</v>
      </c>
      <c r="H1416" s="6" t="e">
        <f>VLOOKUP(F1416,'Customer Info'!A1408:I1907,3,0)</f>
        <v>#N/A</v>
      </c>
      <c r="I1416" s="6" t="e">
        <f>VLOOKUP(F1416,'Customer Info'!A1408:I1907,5,0)</f>
        <v>#N/A</v>
      </c>
      <c r="J1416" s="2">
        <v>2478</v>
      </c>
      <c r="K1416" s="2">
        <v>2406</v>
      </c>
      <c r="L1416" s="2">
        <v>4</v>
      </c>
      <c r="M1416" s="7">
        <f t="shared" si="84"/>
        <v>9624</v>
      </c>
      <c r="N1416" s="7">
        <f t="shared" si="85"/>
        <v>9912</v>
      </c>
      <c r="O1416" s="2">
        <v>27</v>
      </c>
      <c r="P1416" s="8">
        <f t="shared" si="86"/>
        <v>9939</v>
      </c>
      <c r="Q1416" s="8">
        <f t="shared" si="87"/>
        <v>9885</v>
      </c>
      <c r="R1416" s="2" t="s">
        <v>26</v>
      </c>
      <c r="S1416" s="9">
        <f>VLOOKUP(P1416,$T$2:U1413,2,1)</f>
        <v>0.05</v>
      </c>
    </row>
    <row r="1417" spans="1:19" x14ac:dyDescent="0.25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e">
        <f>VLOOKUP(F1417,'Customer Info'!A1409:I1908,2,0)</f>
        <v>#N/A</v>
      </c>
      <c r="H1417" s="6" t="e">
        <f>VLOOKUP(F1417,'Customer Info'!A1409:I1908,3,0)</f>
        <v>#N/A</v>
      </c>
      <c r="I1417" s="6" t="e">
        <f>VLOOKUP(F1417,'Customer Info'!A1409:I1908,5,0)</f>
        <v>#N/A</v>
      </c>
      <c r="J1417" s="2">
        <v>1700</v>
      </c>
      <c r="K1417" s="2">
        <v>1620</v>
      </c>
      <c r="L1417" s="2">
        <v>4</v>
      </c>
      <c r="M1417" s="7">
        <f t="shared" si="84"/>
        <v>6480</v>
      </c>
      <c r="N1417" s="7">
        <f t="shared" si="85"/>
        <v>6800</v>
      </c>
      <c r="O1417" s="2">
        <v>62</v>
      </c>
      <c r="P1417" s="8">
        <f t="shared" si="86"/>
        <v>6862</v>
      </c>
      <c r="Q1417" s="8">
        <f t="shared" si="87"/>
        <v>6738</v>
      </c>
      <c r="R1417" s="2" t="s">
        <v>56</v>
      </c>
      <c r="S1417" s="9">
        <f>VLOOKUP(P1417,$T$2:U1414,2,1)</f>
        <v>0.05</v>
      </c>
    </row>
    <row r="1418" spans="1:19" x14ac:dyDescent="0.25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e">
        <f>VLOOKUP(F1418,'Customer Info'!A1410:I1909,2,0)</f>
        <v>#N/A</v>
      </c>
      <c r="H1418" s="6" t="e">
        <f>VLOOKUP(F1418,'Customer Info'!A1410:I1909,3,0)</f>
        <v>#N/A</v>
      </c>
      <c r="I1418" s="6" t="e">
        <f>VLOOKUP(F1418,'Customer Info'!A1410:I1909,5,0)</f>
        <v>#N/A</v>
      </c>
      <c r="J1418" s="2">
        <v>900</v>
      </c>
      <c r="K1418" s="2">
        <v>834</v>
      </c>
      <c r="L1418" s="2">
        <v>3</v>
      </c>
      <c r="M1418" s="7">
        <f t="shared" si="84"/>
        <v>2502</v>
      </c>
      <c r="N1418" s="7">
        <f t="shared" si="85"/>
        <v>2700</v>
      </c>
      <c r="O1418" s="2">
        <v>67</v>
      </c>
      <c r="P1418" s="8">
        <f t="shared" si="86"/>
        <v>2767</v>
      </c>
      <c r="Q1418" s="8">
        <f t="shared" si="87"/>
        <v>2633</v>
      </c>
      <c r="R1418" s="2" t="s">
        <v>50</v>
      </c>
      <c r="S1418" s="9">
        <f>VLOOKUP(P1418,$T$2:U1415,2,1)</f>
        <v>0.02</v>
      </c>
    </row>
    <row r="1419" spans="1:19" x14ac:dyDescent="0.25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e">
        <f>VLOOKUP(F1419,'Customer Info'!A1411:I1910,2,0)</f>
        <v>#N/A</v>
      </c>
      <c r="H1419" s="6" t="e">
        <f>VLOOKUP(F1419,'Customer Info'!A1411:I1910,3,0)</f>
        <v>#N/A</v>
      </c>
      <c r="I1419" s="6" t="e">
        <f>VLOOKUP(F1419,'Customer Info'!A1411:I1910,5,0)</f>
        <v>#N/A</v>
      </c>
      <c r="J1419" s="2">
        <v>8889</v>
      </c>
      <c r="K1419" s="2">
        <v>8469</v>
      </c>
      <c r="L1419" s="2">
        <v>2</v>
      </c>
      <c r="M1419" s="7">
        <f t="shared" ref="M1419:M1482" si="88">K1419*L1419</f>
        <v>16938</v>
      </c>
      <c r="N1419" s="7">
        <f t="shared" ref="N1419:N1482" si="89">J1419*L1419</f>
        <v>17778</v>
      </c>
      <c r="O1419" s="2">
        <v>47</v>
      </c>
      <c r="P1419" s="8">
        <f t="shared" ref="P1419:P1482" si="90">SUM(N1419,O1419)</f>
        <v>17825</v>
      </c>
      <c r="Q1419" s="8">
        <f t="shared" ref="Q1419:Q1482" si="91">N1419-O1419</f>
        <v>17731</v>
      </c>
      <c r="R1419" s="2" t="s">
        <v>28</v>
      </c>
      <c r="S1419" s="9">
        <f>VLOOKUP(P1419,$T$2:U1416,2,1)</f>
        <v>0.05</v>
      </c>
    </row>
    <row r="1420" spans="1:19" x14ac:dyDescent="0.25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e">
        <f>VLOOKUP(F1420,'Customer Info'!A1412:I1911,2,0)</f>
        <v>#N/A</v>
      </c>
      <c r="H1420" s="6" t="e">
        <f>VLOOKUP(F1420,'Customer Info'!A1412:I1911,3,0)</f>
        <v>#N/A</v>
      </c>
      <c r="I1420" s="6" t="e">
        <f>VLOOKUP(F1420,'Customer Info'!A1412:I1911,5,0)</f>
        <v>#N/A</v>
      </c>
      <c r="J1420" s="2">
        <v>2249</v>
      </c>
      <c r="K1420" s="2">
        <v>2102</v>
      </c>
      <c r="L1420" s="2">
        <v>1</v>
      </c>
      <c r="M1420" s="7">
        <f t="shared" si="88"/>
        <v>2102</v>
      </c>
      <c r="N1420" s="7">
        <f t="shared" si="89"/>
        <v>2249</v>
      </c>
      <c r="O1420" s="2">
        <v>53</v>
      </c>
      <c r="P1420" s="8">
        <f t="shared" si="90"/>
        <v>2302</v>
      </c>
      <c r="Q1420" s="8">
        <f t="shared" si="91"/>
        <v>2196</v>
      </c>
      <c r="R1420" s="2" t="s">
        <v>50</v>
      </c>
      <c r="S1420" s="9">
        <f>VLOOKUP(P1420,$T$2:U1417,2,1)</f>
        <v>0.02</v>
      </c>
    </row>
    <row r="1421" spans="1:19" x14ac:dyDescent="0.25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e">
        <f>VLOOKUP(F1421,'Customer Info'!A1413:I1912,2,0)</f>
        <v>#N/A</v>
      </c>
      <c r="H1421" s="6" t="e">
        <f>VLOOKUP(F1421,'Customer Info'!A1413:I1912,3,0)</f>
        <v>#N/A</v>
      </c>
      <c r="I1421" s="6" t="e">
        <f>VLOOKUP(F1421,'Customer Info'!A1413:I1912,5,0)</f>
        <v>#N/A</v>
      </c>
      <c r="J1421" s="2">
        <v>789</v>
      </c>
      <c r="K1421" s="2">
        <v>739</v>
      </c>
      <c r="L1421" s="2">
        <v>5</v>
      </c>
      <c r="M1421" s="7">
        <f t="shared" si="88"/>
        <v>3695</v>
      </c>
      <c r="N1421" s="7">
        <f t="shared" si="89"/>
        <v>3945</v>
      </c>
      <c r="O1421" s="2">
        <v>86</v>
      </c>
      <c r="P1421" s="8">
        <f t="shared" si="90"/>
        <v>4031</v>
      </c>
      <c r="Q1421" s="8">
        <f t="shared" si="91"/>
        <v>3859</v>
      </c>
      <c r="R1421" s="2" t="s">
        <v>50</v>
      </c>
      <c r="S1421" s="9">
        <f>VLOOKUP(P1421,$T$2:U1418,2,1)</f>
        <v>0.02</v>
      </c>
    </row>
    <row r="1422" spans="1:19" x14ac:dyDescent="0.25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e">
        <f>VLOOKUP(F1422,'Customer Info'!A1414:I1913,2,0)</f>
        <v>#N/A</v>
      </c>
      <c r="H1422" s="6" t="e">
        <f>VLOOKUP(F1422,'Customer Info'!A1414:I1913,3,0)</f>
        <v>#N/A</v>
      </c>
      <c r="I1422" s="6" t="e">
        <f>VLOOKUP(F1422,'Customer Info'!A1414:I1913,5,0)</f>
        <v>#N/A</v>
      </c>
      <c r="J1422" s="2">
        <v>7474</v>
      </c>
      <c r="K1422" s="2">
        <v>6858</v>
      </c>
      <c r="L1422" s="2">
        <v>2</v>
      </c>
      <c r="M1422" s="7">
        <f t="shared" si="88"/>
        <v>13716</v>
      </c>
      <c r="N1422" s="7">
        <f t="shared" si="89"/>
        <v>14948</v>
      </c>
      <c r="O1422" s="2">
        <v>83</v>
      </c>
      <c r="P1422" s="8">
        <f t="shared" si="90"/>
        <v>15031</v>
      </c>
      <c r="Q1422" s="8">
        <f t="shared" si="91"/>
        <v>14865</v>
      </c>
      <c r="R1422" s="2" t="s">
        <v>28</v>
      </c>
      <c r="S1422" s="9">
        <f>VLOOKUP(P1422,$T$2:U1419,2,1)</f>
        <v>0.05</v>
      </c>
    </row>
    <row r="1423" spans="1:19" x14ac:dyDescent="0.25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e">
        <f>VLOOKUP(F1423,'Customer Info'!A1415:I1914,2,0)</f>
        <v>#N/A</v>
      </c>
      <c r="H1423" s="6" t="e">
        <f>VLOOKUP(F1423,'Customer Info'!A1415:I1914,3,0)</f>
        <v>#N/A</v>
      </c>
      <c r="I1423" s="6" t="e">
        <f>VLOOKUP(F1423,'Customer Info'!A1415:I1914,5,0)</f>
        <v>#N/A</v>
      </c>
      <c r="J1423" s="2">
        <v>2243</v>
      </c>
      <c r="K1423" s="2">
        <v>2000</v>
      </c>
      <c r="L1423" s="2">
        <v>1</v>
      </c>
      <c r="M1423" s="7">
        <f t="shared" si="88"/>
        <v>2000</v>
      </c>
      <c r="N1423" s="7">
        <f t="shared" si="89"/>
        <v>2243</v>
      </c>
      <c r="O1423" s="2">
        <v>33</v>
      </c>
      <c r="P1423" s="8">
        <f t="shared" si="90"/>
        <v>2276</v>
      </c>
      <c r="Q1423" s="8">
        <f t="shared" si="91"/>
        <v>2210</v>
      </c>
      <c r="R1423" s="2" t="s">
        <v>28</v>
      </c>
      <c r="S1423" s="9">
        <f>VLOOKUP(P1423,$T$2:U1420,2,1)</f>
        <v>0.02</v>
      </c>
    </row>
    <row r="1424" spans="1:19" x14ac:dyDescent="0.25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e">
        <f>VLOOKUP(F1424,'Customer Info'!A1416:I1915,2,0)</f>
        <v>#N/A</v>
      </c>
      <c r="H1424" s="6" t="e">
        <f>VLOOKUP(F1424,'Customer Info'!A1416:I1915,3,0)</f>
        <v>#N/A</v>
      </c>
      <c r="I1424" s="6" t="e">
        <f>VLOOKUP(F1424,'Customer Info'!A1416:I1915,5,0)</f>
        <v>#N/A</v>
      </c>
      <c r="J1424" s="2">
        <v>1816</v>
      </c>
      <c r="K1424" s="2">
        <v>1700</v>
      </c>
      <c r="L1424" s="2">
        <v>2</v>
      </c>
      <c r="M1424" s="7">
        <f t="shared" si="88"/>
        <v>3400</v>
      </c>
      <c r="N1424" s="7">
        <f t="shared" si="89"/>
        <v>3632</v>
      </c>
      <c r="O1424" s="2">
        <v>84</v>
      </c>
      <c r="P1424" s="8">
        <f t="shared" si="90"/>
        <v>3716</v>
      </c>
      <c r="Q1424" s="8">
        <f t="shared" si="91"/>
        <v>3548</v>
      </c>
      <c r="R1424" s="2" t="s">
        <v>50</v>
      </c>
      <c r="S1424" s="9">
        <f>VLOOKUP(P1424,$T$2:U1421,2,1)</f>
        <v>0.02</v>
      </c>
    </row>
    <row r="1425" spans="1:19" x14ac:dyDescent="0.25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e">
        <f>VLOOKUP(F1425,'Customer Info'!A1417:I1916,2,0)</f>
        <v>#N/A</v>
      </c>
      <c r="H1425" s="6" t="e">
        <f>VLOOKUP(F1425,'Customer Info'!A1417:I1916,3,0)</f>
        <v>#N/A</v>
      </c>
      <c r="I1425" s="6" t="e">
        <f>VLOOKUP(F1425,'Customer Info'!A1417:I1916,5,0)</f>
        <v>#N/A</v>
      </c>
      <c r="J1425" s="2">
        <v>1512</v>
      </c>
      <c r="K1425" s="2">
        <v>1497</v>
      </c>
      <c r="L1425" s="2">
        <v>6</v>
      </c>
      <c r="M1425" s="7">
        <f t="shared" si="88"/>
        <v>8982</v>
      </c>
      <c r="N1425" s="7">
        <f t="shared" si="89"/>
        <v>9072</v>
      </c>
      <c r="O1425" s="2">
        <v>87</v>
      </c>
      <c r="P1425" s="8">
        <f t="shared" si="90"/>
        <v>9159</v>
      </c>
      <c r="Q1425" s="8">
        <f t="shared" si="91"/>
        <v>8985</v>
      </c>
      <c r="R1425" s="2" t="s">
        <v>50</v>
      </c>
      <c r="S1425" s="9">
        <f>VLOOKUP(P1425,$T$2:U1422,2,1)</f>
        <v>0.05</v>
      </c>
    </row>
    <row r="1426" spans="1:19" x14ac:dyDescent="0.25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e">
        <f>VLOOKUP(F1426,'Customer Info'!A1418:I1917,2,0)</f>
        <v>#N/A</v>
      </c>
      <c r="H1426" s="6" t="e">
        <f>VLOOKUP(F1426,'Customer Info'!A1418:I1917,3,0)</f>
        <v>#N/A</v>
      </c>
      <c r="I1426" s="6" t="e">
        <f>VLOOKUP(F1426,'Customer Info'!A1418:I1917,5,0)</f>
        <v>#N/A</v>
      </c>
      <c r="J1426" s="2">
        <v>1790</v>
      </c>
      <c r="K1426" s="2">
        <v>1706</v>
      </c>
      <c r="L1426" s="2">
        <v>1</v>
      </c>
      <c r="M1426" s="7">
        <f t="shared" si="88"/>
        <v>1706</v>
      </c>
      <c r="N1426" s="7">
        <f t="shared" si="89"/>
        <v>1790</v>
      </c>
      <c r="O1426" s="2">
        <v>89</v>
      </c>
      <c r="P1426" s="8">
        <f t="shared" si="90"/>
        <v>1879</v>
      </c>
      <c r="Q1426" s="8">
        <f t="shared" si="91"/>
        <v>1701</v>
      </c>
      <c r="R1426" s="2" t="s">
        <v>50</v>
      </c>
      <c r="S1426" s="9">
        <f>VLOOKUP(P1426,$T$2:U1423,2,1)</f>
        <v>0.02</v>
      </c>
    </row>
    <row r="1427" spans="1:19" x14ac:dyDescent="0.25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e">
        <f>VLOOKUP(F1427,'Customer Info'!A1419:I1918,2,0)</f>
        <v>#N/A</v>
      </c>
      <c r="H1427" s="6" t="e">
        <f>VLOOKUP(F1427,'Customer Info'!A1419:I1918,3,0)</f>
        <v>#N/A</v>
      </c>
      <c r="I1427" s="6" t="e">
        <f>VLOOKUP(F1427,'Customer Info'!A1419:I1918,5,0)</f>
        <v>#N/A</v>
      </c>
      <c r="J1427" s="2">
        <v>4443</v>
      </c>
      <c r="K1427" s="2">
        <v>4079</v>
      </c>
      <c r="L1427" s="2">
        <v>8</v>
      </c>
      <c r="M1427" s="7">
        <f t="shared" si="88"/>
        <v>32632</v>
      </c>
      <c r="N1427" s="7">
        <f t="shared" si="89"/>
        <v>35544</v>
      </c>
      <c r="O1427" s="2">
        <v>74</v>
      </c>
      <c r="P1427" s="8">
        <f t="shared" si="90"/>
        <v>35618</v>
      </c>
      <c r="Q1427" s="8">
        <f t="shared" si="91"/>
        <v>35470</v>
      </c>
      <c r="R1427" s="2" t="s">
        <v>28</v>
      </c>
      <c r="S1427" s="9">
        <f>VLOOKUP(P1427,$T$2:U1424,2,1)</f>
        <v>7.0000000000000007E-2</v>
      </c>
    </row>
    <row r="1428" spans="1:19" x14ac:dyDescent="0.25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e">
        <f>VLOOKUP(F1428,'Customer Info'!A1420:I1919,2,0)</f>
        <v>#N/A</v>
      </c>
      <c r="H1428" s="6" t="e">
        <f>VLOOKUP(F1428,'Customer Info'!A1420:I1919,3,0)</f>
        <v>#N/A</v>
      </c>
      <c r="I1428" s="6" t="e">
        <f>VLOOKUP(F1428,'Customer Info'!A1420:I1919,5,0)</f>
        <v>#N/A</v>
      </c>
      <c r="J1428" s="2">
        <v>2907</v>
      </c>
      <c r="K1428" s="2">
        <v>2667</v>
      </c>
      <c r="L1428" s="2">
        <v>7</v>
      </c>
      <c r="M1428" s="7">
        <f t="shared" si="88"/>
        <v>18669</v>
      </c>
      <c r="N1428" s="7">
        <f t="shared" si="89"/>
        <v>20349</v>
      </c>
      <c r="O1428" s="2">
        <v>49</v>
      </c>
      <c r="P1428" s="8">
        <f t="shared" si="90"/>
        <v>20398</v>
      </c>
      <c r="Q1428" s="8">
        <f t="shared" si="91"/>
        <v>20300</v>
      </c>
      <c r="R1428" s="2" t="s">
        <v>50</v>
      </c>
      <c r="S1428" s="9">
        <f>VLOOKUP(P1428,$T$2:U1425,2,1)</f>
        <v>0.05</v>
      </c>
    </row>
    <row r="1429" spans="1:19" x14ac:dyDescent="0.25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e">
        <f>VLOOKUP(F1429,'Customer Info'!A1421:I1920,2,0)</f>
        <v>#N/A</v>
      </c>
      <c r="H1429" s="6" t="e">
        <f>VLOOKUP(F1429,'Customer Info'!A1421:I1920,3,0)</f>
        <v>#N/A</v>
      </c>
      <c r="I1429" s="6" t="e">
        <f>VLOOKUP(F1429,'Customer Info'!A1421:I1920,5,0)</f>
        <v>#N/A</v>
      </c>
      <c r="J1429" s="2">
        <v>206</v>
      </c>
      <c r="K1429" s="2">
        <v>189</v>
      </c>
      <c r="L1429" s="2">
        <v>2</v>
      </c>
      <c r="M1429" s="7">
        <f t="shared" si="88"/>
        <v>378</v>
      </c>
      <c r="N1429" s="7">
        <f t="shared" si="89"/>
        <v>412</v>
      </c>
      <c r="O1429" s="2">
        <v>30</v>
      </c>
      <c r="P1429" s="8">
        <f t="shared" si="90"/>
        <v>442</v>
      </c>
      <c r="Q1429" s="8">
        <f t="shared" si="91"/>
        <v>382</v>
      </c>
      <c r="R1429" s="2" t="s">
        <v>50</v>
      </c>
      <c r="S1429" s="9">
        <f>VLOOKUP(P1429,$T$2:U1426,2,1)</f>
        <v>0.02</v>
      </c>
    </row>
    <row r="1430" spans="1:19" x14ac:dyDescent="0.25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e">
        <f>VLOOKUP(F1430,'Customer Info'!A1422:I1921,2,0)</f>
        <v>#N/A</v>
      </c>
      <c r="H1430" s="6" t="e">
        <f>VLOOKUP(F1430,'Customer Info'!A1422:I1921,3,0)</f>
        <v>#N/A</v>
      </c>
      <c r="I1430" s="6" t="e">
        <f>VLOOKUP(F1430,'Customer Info'!A1422:I1921,5,0)</f>
        <v>#N/A</v>
      </c>
      <c r="J1430" s="2">
        <v>138</v>
      </c>
      <c r="K1430" s="2">
        <v>128</v>
      </c>
      <c r="L1430" s="2">
        <v>8</v>
      </c>
      <c r="M1430" s="7">
        <f t="shared" si="88"/>
        <v>1024</v>
      </c>
      <c r="N1430" s="7">
        <f t="shared" si="89"/>
        <v>1104</v>
      </c>
      <c r="O1430" s="2">
        <v>30</v>
      </c>
      <c r="P1430" s="8">
        <f t="shared" si="90"/>
        <v>1134</v>
      </c>
      <c r="Q1430" s="8">
        <f t="shared" si="91"/>
        <v>1074</v>
      </c>
      <c r="R1430" s="2" t="s">
        <v>28</v>
      </c>
      <c r="S1430" s="9">
        <f>VLOOKUP(P1430,$T$2:U1427,2,1)</f>
        <v>0.02</v>
      </c>
    </row>
    <row r="1431" spans="1:19" x14ac:dyDescent="0.25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e">
        <f>VLOOKUP(F1431,'Customer Info'!A1423:I1922,2,0)</f>
        <v>#N/A</v>
      </c>
      <c r="H1431" s="6" t="e">
        <f>VLOOKUP(F1431,'Customer Info'!A1423:I1922,3,0)</f>
        <v>#N/A</v>
      </c>
      <c r="I1431" s="6" t="e">
        <f>VLOOKUP(F1431,'Customer Info'!A1423:I1922,5,0)</f>
        <v>#N/A</v>
      </c>
      <c r="J1431" s="2">
        <v>1205</v>
      </c>
      <c r="K1431" s="2">
        <v>1159</v>
      </c>
      <c r="L1431" s="2">
        <v>4</v>
      </c>
      <c r="M1431" s="7">
        <f t="shared" si="88"/>
        <v>4636</v>
      </c>
      <c r="N1431" s="7">
        <f t="shared" si="89"/>
        <v>4820</v>
      </c>
      <c r="O1431" s="2">
        <v>73</v>
      </c>
      <c r="P1431" s="8">
        <f t="shared" si="90"/>
        <v>4893</v>
      </c>
      <c r="Q1431" s="8">
        <f t="shared" si="91"/>
        <v>4747</v>
      </c>
      <c r="R1431" s="2" t="s">
        <v>28</v>
      </c>
      <c r="S1431" s="9">
        <f>VLOOKUP(P1431,$T$2:U1428,2,1)</f>
        <v>0.02</v>
      </c>
    </row>
    <row r="1432" spans="1:19" x14ac:dyDescent="0.25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e">
        <f>VLOOKUP(F1432,'Customer Info'!A1424:I1923,2,0)</f>
        <v>#N/A</v>
      </c>
      <c r="H1432" s="6" t="e">
        <f>VLOOKUP(F1432,'Customer Info'!A1424:I1923,3,0)</f>
        <v>#N/A</v>
      </c>
      <c r="I1432" s="6" t="e">
        <f>VLOOKUP(F1432,'Customer Info'!A1424:I1923,5,0)</f>
        <v>#N/A</v>
      </c>
      <c r="J1432" s="2">
        <v>809</v>
      </c>
      <c r="K1432" s="2">
        <v>770</v>
      </c>
      <c r="L1432" s="2">
        <v>1</v>
      </c>
      <c r="M1432" s="7">
        <f t="shared" si="88"/>
        <v>770</v>
      </c>
      <c r="N1432" s="7">
        <f t="shared" si="89"/>
        <v>809</v>
      </c>
      <c r="O1432" s="2">
        <v>90</v>
      </c>
      <c r="P1432" s="8">
        <f t="shared" si="90"/>
        <v>899</v>
      </c>
      <c r="Q1432" s="8">
        <f t="shared" si="91"/>
        <v>719</v>
      </c>
      <c r="R1432" s="2" t="s">
        <v>28</v>
      </c>
      <c r="S1432" s="9">
        <f>VLOOKUP(P1432,$T$2:U1429,2,1)</f>
        <v>0.02</v>
      </c>
    </row>
    <row r="1433" spans="1:19" x14ac:dyDescent="0.25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e">
        <f>VLOOKUP(F1433,'Customer Info'!A1425:I1924,2,0)</f>
        <v>#N/A</v>
      </c>
      <c r="H1433" s="6" t="e">
        <f>VLOOKUP(F1433,'Customer Info'!A1425:I1924,3,0)</f>
        <v>#N/A</v>
      </c>
      <c r="I1433" s="6" t="e">
        <f>VLOOKUP(F1433,'Customer Info'!A1425:I1924,5,0)</f>
        <v>#N/A</v>
      </c>
      <c r="J1433" s="2">
        <v>101</v>
      </c>
      <c r="K1433" s="2">
        <v>98</v>
      </c>
      <c r="L1433" s="2">
        <v>13</v>
      </c>
      <c r="M1433" s="7">
        <f t="shared" si="88"/>
        <v>1274</v>
      </c>
      <c r="N1433" s="7">
        <f t="shared" si="89"/>
        <v>1313</v>
      </c>
      <c r="O1433" s="2">
        <v>10</v>
      </c>
      <c r="P1433" s="8">
        <f t="shared" si="90"/>
        <v>1323</v>
      </c>
      <c r="Q1433" s="8">
        <f t="shared" si="91"/>
        <v>1303</v>
      </c>
      <c r="R1433" s="2" t="s">
        <v>26</v>
      </c>
      <c r="S1433" s="9">
        <f>VLOOKUP(P1433,$T$2:U1430,2,1)</f>
        <v>0.02</v>
      </c>
    </row>
    <row r="1434" spans="1:19" x14ac:dyDescent="0.25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e">
        <f>VLOOKUP(F1434,'Customer Info'!A1426:I1925,2,0)</f>
        <v>#N/A</v>
      </c>
      <c r="H1434" s="6" t="e">
        <f>VLOOKUP(F1434,'Customer Info'!A1426:I1925,3,0)</f>
        <v>#N/A</v>
      </c>
      <c r="I1434" s="6" t="e">
        <f>VLOOKUP(F1434,'Customer Info'!A1426:I1925,5,0)</f>
        <v>#N/A</v>
      </c>
      <c r="J1434" s="2">
        <v>8281</v>
      </c>
      <c r="K1434" s="2">
        <v>7673</v>
      </c>
      <c r="L1434" s="2">
        <v>5</v>
      </c>
      <c r="M1434" s="7">
        <f t="shared" si="88"/>
        <v>38365</v>
      </c>
      <c r="N1434" s="7">
        <f t="shared" si="89"/>
        <v>41405</v>
      </c>
      <c r="O1434" s="2">
        <v>26</v>
      </c>
      <c r="P1434" s="8">
        <f t="shared" si="90"/>
        <v>41431</v>
      </c>
      <c r="Q1434" s="8">
        <f t="shared" si="91"/>
        <v>41379</v>
      </c>
      <c r="R1434" s="2" t="s">
        <v>26</v>
      </c>
      <c r="S1434" s="9">
        <f>VLOOKUP(P1434,$T$2:U1431,2,1)</f>
        <v>7.0000000000000007E-2</v>
      </c>
    </row>
    <row r="1435" spans="1:19" x14ac:dyDescent="0.25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e">
        <f>VLOOKUP(F1435,'Customer Info'!A1427:I1926,2,0)</f>
        <v>#N/A</v>
      </c>
      <c r="H1435" s="6" t="e">
        <f>VLOOKUP(F1435,'Customer Info'!A1427:I1926,3,0)</f>
        <v>#N/A</v>
      </c>
      <c r="I1435" s="6" t="e">
        <f>VLOOKUP(F1435,'Customer Info'!A1427:I1926,5,0)</f>
        <v>#N/A</v>
      </c>
      <c r="J1435" s="2">
        <v>1718</v>
      </c>
      <c r="K1435" s="2">
        <v>1545</v>
      </c>
      <c r="L1435" s="2">
        <v>3</v>
      </c>
      <c r="M1435" s="7">
        <f t="shared" si="88"/>
        <v>4635</v>
      </c>
      <c r="N1435" s="7">
        <f t="shared" si="89"/>
        <v>5154</v>
      </c>
      <c r="O1435" s="2">
        <v>87</v>
      </c>
      <c r="P1435" s="8">
        <f t="shared" si="90"/>
        <v>5241</v>
      </c>
      <c r="Q1435" s="8">
        <f t="shared" si="91"/>
        <v>5067</v>
      </c>
      <c r="R1435" s="2" t="s">
        <v>56</v>
      </c>
      <c r="S1435" s="9">
        <f>VLOOKUP(P1435,$T$2:U1432,2,1)</f>
        <v>0.05</v>
      </c>
    </row>
    <row r="1436" spans="1:19" x14ac:dyDescent="0.25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e">
        <f>VLOOKUP(F1436,'Customer Info'!A1428:I1927,2,0)</f>
        <v>#N/A</v>
      </c>
      <c r="H1436" s="6" t="e">
        <f>VLOOKUP(F1436,'Customer Info'!A1428:I1927,3,0)</f>
        <v>#N/A</v>
      </c>
      <c r="I1436" s="6" t="e">
        <f>VLOOKUP(F1436,'Customer Info'!A1428:I1927,5,0)</f>
        <v>#N/A</v>
      </c>
      <c r="J1436" s="2">
        <v>1405</v>
      </c>
      <c r="K1436" s="2">
        <v>1287</v>
      </c>
      <c r="L1436" s="2">
        <v>3</v>
      </c>
      <c r="M1436" s="7">
        <f t="shared" si="88"/>
        <v>3861</v>
      </c>
      <c r="N1436" s="7">
        <f t="shared" si="89"/>
        <v>4215</v>
      </c>
      <c r="O1436" s="2">
        <v>45</v>
      </c>
      <c r="P1436" s="8">
        <f t="shared" si="90"/>
        <v>4260</v>
      </c>
      <c r="Q1436" s="8">
        <f t="shared" si="91"/>
        <v>4170</v>
      </c>
      <c r="R1436" s="2" t="s">
        <v>28</v>
      </c>
      <c r="S1436" s="9">
        <f>VLOOKUP(P1436,$T$2:U1433,2,1)</f>
        <v>0.02</v>
      </c>
    </row>
    <row r="1437" spans="1:19" x14ac:dyDescent="0.25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e">
        <f>VLOOKUP(F1437,'Customer Info'!A1429:I1928,2,0)</f>
        <v>#N/A</v>
      </c>
      <c r="H1437" s="6" t="e">
        <f>VLOOKUP(F1437,'Customer Info'!A1429:I1928,3,0)</f>
        <v>#N/A</v>
      </c>
      <c r="I1437" s="6" t="e">
        <f>VLOOKUP(F1437,'Customer Info'!A1429:I1928,5,0)</f>
        <v>#N/A</v>
      </c>
      <c r="J1437" s="2">
        <v>1906</v>
      </c>
      <c r="K1437" s="2">
        <v>1798</v>
      </c>
      <c r="L1437" s="2">
        <v>3</v>
      </c>
      <c r="M1437" s="7">
        <f t="shared" si="88"/>
        <v>5394</v>
      </c>
      <c r="N1437" s="7">
        <f t="shared" si="89"/>
        <v>5718</v>
      </c>
      <c r="O1437" s="2">
        <v>24</v>
      </c>
      <c r="P1437" s="8">
        <f t="shared" si="90"/>
        <v>5742</v>
      </c>
      <c r="Q1437" s="8">
        <f t="shared" si="91"/>
        <v>5694</v>
      </c>
      <c r="R1437" s="2" t="s">
        <v>50</v>
      </c>
      <c r="S1437" s="9">
        <f>VLOOKUP(P1437,$T$2:U1434,2,1)</f>
        <v>0.05</v>
      </c>
    </row>
    <row r="1438" spans="1:19" x14ac:dyDescent="0.25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e">
        <f>VLOOKUP(F1438,'Customer Info'!A1430:I1929,2,0)</f>
        <v>#N/A</v>
      </c>
      <c r="H1438" s="6" t="e">
        <f>VLOOKUP(F1438,'Customer Info'!A1430:I1929,3,0)</f>
        <v>#N/A</v>
      </c>
      <c r="I1438" s="6" t="e">
        <f>VLOOKUP(F1438,'Customer Info'!A1430:I1929,5,0)</f>
        <v>#N/A</v>
      </c>
      <c r="J1438" s="2">
        <v>2526</v>
      </c>
      <c r="K1438" s="2">
        <v>2408</v>
      </c>
      <c r="L1438" s="2">
        <v>1</v>
      </c>
      <c r="M1438" s="7">
        <f t="shared" si="88"/>
        <v>2408</v>
      </c>
      <c r="N1438" s="7">
        <f t="shared" si="89"/>
        <v>2526</v>
      </c>
      <c r="O1438" s="2">
        <v>99</v>
      </c>
      <c r="P1438" s="8">
        <f t="shared" si="90"/>
        <v>2625</v>
      </c>
      <c r="Q1438" s="8">
        <f t="shared" si="91"/>
        <v>2427</v>
      </c>
      <c r="R1438" s="2" t="s">
        <v>50</v>
      </c>
      <c r="S1438" s="9">
        <f>VLOOKUP(P1438,$T$2:U1435,2,1)</f>
        <v>0.02</v>
      </c>
    </row>
    <row r="1439" spans="1:19" x14ac:dyDescent="0.25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e">
        <f>VLOOKUP(F1439,'Customer Info'!A1431:I1930,2,0)</f>
        <v>#N/A</v>
      </c>
      <c r="H1439" s="6" t="e">
        <f>VLOOKUP(F1439,'Customer Info'!A1431:I1930,3,0)</f>
        <v>#N/A</v>
      </c>
      <c r="I1439" s="6" t="e">
        <f>VLOOKUP(F1439,'Customer Info'!A1431:I1930,5,0)</f>
        <v>#N/A</v>
      </c>
      <c r="J1439" s="2">
        <v>7864</v>
      </c>
      <c r="K1439" s="2">
        <v>7563</v>
      </c>
      <c r="L1439" s="2">
        <v>3</v>
      </c>
      <c r="M1439" s="7">
        <f t="shared" si="88"/>
        <v>22689</v>
      </c>
      <c r="N1439" s="7">
        <f t="shared" si="89"/>
        <v>23592</v>
      </c>
      <c r="O1439" s="2">
        <v>81</v>
      </c>
      <c r="P1439" s="8">
        <f t="shared" si="90"/>
        <v>23673</v>
      </c>
      <c r="Q1439" s="8">
        <f t="shared" si="91"/>
        <v>23511</v>
      </c>
      <c r="R1439" s="2" t="s">
        <v>56</v>
      </c>
      <c r="S1439" s="9">
        <f>VLOOKUP(P1439,$T$2:U1436,2,1)</f>
        <v>0.05</v>
      </c>
    </row>
    <row r="1440" spans="1:19" x14ac:dyDescent="0.25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e">
        <f>VLOOKUP(F1440,'Customer Info'!A1432:I1931,2,0)</f>
        <v>#N/A</v>
      </c>
      <c r="H1440" s="6" t="e">
        <f>VLOOKUP(F1440,'Customer Info'!A1432:I1931,3,0)</f>
        <v>#N/A</v>
      </c>
      <c r="I1440" s="6" t="e">
        <f>VLOOKUP(F1440,'Customer Info'!A1432:I1931,5,0)</f>
        <v>#N/A</v>
      </c>
      <c r="J1440" s="2">
        <v>60</v>
      </c>
      <c r="K1440" s="2">
        <v>56</v>
      </c>
      <c r="L1440" s="2">
        <v>3</v>
      </c>
      <c r="M1440" s="7">
        <f t="shared" si="88"/>
        <v>168</v>
      </c>
      <c r="N1440" s="7">
        <f t="shared" si="89"/>
        <v>180</v>
      </c>
      <c r="O1440" s="2">
        <v>10</v>
      </c>
      <c r="P1440" s="8">
        <f t="shared" si="90"/>
        <v>190</v>
      </c>
      <c r="Q1440" s="8">
        <f t="shared" si="91"/>
        <v>170</v>
      </c>
      <c r="R1440" s="2" t="s">
        <v>50</v>
      </c>
      <c r="S1440" s="9">
        <f>VLOOKUP(P1440,$T$2:U1437,2,1)</f>
        <v>0.02</v>
      </c>
    </row>
    <row r="1441" spans="1:19" x14ac:dyDescent="0.25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e">
        <f>VLOOKUP(F1441,'Customer Info'!A1433:I1932,2,0)</f>
        <v>#N/A</v>
      </c>
      <c r="H1441" s="6" t="e">
        <f>VLOOKUP(F1441,'Customer Info'!A1433:I1932,3,0)</f>
        <v>#N/A</v>
      </c>
      <c r="I1441" s="6" t="e">
        <f>VLOOKUP(F1441,'Customer Info'!A1433:I1932,5,0)</f>
        <v>#N/A</v>
      </c>
      <c r="J1441" s="2">
        <v>923</v>
      </c>
      <c r="K1441" s="2">
        <v>879</v>
      </c>
      <c r="L1441" s="2">
        <v>2</v>
      </c>
      <c r="M1441" s="7">
        <f t="shared" si="88"/>
        <v>1758</v>
      </c>
      <c r="N1441" s="7">
        <f t="shared" si="89"/>
        <v>1846</v>
      </c>
      <c r="O1441" s="2">
        <v>54</v>
      </c>
      <c r="P1441" s="8">
        <f t="shared" si="90"/>
        <v>1900</v>
      </c>
      <c r="Q1441" s="8">
        <f t="shared" si="91"/>
        <v>1792</v>
      </c>
      <c r="R1441" s="2" t="s">
        <v>50</v>
      </c>
      <c r="S1441" s="9">
        <f>VLOOKUP(P1441,$T$2:U1438,2,1)</f>
        <v>0.02</v>
      </c>
    </row>
    <row r="1442" spans="1:19" x14ac:dyDescent="0.25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e">
        <f>VLOOKUP(F1442,'Customer Info'!A1434:I1933,2,0)</f>
        <v>#N/A</v>
      </c>
      <c r="H1442" s="6" t="e">
        <f>VLOOKUP(F1442,'Customer Info'!A1434:I1933,3,0)</f>
        <v>#N/A</v>
      </c>
      <c r="I1442" s="6" t="e">
        <f>VLOOKUP(F1442,'Customer Info'!A1434:I1933,5,0)</f>
        <v>#N/A</v>
      </c>
      <c r="J1442" s="2">
        <v>1482</v>
      </c>
      <c r="K1442" s="2">
        <v>1453</v>
      </c>
      <c r="L1442" s="2">
        <v>1</v>
      </c>
      <c r="M1442" s="7">
        <f t="shared" si="88"/>
        <v>1453</v>
      </c>
      <c r="N1442" s="7">
        <f t="shared" si="89"/>
        <v>1482</v>
      </c>
      <c r="O1442" s="2">
        <v>67</v>
      </c>
      <c r="P1442" s="8">
        <f t="shared" si="90"/>
        <v>1549</v>
      </c>
      <c r="Q1442" s="8">
        <f t="shared" si="91"/>
        <v>1415</v>
      </c>
      <c r="R1442" s="2" t="s">
        <v>56</v>
      </c>
      <c r="S1442" s="9">
        <f>VLOOKUP(P1442,$T$2:U1439,2,1)</f>
        <v>0.02</v>
      </c>
    </row>
    <row r="1443" spans="1:19" x14ac:dyDescent="0.25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e">
        <f>VLOOKUP(F1443,'Customer Info'!A1435:I1934,2,0)</f>
        <v>#N/A</v>
      </c>
      <c r="H1443" s="6" t="e">
        <f>VLOOKUP(F1443,'Customer Info'!A1435:I1934,3,0)</f>
        <v>#N/A</v>
      </c>
      <c r="I1443" s="6" t="e">
        <f>VLOOKUP(F1443,'Customer Info'!A1435:I1934,5,0)</f>
        <v>#N/A</v>
      </c>
      <c r="J1443" s="2">
        <v>8448</v>
      </c>
      <c r="K1443" s="2">
        <v>7822</v>
      </c>
      <c r="L1443" s="2">
        <v>5</v>
      </c>
      <c r="M1443" s="7">
        <f t="shared" si="88"/>
        <v>39110</v>
      </c>
      <c r="N1443" s="7">
        <f t="shared" si="89"/>
        <v>42240</v>
      </c>
      <c r="O1443" s="2">
        <v>24</v>
      </c>
      <c r="P1443" s="8">
        <f t="shared" si="90"/>
        <v>42264</v>
      </c>
      <c r="Q1443" s="8">
        <f t="shared" si="91"/>
        <v>42216</v>
      </c>
      <c r="R1443" s="2" t="s">
        <v>28</v>
      </c>
      <c r="S1443" s="9">
        <f>VLOOKUP(P1443,$T$2:U1440,2,1)</f>
        <v>7.0000000000000007E-2</v>
      </c>
    </row>
    <row r="1444" spans="1:19" x14ac:dyDescent="0.25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e">
        <f>VLOOKUP(F1444,'Customer Info'!A1436:I1935,2,0)</f>
        <v>#N/A</v>
      </c>
      <c r="H1444" s="6" t="e">
        <f>VLOOKUP(F1444,'Customer Info'!A1436:I1935,3,0)</f>
        <v>#N/A</v>
      </c>
      <c r="I1444" s="6" t="e">
        <f>VLOOKUP(F1444,'Customer Info'!A1436:I1935,5,0)</f>
        <v>#N/A</v>
      </c>
      <c r="J1444" s="2">
        <v>1925</v>
      </c>
      <c r="K1444" s="2">
        <v>1834</v>
      </c>
      <c r="L1444" s="2">
        <v>4</v>
      </c>
      <c r="M1444" s="7">
        <f t="shared" si="88"/>
        <v>7336</v>
      </c>
      <c r="N1444" s="7">
        <f t="shared" si="89"/>
        <v>7700</v>
      </c>
      <c r="O1444" s="2">
        <v>87</v>
      </c>
      <c r="P1444" s="8">
        <f t="shared" si="90"/>
        <v>7787</v>
      </c>
      <c r="Q1444" s="8">
        <f t="shared" si="91"/>
        <v>7613</v>
      </c>
      <c r="R1444" s="2" t="s">
        <v>28</v>
      </c>
      <c r="S1444" s="9">
        <f>VLOOKUP(P1444,$T$2:U1441,2,1)</f>
        <v>0.05</v>
      </c>
    </row>
    <row r="1445" spans="1:19" x14ac:dyDescent="0.25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e">
        <f>VLOOKUP(F1445,'Customer Info'!A1437:I1936,2,0)</f>
        <v>#N/A</v>
      </c>
      <c r="H1445" s="6" t="e">
        <f>VLOOKUP(F1445,'Customer Info'!A1437:I1936,3,0)</f>
        <v>#N/A</v>
      </c>
      <c r="I1445" s="6" t="e">
        <f>VLOOKUP(F1445,'Customer Info'!A1437:I1936,5,0)</f>
        <v>#N/A</v>
      </c>
      <c r="J1445" s="2">
        <v>2088</v>
      </c>
      <c r="K1445" s="2">
        <v>1970</v>
      </c>
      <c r="L1445" s="2">
        <v>1</v>
      </c>
      <c r="M1445" s="7">
        <f t="shared" si="88"/>
        <v>1970</v>
      </c>
      <c r="N1445" s="7">
        <f t="shared" si="89"/>
        <v>2088</v>
      </c>
      <c r="O1445" s="2">
        <v>39</v>
      </c>
      <c r="P1445" s="8">
        <f t="shared" si="90"/>
        <v>2127</v>
      </c>
      <c r="Q1445" s="8">
        <f t="shared" si="91"/>
        <v>2049</v>
      </c>
      <c r="R1445" s="2" t="s">
        <v>50</v>
      </c>
      <c r="S1445" s="9">
        <f>VLOOKUP(P1445,$T$2:U1442,2,1)</f>
        <v>0.02</v>
      </c>
    </row>
    <row r="1446" spans="1:19" x14ac:dyDescent="0.25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e">
        <f>VLOOKUP(F1446,'Customer Info'!A1438:I1937,2,0)</f>
        <v>#N/A</v>
      </c>
      <c r="H1446" s="6" t="e">
        <f>VLOOKUP(F1446,'Customer Info'!A1438:I1937,3,0)</f>
        <v>#N/A</v>
      </c>
      <c r="I1446" s="6" t="e">
        <f>VLOOKUP(F1446,'Customer Info'!A1438:I1937,5,0)</f>
        <v>#N/A</v>
      </c>
      <c r="J1446" s="2">
        <v>169</v>
      </c>
      <c r="K1446" s="2">
        <v>160</v>
      </c>
      <c r="L1446" s="2">
        <v>3</v>
      </c>
      <c r="M1446" s="7">
        <f t="shared" si="88"/>
        <v>480</v>
      </c>
      <c r="N1446" s="7">
        <f t="shared" si="89"/>
        <v>507</v>
      </c>
      <c r="O1446" s="2">
        <v>30</v>
      </c>
      <c r="P1446" s="8">
        <f t="shared" si="90"/>
        <v>537</v>
      </c>
      <c r="Q1446" s="8">
        <f t="shared" si="91"/>
        <v>477</v>
      </c>
      <c r="R1446" s="2" t="s">
        <v>28</v>
      </c>
      <c r="S1446" s="9">
        <f>VLOOKUP(P1446,$T$2:U1443,2,1)</f>
        <v>0.02</v>
      </c>
    </row>
    <row r="1447" spans="1:19" x14ac:dyDescent="0.25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e">
        <f>VLOOKUP(F1447,'Customer Info'!A1439:I1938,2,0)</f>
        <v>#N/A</v>
      </c>
      <c r="H1447" s="6" t="e">
        <f>VLOOKUP(F1447,'Customer Info'!A1439:I1938,3,0)</f>
        <v>#N/A</v>
      </c>
      <c r="I1447" s="6" t="e">
        <f>VLOOKUP(F1447,'Customer Info'!A1439:I1938,5,0)</f>
        <v>#N/A</v>
      </c>
      <c r="J1447" s="2">
        <v>222</v>
      </c>
      <c r="K1447" s="2">
        <v>204</v>
      </c>
      <c r="L1447" s="2">
        <v>3</v>
      </c>
      <c r="M1447" s="7">
        <f t="shared" si="88"/>
        <v>612</v>
      </c>
      <c r="N1447" s="7">
        <f t="shared" si="89"/>
        <v>666</v>
      </c>
      <c r="O1447" s="2">
        <v>27</v>
      </c>
      <c r="P1447" s="8">
        <f t="shared" si="90"/>
        <v>693</v>
      </c>
      <c r="Q1447" s="8">
        <f t="shared" si="91"/>
        <v>639</v>
      </c>
      <c r="R1447" s="2" t="s">
        <v>28</v>
      </c>
      <c r="S1447" s="9">
        <f>VLOOKUP(P1447,$T$2:U1444,2,1)</f>
        <v>0.02</v>
      </c>
    </row>
    <row r="1448" spans="1:19" x14ac:dyDescent="0.25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e">
        <f>VLOOKUP(F1448,'Customer Info'!A1440:I1939,2,0)</f>
        <v>#N/A</v>
      </c>
      <c r="H1448" s="6" t="e">
        <f>VLOOKUP(F1448,'Customer Info'!A1440:I1939,3,0)</f>
        <v>#N/A</v>
      </c>
      <c r="I1448" s="6" t="e">
        <f>VLOOKUP(F1448,'Customer Info'!A1440:I1939,5,0)</f>
        <v>#N/A</v>
      </c>
      <c r="J1448" s="2">
        <v>4904</v>
      </c>
      <c r="K1448" s="2">
        <v>4499</v>
      </c>
      <c r="L1448" s="2">
        <v>5</v>
      </c>
      <c r="M1448" s="7">
        <f t="shared" si="88"/>
        <v>22495</v>
      </c>
      <c r="N1448" s="7">
        <f t="shared" si="89"/>
        <v>24520</v>
      </c>
      <c r="O1448" s="2">
        <v>74</v>
      </c>
      <c r="P1448" s="8">
        <f t="shared" si="90"/>
        <v>24594</v>
      </c>
      <c r="Q1448" s="8">
        <f t="shared" si="91"/>
        <v>24446</v>
      </c>
      <c r="R1448" s="2" t="s">
        <v>28</v>
      </c>
      <c r="S1448" s="9">
        <f>VLOOKUP(P1448,$T$2:U1445,2,1)</f>
        <v>0.05</v>
      </c>
    </row>
    <row r="1449" spans="1:19" x14ac:dyDescent="0.25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e">
        <f>VLOOKUP(F1449,'Customer Info'!A1441:I1940,2,0)</f>
        <v>#N/A</v>
      </c>
      <c r="H1449" s="6" t="e">
        <f>VLOOKUP(F1449,'Customer Info'!A1441:I1940,3,0)</f>
        <v>#N/A</v>
      </c>
      <c r="I1449" s="6" t="e">
        <f>VLOOKUP(F1449,'Customer Info'!A1441:I1940,5,0)</f>
        <v>#N/A</v>
      </c>
      <c r="J1449" s="2">
        <v>2540</v>
      </c>
      <c r="K1449" s="2">
        <v>2397</v>
      </c>
      <c r="L1449" s="2">
        <v>6</v>
      </c>
      <c r="M1449" s="7">
        <f t="shared" si="88"/>
        <v>14382</v>
      </c>
      <c r="N1449" s="7">
        <f t="shared" si="89"/>
        <v>15240</v>
      </c>
      <c r="O1449" s="2">
        <v>29</v>
      </c>
      <c r="P1449" s="8">
        <f t="shared" si="90"/>
        <v>15269</v>
      </c>
      <c r="Q1449" s="8">
        <f t="shared" si="91"/>
        <v>15211</v>
      </c>
      <c r="R1449" s="2" t="s">
        <v>50</v>
      </c>
      <c r="S1449" s="9">
        <f>VLOOKUP(P1449,$T$2:U1446,2,1)</f>
        <v>0.05</v>
      </c>
    </row>
    <row r="1450" spans="1:19" x14ac:dyDescent="0.25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e">
        <f>VLOOKUP(F1450,'Customer Info'!A1442:I1941,2,0)</f>
        <v>#N/A</v>
      </c>
      <c r="H1450" s="6" t="e">
        <f>VLOOKUP(F1450,'Customer Info'!A1442:I1941,3,0)</f>
        <v>#N/A</v>
      </c>
      <c r="I1450" s="6" t="e">
        <f>VLOOKUP(F1450,'Customer Info'!A1442:I1941,5,0)</f>
        <v>#N/A</v>
      </c>
      <c r="J1450" s="2">
        <v>1125</v>
      </c>
      <c r="K1450" s="2">
        <v>1040</v>
      </c>
      <c r="L1450" s="2">
        <v>2</v>
      </c>
      <c r="M1450" s="7">
        <f t="shared" si="88"/>
        <v>2080</v>
      </c>
      <c r="N1450" s="7">
        <f t="shared" si="89"/>
        <v>2250</v>
      </c>
      <c r="O1450" s="2">
        <v>62</v>
      </c>
      <c r="P1450" s="8">
        <f t="shared" si="90"/>
        <v>2312</v>
      </c>
      <c r="Q1450" s="8">
        <f t="shared" si="91"/>
        <v>2188</v>
      </c>
      <c r="R1450" s="2" t="s">
        <v>56</v>
      </c>
      <c r="S1450" s="9">
        <f>VLOOKUP(P1450,$T$2:U1447,2,1)</f>
        <v>0.02</v>
      </c>
    </row>
    <row r="1451" spans="1:19" x14ac:dyDescent="0.25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e">
        <f>VLOOKUP(F1451,'Customer Info'!A1443:I1942,2,0)</f>
        <v>#N/A</v>
      </c>
      <c r="H1451" s="6" t="e">
        <f>VLOOKUP(F1451,'Customer Info'!A1443:I1942,3,0)</f>
        <v>#N/A</v>
      </c>
      <c r="I1451" s="6" t="e">
        <f>VLOOKUP(F1451,'Customer Info'!A1443:I1942,5,0)</f>
        <v>#N/A</v>
      </c>
      <c r="J1451" s="2">
        <v>3321</v>
      </c>
      <c r="K1451" s="2">
        <v>2989</v>
      </c>
      <c r="L1451" s="2">
        <v>3</v>
      </c>
      <c r="M1451" s="7">
        <f t="shared" si="88"/>
        <v>8967</v>
      </c>
      <c r="N1451" s="7">
        <f t="shared" si="89"/>
        <v>9963</v>
      </c>
      <c r="O1451" s="2">
        <v>81</v>
      </c>
      <c r="P1451" s="8">
        <f t="shared" si="90"/>
        <v>10044</v>
      </c>
      <c r="Q1451" s="8">
        <f t="shared" si="91"/>
        <v>9882</v>
      </c>
      <c r="R1451" s="2" t="s">
        <v>28</v>
      </c>
      <c r="S1451" s="9">
        <f>VLOOKUP(P1451,$T$2:U1448,2,1)</f>
        <v>0.05</v>
      </c>
    </row>
    <row r="1452" spans="1:19" x14ac:dyDescent="0.25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e">
        <f>VLOOKUP(F1452,'Customer Info'!A1444:I1943,2,0)</f>
        <v>#N/A</v>
      </c>
      <c r="H1452" s="6" t="e">
        <f>VLOOKUP(F1452,'Customer Info'!A1444:I1943,3,0)</f>
        <v>#N/A</v>
      </c>
      <c r="I1452" s="6" t="e">
        <f>VLOOKUP(F1452,'Customer Info'!A1444:I1943,5,0)</f>
        <v>#N/A</v>
      </c>
      <c r="J1452" s="2">
        <v>1528</v>
      </c>
      <c r="K1452" s="2">
        <v>1348</v>
      </c>
      <c r="L1452" s="2">
        <v>2</v>
      </c>
      <c r="M1452" s="7">
        <f t="shared" si="88"/>
        <v>2696</v>
      </c>
      <c r="N1452" s="7">
        <f t="shared" si="89"/>
        <v>3056</v>
      </c>
      <c r="O1452" s="2">
        <v>64</v>
      </c>
      <c r="P1452" s="8">
        <f t="shared" si="90"/>
        <v>3120</v>
      </c>
      <c r="Q1452" s="8">
        <f t="shared" si="91"/>
        <v>2992</v>
      </c>
      <c r="R1452" s="2" t="s">
        <v>28</v>
      </c>
      <c r="S1452" s="9">
        <f>VLOOKUP(P1452,$T$2:U1449,2,1)</f>
        <v>0.02</v>
      </c>
    </row>
    <row r="1453" spans="1:19" x14ac:dyDescent="0.25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e">
        <f>VLOOKUP(F1453,'Customer Info'!A1445:I1944,2,0)</f>
        <v>#N/A</v>
      </c>
      <c r="H1453" s="6" t="e">
        <f>VLOOKUP(F1453,'Customer Info'!A1445:I1944,3,0)</f>
        <v>#N/A</v>
      </c>
      <c r="I1453" s="6" t="e">
        <f>VLOOKUP(F1453,'Customer Info'!A1445:I1944,5,0)</f>
        <v>#N/A</v>
      </c>
      <c r="J1453" s="2">
        <v>8752</v>
      </c>
      <c r="K1453" s="2">
        <v>7877</v>
      </c>
      <c r="L1453" s="2">
        <v>2</v>
      </c>
      <c r="M1453" s="7">
        <f t="shared" si="88"/>
        <v>15754</v>
      </c>
      <c r="N1453" s="7">
        <f t="shared" si="89"/>
        <v>17504</v>
      </c>
      <c r="O1453" s="2">
        <v>27</v>
      </c>
      <c r="P1453" s="8">
        <f t="shared" si="90"/>
        <v>17531</v>
      </c>
      <c r="Q1453" s="8">
        <f t="shared" si="91"/>
        <v>17477</v>
      </c>
      <c r="R1453" s="2" t="s">
        <v>28</v>
      </c>
      <c r="S1453" s="9">
        <f>VLOOKUP(P1453,$T$2:U1450,2,1)</f>
        <v>0.05</v>
      </c>
    </row>
    <row r="1454" spans="1:19" x14ac:dyDescent="0.25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e">
        <f>VLOOKUP(F1454,'Customer Info'!A1446:I1945,2,0)</f>
        <v>#N/A</v>
      </c>
      <c r="H1454" s="6" t="e">
        <f>VLOOKUP(F1454,'Customer Info'!A1446:I1945,3,0)</f>
        <v>#N/A</v>
      </c>
      <c r="I1454" s="6" t="e">
        <f>VLOOKUP(F1454,'Customer Info'!A1446:I1945,5,0)</f>
        <v>#N/A</v>
      </c>
      <c r="J1454" s="2">
        <v>1816</v>
      </c>
      <c r="K1454" s="2">
        <v>1699</v>
      </c>
      <c r="L1454" s="2">
        <v>5</v>
      </c>
      <c r="M1454" s="7">
        <f t="shared" si="88"/>
        <v>8495</v>
      </c>
      <c r="N1454" s="7">
        <f t="shared" si="89"/>
        <v>9080</v>
      </c>
      <c r="O1454" s="2">
        <v>65</v>
      </c>
      <c r="P1454" s="8">
        <f t="shared" si="90"/>
        <v>9145</v>
      </c>
      <c r="Q1454" s="8">
        <f t="shared" si="91"/>
        <v>9015</v>
      </c>
      <c r="R1454" s="2" t="s">
        <v>28</v>
      </c>
      <c r="S1454" s="9">
        <f>VLOOKUP(P1454,$T$2:U1451,2,1)</f>
        <v>0.05</v>
      </c>
    </row>
    <row r="1455" spans="1:19" x14ac:dyDescent="0.25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e">
        <f>VLOOKUP(F1455,'Customer Info'!A1447:I1946,2,0)</f>
        <v>#N/A</v>
      </c>
      <c r="H1455" s="6" t="e">
        <f>VLOOKUP(F1455,'Customer Info'!A1447:I1946,3,0)</f>
        <v>#N/A</v>
      </c>
      <c r="I1455" s="6" t="e">
        <f>VLOOKUP(F1455,'Customer Info'!A1447:I1946,5,0)</f>
        <v>#N/A</v>
      </c>
      <c r="J1455" s="2">
        <v>6087</v>
      </c>
      <c r="K1455" s="2">
        <v>5808</v>
      </c>
      <c r="L1455" s="2">
        <v>6</v>
      </c>
      <c r="M1455" s="7">
        <f t="shared" si="88"/>
        <v>34848</v>
      </c>
      <c r="N1455" s="7">
        <f t="shared" si="89"/>
        <v>36522</v>
      </c>
      <c r="O1455" s="2">
        <v>45</v>
      </c>
      <c r="P1455" s="8">
        <f t="shared" si="90"/>
        <v>36567</v>
      </c>
      <c r="Q1455" s="8">
        <f t="shared" si="91"/>
        <v>36477</v>
      </c>
      <c r="R1455" s="2" t="s">
        <v>50</v>
      </c>
      <c r="S1455" s="9">
        <f>VLOOKUP(P1455,$T$2:U1452,2,1)</f>
        <v>7.0000000000000007E-2</v>
      </c>
    </row>
    <row r="1456" spans="1:19" x14ac:dyDescent="0.25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e">
        <f>VLOOKUP(F1456,'Customer Info'!A1448:I1947,2,0)</f>
        <v>#N/A</v>
      </c>
      <c r="H1456" s="6" t="e">
        <f>VLOOKUP(F1456,'Customer Info'!A1448:I1947,3,0)</f>
        <v>#N/A</v>
      </c>
      <c r="I1456" s="6" t="e">
        <f>VLOOKUP(F1456,'Customer Info'!A1448:I1947,5,0)</f>
        <v>#N/A</v>
      </c>
      <c r="J1456" s="2">
        <v>679</v>
      </c>
      <c r="K1456" s="2">
        <v>654</v>
      </c>
      <c r="L1456" s="2">
        <v>1</v>
      </c>
      <c r="M1456" s="7">
        <f t="shared" si="88"/>
        <v>654</v>
      </c>
      <c r="N1456" s="7">
        <f t="shared" si="89"/>
        <v>679</v>
      </c>
      <c r="O1456" s="2">
        <v>87</v>
      </c>
      <c r="P1456" s="8">
        <f t="shared" si="90"/>
        <v>766</v>
      </c>
      <c r="Q1456" s="8">
        <f t="shared" si="91"/>
        <v>592</v>
      </c>
      <c r="R1456" s="2" t="s">
        <v>28</v>
      </c>
      <c r="S1456" s="9">
        <f>VLOOKUP(P1456,$T$2:U1453,2,1)</f>
        <v>0.02</v>
      </c>
    </row>
    <row r="1457" spans="1:19" x14ac:dyDescent="0.25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e">
        <f>VLOOKUP(F1457,'Customer Info'!A1449:I1948,2,0)</f>
        <v>#N/A</v>
      </c>
      <c r="H1457" s="6" t="e">
        <f>VLOOKUP(F1457,'Customer Info'!A1449:I1948,3,0)</f>
        <v>#N/A</v>
      </c>
      <c r="I1457" s="6" t="e">
        <f>VLOOKUP(F1457,'Customer Info'!A1449:I1948,5,0)</f>
        <v>#N/A</v>
      </c>
      <c r="J1457" s="2">
        <v>1717</v>
      </c>
      <c r="K1457" s="2">
        <v>1652</v>
      </c>
      <c r="L1457" s="2">
        <v>4</v>
      </c>
      <c r="M1457" s="7">
        <f t="shared" si="88"/>
        <v>6608</v>
      </c>
      <c r="N1457" s="7">
        <f t="shared" si="89"/>
        <v>6868</v>
      </c>
      <c r="O1457" s="2">
        <v>34</v>
      </c>
      <c r="P1457" s="8">
        <f t="shared" si="90"/>
        <v>6902</v>
      </c>
      <c r="Q1457" s="8">
        <f t="shared" si="91"/>
        <v>6834</v>
      </c>
      <c r="R1457" s="2" t="s">
        <v>28</v>
      </c>
      <c r="S1457" s="9">
        <f>VLOOKUP(P1457,$T$2:U1454,2,1)</f>
        <v>0.05</v>
      </c>
    </row>
    <row r="1458" spans="1:19" x14ac:dyDescent="0.25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e">
        <f>VLOOKUP(F1458,'Customer Info'!A1450:I1949,2,0)</f>
        <v>#N/A</v>
      </c>
      <c r="H1458" s="6" t="e">
        <f>VLOOKUP(F1458,'Customer Info'!A1450:I1949,3,0)</f>
        <v>#N/A</v>
      </c>
      <c r="I1458" s="6" t="e">
        <f>VLOOKUP(F1458,'Customer Info'!A1450:I1949,5,0)</f>
        <v>#N/A</v>
      </c>
      <c r="J1458" s="2">
        <v>1399</v>
      </c>
      <c r="K1458" s="2">
        <v>1333</v>
      </c>
      <c r="L1458" s="2">
        <v>1</v>
      </c>
      <c r="M1458" s="7">
        <f t="shared" si="88"/>
        <v>1333</v>
      </c>
      <c r="N1458" s="7">
        <f t="shared" si="89"/>
        <v>1399</v>
      </c>
      <c r="O1458" s="2">
        <v>91</v>
      </c>
      <c r="P1458" s="8">
        <f t="shared" si="90"/>
        <v>1490</v>
      </c>
      <c r="Q1458" s="8">
        <f t="shared" si="91"/>
        <v>1308</v>
      </c>
      <c r="R1458" s="2" t="s">
        <v>28</v>
      </c>
      <c r="S1458" s="9">
        <f>VLOOKUP(P1458,$T$2:U1455,2,1)</f>
        <v>0.02</v>
      </c>
    </row>
    <row r="1459" spans="1:19" x14ac:dyDescent="0.25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e">
        <f>VLOOKUP(F1459,'Customer Info'!A1451:I1950,2,0)</f>
        <v>#N/A</v>
      </c>
      <c r="H1459" s="6" t="e">
        <f>VLOOKUP(F1459,'Customer Info'!A1451:I1950,3,0)</f>
        <v>#N/A</v>
      </c>
      <c r="I1459" s="6" t="e">
        <f>VLOOKUP(F1459,'Customer Info'!A1451:I1950,5,0)</f>
        <v>#N/A</v>
      </c>
      <c r="J1459" s="2">
        <v>63</v>
      </c>
      <c r="K1459" s="2">
        <v>58</v>
      </c>
      <c r="L1459" s="2">
        <v>9</v>
      </c>
      <c r="M1459" s="7">
        <f t="shared" si="88"/>
        <v>522</v>
      </c>
      <c r="N1459" s="7">
        <f t="shared" si="89"/>
        <v>567</v>
      </c>
      <c r="O1459" s="2">
        <v>10</v>
      </c>
      <c r="P1459" s="8">
        <f t="shared" si="90"/>
        <v>577</v>
      </c>
      <c r="Q1459" s="8">
        <f t="shared" si="91"/>
        <v>557</v>
      </c>
      <c r="R1459" s="2" t="s">
        <v>28</v>
      </c>
      <c r="S1459" s="9">
        <f>VLOOKUP(P1459,$T$2:U1456,2,1)</f>
        <v>0.02</v>
      </c>
    </row>
    <row r="1460" spans="1:19" x14ac:dyDescent="0.25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e">
        <f>VLOOKUP(F1460,'Customer Info'!A1452:I1951,2,0)</f>
        <v>#N/A</v>
      </c>
      <c r="H1460" s="6" t="e">
        <f>VLOOKUP(F1460,'Customer Info'!A1452:I1951,3,0)</f>
        <v>#N/A</v>
      </c>
      <c r="I1460" s="6" t="e">
        <f>VLOOKUP(F1460,'Customer Info'!A1452:I1951,5,0)</f>
        <v>#N/A</v>
      </c>
      <c r="J1460" s="2">
        <v>3017</v>
      </c>
      <c r="K1460" s="2">
        <v>2825</v>
      </c>
      <c r="L1460" s="2">
        <v>8</v>
      </c>
      <c r="M1460" s="7">
        <f t="shared" si="88"/>
        <v>22600</v>
      </c>
      <c r="N1460" s="7">
        <f t="shared" si="89"/>
        <v>24136</v>
      </c>
      <c r="O1460" s="2">
        <v>54</v>
      </c>
      <c r="P1460" s="8">
        <f t="shared" si="90"/>
        <v>24190</v>
      </c>
      <c r="Q1460" s="8">
        <f t="shared" si="91"/>
        <v>24082</v>
      </c>
      <c r="R1460" s="2" t="s">
        <v>28</v>
      </c>
      <c r="S1460" s="9">
        <f>VLOOKUP(P1460,$T$2:U1457,2,1)</f>
        <v>0.05</v>
      </c>
    </row>
    <row r="1461" spans="1:19" x14ac:dyDescent="0.25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e">
        <f>VLOOKUP(F1461,'Customer Info'!A1453:I1952,2,0)</f>
        <v>#N/A</v>
      </c>
      <c r="H1461" s="6" t="e">
        <f>VLOOKUP(F1461,'Customer Info'!A1453:I1952,3,0)</f>
        <v>#N/A</v>
      </c>
      <c r="I1461" s="6" t="e">
        <f>VLOOKUP(F1461,'Customer Info'!A1453:I1952,5,0)</f>
        <v>#N/A</v>
      </c>
      <c r="J1461" s="2">
        <v>130</v>
      </c>
      <c r="K1461" s="2">
        <v>122</v>
      </c>
      <c r="L1461" s="2">
        <v>2</v>
      </c>
      <c r="M1461" s="7">
        <f t="shared" si="88"/>
        <v>244</v>
      </c>
      <c r="N1461" s="7">
        <f t="shared" si="89"/>
        <v>260</v>
      </c>
      <c r="O1461" s="2">
        <v>30</v>
      </c>
      <c r="P1461" s="8">
        <f t="shared" si="90"/>
        <v>290</v>
      </c>
      <c r="Q1461" s="8">
        <f t="shared" si="91"/>
        <v>230</v>
      </c>
      <c r="R1461" s="2" t="s">
        <v>26</v>
      </c>
      <c r="S1461" s="9">
        <f>VLOOKUP(P1461,$T$2:U1458,2,1)</f>
        <v>0.02</v>
      </c>
    </row>
    <row r="1462" spans="1:19" x14ac:dyDescent="0.25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e">
        <f>VLOOKUP(F1462,'Customer Info'!A1454:I1953,2,0)</f>
        <v>#N/A</v>
      </c>
      <c r="H1462" s="6" t="e">
        <f>VLOOKUP(F1462,'Customer Info'!A1454:I1953,3,0)</f>
        <v>#N/A</v>
      </c>
      <c r="I1462" s="6" t="e">
        <f>VLOOKUP(F1462,'Customer Info'!A1454:I1953,5,0)</f>
        <v>#N/A</v>
      </c>
      <c r="J1462" s="2">
        <v>188</v>
      </c>
      <c r="K1462" s="2">
        <v>173</v>
      </c>
      <c r="L1462" s="2">
        <v>12</v>
      </c>
      <c r="M1462" s="7">
        <f t="shared" si="88"/>
        <v>2076</v>
      </c>
      <c r="N1462" s="7">
        <f t="shared" si="89"/>
        <v>2256</v>
      </c>
      <c r="O1462" s="2">
        <v>30</v>
      </c>
      <c r="P1462" s="8">
        <f t="shared" si="90"/>
        <v>2286</v>
      </c>
      <c r="Q1462" s="8">
        <f t="shared" si="91"/>
        <v>2226</v>
      </c>
      <c r="R1462" s="2" t="s">
        <v>26</v>
      </c>
      <c r="S1462" s="9">
        <f>VLOOKUP(P1462,$T$2:U1459,2,1)</f>
        <v>0.02</v>
      </c>
    </row>
    <row r="1463" spans="1:19" x14ac:dyDescent="0.25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e">
        <f>VLOOKUP(F1463,'Customer Info'!A1455:I1954,2,0)</f>
        <v>#N/A</v>
      </c>
      <c r="H1463" s="6" t="e">
        <f>VLOOKUP(F1463,'Customer Info'!A1455:I1954,3,0)</f>
        <v>#N/A</v>
      </c>
      <c r="I1463" s="6" t="e">
        <f>VLOOKUP(F1463,'Customer Info'!A1455:I1954,5,0)</f>
        <v>#N/A</v>
      </c>
      <c r="J1463" s="2">
        <v>1332</v>
      </c>
      <c r="K1463" s="2">
        <v>1209</v>
      </c>
      <c r="L1463" s="2">
        <v>1</v>
      </c>
      <c r="M1463" s="7">
        <f t="shared" si="88"/>
        <v>1209</v>
      </c>
      <c r="N1463" s="7">
        <f t="shared" si="89"/>
        <v>1332</v>
      </c>
      <c r="O1463" s="2">
        <v>72</v>
      </c>
      <c r="P1463" s="8">
        <f t="shared" si="90"/>
        <v>1404</v>
      </c>
      <c r="Q1463" s="8">
        <f t="shared" si="91"/>
        <v>1260</v>
      </c>
      <c r="R1463" s="2" t="s">
        <v>28</v>
      </c>
      <c r="S1463" s="9">
        <f>VLOOKUP(P1463,$T$2:U1460,2,1)</f>
        <v>0.02</v>
      </c>
    </row>
    <row r="1464" spans="1:19" x14ac:dyDescent="0.25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e">
        <f>VLOOKUP(F1464,'Customer Info'!A1456:I1955,2,0)</f>
        <v>#N/A</v>
      </c>
      <c r="H1464" s="6" t="e">
        <f>VLOOKUP(F1464,'Customer Info'!A1456:I1955,3,0)</f>
        <v>#N/A</v>
      </c>
      <c r="I1464" s="6" t="e">
        <f>VLOOKUP(F1464,'Customer Info'!A1456:I1955,5,0)</f>
        <v>#N/A</v>
      </c>
      <c r="J1464" s="2">
        <v>851</v>
      </c>
      <c r="K1464" s="2">
        <v>773</v>
      </c>
      <c r="L1464" s="2">
        <v>2</v>
      </c>
      <c r="M1464" s="7">
        <f t="shared" si="88"/>
        <v>1546</v>
      </c>
      <c r="N1464" s="7">
        <f t="shared" si="89"/>
        <v>1702</v>
      </c>
      <c r="O1464" s="2">
        <v>55</v>
      </c>
      <c r="P1464" s="8">
        <f t="shared" si="90"/>
        <v>1757</v>
      </c>
      <c r="Q1464" s="8">
        <f t="shared" si="91"/>
        <v>1647</v>
      </c>
      <c r="R1464" s="2" t="s">
        <v>28</v>
      </c>
      <c r="S1464" s="9">
        <f>VLOOKUP(P1464,$T$2:U1461,2,1)</f>
        <v>0.02</v>
      </c>
    </row>
    <row r="1465" spans="1:19" x14ac:dyDescent="0.25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e">
        <f>VLOOKUP(F1465,'Customer Info'!A1457:I1956,2,0)</f>
        <v>#N/A</v>
      </c>
      <c r="H1465" s="6" t="e">
        <f>VLOOKUP(F1465,'Customer Info'!A1457:I1956,3,0)</f>
        <v>#N/A</v>
      </c>
      <c r="I1465" s="6" t="e">
        <f>VLOOKUP(F1465,'Customer Info'!A1457:I1956,5,0)</f>
        <v>#N/A</v>
      </c>
      <c r="J1465" s="2">
        <v>445</v>
      </c>
      <c r="K1465" s="2">
        <v>415</v>
      </c>
      <c r="L1465" s="2">
        <v>4</v>
      </c>
      <c r="M1465" s="7">
        <f t="shared" si="88"/>
        <v>1660</v>
      </c>
      <c r="N1465" s="7">
        <f t="shared" si="89"/>
        <v>1780</v>
      </c>
      <c r="O1465" s="2">
        <v>70</v>
      </c>
      <c r="P1465" s="8">
        <f t="shared" si="90"/>
        <v>1850</v>
      </c>
      <c r="Q1465" s="8">
        <f t="shared" si="91"/>
        <v>1710</v>
      </c>
      <c r="R1465" s="2" t="s">
        <v>28</v>
      </c>
      <c r="S1465" s="9">
        <f>VLOOKUP(P1465,$T$2:U1462,2,1)</f>
        <v>0.02</v>
      </c>
    </row>
    <row r="1466" spans="1:19" x14ac:dyDescent="0.25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e">
        <f>VLOOKUP(F1466,'Customer Info'!A1458:I1957,2,0)</f>
        <v>#N/A</v>
      </c>
      <c r="H1466" s="6" t="e">
        <f>VLOOKUP(F1466,'Customer Info'!A1458:I1957,3,0)</f>
        <v>#N/A</v>
      </c>
      <c r="I1466" s="6" t="e">
        <f>VLOOKUP(F1466,'Customer Info'!A1458:I1957,5,0)</f>
        <v>#N/A</v>
      </c>
      <c r="J1466" s="2">
        <v>2273</v>
      </c>
      <c r="K1466" s="2">
        <v>2229</v>
      </c>
      <c r="L1466" s="2">
        <v>5</v>
      </c>
      <c r="M1466" s="7">
        <f t="shared" si="88"/>
        <v>11145</v>
      </c>
      <c r="N1466" s="7">
        <f t="shared" si="89"/>
        <v>11365</v>
      </c>
      <c r="O1466" s="2">
        <v>55</v>
      </c>
      <c r="P1466" s="8">
        <f t="shared" si="90"/>
        <v>11420</v>
      </c>
      <c r="Q1466" s="8">
        <f t="shared" si="91"/>
        <v>11310</v>
      </c>
      <c r="R1466" s="2" t="s">
        <v>26</v>
      </c>
      <c r="S1466" s="9">
        <f>VLOOKUP(P1466,$T$2:U1463,2,1)</f>
        <v>0.05</v>
      </c>
    </row>
    <row r="1467" spans="1:19" x14ac:dyDescent="0.25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e">
        <f>VLOOKUP(F1467,'Customer Info'!A1459:I1958,2,0)</f>
        <v>#N/A</v>
      </c>
      <c r="H1467" s="6" t="e">
        <f>VLOOKUP(F1467,'Customer Info'!A1459:I1958,3,0)</f>
        <v>#N/A</v>
      </c>
      <c r="I1467" s="6" t="e">
        <f>VLOOKUP(F1467,'Customer Info'!A1459:I1958,5,0)</f>
        <v>#N/A</v>
      </c>
      <c r="J1467" s="2">
        <v>2706</v>
      </c>
      <c r="K1467" s="2">
        <v>2553</v>
      </c>
      <c r="L1467" s="2">
        <v>5</v>
      </c>
      <c r="M1467" s="7">
        <f t="shared" si="88"/>
        <v>12765</v>
      </c>
      <c r="N1467" s="7">
        <f t="shared" si="89"/>
        <v>13530</v>
      </c>
      <c r="O1467" s="2">
        <v>90</v>
      </c>
      <c r="P1467" s="8">
        <f t="shared" si="90"/>
        <v>13620</v>
      </c>
      <c r="Q1467" s="8">
        <f t="shared" si="91"/>
        <v>13440</v>
      </c>
      <c r="R1467" s="2" t="s">
        <v>28</v>
      </c>
      <c r="S1467" s="9">
        <f>VLOOKUP(P1467,$T$2:U1464,2,1)</f>
        <v>0.05</v>
      </c>
    </row>
    <row r="1468" spans="1:19" x14ac:dyDescent="0.25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e">
        <f>VLOOKUP(F1468,'Customer Info'!A1460:I1959,2,0)</f>
        <v>#N/A</v>
      </c>
      <c r="H1468" s="6" t="e">
        <f>VLOOKUP(F1468,'Customer Info'!A1460:I1959,3,0)</f>
        <v>#N/A</v>
      </c>
      <c r="I1468" s="6" t="e">
        <f>VLOOKUP(F1468,'Customer Info'!A1460:I1959,5,0)</f>
        <v>#N/A</v>
      </c>
      <c r="J1468" s="2">
        <v>2681</v>
      </c>
      <c r="K1468" s="2">
        <v>2458</v>
      </c>
      <c r="L1468" s="2">
        <v>3</v>
      </c>
      <c r="M1468" s="7">
        <f t="shared" si="88"/>
        <v>7374</v>
      </c>
      <c r="N1468" s="7">
        <f t="shared" si="89"/>
        <v>8043</v>
      </c>
      <c r="O1468" s="2">
        <v>28</v>
      </c>
      <c r="P1468" s="8">
        <f t="shared" si="90"/>
        <v>8071</v>
      </c>
      <c r="Q1468" s="8">
        <f t="shared" si="91"/>
        <v>8015</v>
      </c>
      <c r="R1468" s="2" t="s">
        <v>50</v>
      </c>
      <c r="S1468" s="9">
        <f>VLOOKUP(P1468,$T$2:U1465,2,1)</f>
        <v>0.05</v>
      </c>
    </row>
    <row r="1469" spans="1:19" x14ac:dyDescent="0.25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e">
        <f>VLOOKUP(F1469,'Customer Info'!A1461:I1960,2,0)</f>
        <v>#N/A</v>
      </c>
      <c r="H1469" s="6" t="e">
        <f>VLOOKUP(F1469,'Customer Info'!A1461:I1960,3,0)</f>
        <v>#N/A</v>
      </c>
      <c r="I1469" s="6" t="e">
        <f>VLOOKUP(F1469,'Customer Info'!A1461:I1960,5,0)</f>
        <v>#N/A</v>
      </c>
      <c r="J1469" s="2">
        <v>2778</v>
      </c>
      <c r="K1469" s="2">
        <v>2573</v>
      </c>
      <c r="L1469" s="2">
        <v>7</v>
      </c>
      <c r="M1469" s="7">
        <f t="shared" si="88"/>
        <v>18011</v>
      </c>
      <c r="N1469" s="7">
        <f t="shared" si="89"/>
        <v>19446</v>
      </c>
      <c r="O1469" s="2">
        <v>90</v>
      </c>
      <c r="P1469" s="8">
        <f t="shared" si="90"/>
        <v>19536</v>
      </c>
      <c r="Q1469" s="8">
        <f t="shared" si="91"/>
        <v>19356</v>
      </c>
      <c r="R1469" s="2" t="s">
        <v>28</v>
      </c>
      <c r="S1469" s="9">
        <f>VLOOKUP(P1469,$T$2:U1466,2,1)</f>
        <v>0.05</v>
      </c>
    </row>
    <row r="1470" spans="1:19" x14ac:dyDescent="0.25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e">
        <f>VLOOKUP(F1470,'Customer Info'!A1462:I1961,2,0)</f>
        <v>#N/A</v>
      </c>
      <c r="H1470" s="6" t="e">
        <f>VLOOKUP(F1470,'Customer Info'!A1462:I1961,3,0)</f>
        <v>#N/A</v>
      </c>
      <c r="I1470" s="6" t="e">
        <f>VLOOKUP(F1470,'Customer Info'!A1462:I1961,5,0)</f>
        <v>#N/A</v>
      </c>
      <c r="J1470" s="2">
        <v>60</v>
      </c>
      <c r="K1470" s="2">
        <v>56</v>
      </c>
      <c r="L1470" s="2">
        <v>4</v>
      </c>
      <c r="M1470" s="7">
        <f t="shared" si="88"/>
        <v>224</v>
      </c>
      <c r="N1470" s="7">
        <f t="shared" si="89"/>
        <v>240</v>
      </c>
      <c r="O1470" s="2">
        <v>10</v>
      </c>
      <c r="P1470" s="8">
        <f t="shared" si="90"/>
        <v>250</v>
      </c>
      <c r="Q1470" s="8">
        <f t="shared" si="91"/>
        <v>230</v>
      </c>
      <c r="R1470" s="2" t="s">
        <v>50</v>
      </c>
      <c r="S1470" s="9">
        <f>VLOOKUP(P1470,$T$2:U1467,2,1)</f>
        <v>0.02</v>
      </c>
    </row>
    <row r="1471" spans="1:19" x14ac:dyDescent="0.25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e">
        <f>VLOOKUP(F1471,'Customer Info'!A1463:I1962,2,0)</f>
        <v>#N/A</v>
      </c>
      <c r="H1471" s="6" t="e">
        <f>VLOOKUP(F1471,'Customer Info'!A1463:I1962,3,0)</f>
        <v>#N/A</v>
      </c>
      <c r="I1471" s="6" t="e">
        <f>VLOOKUP(F1471,'Customer Info'!A1463:I1962,5,0)</f>
        <v>#N/A</v>
      </c>
      <c r="J1471" s="2">
        <v>3145</v>
      </c>
      <c r="K1471" s="2">
        <v>3025</v>
      </c>
      <c r="L1471" s="2">
        <v>3</v>
      </c>
      <c r="M1471" s="7">
        <f t="shared" si="88"/>
        <v>9075</v>
      </c>
      <c r="N1471" s="7">
        <f t="shared" si="89"/>
        <v>9435</v>
      </c>
      <c r="O1471" s="2">
        <v>52</v>
      </c>
      <c r="P1471" s="8">
        <f t="shared" si="90"/>
        <v>9487</v>
      </c>
      <c r="Q1471" s="8">
        <f t="shared" si="91"/>
        <v>9383</v>
      </c>
      <c r="R1471" s="2" t="s">
        <v>28</v>
      </c>
      <c r="S1471" s="9">
        <f>VLOOKUP(P1471,$T$2:U1468,2,1)</f>
        <v>0.05</v>
      </c>
    </row>
    <row r="1472" spans="1:19" x14ac:dyDescent="0.25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e">
        <f>VLOOKUP(F1472,'Customer Info'!A1464:I1963,2,0)</f>
        <v>#N/A</v>
      </c>
      <c r="H1472" s="6" t="e">
        <f>VLOOKUP(F1472,'Customer Info'!A1464:I1963,3,0)</f>
        <v>#N/A</v>
      </c>
      <c r="I1472" s="6" t="e">
        <f>VLOOKUP(F1472,'Customer Info'!A1464:I1963,5,0)</f>
        <v>#N/A</v>
      </c>
      <c r="J1472" s="2">
        <v>417</v>
      </c>
      <c r="K1472" s="2">
        <v>392</v>
      </c>
      <c r="L1472" s="2">
        <v>5</v>
      </c>
      <c r="M1472" s="7">
        <f t="shared" si="88"/>
        <v>1960</v>
      </c>
      <c r="N1472" s="7">
        <f t="shared" si="89"/>
        <v>2085</v>
      </c>
      <c r="O1472" s="2">
        <v>49</v>
      </c>
      <c r="P1472" s="8">
        <f t="shared" si="90"/>
        <v>2134</v>
      </c>
      <c r="Q1472" s="8">
        <f t="shared" si="91"/>
        <v>2036</v>
      </c>
      <c r="R1472" s="2" t="s">
        <v>28</v>
      </c>
      <c r="S1472" s="9">
        <f>VLOOKUP(P1472,$T$2:U1469,2,1)</f>
        <v>0.02</v>
      </c>
    </row>
    <row r="1473" spans="1:19" x14ac:dyDescent="0.25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e">
        <f>VLOOKUP(F1473,'Customer Info'!A1465:I1964,2,0)</f>
        <v>#N/A</v>
      </c>
      <c r="H1473" s="6" t="e">
        <f>VLOOKUP(F1473,'Customer Info'!A1465:I1964,3,0)</f>
        <v>#N/A</v>
      </c>
      <c r="I1473" s="6" t="e">
        <f>VLOOKUP(F1473,'Customer Info'!A1465:I1964,5,0)</f>
        <v>#N/A</v>
      </c>
      <c r="J1473" s="2">
        <v>6274</v>
      </c>
      <c r="K1473" s="2">
        <v>6093</v>
      </c>
      <c r="L1473" s="2">
        <v>2</v>
      </c>
      <c r="M1473" s="7">
        <f t="shared" si="88"/>
        <v>12186</v>
      </c>
      <c r="N1473" s="7">
        <f t="shared" si="89"/>
        <v>12548</v>
      </c>
      <c r="O1473" s="2">
        <v>80</v>
      </c>
      <c r="P1473" s="8">
        <f t="shared" si="90"/>
        <v>12628</v>
      </c>
      <c r="Q1473" s="8">
        <f t="shared" si="91"/>
        <v>12468</v>
      </c>
      <c r="R1473" s="2" t="s">
        <v>28</v>
      </c>
      <c r="S1473" s="9">
        <f>VLOOKUP(P1473,$T$2:U1470,2,1)</f>
        <v>0.05</v>
      </c>
    </row>
    <row r="1474" spans="1:19" x14ac:dyDescent="0.25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e">
        <f>VLOOKUP(F1474,'Customer Info'!A1466:I1965,2,0)</f>
        <v>#N/A</v>
      </c>
      <c r="H1474" s="6" t="e">
        <f>VLOOKUP(F1474,'Customer Info'!A1466:I1965,3,0)</f>
        <v>#N/A</v>
      </c>
      <c r="I1474" s="6" t="e">
        <f>VLOOKUP(F1474,'Customer Info'!A1466:I1965,5,0)</f>
        <v>#N/A</v>
      </c>
      <c r="J1474" s="2">
        <v>1816</v>
      </c>
      <c r="K1474" s="2">
        <v>1700</v>
      </c>
      <c r="L1474" s="2">
        <v>6</v>
      </c>
      <c r="M1474" s="7">
        <f t="shared" si="88"/>
        <v>10200</v>
      </c>
      <c r="N1474" s="7">
        <f t="shared" si="89"/>
        <v>10896</v>
      </c>
      <c r="O1474" s="2">
        <v>62</v>
      </c>
      <c r="P1474" s="8">
        <f t="shared" si="90"/>
        <v>10958</v>
      </c>
      <c r="Q1474" s="8">
        <f t="shared" si="91"/>
        <v>10834</v>
      </c>
      <c r="R1474" s="2" t="s">
        <v>50</v>
      </c>
      <c r="S1474" s="9">
        <f>VLOOKUP(P1474,$T$2:U1471,2,1)</f>
        <v>0.05</v>
      </c>
    </row>
    <row r="1475" spans="1:19" x14ac:dyDescent="0.25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e">
        <f>VLOOKUP(F1475,'Customer Info'!A1467:I1966,2,0)</f>
        <v>#N/A</v>
      </c>
      <c r="H1475" s="6" t="e">
        <f>VLOOKUP(F1475,'Customer Info'!A1467:I1966,3,0)</f>
        <v>#N/A</v>
      </c>
      <c r="I1475" s="6" t="e">
        <f>VLOOKUP(F1475,'Customer Info'!A1467:I1966,5,0)</f>
        <v>#N/A</v>
      </c>
      <c r="J1475" s="2">
        <v>3275</v>
      </c>
      <c r="K1475" s="2">
        <v>3090</v>
      </c>
      <c r="L1475" s="2">
        <v>2</v>
      </c>
      <c r="M1475" s="7">
        <f t="shared" si="88"/>
        <v>6180</v>
      </c>
      <c r="N1475" s="7">
        <f t="shared" si="89"/>
        <v>6550</v>
      </c>
      <c r="O1475" s="2">
        <v>81</v>
      </c>
      <c r="P1475" s="8">
        <f t="shared" si="90"/>
        <v>6631</v>
      </c>
      <c r="Q1475" s="8">
        <f t="shared" si="91"/>
        <v>6469</v>
      </c>
      <c r="R1475" s="2" t="s">
        <v>28</v>
      </c>
      <c r="S1475" s="9">
        <f>VLOOKUP(P1475,$T$2:U1472,2,1)</f>
        <v>0.05</v>
      </c>
    </row>
    <row r="1476" spans="1:19" x14ac:dyDescent="0.25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e">
        <f>VLOOKUP(F1476,'Customer Info'!A1468:I1967,2,0)</f>
        <v>#N/A</v>
      </c>
      <c r="H1476" s="6" t="e">
        <f>VLOOKUP(F1476,'Customer Info'!A1468:I1967,3,0)</f>
        <v>#N/A</v>
      </c>
      <c r="I1476" s="6" t="e">
        <f>VLOOKUP(F1476,'Customer Info'!A1468:I1967,5,0)</f>
        <v>#N/A</v>
      </c>
      <c r="J1476" s="2">
        <v>2365</v>
      </c>
      <c r="K1476" s="2">
        <v>2232</v>
      </c>
      <c r="L1476" s="2">
        <v>5</v>
      </c>
      <c r="M1476" s="7">
        <f t="shared" si="88"/>
        <v>11160</v>
      </c>
      <c r="N1476" s="7">
        <f t="shared" si="89"/>
        <v>11825</v>
      </c>
      <c r="O1476" s="2">
        <v>51</v>
      </c>
      <c r="P1476" s="8">
        <f t="shared" si="90"/>
        <v>11876</v>
      </c>
      <c r="Q1476" s="8">
        <f t="shared" si="91"/>
        <v>11774</v>
      </c>
      <c r="R1476" s="2" t="s">
        <v>28</v>
      </c>
      <c r="S1476" s="9">
        <f>VLOOKUP(P1476,$T$2:U1473,2,1)</f>
        <v>0.05</v>
      </c>
    </row>
    <row r="1477" spans="1:19" x14ac:dyDescent="0.25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e">
        <f>VLOOKUP(F1477,'Customer Info'!A1469:I1968,2,0)</f>
        <v>#N/A</v>
      </c>
      <c r="H1477" s="6" t="e">
        <f>VLOOKUP(F1477,'Customer Info'!A1469:I1968,3,0)</f>
        <v>#N/A</v>
      </c>
      <c r="I1477" s="6" t="e">
        <f>VLOOKUP(F1477,'Customer Info'!A1469:I1968,5,0)</f>
        <v>#N/A</v>
      </c>
      <c r="J1477" s="2">
        <v>1358</v>
      </c>
      <c r="K1477" s="2">
        <v>1294</v>
      </c>
      <c r="L1477" s="2">
        <v>2</v>
      </c>
      <c r="M1477" s="7">
        <f t="shared" si="88"/>
        <v>2588</v>
      </c>
      <c r="N1477" s="7">
        <f t="shared" si="89"/>
        <v>2716</v>
      </c>
      <c r="O1477" s="2">
        <v>29</v>
      </c>
      <c r="P1477" s="8">
        <f t="shared" si="90"/>
        <v>2745</v>
      </c>
      <c r="Q1477" s="8">
        <f t="shared" si="91"/>
        <v>2687</v>
      </c>
      <c r="R1477" s="2" t="s">
        <v>28</v>
      </c>
      <c r="S1477" s="9">
        <f>VLOOKUP(P1477,$T$2:U1474,2,1)</f>
        <v>0.02</v>
      </c>
    </row>
    <row r="1478" spans="1:19" x14ac:dyDescent="0.25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e">
        <f>VLOOKUP(F1478,'Customer Info'!A1470:I1969,2,0)</f>
        <v>#N/A</v>
      </c>
      <c r="H1478" s="6" t="e">
        <f>VLOOKUP(F1478,'Customer Info'!A1470:I1969,3,0)</f>
        <v>#N/A</v>
      </c>
      <c r="I1478" s="6" t="e">
        <f>VLOOKUP(F1478,'Customer Info'!A1470:I1969,5,0)</f>
        <v>#N/A</v>
      </c>
      <c r="J1478" s="2">
        <v>149</v>
      </c>
      <c r="K1478" s="2">
        <v>131</v>
      </c>
      <c r="L1478" s="2">
        <v>8</v>
      </c>
      <c r="M1478" s="7">
        <f t="shared" si="88"/>
        <v>1048</v>
      </c>
      <c r="N1478" s="7">
        <f t="shared" si="89"/>
        <v>1192</v>
      </c>
      <c r="O1478" s="2">
        <v>30</v>
      </c>
      <c r="P1478" s="8">
        <f t="shared" si="90"/>
        <v>1222</v>
      </c>
      <c r="Q1478" s="8">
        <f t="shared" si="91"/>
        <v>1162</v>
      </c>
      <c r="R1478" s="2" t="s">
        <v>28</v>
      </c>
      <c r="S1478" s="9">
        <f>VLOOKUP(P1478,$T$2:U1475,2,1)</f>
        <v>0.02</v>
      </c>
    </row>
    <row r="1479" spans="1:19" x14ac:dyDescent="0.25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e">
        <f>VLOOKUP(F1479,'Customer Info'!A1471:I1970,2,0)</f>
        <v>#N/A</v>
      </c>
      <c r="H1479" s="6" t="e">
        <f>VLOOKUP(F1479,'Customer Info'!A1471:I1970,3,0)</f>
        <v>#N/A</v>
      </c>
      <c r="I1479" s="6" t="e">
        <f>VLOOKUP(F1479,'Customer Info'!A1471:I1970,5,0)</f>
        <v>#N/A</v>
      </c>
      <c r="J1479" s="2">
        <v>175</v>
      </c>
      <c r="K1479" s="2">
        <v>158</v>
      </c>
      <c r="L1479" s="2">
        <v>2</v>
      </c>
      <c r="M1479" s="7">
        <f t="shared" si="88"/>
        <v>316</v>
      </c>
      <c r="N1479" s="7">
        <f t="shared" si="89"/>
        <v>350</v>
      </c>
      <c r="O1479" s="2">
        <v>30</v>
      </c>
      <c r="P1479" s="8">
        <f t="shared" si="90"/>
        <v>380</v>
      </c>
      <c r="Q1479" s="8">
        <f t="shared" si="91"/>
        <v>320</v>
      </c>
      <c r="R1479" s="2" t="s">
        <v>50</v>
      </c>
      <c r="S1479" s="9">
        <f>VLOOKUP(P1479,$T$2:U1476,2,1)</f>
        <v>0.02</v>
      </c>
    </row>
    <row r="1480" spans="1:19" x14ac:dyDescent="0.25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e">
        <f>VLOOKUP(F1480,'Customer Info'!A1472:I1971,2,0)</f>
        <v>#N/A</v>
      </c>
      <c r="H1480" s="6" t="e">
        <f>VLOOKUP(F1480,'Customer Info'!A1472:I1971,3,0)</f>
        <v>#N/A</v>
      </c>
      <c r="I1480" s="6" t="e">
        <f>VLOOKUP(F1480,'Customer Info'!A1472:I1971,5,0)</f>
        <v>#N/A</v>
      </c>
      <c r="J1480" s="2">
        <v>2310</v>
      </c>
      <c r="K1480" s="2">
        <v>2040</v>
      </c>
      <c r="L1480" s="2">
        <v>1</v>
      </c>
      <c r="M1480" s="7">
        <f t="shared" si="88"/>
        <v>2040</v>
      </c>
      <c r="N1480" s="7">
        <f t="shared" si="89"/>
        <v>2310</v>
      </c>
      <c r="O1480" s="2">
        <v>92</v>
      </c>
      <c r="P1480" s="8">
        <f t="shared" si="90"/>
        <v>2402</v>
      </c>
      <c r="Q1480" s="8">
        <f t="shared" si="91"/>
        <v>2218</v>
      </c>
      <c r="R1480" s="2" t="s">
        <v>28</v>
      </c>
      <c r="S1480" s="9">
        <f>VLOOKUP(P1480,$T$2:U1477,2,1)</f>
        <v>0.02</v>
      </c>
    </row>
    <row r="1481" spans="1:19" x14ac:dyDescent="0.25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e">
        <f>VLOOKUP(F1481,'Customer Info'!A1473:I1972,2,0)</f>
        <v>#N/A</v>
      </c>
      <c r="H1481" s="6" t="e">
        <f>VLOOKUP(F1481,'Customer Info'!A1473:I1972,3,0)</f>
        <v>#N/A</v>
      </c>
      <c r="I1481" s="6" t="e">
        <f>VLOOKUP(F1481,'Customer Info'!A1473:I1972,5,0)</f>
        <v>#N/A</v>
      </c>
      <c r="J1481" s="2">
        <v>37949</v>
      </c>
      <c r="K1481" s="2">
        <v>34816</v>
      </c>
      <c r="L1481" s="2">
        <v>3</v>
      </c>
      <c r="M1481" s="7">
        <f t="shared" si="88"/>
        <v>104448</v>
      </c>
      <c r="N1481" s="7">
        <f t="shared" si="89"/>
        <v>113847</v>
      </c>
      <c r="O1481" s="2">
        <v>71</v>
      </c>
      <c r="P1481" s="8">
        <f t="shared" si="90"/>
        <v>113918</v>
      </c>
      <c r="Q1481" s="8">
        <f t="shared" si="91"/>
        <v>113776</v>
      </c>
      <c r="R1481" s="2" t="s">
        <v>28</v>
      </c>
      <c r="S1481" s="9">
        <f>VLOOKUP(P1481,$T$2:U1478,2,1)</f>
        <v>0.12</v>
      </c>
    </row>
    <row r="1482" spans="1:19" x14ac:dyDescent="0.25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e">
        <f>VLOOKUP(F1482,'Customer Info'!A1474:I1973,2,0)</f>
        <v>#N/A</v>
      </c>
      <c r="H1482" s="6" t="e">
        <f>VLOOKUP(F1482,'Customer Info'!A1474:I1973,3,0)</f>
        <v>#N/A</v>
      </c>
      <c r="I1482" s="6" t="e">
        <f>VLOOKUP(F1482,'Customer Info'!A1474:I1973,5,0)</f>
        <v>#N/A</v>
      </c>
      <c r="J1482" s="2">
        <v>2418</v>
      </c>
      <c r="K1482" s="2">
        <v>2282</v>
      </c>
      <c r="L1482" s="2">
        <v>10</v>
      </c>
      <c r="M1482" s="7">
        <f t="shared" si="88"/>
        <v>22820</v>
      </c>
      <c r="N1482" s="7">
        <f t="shared" si="89"/>
        <v>24180</v>
      </c>
      <c r="O1482" s="2">
        <v>33</v>
      </c>
      <c r="P1482" s="8">
        <f t="shared" si="90"/>
        <v>24213</v>
      </c>
      <c r="Q1482" s="8">
        <f t="shared" si="91"/>
        <v>24147</v>
      </c>
      <c r="R1482" s="2" t="s">
        <v>28</v>
      </c>
      <c r="S1482" s="9">
        <f>VLOOKUP(P1482,$T$2:U1479,2,1)</f>
        <v>0.05</v>
      </c>
    </row>
    <row r="1483" spans="1:19" x14ac:dyDescent="0.25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e">
        <f>VLOOKUP(F1483,'Customer Info'!A1475:I1974,2,0)</f>
        <v>#N/A</v>
      </c>
      <c r="H1483" s="6" t="e">
        <f>VLOOKUP(F1483,'Customer Info'!A1475:I1974,3,0)</f>
        <v>#N/A</v>
      </c>
      <c r="I1483" s="6" t="e">
        <f>VLOOKUP(F1483,'Customer Info'!A1475:I1974,5,0)</f>
        <v>#N/A</v>
      </c>
      <c r="J1483" s="2">
        <v>139</v>
      </c>
      <c r="K1483" s="2">
        <v>130</v>
      </c>
      <c r="L1483" s="2">
        <v>5</v>
      </c>
      <c r="M1483" s="7">
        <f t="shared" ref="M1483:M1546" si="92">K1483*L1483</f>
        <v>650</v>
      </c>
      <c r="N1483" s="7">
        <f t="shared" ref="N1483:N1546" si="93">J1483*L1483</f>
        <v>695</v>
      </c>
      <c r="O1483" s="2">
        <v>30</v>
      </c>
      <c r="P1483" s="8">
        <f t="shared" ref="P1483:P1546" si="94">SUM(N1483,O1483)</f>
        <v>725</v>
      </c>
      <c r="Q1483" s="8">
        <f t="shared" ref="Q1483:Q1546" si="95">N1483-O1483</f>
        <v>665</v>
      </c>
      <c r="R1483" s="2" t="s">
        <v>28</v>
      </c>
      <c r="S1483" s="9">
        <f>VLOOKUP(P1483,$T$2:U1480,2,1)</f>
        <v>0.02</v>
      </c>
    </row>
    <row r="1484" spans="1:19" x14ac:dyDescent="0.25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e">
        <f>VLOOKUP(F1484,'Customer Info'!A1476:I1975,2,0)</f>
        <v>#N/A</v>
      </c>
      <c r="H1484" s="6" t="e">
        <f>VLOOKUP(F1484,'Customer Info'!A1476:I1975,3,0)</f>
        <v>#N/A</v>
      </c>
      <c r="I1484" s="6" t="e">
        <f>VLOOKUP(F1484,'Customer Info'!A1476:I1975,5,0)</f>
        <v>#N/A</v>
      </c>
      <c r="J1484" s="2">
        <v>5906</v>
      </c>
      <c r="K1484" s="2">
        <v>5266</v>
      </c>
      <c r="L1484" s="2">
        <v>2</v>
      </c>
      <c r="M1484" s="7">
        <f t="shared" si="92"/>
        <v>10532</v>
      </c>
      <c r="N1484" s="7">
        <f t="shared" si="93"/>
        <v>11812</v>
      </c>
      <c r="O1484" s="2">
        <v>80</v>
      </c>
      <c r="P1484" s="8">
        <f t="shared" si="94"/>
        <v>11892</v>
      </c>
      <c r="Q1484" s="8">
        <f t="shared" si="95"/>
        <v>11732</v>
      </c>
      <c r="R1484" s="2" t="s">
        <v>26</v>
      </c>
      <c r="S1484" s="9">
        <f>VLOOKUP(P1484,$T$2:U1481,2,1)</f>
        <v>0.05</v>
      </c>
    </row>
    <row r="1485" spans="1:19" x14ac:dyDescent="0.25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e">
        <f>VLOOKUP(F1485,'Customer Info'!A1477:I1976,2,0)</f>
        <v>#N/A</v>
      </c>
      <c r="H1485" s="6" t="e">
        <f>VLOOKUP(F1485,'Customer Info'!A1477:I1976,3,0)</f>
        <v>#N/A</v>
      </c>
      <c r="I1485" s="6" t="e">
        <f>VLOOKUP(F1485,'Customer Info'!A1477:I1976,5,0)</f>
        <v>#N/A</v>
      </c>
      <c r="J1485" s="2">
        <v>900</v>
      </c>
      <c r="K1485" s="2">
        <v>834</v>
      </c>
      <c r="L1485" s="2">
        <v>4</v>
      </c>
      <c r="M1485" s="7">
        <f t="shared" si="92"/>
        <v>3336</v>
      </c>
      <c r="N1485" s="7">
        <f t="shared" si="93"/>
        <v>3600</v>
      </c>
      <c r="O1485" s="2">
        <v>49</v>
      </c>
      <c r="P1485" s="8">
        <f t="shared" si="94"/>
        <v>3649</v>
      </c>
      <c r="Q1485" s="8">
        <f t="shared" si="95"/>
        <v>3551</v>
      </c>
      <c r="R1485" s="2" t="s">
        <v>50</v>
      </c>
      <c r="S1485" s="9">
        <f>VLOOKUP(P1485,$T$2:U1482,2,1)</f>
        <v>0.02</v>
      </c>
    </row>
    <row r="1486" spans="1:19" x14ac:dyDescent="0.25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e">
        <f>VLOOKUP(F1486,'Customer Info'!A1478:I1977,2,0)</f>
        <v>#N/A</v>
      </c>
      <c r="H1486" s="6" t="e">
        <f>VLOOKUP(F1486,'Customer Info'!A1478:I1977,3,0)</f>
        <v>#N/A</v>
      </c>
      <c r="I1486" s="6" t="e">
        <f>VLOOKUP(F1486,'Customer Info'!A1478:I1977,5,0)</f>
        <v>#N/A</v>
      </c>
      <c r="J1486" s="2">
        <v>1103</v>
      </c>
      <c r="K1486" s="2">
        <v>1030</v>
      </c>
      <c r="L1486" s="2">
        <v>2</v>
      </c>
      <c r="M1486" s="7">
        <f t="shared" si="92"/>
        <v>2060</v>
      </c>
      <c r="N1486" s="7">
        <f t="shared" si="93"/>
        <v>2206</v>
      </c>
      <c r="O1486" s="2">
        <v>95</v>
      </c>
      <c r="P1486" s="8">
        <f t="shared" si="94"/>
        <v>2301</v>
      </c>
      <c r="Q1486" s="8">
        <f t="shared" si="95"/>
        <v>2111</v>
      </c>
      <c r="R1486" s="2" t="s">
        <v>50</v>
      </c>
      <c r="S1486" s="9">
        <f>VLOOKUP(P1486,$T$2:U1483,2,1)</f>
        <v>0.02</v>
      </c>
    </row>
    <row r="1487" spans="1:19" x14ac:dyDescent="0.25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e">
        <f>VLOOKUP(F1487,'Customer Info'!A1479:I1978,2,0)</f>
        <v>#N/A</v>
      </c>
      <c r="H1487" s="6" t="e">
        <f>VLOOKUP(F1487,'Customer Info'!A1479:I1978,3,0)</f>
        <v>#N/A</v>
      </c>
      <c r="I1487" s="6" t="e">
        <f>VLOOKUP(F1487,'Customer Info'!A1479:I1978,5,0)</f>
        <v>#N/A</v>
      </c>
      <c r="J1487" s="2">
        <v>645</v>
      </c>
      <c r="K1487" s="2">
        <v>565</v>
      </c>
      <c r="L1487" s="2">
        <v>3</v>
      </c>
      <c r="M1487" s="7">
        <f t="shared" si="92"/>
        <v>1695</v>
      </c>
      <c r="N1487" s="7">
        <f t="shared" si="93"/>
        <v>1935</v>
      </c>
      <c r="O1487" s="2">
        <v>63</v>
      </c>
      <c r="P1487" s="8">
        <f t="shared" si="94"/>
        <v>1998</v>
      </c>
      <c r="Q1487" s="8">
        <f t="shared" si="95"/>
        <v>1872</v>
      </c>
      <c r="R1487" s="2" t="s">
        <v>56</v>
      </c>
      <c r="S1487" s="9">
        <f>VLOOKUP(P1487,$T$2:U1484,2,1)</f>
        <v>0.02</v>
      </c>
    </row>
    <row r="1488" spans="1:19" x14ac:dyDescent="0.25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e">
        <f>VLOOKUP(F1488,'Customer Info'!A1480:I1979,2,0)</f>
        <v>#N/A</v>
      </c>
      <c r="H1488" s="6" t="e">
        <f>VLOOKUP(F1488,'Customer Info'!A1480:I1979,3,0)</f>
        <v>#N/A</v>
      </c>
      <c r="I1488" s="6" t="e">
        <f>VLOOKUP(F1488,'Customer Info'!A1480:I1979,5,0)</f>
        <v>#N/A</v>
      </c>
      <c r="J1488" s="2">
        <v>8686</v>
      </c>
      <c r="K1488" s="2">
        <v>8035</v>
      </c>
      <c r="L1488" s="2">
        <v>2</v>
      </c>
      <c r="M1488" s="7">
        <f t="shared" si="92"/>
        <v>16070</v>
      </c>
      <c r="N1488" s="7">
        <f t="shared" si="93"/>
        <v>17372</v>
      </c>
      <c r="O1488" s="2">
        <v>30</v>
      </c>
      <c r="P1488" s="8">
        <f t="shared" si="94"/>
        <v>17402</v>
      </c>
      <c r="Q1488" s="8">
        <f t="shared" si="95"/>
        <v>17342</v>
      </c>
      <c r="R1488" s="2" t="s">
        <v>26</v>
      </c>
      <c r="S1488" s="9">
        <f>VLOOKUP(P1488,$T$2:U1485,2,1)</f>
        <v>0.05</v>
      </c>
    </row>
    <row r="1489" spans="1:19" x14ac:dyDescent="0.25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e">
        <f>VLOOKUP(F1489,'Customer Info'!A1481:I1980,2,0)</f>
        <v>#N/A</v>
      </c>
      <c r="H1489" s="6" t="e">
        <f>VLOOKUP(F1489,'Customer Info'!A1481:I1980,3,0)</f>
        <v>#N/A</v>
      </c>
      <c r="I1489" s="6" t="e">
        <f>VLOOKUP(F1489,'Customer Info'!A1481:I1980,5,0)</f>
        <v>#N/A</v>
      </c>
      <c r="J1489" s="2">
        <v>6012</v>
      </c>
      <c r="K1489" s="2">
        <v>5677</v>
      </c>
      <c r="L1489" s="2">
        <v>2</v>
      </c>
      <c r="M1489" s="7">
        <f t="shared" si="92"/>
        <v>11354</v>
      </c>
      <c r="N1489" s="7">
        <f t="shared" si="93"/>
        <v>12024</v>
      </c>
      <c r="O1489" s="2">
        <v>58</v>
      </c>
      <c r="P1489" s="8">
        <f t="shared" si="94"/>
        <v>12082</v>
      </c>
      <c r="Q1489" s="8">
        <f t="shared" si="95"/>
        <v>11966</v>
      </c>
      <c r="R1489" s="2" t="s">
        <v>26</v>
      </c>
      <c r="S1489" s="9">
        <f>VLOOKUP(P1489,$T$2:U1486,2,1)</f>
        <v>0.05</v>
      </c>
    </row>
    <row r="1490" spans="1:19" x14ac:dyDescent="0.25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e">
        <f>VLOOKUP(F1490,'Customer Info'!A1482:I1981,2,0)</f>
        <v>#N/A</v>
      </c>
      <c r="H1490" s="6" t="e">
        <f>VLOOKUP(F1490,'Customer Info'!A1482:I1981,3,0)</f>
        <v>#N/A</v>
      </c>
      <c r="I1490" s="6" t="e">
        <f>VLOOKUP(F1490,'Customer Info'!A1482:I1981,5,0)</f>
        <v>#N/A</v>
      </c>
      <c r="J1490" s="2">
        <v>61</v>
      </c>
      <c r="K1490" s="2">
        <v>56</v>
      </c>
      <c r="L1490" s="2">
        <v>5</v>
      </c>
      <c r="M1490" s="7">
        <f t="shared" si="92"/>
        <v>280</v>
      </c>
      <c r="N1490" s="7">
        <f t="shared" si="93"/>
        <v>305</v>
      </c>
      <c r="O1490" s="2">
        <v>10</v>
      </c>
      <c r="P1490" s="8">
        <f t="shared" si="94"/>
        <v>315</v>
      </c>
      <c r="Q1490" s="8">
        <f t="shared" si="95"/>
        <v>295</v>
      </c>
      <c r="R1490" s="2" t="s">
        <v>28</v>
      </c>
      <c r="S1490" s="9">
        <f>VLOOKUP(P1490,$T$2:U1487,2,1)</f>
        <v>0.02</v>
      </c>
    </row>
    <row r="1491" spans="1:19" x14ac:dyDescent="0.25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e">
        <f>VLOOKUP(F1491,'Customer Info'!A1483:I1982,2,0)</f>
        <v>#N/A</v>
      </c>
      <c r="H1491" s="6" t="e">
        <f>VLOOKUP(F1491,'Customer Info'!A1483:I1982,3,0)</f>
        <v>#N/A</v>
      </c>
      <c r="I1491" s="6" t="e">
        <f>VLOOKUP(F1491,'Customer Info'!A1483:I1982,5,0)</f>
        <v>#N/A</v>
      </c>
      <c r="J1491" s="2">
        <v>142</v>
      </c>
      <c r="K1491" s="2">
        <v>134</v>
      </c>
      <c r="L1491" s="2">
        <v>1</v>
      </c>
      <c r="M1491" s="7">
        <f t="shared" si="92"/>
        <v>134</v>
      </c>
      <c r="N1491" s="7">
        <f t="shared" si="93"/>
        <v>142</v>
      </c>
      <c r="O1491" s="2">
        <v>30</v>
      </c>
      <c r="P1491" s="8">
        <f t="shared" si="94"/>
        <v>172</v>
      </c>
      <c r="Q1491" s="8">
        <f t="shared" si="95"/>
        <v>112</v>
      </c>
      <c r="R1491" s="2" t="s">
        <v>28</v>
      </c>
      <c r="S1491" s="9">
        <f>VLOOKUP(P1491,$T$2:U1488,2,1)</f>
        <v>0.02</v>
      </c>
    </row>
    <row r="1492" spans="1:19" x14ac:dyDescent="0.25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e">
        <f>VLOOKUP(F1492,'Customer Info'!A1484:I1983,2,0)</f>
        <v>#N/A</v>
      </c>
      <c r="H1492" s="6" t="e">
        <f>VLOOKUP(F1492,'Customer Info'!A1484:I1983,3,0)</f>
        <v>#N/A</v>
      </c>
      <c r="I1492" s="6" t="e">
        <f>VLOOKUP(F1492,'Customer Info'!A1484:I1983,5,0)</f>
        <v>#N/A</v>
      </c>
      <c r="J1492" s="2">
        <v>8199</v>
      </c>
      <c r="K1492" s="2">
        <v>7523</v>
      </c>
      <c r="L1492" s="2">
        <v>1</v>
      </c>
      <c r="M1492" s="7">
        <f t="shared" si="92"/>
        <v>7523</v>
      </c>
      <c r="N1492" s="7">
        <f t="shared" si="93"/>
        <v>8199</v>
      </c>
      <c r="O1492" s="2">
        <v>34</v>
      </c>
      <c r="P1492" s="8">
        <f t="shared" si="94"/>
        <v>8233</v>
      </c>
      <c r="Q1492" s="8">
        <f t="shared" si="95"/>
        <v>8165</v>
      </c>
      <c r="R1492" s="2" t="s">
        <v>50</v>
      </c>
      <c r="S1492" s="9">
        <f>VLOOKUP(P1492,$T$2:U1489,2,1)</f>
        <v>0.05</v>
      </c>
    </row>
    <row r="1493" spans="1:19" x14ac:dyDescent="0.25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e">
        <f>VLOOKUP(F1493,'Customer Info'!A1485:I1984,2,0)</f>
        <v>#N/A</v>
      </c>
      <c r="H1493" s="6" t="e">
        <f>VLOOKUP(F1493,'Customer Info'!A1485:I1984,3,0)</f>
        <v>#N/A</v>
      </c>
      <c r="I1493" s="6" t="e">
        <f>VLOOKUP(F1493,'Customer Info'!A1485:I1984,5,0)</f>
        <v>#N/A</v>
      </c>
      <c r="J1493" s="2">
        <v>7623</v>
      </c>
      <c r="K1493" s="2">
        <v>7064</v>
      </c>
      <c r="L1493" s="2">
        <v>3</v>
      </c>
      <c r="M1493" s="7">
        <f t="shared" si="92"/>
        <v>21192</v>
      </c>
      <c r="N1493" s="7">
        <f t="shared" si="93"/>
        <v>22869</v>
      </c>
      <c r="O1493" s="2">
        <v>84</v>
      </c>
      <c r="P1493" s="8">
        <f t="shared" si="94"/>
        <v>22953</v>
      </c>
      <c r="Q1493" s="8">
        <f t="shared" si="95"/>
        <v>22785</v>
      </c>
      <c r="R1493" s="2" t="s">
        <v>28</v>
      </c>
      <c r="S1493" s="9">
        <f>VLOOKUP(P1493,$T$2:U1490,2,1)</f>
        <v>0.05</v>
      </c>
    </row>
    <row r="1494" spans="1:19" x14ac:dyDescent="0.25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e">
        <f>VLOOKUP(F1494,'Customer Info'!A1486:I1985,2,0)</f>
        <v>#N/A</v>
      </c>
      <c r="H1494" s="6" t="e">
        <f>VLOOKUP(F1494,'Customer Info'!A1486:I1985,3,0)</f>
        <v>#N/A</v>
      </c>
      <c r="I1494" s="6" t="e">
        <f>VLOOKUP(F1494,'Customer Info'!A1486:I1985,5,0)</f>
        <v>#N/A</v>
      </c>
      <c r="J1494" s="2">
        <v>142</v>
      </c>
      <c r="K1494" s="2">
        <v>129</v>
      </c>
      <c r="L1494" s="2">
        <v>5</v>
      </c>
      <c r="M1494" s="7">
        <f t="shared" si="92"/>
        <v>645</v>
      </c>
      <c r="N1494" s="7">
        <f t="shared" si="93"/>
        <v>710</v>
      </c>
      <c r="O1494" s="2">
        <v>30</v>
      </c>
      <c r="P1494" s="8">
        <f t="shared" si="94"/>
        <v>740</v>
      </c>
      <c r="Q1494" s="8">
        <f t="shared" si="95"/>
        <v>680</v>
      </c>
      <c r="R1494" s="2" t="s">
        <v>50</v>
      </c>
      <c r="S1494" s="9">
        <f>VLOOKUP(P1494,$T$2:U1491,2,1)</f>
        <v>0.02</v>
      </c>
    </row>
    <row r="1495" spans="1:19" x14ac:dyDescent="0.25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e">
        <f>VLOOKUP(F1495,'Customer Info'!A1487:I1986,2,0)</f>
        <v>#N/A</v>
      </c>
      <c r="H1495" s="6" t="e">
        <f>VLOOKUP(F1495,'Customer Info'!A1487:I1986,3,0)</f>
        <v>#N/A</v>
      </c>
      <c r="I1495" s="6" t="e">
        <f>VLOOKUP(F1495,'Customer Info'!A1487:I1986,5,0)</f>
        <v>#N/A</v>
      </c>
      <c r="J1495" s="2">
        <v>162</v>
      </c>
      <c r="K1495" s="2">
        <v>148</v>
      </c>
      <c r="L1495" s="2">
        <v>3</v>
      </c>
      <c r="M1495" s="7">
        <f t="shared" si="92"/>
        <v>444</v>
      </c>
      <c r="N1495" s="7">
        <f t="shared" si="93"/>
        <v>486</v>
      </c>
      <c r="O1495" s="2">
        <v>30</v>
      </c>
      <c r="P1495" s="8">
        <f t="shared" si="94"/>
        <v>516</v>
      </c>
      <c r="Q1495" s="8">
        <f t="shared" si="95"/>
        <v>456</v>
      </c>
      <c r="R1495" s="2" t="s">
        <v>28</v>
      </c>
      <c r="S1495" s="9">
        <f>VLOOKUP(P1495,$T$2:U1492,2,1)</f>
        <v>0.02</v>
      </c>
    </row>
    <row r="1496" spans="1:19" x14ac:dyDescent="0.25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e">
        <f>VLOOKUP(F1496,'Customer Info'!A1488:I1987,2,0)</f>
        <v>#N/A</v>
      </c>
      <c r="H1496" s="6" t="e">
        <f>VLOOKUP(F1496,'Customer Info'!A1488:I1987,3,0)</f>
        <v>#N/A</v>
      </c>
      <c r="I1496" s="6" t="e">
        <f>VLOOKUP(F1496,'Customer Info'!A1488:I1987,5,0)</f>
        <v>#N/A</v>
      </c>
      <c r="J1496" s="2">
        <v>147</v>
      </c>
      <c r="K1496" s="2">
        <v>138</v>
      </c>
      <c r="L1496" s="2">
        <v>2</v>
      </c>
      <c r="M1496" s="7">
        <f t="shared" si="92"/>
        <v>276</v>
      </c>
      <c r="N1496" s="7">
        <f t="shared" si="93"/>
        <v>294</v>
      </c>
      <c r="O1496" s="2">
        <v>30</v>
      </c>
      <c r="P1496" s="8">
        <f t="shared" si="94"/>
        <v>324</v>
      </c>
      <c r="Q1496" s="8">
        <f t="shared" si="95"/>
        <v>264</v>
      </c>
      <c r="R1496" s="2" t="s">
        <v>50</v>
      </c>
      <c r="S1496" s="9">
        <f>VLOOKUP(P1496,$T$2:U1493,2,1)</f>
        <v>0.02</v>
      </c>
    </row>
    <row r="1497" spans="1:19" x14ac:dyDescent="0.25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e">
        <f>VLOOKUP(F1497,'Customer Info'!A1489:I1988,2,0)</f>
        <v>#N/A</v>
      </c>
      <c r="H1497" s="6" t="e">
        <f>VLOOKUP(F1497,'Customer Info'!A1489:I1988,3,0)</f>
        <v>#N/A</v>
      </c>
      <c r="I1497" s="6" t="e">
        <f>VLOOKUP(F1497,'Customer Info'!A1489:I1988,5,0)</f>
        <v>#N/A</v>
      </c>
      <c r="J1497" s="2">
        <v>2874</v>
      </c>
      <c r="K1497" s="2">
        <v>2583</v>
      </c>
      <c r="L1497" s="2">
        <v>1</v>
      </c>
      <c r="M1497" s="7">
        <f t="shared" si="92"/>
        <v>2583</v>
      </c>
      <c r="N1497" s="7">
        <f t="shared" si="93"/>
        <v>2874</v>
      </c>
      <c r="O1497" s="2">
        <v>44</v>
      </c>
      <c r="P1497" s="8">
        <f t="shared" si="94"/>
        <v>2918</v>
      </c>
      <c r="Q1497" s="8">
        <f t="shared" si="95"/>
        <v>2830</v>
      </c>
      <c r="R1497" s="2" t="s">
        <v>50</v>
      </c>
      <c r="S1497" s="9">
        <f>VLOOKUP(P1497,$T$2:U1494,2,1)</f>
        <v>0.02</v>
      </c>
    </row>
    <row r="1498" spans="1:19" x14ac:dyDescent="0.25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e">
        <f>VLOOKUP(F1498,'Customer Info'!A1490:I1989,2,0)</f>
        <v>#N/A</v>
      </c>
      <c r="H1498" s="6" t="e">
        <f>VLOOKUP(F1498,'Customer Info'!A1490:I1989,3,0)</f>
        <v>#N/A</v>
      </c>
      <c r="I1498" s="6" t="e">
        <f>VLOOKUP(F1498,'Customer Info'!A1490:I1989,5,0)</f>
        <v>#N/A</v>
      </c>
      <c r="J1498" s="2">
        <v>1637</v>
      </c>
      <c r="K1498" s="2">
        <v>1591</v>
      </c>
      <c r="L1498" s="2">
        <v>1</v>
      </c>
      <c r="M1498" s="7">
        <f t="shared" si="92"/>
        <v>1591</v>
      </c>
      <c r="N1498" s="7">
        <f t="shared" si="93"/>
        <v>1637</v>
      </c>
      <c r="O1498" s="2">
        <v>50</v>
      </c>
      <c r="P1498" s="8">
        <f t="shared" si="94"/>
        <v>1687</v>
      </c>
      <c r="Q1498" s="8">
        <f t="shared" si="95"/>
        <v>1587</v>
      </c>
      <c r="R1498" s="2" t="s">
        <v>56</v>
      </c>
      <c r="S1498" s="9">
        <f>VLOOKUP(P1498,$T$2:U1495,2,1)</f>
        <v>0.02</v>
      </c>
    </row>
    <row r="1499" spans="1:19" x14ac:dyDescent="0.25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e">
        <f>VLOOKUP(F1499,'Customer Info'!A1491:I1990,2,0)</f>
        <v>#N/A</v>
      </c>
      <c r="H1499" s="6" t="e">
        <f>VLOOKUP(F1499,'Customer Info'!A1491:I1990,3,0)</f>
        <v>#N/A</v>
      </c>
      <c r="I1499" s="6" t="e">
        <f>VLOOKUP(F1499,'Customer Info'!A1491:I1990,5,0)</f>
        <v>#N/A</v>
      </c>
      <c r="J1499" s="2">
        <v>1816</v>
      </c>
      <c r="K1499" s="2">
        <v>1699</v>
      </c>
      <c r="L1499" s="2">
        <v>3</v>
      </c>
      <c r="M1499" s="7">
        <f t="shared" si="92"/>
        <v>5097</v>
      </c>
      <c r="N1499" s="7">
        <f t="shared" si="93"/>
        <v>5448</v>
      </c>
      <c r="O1499" s="2">
        <v>95</v>
      </c>
      <c r="P1499" s="8">
        <f t="shared" si="94"/>
        <v>5543</v>
      </c>
      <c r="Q1499" s="8">
        <f t="shared" si="95"/>
        <v>5353</v>
      </c>
      <c r="R1499" s="2" t="s">
        <v>28</v>
      </c>
      <c r="S1499" s="9">
        <f>VLOOKUP(P1499,$T$2:U1496,2,1)</f>
        <v>0.05</v>
      </c>
    </row>
    <row r="1500" spans="1:19" x14ac:dyDescent="0.25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e">
        <f>VLOOKUP(F1500,'Customer Info'!A1492:I1991,2,0)</f>
        <v>#N/A</v>
      </c>
      <c r="H1500" s="6" t="e">
        <f>VLOOKUP(F1500,'Customer Info'!A1492:I1991,3,0)</f>
        <v>#N/A</v>
      </c>
      <c r="I1500" s="6" t="e">
        <f>VLOOKUP(F1500,'Customer Info'!A1492:I1991,5,0)</f>
        <v>#N/A</v>
      </c>
      <c r="J1500" s="2">
        <v>4577</v>
      </c>
      <c r="K1500" s="2">
        <v>4285</v>
      </c>
      <c r="L1500" s="2">
        <v>4</v>
      </c>
      <c r="M1500" s="7">
        <f t="shared" si="92"/>
        <v>17140</v>
      </c>
      <c r="N1500" s="7">
        <f t="shared" si="93"/>
        <v>18308</v>
      </c>
      <c r="O1500" s="2">
        <v>42</v>
      </c>
      <c r="P1500" s="8">
        <f t="shared" si="94"/>
        <v>18350</v>
      </c>
      <c r="Q1500" s="8">
        <f t="shared" si="95"/>
        <v>18266</v>
      </c>
      <c r="R1500" s="2" t="s">
        <v>56</v>
      </c>
      <c r="S1500" s="9">
        <f>VLOOKUP(P1500,$T$2:U1497,2,1)</f>
        <v>0.05</v>
      </c>
    </row>
    <row r="1501" spans="1:19" x14ac:dyDescent="0.25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e">
        <f>VLOOKUP(F1501,'Customer Info'!A1493:I1992,2,0)</f>
        <v>#N/A</v>
      </c>
      <c r="H1501" s="6" t="e">
        <f>VLOOKUP(F1501,'Customer Info'!A1493:I1992,3,0)</f>
        <v>#N/A</v>
      </c>
      <c r="I1501" s="6" t="e">
        <f>VLOOKUP(F1501,'Customer Info'!A1493:I1992,5,0)</f>
        <v>#N/A</v>
      </c>
      <c r="J1501" s="2">
        <v>6717</v>
      </c>
      <c r="K1501" s="2">
        <v>6288</v>
      </c>
      <c r="L1501" s="2">
        <v>3</v>
      </c>
      <c r="M1501" s="7">
        <f t="shared" si="92"/>
        <v>18864</v>
      </c>
      <c r="N1501" s="7">
        <f t="shared" si="93"/>
        <v>20151</v>
      </c>
      <c r="O1501" s="2">
        <v>38</v>
      </c>
      <c r="P1501" s="8">
        <f t="shared" si="94"/>
        <v>20189</v>
      </c>
      <c r="Q1501" s="8">
        <f t="shared" si="95"/>
        <v>20113</v>
      </c>
      <c r="R1501" s="2" t="s">
        <v>28</v>
      </c>
      <c r="S1501" s="9">
        <f>VLOOKUP(P1501,$T$2:U1498,2,1)</f>
        <v>0.05</v>
      </c>
    </row>
    <row r="1502" spans="1:19" x14ac:dyDescent="0.25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e">
        <f>VLOOKUP(F1502,'Customer Info'!A1494:I1993,2,0)</f>
        <v>#N/A</v>
      </c>
      <c r="H1502" s="6" t="e">
        <f>VLOOKUP(F1502,'Customer Info'!A1494:I1993,3,0)</f>
        <v>#N/A</v>
      </c>
      <c r="I1502" s="6" t="e">
        <f>VLOOKUP(F1502,'Customer Info'!A1494:I1993,5,0)</f>
        <v>#N/A</v>
      </c>
      <c r="J1502" s="2">
        <v>2960</v>
      </c>
      <c r="K1502" s="2">
        <v>2635</v>
      </c>
      <c r="L1502" s="2">
        <v>1</v>
      </c>
      <c r="M1502" s="7">
        <f t="shared" si="92"/>
        <v>2635</v>
      </c>
      <c r="N1502" s="7">
        <f t="shared" si="93"/>
        <v>2960</v>
      </c>
      <c r="O1502" s="2">
        <v>85</v>
      </c>
      <c r="P1502" s="8">
        <f t="shared" si="94"/>
        <v>3045</v>
      </c>
      <c r="Q1502" s="8">
        <f t="shared" si="95"/>
        <v>2875</v>
      </c>
      <c r="R1502" s="2" t="s">
        <v>50</v>
      </c>
      <c r="S1502" s="9">
        <f>VLOOKUP(P1502,$T$2:U1499,2,1)</f>
        <v>0.02</v>
      </c>
    </row>
    <row r="1503" spans="1:19" x14ac:dyDescent="0.25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e">
        <f>VLOOKUP(F1503,'Customer Info'!A1495:I1994,2,0)</f>
        <v>#N/A</v>
      </c>
      <c r="H1503" s="6" t="e">
        <f>VLOOKUP(F1503,'Customer Info'!A1495:I1994,3,0)</f>
        <v>#N/A</v>
      </c>
      <c r="I1503" s="6" t="e">
        <f>VLOOKUP(F1503,'Customer Info'!A1495:I1994,5,0)</f>
        <v>#N/A</v>
      </c>
      <c r="J1503" s="2">
        <v>6354</v>
      </c>
      <c r="K1503" s="2">
        <v>5769</v>
      </c>
      <c r="L1503" s="2">
        <v>3</v>
      </c>
      <c r="M1503" s="7">
        <f t="shared" si="92"/>
        <v>17307</v>
      </c>
      <c r="N1503" s="7">
        <f t="shared" si="93"/>
        <v>19062</v>
      </c>
      <c r="O1503" s="2">
        <v>91</v>
      </c>
      <c r="P1503" s="8">
        <f t="shared" si="94"/>
        <v>19153</v>
      </c>
      <c r="Q1503" s="8">
        <f t="shared" si="95"/>
        <v>18971</v>
      </c>
      <c r="R1503" s="2" t="s">
        <v>28</v>
      </c>
      <c r="S1503" s="9">
        <f>VLOOKUP(P1503,$T$2:U1500,2,1)</f>
        <v>0.05</v>
      </c>
    </row>
    <row r="1504" spans="1:19" x14ac:dyDescent="0.25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e">
        <f>VLOOKUP(F1504,'Customer Info'!A1496:I1995,2,0)</f>
        <v>#N/A</v>
      </c>
      <c r="H1504" s="6" t="e">
        <f>VLOOKUP(F1504,'Customer Info'!A1496:I1995,3,0)</f>
        <v>#N/A</v>
      </c>
      <c r="I1504" s="6" t="e">
        <f>VLOOKUP(F1504,'Customer Info'!A1496:I1995,5,0)</f>
        <v>#N/A</v>
      </c>
      <c r="J1504" s="2">
        <v>60</v>
      </c>
      <c r="K1504" s="2">
        <v>58</v>
      </c>
      <c r="L1504" s="2">
        <v>2</v>
      </c>
      <c r="M1504" s="7">
        <f t="shared" si="92"/>
        <v>116</v>
      </c>
      <c r="N1504" s="7">
        <f t="shared" si="93"/>
        <v>120</v>
      </c>
      <c r="O1504" s="2">
        <v>10</v>
      </c>
      <c r="P1504" s="8">
        <f t="shared" si="94"/>
        <v>130</v>
      </c>
      <c r="Q1504" s="8">
        <f t="shared" si="95"/>
        <v>110</v>
      </c>
      <c r="R1504" s="2" t="s">
        <v>50</v>
      </c>
      <c r="S1504" s="9">
        <f>VLOOKUP(P1504,$T$2:U1501,2,1)</f>
        <v>0.02</v>
      </c>
    </row>
    <row r="1505" spans="1:19" x14ac:dyDescent="0.25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e">
        <f>VLOOKUP(F1505,'Customer Info'!A1497:I1996,2,0)</f>
        <v>#N/A</v>
      </c>
      <c r="H1505" s="6" t="e">
        <f>VLOOKUP(F1505,'Customer Info'!A1497:I1996,3,0)</f>
        <v>#N/A</v>
      </c>
      <c r="I1505" s="6" t="e">
        <f>VLOOKUP(F1505,'Customer Info'!A1497:I1996,5,0)</f>
        <v>#N/A</v>
      </c>
      <c r="J1505" s="2">
        <v>92</v>
      </c>
      <c r="K1505" s="2">
        <v>82</v>
      </c>
      <c r="L1505" s="2">
        <v>4</v>
      </c>
      <c r="M1505" s="7">
        <f t="shared" si="92"/>
        <v>328</v>
      </c>
      <c r="N1505" s="7">
        <f t="shared" si="93"/>
        <v>368</v>
      </c>
      <c r="O1505" s="2">
        <v>10</v>
      </c>
      <c r="P1505" s="8">
        <f t="shared" si="94"/>
        <v>378</v>
      </c>
      <c r="Q1505" s="8">
        <f t="shared" si="95"/>
        <v>358</v>
      </c>
      <c r="R1505" s="2" t="s">
        <v>28</v>
      </c>
      <c r="S1505" s="9">
        <f>VLOOKUP(P1505,$T$2:U1502,2,1)</f>
        <v>0.02</v>
      </c>
    </row>
    <row r="1506" spans="1:19" x14ac:dyDescent="0.25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e">
        <f>VLOOKUP(F1506,'Customer Info'!A1498:I1997,2,0)</f>
        <v>#N/A</v>
      </c>
      <c r="H1506" s="6" t="e">
        <f>VLOOKUP(F1506,'Customer Info'!A1498:I1997,3,0)</f>
        <v>#N/A</v>
      </c>
      <c r="I1506" s="6" t="e">
        <f>VLOOKUP(F1506,'Customer Info'!A1498:I1997,5,0)</f>
        <v>#N/A</v>
      </c>
      <c r="J1506" s="2">
        <v>224</v>
      </c>
      <c r="K1506" s="2">
        <v>210</v>
      </c>
      <c r="L1506" s="2">
        <v>1</v>
      </c>
      <c r="M1506" s="7">
        <f t="shared" si="92"/>
        <v>210</v>
      </c>
      <c r="N1506" s="7">
        <f t="shared" si="93"/>
        <v>224</v>
      </c>
      <c r="O1506" s="2">
        <v>87</v>
      </c>
      <c r="P1506" s="8">
        <f t="shared" si="94"/>
        <v>311</v>
      </c>
      <c r="Q1506" s="8">
        <f t="shared" si="95"/>
        <v>137</v>
      </c>
      <c r="R1506" s="2" t="s">
        <v>50</v>
      </c>
      <c r="S1506" s="9">
        <f>VLOOKUP(P1506,$T$2:U1503,2,1)</f>
        <v>0.02</v>
      </c>
    </row>
    <row r="1507" spans="1:19" x14ac:dyDescent="0.25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e">
        <f>VLOOKUP(F1507,'Customer Info'!A1499:I1998,2,0)</f>
        <v>#N/A</v>
      </c>
      <c r="H1507" s="6" t="e">
        <f>VLOOKUP(F1507,'Customer Info'!A1499:I1998,3,0)</f>
        <v>#N/A</v>
      </c>
      <c r="I1507" s="6" t="e">
        <f>VLOOKUP(F1507,'Customer Info'!A1499:I1998,5,0)</f>
        <v>#N/A</v>
      </c>
      <c r="J1507" s="2">
        <v>38328</v>
      </c>
      <c r="K1507" s="2">
        <v>35164</v>
      </c>
      <c r="L1507" s="2">
        <v>1</v>
      </c>
      <c r="M1507" s="7">
        <f t="shared" si="92"/>
        <v>35164</v>
      </c>
      <c r="N1507" s="7">
        <f t="shared" si="93"/>
        <v>38328</v>
      </c>
      <c r="O1507" s="2">
        <v>98</v>
      </c>
      <c r="P1507" s="8">
        <f t="shared" si="94"/>
        <v>38426</v>
      </c>
      <c r="Q1507" s="8">
        <f t="shared" si="95"/>
        <v>38230</v>
      </c>
      <c r="R1507" s="2" t="s">
        <v>50</v>
      </c>
      <c r="S1507" s="9">
        <f>VLOOKUP(P1507,$T$2:U1504,2,1)</f>
        <v>7.0000000000000007E-2</v>
      </c>
    </row>
    <row r="1508" spans="1:19" x14ac:dyDescent="0.25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e">
        <f>VLOOKUP(F1508,'Customer Info'!A1500:I1999,2,0)</f>
        <v>#N/A</v>
      </c>
      <c r="H1508" s="6" t="e">
        <f>VLOOKUP(F1508,'Customer Info'!A1500:I1999,3,0)</f>
        <v>#N/A</v>
      </c>
      <c r="I1508" s="6" t="e">
        <f>VLOOKUP(F1508,'Customer Info'!A1500:I1999,5,0)</f>
        <v>#N/A</v>
      </c>
      <c r="J1508" s="2">
        <v>2958</v>
      </c>
      <c r="K1508" s="2">
        <v>2743</v>
      </c>
      <c r="L1508" s="2">
        <v>2</v>
      </c>
      <c r="M1508" s="7">
        <f t="shared" si="92"/>
        <v>5486</v>
      </c>
      <c r="N1508" s="7">
        <f t="shared" si="93"/>
        <v>5916</v>
      </c>
      <c r="O1508" s="2">
        <v>44</v>
      </c>
      <c r="P1508" s="8">
        <f t="shared" si="94"/>
        <v>5960</v>
      </c>
      <c r="Q1508" s="8">
        <f t="shared" si="95"/>
        <v>5872</v>
      </c>
      <c r="R1508" s="2" t="s">
        <v>50</v>
      </c>
      <c r="S1508" s="9">
        <f>VLOOKUP(P1508,$T$2:U1505,2,1)</f>
        <v>0.05</v>
      </c>
    </row>
    <row r="1509" spans="1:19" x14ac:dyDescent="0.25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e">
        <f>VLOOKUP(F1509,'Customer Info'!A1501:I2000,2,0)</f>
        <v>#N/A</v>
      </c>
      <c r="H1509" s="6" t="e">
        <f>VLOOKUP(F1509,'Customer Info'!A1501:I2000,3,0)</f>
        <v>#N/A</v>
      </c>
      <c r="I1509" s="6" t="e">
        <f>VLOOKUP(F1509,'Customer Info'!A1501:I2000,5,0)</f>
        <v>#N/A</v>
      </c>
      <c r="J1509" s="2">
        <v>542</v>
      </c>
      <c r="K1509" s="2">
        <v>492</v>
      </c>
      <c r="L1509" s="2">
        <v>3</v>
      </c>
      <c r="M1509" s="7">
        <f t="shared" si="92"/>
        <v>1476</v>
      </c>
      <c r="N1509" s="7">
        <f t="shared" si="93"/>
        <v>1626</v>
      </c>
      <c r="O1509" s="2">
        <v>68</v>
      </c>
      <c r="P1509" s="8">
        <f t="shared" si="94"/>
        <v>1694</v>
      </c>
      <c r="Q1509" s="8">
        <f t="shared" si="95"/>
        <v>1558</v>
      </c>
      <c r="R1509" s="2" t="s">
        <v>28</v>
      </c>
      <c r="S1509" s="9">
        <f>VLOOKUP(P1509,$T$2:U1506,2,1)</f>
        <v>0.02</v>
      </c>
    </row>
    <row r="1510" spans="1:19" x14ac:dyDescent="0.25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e">
        <f>VLOOKUP(F1510,'Customer Info'!A1502:I2001,2,0)</f>
        <v>#N/A</v>
      </c>
      <c r="H1510" s="6" t="e">
        <f>VLOOKUP(F1510,'Customer Info'!A1502:I2001,3,0)</f>
        <v>#N/A</v>
      </c>
      <c r="I1510" s="6" t="e">
        <f>VLOOKUP(F1510,'Customer Info'!A1502:I2001,5,0)</f>
        <v>#N/A</v>
      </c>
      <c r="J1510" s="2">
        <v>882</v>
      </c>
      <c r="K1510" s="2">
        <v>818</v>
      </c>
      <c r="L1510" s="2">
        <v>3</v>
      </c>
      <c r="M1510" s="7">
        <f t="shared" si="92"/>
        <v>2454</v>
      </c>
      <c r="N1510" s="7">
        <f t="shared" si="93"/>
        <v>2646</v>
      </c>
      <c r="O1510" s="2">
        <v>62</v>
      </c>
      <c r="P1510" s="8">
        <f t="shared" si="94"/>
        <v>2708</v>
      </c>
      <c r="Q1510" s="8">
        <f t="shared" si="95"/>
        <v>2584</v>
      </c>
      <c r="R1510" s="2" t="s">
        <v>50</v>
      </c>
      <c r="S1510" s="9">
        <f>VLOOKUP(P1510,$T$2:U1507,2,1)</f>
        <v>0.02</v>
      </c>
    </row>
    <row r="1511" spans="1:19" x14ac:dyDescent="0.25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e">
        <f>VLOOKUP(F1511,'Customer Info'!A1503:I2002,2,0)</f>
        <v>#N/A</v>
      </c>
      <c r="H1511" s="6" t="e">
        <f>VLOOKUP(F1511,'Customer Info'!A1503:I2002,3,0)</f>
        <v>#N/A</v>
      </c>
      <c r="I1511" s="6" t="e">
        <f>VLOOKUP(F1511,'Customer Info'!A1503:I2002,5,0)</f>
        <v>#N/A</v>
      </c>
      <c r="J1511" s="2">
        <v>729</v>
      </c>
      <c r="K1511" s="2">
        <v>689</v>
      </c>
      <c r="L1511" s="2">
        <v>4</v>
      </c>
      <c r="M1511" s="7">
        <f t="shared" si="92"/>
        <v>2756</v>
      </c>
      <c r="N1511" s="7">
        <f t="shared" si="93"/>
        <v>2916</v>
      </c>
      <c r="O1511" s="2">
        <v>22</v>
      </c>
      <c r="P1511" s="8">
        <f t="shared" si="94"/>
        <v>2938</v>
      </c>
      <c r="Q1511" s="8">
        <f t="shared" si="95"/>
        <v>2894</v>
      </c>
      <c r="R1511" s="2" t="s">
        <v>50</v>
      </c>
      <c r="S1511" s="9">
        <f>VLOOKUP(P1511,$T$2:U1508,2,1)</f>
        <v>0.02</v>
      </c>
    </row>
    <row r="1512" spans="1:19" x14ac:dyDescent="0.25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e">
        <f>VLOOKUP(F1512,'Customer Info'!A1504:I2003,2,0)</f>
        <v>#N/A</v>
      </c>
      <c r="H1512" s="6" t="e">
        <f>VLOOKUP(F1512,'Customer Info'!A1504:I2003,3,0)</f>
        <v>#N/A</v>
      </c>
      <c r="I1512" s="6" t="e">
        <f>VLOOKUP(F1512,'Customer Info'!A1504:I2003,5,0)</f>
        <v>#N/A</v>
      </c>
      <c r="J1512" s="2">
        <v>145</v>
      </c>
      <c r="K1512" s="2">
        <v>130</v>
      </c>
      <c r="L1512" s="2">
        <v>5</v>
      </c>
      <c r="M1512" s="7">
        <f t="shared" si="92"/>
        <v>650</v>
      </c>
      <c r="N1512" s="7">
        <f t="shared" si="93"/>
        <v>725</v>
      </c>
      <c r="O1512" s="2">
        <v>30</v>
      </c>
      <c r="P1512" s="8">
        <f t="shared" si="94"/>
        <v>755</v>
      </c>
      <c r="Q1512" s="8">
        <f t="shared" si="95"/>
        <v>695</v>
      </c>
      <c r="R1512" s="2" t="s">
        <v>28</v>
      </c>
      <c r="S1512" s="9">
        <f>VLOOKUP(P1512,$T$2:U1509,2,1)</f>
        <v>0.02</v>
      </c>
    </row>
    <row r="1513" spans="1:19" x14ac:dyDescent="0.25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e">
        <f>VLOOKUP(F1513,'Customer Info'!A1505:I2004,2,0)</f>
        <v>#N/A</v>
      </c>
      <c r="H1513" s="6" t="e">
        <f>VLOOKUP(F1513,'Customer Info'!A1505:I2004,3,0)</f>
        <v>#N/A</v>
      </c>
      <c r="I1513" s="6" t="e">
        <f>VLOOKUP(F1513,'Customer Info'!A1505:I2004,5,0)</f>
        <v>#N/A</v>
      </c>
      <c r="J1513" s="2">
        <v>759</v>
      </c>
      <c r="K1513" s="2">
        <v>703</v>
      </c>
      <c r="L1513" s="2">
        <v>1</v>
      </c>
      <c r="M1513" s="7">
        <f t="shared" si="92"/>
        <v>703</v>
      </c>
      <c r="N1513" s="7">
        <f t="shared" si="93"/>
        <v>759</v>
      </c>
      <c r="O1513" s="2">
        <v>98</v>
      </c>
      <c r="P1513" s="8">
        <f t="shared" si="94"/>
        <v>857</v>
      </c>
      <c r="Q1513" s="8">
        <f t="shared" si="95"/>
        <v>661</v>
      </c>
      <c r="R1513" s="2" t="s">
        <v>50</v>
      </c>
      <c r="S1513" s="9">
        <f>VLOOKUP(P1513,$T$2:U1510,2,1)</f>
        <v>0.02</v>
      </c>
    </row>
    <row r="1514" spans="1:19" x14ac:dyDescent="0.25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e">
        <f>VLOOKUP(F1514,'Customer Info'!A1506:I2005,2,0)</f>
        <v>#N/A</v>
      </c>
      <c r="H1514" s="6" t="e">
        <f>VLOOKUP(F1514,'Customer Info'!A1506:I2005,3,0)</f>
        <v>#N/A</v>
      </c>
      <c r="I1514" s="6" t="e">
        <f>VLOOKUP(F1514,'Customer Info'!A1506:I2005,5,0)</f>
        <v>#N/A</v>
      </c>
      <c r="J1514" s="2">
        <v>170</v>
      </c>
      <c r="K1514" s="2">
        <v>153</v>
      </c>
      <c r="L1514" s="2">
        <v>3</v>
      </c>
      <c r="M1514" s="7">
        <f t="shared" si="92"/>
        <v>459</v>
      </c>
      <c r="N1514" s="7">
        <f t="shared" si="93"/>
        <v>510</v>
      </c>
      <c r="O1514" s="2">
        <v>30</v>
      </c>
      <c r="P1514" s="8">
        <f t="shared" si="94"/>
        <v>540</v>
      </c>
      <c r="Q1514" s="8">
        <f t="shared" si="95"/>
        <v>480</v>
      </c>
      <c r="R1514" s="2" t="s">
        <v>26</v>
      </c>
      <c r="S1514" s="9">
        <f>VLOOKUP(P1514,$T$2:U1511,2,1)</f>
        <v>0.02</v>
      </c>
    </row>
    <row r="1515" spans="1:19" x14ac:dyDescent="0.25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e">
        <f>VLOOKUP(F1515,'Customer Info'!A1507:I2006,2,0)</f>
        <v>#N/A</v>
      </c>
      <c r="H1515" s="6" t="e">
        <f>VLOOKUP(F1515,'Customer Info'!A1507:I2006,3,0)</f>
        <v>#N/A</v>
      </c>
      <c r="I1515" s="6" t="e">
        <f>VLOOKUP(F1515,'Customer Info'!A1507:I2006,5,0)</f>
        <v>#N/A</v>
      </c>
      <c r="J1515" s="2">
        <v>2228</v>
      </c>
      <c r="K1515" s="2">
        <v>2143</v>
      </c>
      <c r="L1515" s="2">
        <v>1</v>
      </c>
      <c r="M1515" s="7">
        <f t="shared" si="92"/>
        <v>2143</v>
      </c>
      <c r="N1515" s="7">
        <f t="shared" si="93"/>
        <v>2228</v>
      </c>
      <c r="O1515" s="2">
        <v>79</v>
      </c>
      <c r="P1515" s="8">
        <f t="shared" si="94"/>
        <v>2307</v>
      </c>
      <c r="Q1515" s="8">
        <f t="shared" si="95"/>
        <v>2149</v>
      </c>
      <c r="R1515" s="2" t="s">
        <v>28</v>
      </c>
      <c r="S1515" s="9">
        <f>VLOOKUP(P1515,$T$2:U1512,2,1)</f>
        <v>0.02</v>
      </c>
    </row>
    <row r="1516" spans="1:19" x14ac:dyDescent="0.25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e">
        <f>VLOOKUP(F1516,'Customer Info'!A1508:I2007,2,0)</f>
        <v>#N/A</v>
      </c>
      <c r="H1516" s="6" t="e">
        <f>VLOOKUP(F1516,'Customer Info'!A1508:I2007,3,0)</f>
        <v>#N/A</v>
      </c>
      <c r="I1516" s="6" t="e">
        <f>VLOOKUP(F1516,'Customer Info'!A1508:I2007,5,0)</f>
        <v>#N/A</v>
      </c>
      <c r="J1516" s="2">
        <v>2017</v>
      </c>
      <c r="K1516" s="2">
        <v>1834</v>
      </c>
      <c r="L1516" s="2">
        <v>5</v>
      </c>
      <c r="M1516" s="7">
        <f t="shared" si="92"/>
        <v>9170</v>
      </c>
      <c r="N1516" s="7">
        <f t="shared" si="93"/>
        <v>10085</v>
      </c>
      <c r="O1516" s="2">
        <v>21</v>
      </c>
      <c r="P1516" s="8">
        <f t="shared" si="94"/>
        <v>10106</v>
      </c>
      <c r="Q1516" s="8">
        <f t="shared" si="95"/>
        <v>10064</v>
      </c>
      <c r="R1516" s="2" t="s">
        <v>28</v>
      </c>
      <c r="S1516" s="9">
        <f>VLOOKUP(P1516,$T$2:U1513,2,1)</f>
        <v>0.05</v>
      </c>
    </row>
    <row r="1517" spans="1:19" x14ac:dyDescent="0.25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e">
        <f>VLOOKUP(F1517,'Customer Info'!A1509:I2008,2,0)</f>
        <v>#N/A</v>
      </c>
      <c r="H1517" s="6" t="e">
        <f>VLOOKUP(F1517,'Customer Info'!A1509:I2008,3,0)</f>
        <v>#N/A</v>
      </c>
      <c r="I1517" s="6" t="e">
        <f>VLOOKUP(F1517,'Customer Info'!A1509:I2008,5,0)</f>
        <v>#N/A</v>
      </c>
      <c r="J1517" s="2">
        <v>1637</v>
      </c>
      <c r="K1517" s="2">
        <v>1591</v>
      </c>
      <c r="L1517" s="2">
        <v>2</v>
      </c>
      <c r="M1517" s="7">
        <f t="shared" si="92"/>
        <v>3182</v>
      </c>
      <c r="N1517" s="7">
        <f t="shared" si="93"/>
        <v>3274</v>
      </c>
      <c r="O1517" s="2">
        <v>84</v>
      </c>
      <c r="P1517" s="8">
        <f t="shared" si="94"/>
        <v>3358</v>
      </c>
      <c r="Q1517" s="8">
        <f t="shared" si="95"/>
        <v>3190</v>
      </c>
      <c r="R1517" s="2" t="s">
        <v>50</v>
      </c>
      <c r="S1517" s="9">
        <f>VLOOKUP(P1517,$T$2:U1514,2,1)</f>
        <v>0.02</v>
      </c>
    </row>
    <row r="1518" spans="1:19" x14ac:dyDescent="0.25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e">
        <f>VLOOKUP(F1518,'Customer Info'!A1510:I2009,2,0)</f>
        <v>#N/A</v>
      </c>
      <c r="H1518" s="6" t="e">
        <f>VLOOKUP(F1518,'Customer Info'!A1510:I2009,3,0)</f>
        <v>#N/A</v>
      </c>
      <c r="I1518" s="6" t="e">
        <f>VLOOKUP(F1518,'Customer Info'!A1510:I2009,5,0)</f>
        <v>#N/A</v>
      </c>
      <c r="J1518" s="2">
        <v>1623</v>
      </c>
      <c r="K1518" s="2">
        <v>1546</v>
      </c>
      <c r="L1518" s="2">
        <v>1</v>
      </c>
      <c r="M1518" s="7">
        <f t="shared" si="92"/>
        <v>1546</v>
      </c>
      <c r="N1518" s="7">
        <f t="shared" si="93"/>
        <v>1623</v>
      </c>
      <c r="O1518" s="2">
        <v>54</v>
      </c>
      <c r="P1518" s="8">
        <f t="shared" si="94"/>
        <v>1677</v>
      </c>
      <c r="Q1518" s="8">
        <f t="shared" si="95"/>
        <v>1569</v>
      </c>
      <c r="R1518" s="2" t="s">
        <v>28</v>
      </c>
      <c r="S1518" s="9">
        <f>VLOOKUP(P1518,$T$2:U1515,2,1)</f>
        <v>0.02</v>
      </c>
    </row>
    <row r="1519" spans="1:19" x14ac:dyDescent="0.25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e">
        <f>VLOOKUP(F1519,'Customer Info'!A1511:I2010,2,0)</f>
        <v>#N/A</v>
      </c>
      <c r="H1519" s="6" t="e">
        <f>VLOOKUP(F1519,'Customer Info'!A1511:I2010,3,0)</f>
        <v>#N/A</v>
      </c>
      <c r="I1519" s="6" t="e">
        <f>VLOOKUP(F1519,'Customer Info'!A1511:I2010,5,0)</f>
        <v>#N/A</v>
      </c>
      <c r="J1519" s="2">
        <v>932</v>
      </c>
      <c r="K1519" s="2">
        <v>838</v>
      </c>
      <c r="L1519" s="2">
        <v>5</v>
      </c>
      <c r="M1519" s="7">
        <f t="shared" si="92"/>
        <v>4190</v>
      </c>
      <c r="N1519" s="7">
        <f t="shared" si="93"/>
        <v>4660</v>
      </c>
      <c r="O1519" s="2">
        <v>99</v>
      </c>
      <c r="P1519" s="8">
        <f t="shared" si="94"/>
        <v>4759</v>
      </c>
      <c r="Q1519" s="8">
        <f t="shared" si="95"/>
        <v>4561</v>
      </c>
      <c r="R1519" s="2" t="s">
        <v>28</v>
      </c>
      <c r="S1519" s="9">
        <f>VLOOKUP(P1519,$T$2:U1516,2,1)</f>
        <v>0.02</v>
      </c>
    </row>
    <row r="1520" spans="1:19" x14ac:dyDescent="0.25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e">
        <f>VLOOKUP(F1520,'Customer Info'!A1512:I2011,2,0)</f>
        <v>#N/A</v>
      </c>
      <c r="H1520" s="6" t="e">
        <f>VLOOKUP(F1520,'Customer Info'!A1512:I2011,3,0)</f>
        <v>#N/A</v>
      </c>
      <c r="I1520" s="6" t="e">
        <f>VLOOKUP(F1520,'Customer Info'!A1512:I2011,5,0)</f>
        <v>#N/A</v>
      </c>
      <c r="J1520" s="2">
        <v>87</v>
      </c>
      <c r="K1520" s="2">
        <v>80</v>
      </c>
      <c r="L1520" s="2">
        <v>2</v>
      </c>
      <c r="M1520" s="7">
        <f t="shared" si="92"/>
        <v>160</v>
      </c>
      <c r="N1520" s="7">
        <f t="shared" si="93"/>
        <v>174</v>
      </c>
      <c r="O1520" s="2">
        <v>10</v>
      </c>
      <c r="P1520" s="8">
        <f t="shared" si="94"/>
        <v>184</v>
      </c>
      <c r="Q1520" s="8">
        <f t="shared" si="95"/>
        <v>164</v>
      </c>
      <c r="R1520" s="2" t="s">
        <v>28</v>
      </c>
      <c r="S1520" s="9">
        <f>VLOOKUP(P1520,$T$2:U1517,2,1)</f>
        <v>0.02</v>
      </c>
    </row>
    <row r="1521" spans="1:19" x14ac:dyDescent="0.25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e">
        <f>VLOOKUP(F1521,'Customer Info'!A1513:I2012,2,0)</f>
        <v>#N/A</v>
      </c>
      <c r="H1521" s="6" t="e">
        <f>VLOOKUP(F1521,'Customer Info'!A1513:I2012,3,0)</f>
        <v>#N/A</v>
      </c>
      <c r="I1521" s="6" t="e">
        <f>VLOOKUP(F1521,'Customer Info'!A1513:I2012,5,0)</f>
        <v>#N/A</v>
      </c>
      <c r="J1521" s="2">
        <v>6598</v>
      </c>
      <c r="K1521" s="2">
        <v>6346</v>
      </c>
      <c r="L1521" s="2">
        <v>5</v>
      </c>
      <c r="M1521" s="7">
        <f t="shared" si="92"/>
        <v>31730</v>
      </c>
      <c r="N1521" s="7">
        <f t="shared" si="93"/>
        <v>32990</v>
      </c>
      <c r="O1521" s="2">
        <v>27</v>
      </c>
      <c r="P1521" s="8">
        <f t="shared" si="94"/>
        <v>33017</v>
      </c>
      <c r="Q1521" s="8">
        <f t="shared" si="95"/>
        <v>32963</v>
      </c>
      <c r="R1521" s="2" t="s">
        <v>50</v>
      </c>
      <c r="S1521" s="9">
        <f>VLOOKUP(P1521,$T$2:U1518,2,1)</f>
        <v>7.0000000000000007E-2</v>
      </c>
    </row>
    <row r="1522" spans="1:19" x14ac:dyDescent="0.25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e">
        <f>VLOOKUP(F1522,'Customer Info'!A1514:I2013,2,0)</f>
        <v>#N/A</v>
      </c>
      <c r="H1522" s="6" t="e">
        <f>VLOOKUP(F1522,'Customer Info'!A1514:I2013,3,0)</f>
        <v>#N/A</v>
      </c>
      <c r="I1522" s="6" t="e">
        <f>VLOOKUP(F1522,'Customer Info'!A1514:I2013,5,0)</f>
        <v>#N/A</v>
      </c>
      <c r="J1522" s="2">
        <v>7609</v>
      </c>
      <c r="K1522" s="2">
        <v>7248</v>
      </c>
      <c r="L1522" s="2">
        <v>3</v>
      </c>
      <c r="M1522" s="7">
        <f t="shared" si="92"/>
        <v>21744</v>
      </c>
      <c r="N1522" s="7">
        <f t="shared" si="93"/>
        <v>22827</v>
      </c>
      <c r="O1522" s="2">
        <v>22</v>
      </c>
      <c r="P1522" s="8">
        <f t="shared" si="94"/>
        <v>22849</v>
      </c>
      <c r="Q1522" s="8">
        <f t="shared" si="95"/>
        <v>22805</v>
      </c>
      <c r="R1522" s="2" t="s">
        <v>50</v>
      </c>
      <c r="S1522" s="9">
        <f>VLOOKUP(P1522,$T$2:U1519,2,1)</f>
        <v>0.05</v>
      </c>
    </row>
    <row r="1523" spans="1:19" x14ac:dyDescent="0.25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e">
        <f>VLOOKUP(F1523,'Customer Info'!A1515:I2014,2,0)</f>
        <v>#N/A</v>
      </c>
      <c r="H1523" s="6" t="e">
        <f>VLOOKUP(F1523,'Customer Info'!A1515:I2014,3,0)</f>
        <v>#N/A</v>
      </c>
      <c r="I1523" s="6" t="e">
        <f>VLOOKUP(F1523,'Customer Info'!A1515:I2014,5,0)</f>
        <v>#N/A</v>
      </c>
      <c r="J1523" s="2">
        <v>1752</v>
      </c>
      <c r="K1523" s="2">
        <v>1576</v>
      </c>
      <c r="L1523" s="2">
        <v>2</v>
      </c>
      <c r="M1523" s="7">
        <f t="shared" si="92"/>
        <v>3152</v>
      </c>
      <c r="N1523" s="7">
        <f t="shared" si="93"/>
        <v>3504</v>
      </c>
      <c r="O1523" s="2">
        <v>26</v>
      </c>
      <c r="P1523" s="8">
        <f t="shared" si="94"/>
        <v>3530</v>
      </c>
      <c r="Q1523" s="8">
        <f t="shared" si="95"/>
        <v>3478</v>
      </c>
      <c r="R1523" s="2" t="s">
        <v>26</v>
      </c>
      <c r="S1523" s="9">
        <f>VLOOKUP(P1523,$T$2:U1520,2,1)</f>
        <v>0.02</v>
      </c>
    </row>
    <row r="1524" spans="1:19" x14ac:dyDescent="0.25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e">
        <f>VLOOKUP(F1524,'Customer Info'!A1516:I2015,2,0)</f>
        <v>#N/A</v>
      </c>
      <c r="H1524" s="6" t="e">
        <f>VLOOKUP(F1524,'Customer Info'!A1516:I2015,3,0)</f>
        <v>#N/A</v>
      </c>
      <c r="I1524" s="6" t="e">
        <f>VLOOKUP(F1524,'Customer Info'!A1516:I2015,5,0)</f>
        <v>#N/A</v>
      </c>
      <c r="J1524" s="2">
        <v>7350</v>
      </c>
      <c r="K1524" s="2">
        <v>6743</v>
      </c>
      <c r="L1524" s="2">
        <v>5</v>
      </c>
      <c r="M1524" s="7">
        <f t="shared" si="92"/>
        <v>33715</v>
      </c>
      <c r="N1524" s="7">
        <f t="shared" si="93"/>
        <v>36750</v>
      </c>
      <c r="O1524" s="2">
        <v>68</v>
      </c>
      <c r="P1524" s="8">
        <f t="shared" si="94"/>
        <v>36818</v>
      </c>
      <c r="Q1524" s="8">
        <f t="shared" si="95"/>
        <v>36682</v>
      </c>
      <c r="R1524" s="2" t="s">
        <v>28</v>
      </c>
      <c r="S1524" s="9">
        <f>VLOOKUP(P1524,$T$2:U1521,2,1)</f>
        <v>7.0000000000000007E-2</v>
      </c>
    </row>
    <row r="1525" spans="1:19" x14ac:dyDescent="0.25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e">
        <f>VLOOKUP(F1525,'Customer Info'!A1517:I2016,2,0)</f>
        <v>#N/A</v>
      </c>
      <c r="H1525" s="6" t="e">
        <f>VLOOKUP(F1525,'Customer Info'!A1517:I2016,3,0)</f>
        <v>#N/A</v>
      </c>
      <c r="I1525" s="6" t="e">
        <f>VLOOKUP(F1525,'Customer Info'!A1517:I2016,5,0)</f>
        <v>#N/A</v>
      </c>
      <c r="J1525" s="2">
        <v>1081</v>
      </c>
      <c r="K1525" s="2">
        <v>983</v>
      </c>
      <c r="L1525" s="2">
        <v>3</v>
      </c>
      <c r="M1525" s="7">
        <f t="shared" si="92"/>
        <v>2949</v>
      </c>
      <c r="N1525" s="7">
        <f t="shared" si="93"/>
        <v>3243</v>
      </c>
      <c r="O1525" s="2">
        <v>35</v>
      </c>
      <c r="P1525" s="8">
        <f t="shared" si="94"/>
        <v>3278</v>
      </c>
      <c r="Q1525" s="8">
        <f t="shared" si="95"/>
        <v>3208</v>
      </c>
      <c r="R1525" s="2" t="s">
        <v>50</v>
      </c>
      <c r="S1525" s="9">
        <f>VLOOKUP(P1525,$T$2:U1522,2,1)</f>
        <v>0.02</v>
      </c>
    </row>
    <row r="1526" spans="1:19" x14ac:dyDescent="0.25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e">
        <f>VLOOKUP(F1526,'Customer Info'!A1518:I2017,2,0)</f>
        <v>#N/A</v>
      </c>
      <c r="H1526" s="6" t="e">
        <f>VLOOKUP(F1526,'Customer Info'!A1518:I2017,3,0)</f>
        <v>#N/A</v>
      </c>
      <c r="I1526" s="6" t="e">
        <f>VLOOKUP(F1526,'Customer Info'!A1518:I2017,5,0)</f>
        <v>#N/A</v>
      </c>
      <c r="J1526" s="2">
        <v>2310</v>
      </c>
      <c r="K1526" s="2">
        <v>2040</v>
      </c>
      <c r="L1526" s="2">
        <v>5</v>
      </c>
      <c r="M1526" s="7">
        <f t="shared" si="92"/>
        <v>10200</v>
      </c>
      <c r="N1526" s="7">
        <f t="shared" si="93"/>
        <v>11550</v>
      </c>
      <c r="O1526" s="2">
        <v>60</v>
      </c>
      <c r="P1526" s="8">
        <f t="shared" si="94"/>
        <v>11610</v>
      </c>
      <c r="Q1526" s="8">
        <f t="shared" si="95"/>
        <v>11490</v>
      </c>
      <c r="R1526" s="2" t="s">
        <v>28</v>
      </c>
      <c r="S1526" s="9">
        <f>VLOOKUP(P1526,$T$2:U1523,2,1)</f>
        <v>0.05</v>
      </c>
    </row>
    <row r="1527" spans="1:19" x14ac:dyDescent="0.25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e">
        <f>VLOOKUP(F1527,'Customer Info'!A1519:I2018,2,0)</f>
        <v>#N/A</v>
      </c>
      <c r="H1527" s="6" t="e">
        <f>VLOOKUP(F1527,'Customer Info'!A1519:I2018,3,0)</f>
        <v>#N/A</v>
      </c>
      <c r="I1527" s="6" t="e">
        <f>VLOOKUP(F1527,'Customer Info'!A1519:I2018,5,0)</f>
        <v>#N/A</v>
      </c>
      <c r="J1527" s="2">
        <v>3192</v>
      </c>
      <c r="K1527" s="2">
        <v>3011</v>
      </c>
      <c r="L1527" s="2">
        <v>8</v>
      </c>
      <c r="M1527" s="7">
        <f t="shared" si="92"/>
        <v>24088</v>
      </c>
      <c r="N1527" s="7">
        <f t="shared" si="93"/>
        <v>25536</v>
      </c>
      <c r="O1527" s="2">
        <v>28</v>
      </c>
      <c r="P1527" s="8">
        <f t="shared" si="94"/>
        <v>25564</v>
      </c>
      <c r="Q1527" s="8">
        <f t="shared" si="95"/>
        <v>25508</v>
      </c>
      <c r="R1527" s="2" t="s">
        <v>28</v>
      </c>
      <c r="S1527" s="9">
        <f>VLOOKUP(P1527,$T$2:U1524,2,1)</f>
        <v>7.0000000000000007E-2</v>
      </c>
    </row>
    <row r="1528" spans="1:19" x14ac:dyDescent="0.25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e">
        <f>VLOOKUP(F1528,'Customer Info'!A1520:I2019,2,0)</f>
        <v>#N/A</v>
      </c>
      <c r="H1528" s="6" t="e">
        <f>VLOOKUP(F1528,'Customer Info'!A1520:I2019,3,0)</f>
        <v>#N/A</v>
      </c>
      <c r="I1528" s="6" t="e">
        <f>VLOOKUP(F1528,'Customer Info'!A1520:I2019,5,0)</f>
        <v>#N/A</v>
      </c>
      <c r="J1528" s="2">
        <v>1752</v>
      </c>
      <c r="K1528" s="2">
        <v>1576</v>
      </c>
      <c r="L1528" s="2">
        <v>8</v>
      </c>
      <c r="M1528" s="7">
        <f t="shared" si="92"/>
        <v>12608</v>
      </c>
      <c r="N1528" s="7">
        <f t="shared" si="93"/>
        <v>14016</v>
      </c>
      <c r="O1528" s="2">
        <v>56</v>
      </c>
      <c r="P1528" s="8">
        <f t="shared" si="94"/>
        <v>14072</v>
      </c>
      <c r="Q1528" s="8">
        <f t="shared" si="95"/>
        <v>13960</v>
      </c>
      <c r="R1528" s="2" t="s">
        <v>26</v>
      </c>
      <c r="S1528" s="9">
        <f>VLOOKUP(P1528,$T$2:U1525,2,1)</f>
        <v>0.05</v>
      </c>
    </row>
    <row r="1529" spans="1:19" x14ac:dyDescent="0.25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e">
        <f>VLOOKUP(F1529,'Customer Info'!A1521:I2020,2,0)</f>
        <v>#N/A</v>
      </c>
      <c r="H1529" s="6" t="e">
        <f>VLOOKUP(F1529,'Customer Info'!A1521:I2020,3,0)</f>
        <v>#N/A</v>
      </c>
      <c r="I1529" s="6" t="e">
        <f>VLOOKUP(F1529,'Customer Info'!A1521:I2020,5,0)</f>
        <v>#N/A</v>
      </c>
      <c r="J1529" s="2">
        <v>147</v>
      </c>
      <c r="K1529" s="2">
        <v>138</v>
      </c>
      <c r="L1529" s="2">
        <v>4</v>
      </c>
      <c r="M1529" s="7">
        <f t="shared" si="92"/>
        <v>552</v>
      </c>
      <c r="N1529" s="7">
        <f t="shared" si="93"/>
        <v>588</v>
      </c>
      <c r="O1529" s="2">
        <v>30</v>
      </c>
      <c r="P1529" s="8">
        <f t="shared" si="94"/>
        <v>618</v>
      </c>
      <c r="Q1529" s="8">
        <f t="shared" si="95"/>
        <v>558</v>
      </c>
      <c r="R1529" s="2" t="s">
        <v>28</v>
      </c>
      <c r="S1529" s="9">
        <f>VLOOKUP(P1529,$T$2:U1526,2,1)</f>
        <v>0.02</v>
      </c>
    </row>
    <row r="1530" spans="1:19" x14ac:dyDescent="0.25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e">
        <f>VLOOKUP(F1530,'Customer Info'!A1522:I2021,2,0)</f>
        <v>#N/A</v>
      </c>
      <c r="H1530" s="6" t="e">
        <f>VLOOKUP(F1530,'Customer Info'!A1522:I2021,3,0)</f>
        <v>#N/A</v>
      </c>
      <c r="I1530" s="6" t="e">
        <f>VLOOKUP(F1530,'Customer Info'!A1522:I2021,5,0)</f>
        <v>#N/A</v>
      </c>
      <c r="J1530" s="2">
        <v>7474</v>
      </c>
      <c r="K1530" s="2">
        <v>6858</v>
      </c>
      <c r="L1530" s="2">
        <v>1</v>
      </c>
      <c r="M1530" s="7">
        <f t="shared" si="92"/>
        <v>6858</v>
      </c>
      <c r="N1530" s="7">
        <f t="shared" si="93"/>
        <v>7474</v>
      </c>
      <c r="O1530" s="2">
        <v>39</v>
      </c>
      <c r="P1530" s="8">
        <f t="shared" si="94"/>
        <v>7513</v>
      </c>
      <c r="Q1530" s="8">
        <f t="shared" si="95"/>
        <v>7435</v>
      </c>
      <c r="R1530" s="2" t="s">
        <v>50</v>
      </c>
      <c r="S1530" s="9">
        <f>VLOOKUP(P1530,$T$2:U1527,2,1)</f>
        <v>0.05</v>
      </c>
    </row>
    <row r="1531" spans="1:19" x14ac:dyDescent="0.25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e">
        <f>VLOOKUP(F1531,'Customer Info'!A1523:I2022,2,0)</f>
        <v>#N/A</v>
      </c>
      <c r="H1531" s="6" t="e">
        <f>VLOOKUP(F1531,'Customer Info'!A1523:I2022,3,0)</f>
        <v>#N/A</v>
      </c>
      <c r="I1531" s="6" t="e">
        <f>VLOOKUP(F1531,'Customer Info'!A1523:I2022,5,0)</f>
        <v>#N/A</v>
      </c>
      <c r="J1531" s="2">
        <v>7691</v>
      </c>
      <c r="K1531" s="2">
        <v>7255</v>
      </c>
      <c r="L1531" s="2">
        <v>4</v>
      </c>
      <c r="M1531" s="7">
        <f t="shared" si="92"/>
        <v>29020</v>
      </c>
      <c r="N1531" s="7">
        <f t="shared" si="93"/>
        <v>30764</v>
      </c>
      <c r="O1531" s="2">
        <v>97</v>
      </c>
      <c r="P1531" s="8">
        <f t="shared" si="94"/>
        <v>30861</v>
      </c>
      <c r="Q1531" s="8">
        <f t="shared" si="95"/>
        <v>30667</v>
      </c>
      <c r="R1531" s="2" t="s">
        <v>50</v>
      </c>
      <c r="S1531" s="9">
        <f>VLOOKUP(P1531,$T$2:U1528,2,1)</f>
        <v>7.0000000000000007E-2</v>
      </c>
    </row>
    <row r="1532" spans="1:19" x14ac:dyDescent="0.25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e">
        <f>VLOOKUP(F1532,'Customer Info'!A1524:I2023,2,0)</f>
        <v>#N/A</v>
      </c>
      <c r="H1532" s="6" t="e">
        <f>VLOOKUP(F1532,'Customer Info'!A1524:I2023,3,0)</f>
        <v>#N/A</v>
      </c>
      <c r="I1532" s="6" t="e">
        <f>VLOOKUP(F1532,'Customer Info'!A1524:I2023,5,0)</f>
        <v>#N/A</v>
      </c>
      <c r="J1532" s="2">
        <v>187</v>
      </c>
      <c r="K1532" s="2">
        <v>176</v>
      </c>
      <c r="L1532" s="2">
        <v>8</v>
      </c>
      <c r="M1532" s="7">
        <f t="shared" si="92"/>
        <v>1408</v>
      </c>
      <c r="N1532" s="7">
        <f t="shared" si="93"/>
        <v>1496</v>
      </c>
      <c r="O1532" s="2">
        <v>30</v>
      </c>
      <c r="P1532" s="8">
        <f t="shared" si="94"/>
        <v>1526</v>
      </c>
      <c r="Q1532" s="8">
        <f t="shared" si="95"/>
        <v>1466</v>
      </c>
      <c r="R1532" s="2" t="s">
        <v>50</v>
      </c>
      <c r="S1532" s="9">
        <f>VLOOKUP(P1532,$T$2:U1529,2,1)</f>
        <v>0.02</v>
      </c>
    </row>
    <row r="1533" spans="1:19" x14ac:dyDescent="0.25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e">
        <f>VLOOKUP(F1533,'Customer Info'!A1525:I2024,2,0)</f>
        <v>#N/A</v>
      </c>
      <c r="H1533" s="6" t="e">
        <f>VLOOKUP(F1533,'Customer Info'!A1525:I2024,3,0)</f>
        <v>#N/A</v>
      </c>
      <c r="I1533" s="6" t="e">
        <f>VLOOKUP(F1533,'Customer Info'!A1525:I2024,5,0)</f>
        <v>#N/A</v>
      </c>
      <c r="J1533" s="2">
        <v>138</v>
      </c>
      <c r="K1533" s="2">
        <v>128</v>
      </c>
      <c r="L1533" s="2">
        <v>2</v>
      </c>
      <c r="M1533" s="7">
        <f t="shared" si="92"/>
        <v>256</v>
      </c>
      <c r="N1533" s="7">
        <f t="shared" si="93"/>
        <v>276</v>
      </c>
      <c r="O1533" s="2">
        <v>30</v>
      </c>
      <c r="P1533" s="8">
        <f t="shared" si="94"/>
        <v>306</v>
      </c>
      <c r="Q1533" s="8">
        <f t="shared" si="95"/>
        <v>246</v>
      </c>
      <c r="R1533" s="2" t="s">
        <v>28</v>
      </c>
      <c r="S1533" s="9">
        <f>VLOOKUP(P1533,$T$2:U1530,2,1)</f>
        <v>0.02</v>
      </c>
    </row>
    <row r="1534" spans="1:19" x14ac:dyDescent="0.25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e">
        <f>VLOOKUP(F1534,'Customer Info'!A1526:I2025,2,0)</f>
        <v>#N/A</v>
      </c>
      <c r="H1534" s="6" t="e">
        <f>VLOOKUP(F1534,'Customer Info'!A1526:I2025,3,0)</f>
        <v>#N/A</v>
      </c>
      <c r="I1534" s="6" t="e">
        <f>VLOOKUP(F1534,'Customer Info'!A1526:I2025,5,0)</f>
        <v>#N/A</v>
      </c>
      <c r="J1534" s="2">
        <v>6354</v>
      </c>
      <c r="K1534" s="2">
        <v>5769</v>
      </c>
      <c r="L1534" s="2">
        <v>4</v>
      </c>
      <c r="M1534" s="7">
        <f t="shared" si="92"/>
        <v>23076</v>
      </c>
      <c r="N1534" s="7">
        <f t="shared" si="93"/>
        <v>25416</v>
      </c>
      <c r="O1534" s="2">
        <v>98</v>
      </c>
      <c r="P1534" s="8">
        <f t="shared" si="94"/>
        <v>25514</v>
      </c>
      <c r="Q1534" s="8">
        <f t="shared" si="95"/>
        <v>25318</v>
      </c>
      <c r="R1534" s="2" t="s">
        <v>28</v>
      </c>
      <c r="S1534" s="9">
        <f>VLOOKUP(P1534,$T$2:U1531,2,1)</f>
        <v>7.0000000000000007E-2</v>
      </c>
    </row>
    <row r="1535" spans="1:19" x14ac:dyDescent="0.25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e">
        <f>VLOOKUP(F1535,'Customer Info'!A1527:I2026,2,0)</f>
        <v>#N/A</v>
      </c>
      <c r="H1535" s="6" t="e">
        <f>VLOOKUP(F1535,'Customer Info'!A1527:I2026,3,0)</f>
        <v>#N/A</v>
      </c>
      <c r="I1535" s="6" t="e">
        <f>VLOOKUP(F1535,'Customer Info'!A1527:I2026,5,0)</f>
        <v>#N/A</v>
      </c>
      <c r="J1535" s="2">
        <v>2843</v>
      </c>
      <c r="K1535" s="2">
        <v>2735</v>
      </c>
      <c r="L1535" s="2">
        <v>3</v>
      </c>
      <c r="M1535" s="7">
        <f t="shared" si="92"/>
        <v>8205</v>
      </c>
      <c r="N1535" s="7">
        <f t="shared" si="93"/>
        <v>8529</v>
      </c>
      <c r="O1535" s="2">
        <v>78</v>
      </c>
      <c r="P1535" s="8">
        <f t="shared" si="94"/>
        <v>8607</v>
      </c>
      <c r="Q1535" s="8">
        <f t="shared" si="95"/>
        <v>8451</v>
      </c>
      <c r="R1535" s="2" t="s">
        <v>28</v>
      </c>
      <c r="S1535" s="9">
        <f>VLOOKUP(P1535,$T$2:U1532,2,1)</f>
        <v>0.05</v>
      </c>
    </row>
    <row r="1536" spans="1:19" x14ac:dyDescent="0.25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e">
        <f>VLOOKUP(F1536,'Customer Info'!A1528:I2027,2,0)</f>
        <v>#N/A</v>
      </c>
      <c r="H1536" s="6" t="e">
        <f>VLOOKUP(F1536,'Customer Info'!A1528:I2027,3,0)</f>
        <v>#N/A</v>
      </c>
      <c r="I1536" s="6" t="e">
        <f>VLOOKUP(F1536,'Customer Info'!A1528:I2027,5,0)</f>
        <v>#N/A</v>
      </c>
      <c r="J1536" s="2">
        <v>4577</v>
      </c>
      <c r="K1536" s="2">
        <v>4280</v>
      </c>
      <c r="L1536" s="2">
        <v>2</v>
      </c>
      <c r="M1536" s="7">
        <f t="shared" si="92"/>
        <v>8560</v>
      </c>
      <c r="N1536" s="7">
        <f t="shared" si="93"/>
        <v>9154</v>
      </c>
      <c r="O1536" s="2">
        <v>45</v>
      </c>
      <c r="P1536" s="8">
        <f t="shared" si="94"/>
        <v>9199</v>
      </c>
      <c r="Q1536" s="8">
        <f t="shared" si="95"/>
        <v>9109</v>
      </c>
      <c r="R1536" s="2" t="s">
        <v>50</v>
      </c>
      <c r="S1536" s="9">
        <f>VLOOKUP(P1536,$T$2:U1533,2,1)</f>
        <v>0.05</v>
      </c>
    </row>
    <row r="1537" spans="1:19" x14ac:dyDescent="0.25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e">
        <f>VLOOKUP(F1537,'Customer Info'!A1529:I2028,2,0)</f>
        <v>#N/A</v>
      </c>
      <c r="H1537" s="6" t="e">
        <f>VLOOKUP(F1537,'Customer Info'!A1529:I2028,3,0)</f>
        <v>#N/A</v>
      </c>
      <c r="I1537" s="6" t="e">
        <f>VLOOKUP(F1537,'Customer Info'!A1529:I2028,5,0)</f>
        <v>#N/A</v>
      </c>
      <c r="J1537" s="2">
        <v>9214</v>
      </c>
      <c r="K1537" s="2">
        <v>8295</v>
      </c>
      <c r="L1537" s="2">
        <v>1</v>
      </c>
      <c r="M1537" s="7">
        <f t="shared" si="92"/>
        <v>8295</v>
      </c>
      <c r="N1537" s="7">
        <f t="shared" si="93"/>
        <v>9214</v>
      </c>
      <c r="O1537" s="2">
        <v>32</v>
      </c>
      <c r="P1537" s="8">
        <f t="shared" si="94"/>
        <v>9246</v>
      </c>
      <c r="Q1537" s="8">
        <f t="shared" si="95"/>
        <v>9182</v>
      </c>
      <c r="R1537" s="2" t="s">
        <v>28</v>
      </c>
      <c r="S1537" s="9">
        <f>VLOOKUP(P1537,$T$2:U1534,2,1)</f>
        <v>0.05</v>
      </c>
    </row>
    <row r="1538" spans="1:19" x14ac:dyDescent="0.25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e">
        <f>VLOOKUP(F1538,'Customer Info'!A1530:I2029,2,0)</f>
        <v>#N/A</v>
      </c>
      <c r="H1538" s="6" t="e">
        <f>VLOOKUP(F1538,'Customer Info'!A1530:I2029,3,0)</f>
        <v>#N/A</v>
      </c>
      <c r="I1538" s="6" t="e">
        <f>VLOOKUP(F1538,'Customer Info'!A1530:I2029,5,0)</f>
        <v>#N/A</v>
      </c>
      <c r="J1538" s="2">
        <v>896</v>
      </c>
      <c r="K1538" s="2">
        <v>870</v>
      </c>
      <c r="L1538" s="2">
        <v>3</v>
      </c>
      <c r="M1538" s="7">
        <f t="shared" si="92"/>
        <v>2610</v>
      </c>
      <c r="N1538" s="7">
        <f t="shared" si="93"/>
        <v>2688</v>
      </c>
      <c r="O1538" s="2">
        <v>37</v>
      </c>
      <c r="P1538" s="8">
        <f t="shared" si="94"/>
        <v>2725</v>
      </c>
      <c r="Q1538" s="8">
        <f t="shared" si="95"/>
        <v>2651</v>
      </c>
      <c r="R1538" s="2" t="s">
        <v>50</v>
      </c>
      <c r="S1538" s="9">
        <f>VLOOKUP(P1538,$T$2:U1535,2,1)</f>
        <v>0.02</v>
      </c>
    </row>
    <row r="1539" spans="1:19" x14ac:dyDescent="0.25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e">
        <f>VLOOKUP(F1539,'Customer Info'!A1531:I2030,2,0)</f>
        <v>#N/A</v>
      </c>
      <c r="H1539" s="6" t="e">
        <f>VLOOKUP(F1539,'Customer Info'!A1531:I2030,3,0)</f>
        <v>#N/A</v>
      </c>
      <c r="I1539" s="6" t="e">
        <f>VLOOKUP(F1539,'Customer Info'!A1531:I2030,5,0)</f>
        <v>#N/A</v>
      </c>
      <c r="J1539" s="2">
        <v>25155</v>
      </c>
      <c r="K1539" s="2">
        <v>23753</v>
      </c>
      <c r="L1539" s="2">
        <v>2</v>
      </c>
      <c r="M1539" s="7">
        <f t="shared" si="92"/>
        <v>47506</v>
      </c>
      <c r="N1539" s="7">
        <f t="shared" si="93"/>
        <v>50310</v>
      </c>
      <c r="O1539" s="2">
        <v>77</v>
      </c>
      <c r="P1539" s="8">
        <f t="shared" si="94"/>
        <v>50387</v>
      </c>
      <c r="Q1539" s="8">
        <f t="shared" si="95"/>
        <v>50233</v>
      </c>
      <c r="R1539" s="2" t="s">
        <v>50</v>
      </c>
      <c r="S1539" s="9">
        <f>VLOOKUP(P1539,$T$2:U1536,2,1)</f>
        <v>0.09</v>
      </c>
    </row>
    <row r="1540" spans="1:19" x14ac:dyDescent="0.25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e">
        <f>VLOOKUP(F1540,'Customer Info'!A1532:I2031,2,0)</f>
        <v>#N/A</v>
      </c>
      <c r="H1540" s="6" t="e">
        <f>VLOOKUP(F1540,'Customer Info'!A1532:I2031,3,0)</f>
        <v>#N/A</v>
      </c>
      <c r="I1540" s="6" t="e">
        <f>VLOOKUP(F1540,'Customer Info'!A1532:I2031,5,0)</f>
        <v>#N/A</v>
      </c>
      <c r="J1540" s="2">
        <v>28522</v>
      </c>
      <c r="K1540" s="2">
        <v>26384</v>
      </c>
      <c r="L1540" s="2">
        <v>6</v>
      </c>
      <c r="M1540" s="7">
        <f t="shared" si="92"/>
        <v>158304</v>
      </c>
      <c r="N1540" s="7">
        <f t="shared" si="93"/>
        <v>171132</v>
      </c>
      <c r="O1540" s="2">
        <v>96</v>
      </c>
      <c r="P1540" s="8">
        <f t="shared" si="94"/>
        <v>171228</v>
      </c>
      <c r="Q1540" s="8">
        <f t="shared" si="95"/>
        <v>171036</v>
      </c>
      <c r="R1540" s="2" t="s">
        <v>28</v>
      </c>
      <c r="S1540" s="9">
        <f>VLOOKUP(P1540,$T$2:U1537,2,1)</f>
        <v>0.12</v>
      </c>
    </row>
    <row r="1541" spans="1:19" x14ac:dyDescent="0.25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e">
        <f>VLOOKUP(F1541,'Customer Info'!A1533:I2032,2,0)</f>
        <v>#N/A</v>
      </c>
      <c r="H1541" s="6" t="e">
        <f>VLOOKUP(F1541,'Customer Info'!A1533:I2032,3,0)</f>
        <v>#N/A</v>
      </c>
      <c r="I1541" s="6" t="e">
        <f>VLOOKUP(F1541,'Customer Info'!A1533:I2032,5,0)</f>
        <v>#N/A</v>
      </c>
      <c r="J1541" s="2">
        <v>63</v>
      </c>
      <c r="K1541" s="2">
        <v>58</v>
      </c>
      <c r="L1541" s="2">
        <v>9</v>
      </c>
      <c r="M1541" s="7">
        <f t="shared" si="92"/>
        <v>522</v>
      </c>
      <c r="N1541" s="7">
        <f t="shared" si="93"/>
        <v>567</v>
      </c>
      <c r="O1541" s="2">
        <v>10</v>
      </c>
      <c r="P1541" s="8">
        <f t="shared" si="94"/>
        <v>577</v>
      </c>
      <c r="Q1541" s="8">
        <f t="shared" si="95"/>
        <v>557</v>
      </c>
      <c r="R1541" s="2" t="s">
        <v>28</v>
      </c>
      <c r="S1541" s="9">
        <f>VLOOKUP(P1541,$T$2:U1538,2,1)</f>
        <v>0.02</v>
      </c>
    </row>
    <row r="1542" spans="1:19" x14ac:dyDescent="0.25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e">
        <f>VLOOKUP(F1542,'Customer Info'!A1534:I2033,2,0)</f>
        <v>#N/A</v>
      </c>
      <c r="H1542" s="6" t="e">
        <f>VLOOKUP(F1542,'Customer Info'!A1534:I2033,3,0)</f>
        <v>#N/A</v>
      </c>
      <c r="I1542" s="6" t="e">
        <f>VLOOKUP(F1542,'Customer Info'!A1534:I2033,5,0)</f>
        <v>#N/A</v>
      </c>
      <c r="J1542" s="2">
        <v>1654</v>
      </c>
      <c r="K1542" s="2">
        <v>1577</v>
      </c>
      <c r="L1542" s="2">
        <v>4</v>
      </c>
      <c r="M1542" s="7">
        <f t="shared" si="92"/>
        <v>6308</v>
      </c>
      <c r="N1542" s="7">
        <f t="shared" si="93"/>
        <v>6616</v>
      </c>
      <c r="O1542" s="2">
        <v>30</v>
      </c>
      <c r="P1542" s="8">
        <f t="shared" si="94"/>
        <v>6646</v>
      </c>
      <c r="Q1542" s="8">
        <f t="shared" si="95"/>
        <v>6586</v>
      </c>
      <c r="R1542" s="2" t="s">
        <v>56</v>
      </c>
      <c r="S1542" s="9">
        <f>VLOOKUP(P1542,$T$2:U1539,2,1)</f>
        <v>0.05</v>
      </c>
    </row>
    <row r="1543" spans="1:19" x14ac:dyDescent="0.25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e">
        <f>VLOOKUP(F1543,'Customer Info'!A1535:I2034,2,0)</f>
        <v>#N/A</v>
      </c>
      <c r="H1543" s="6" t="e">
        <f>VLOOKUP(F1543,'Customer Info'!A1535:I2034,3,0)</f>
        <v>#N/A</v>
      </c>
      <c r="I1543" s="6" t="e">
        <f>VLOOKUP(F1543,'Customer Info'!A1535:I2034,5,0)</f>
        <v>#N/A</v>
      </c>
      <c r="J1543" s="2">
        <v>7943</v>
      </c>
      <c r="K1543" s="2">
        <v>7790</v>
      </c>
      <c r="L1543" s="2">
        <v>4</v>
      </c>
      <c r="M1543" s="7">
        <f t="shared" si="92"/>
        <v>31160</v>
      </c>
      <c r="N1543" s="7">
        <f t="shared" si="93"/>
        <v>31772</v>
      </c>
      <c r="O1543" s="2">
        <v>61</v>
      </c>
      <c r="P1543" s="8">
        <f t="shared" si="94"/>
        <v>31833</v>
      </c>
      <c r="Q1543" s="8">
        <f t="shared" si="95"/>
        <v>31711</v>
      </c>
      <c r="R1543" s="2" t="s">
        <v>28</v>
      </c>
      <c r="S1543" s="9">
        <f>VLOOKUP(P1543,$T$2:U1540,2,1)</f>
        <v>7.0000000000000007E-2</v>
      </c>
    </row>
    <row r="1544" spans="1:19" x14ac:dyDescent="0.25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e">
        <f>VLOOKUP(F1544,'Customer Info'!A1536:I2035,2,0)</f>
        <v>#N/A</v>
      </c>
      <c r="H1544" s="6" t="e">
        <f>VLOOKUP(F1544,'Customer Info'!A1536:I2035,3,0)</f>
        <v>#N/A</v>
      </c>
      <c r="I1544" s="6" t="e">
        <f>VLOOKUP(F1544,'Customer Info'!A1536:I2035,5,0)</f>
        <v>#N/A</v>
      </c>
      <c r="J1544" s="2">
        <v>2200</v>
      </c>
      <c r="K1544" s="2">
        <v>2020</v>
      </c>
      <c r="L1544" s="2">
        <v>7</v>
      </c>
      <c r="M1544" s="7">
        <f t="shared" si="92"/>
        <v>14140</v>
      </c>
      <c r="N1544" s="7">
        <f t="shared" si="93"/>
        <v>15400</v>
      </c>
      <c r="O1544" s="2">
        <v>82</v>
      </c>
      <c r="P1544" s="8">
        <f t="shared" si="94"/>
        <v>15482</v>
      </c>
      <c r="Q1544" s="8">
        <f t="shared" si="95"/>
        <v>15318</v>
      </c>
      <c r="R1544" s="2" t="s">
        <v>50</v>
      </c>
      <c r="S1544" s="9">
        <f>VLOOKUP(P1544,$T$2:U1541,2,1)</f>
        <v>0.05</v>
      </c>
    </row>
    <row r="1545" spans="1:19" x14ac:dyDescent="0.25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e">
        <f>VLOOKUP(F1545,'Customer Info'!A1537:I2036,2,0)</f>
        <v>#N/A</v>
      </c>
      <c r="H1545" s="6" t="e">
        <f>VLOOKUP(F1545,'Customer Info'!A1537:I2036,3,0)</f>
        <v>#N/A</v>
      </c>
      <c r="I1545" s="6" t="e">
        <f>VLOOKUP(F1545,'Customer Info'!A1537:I2036,5,0)</f>
        <v>#N/A</v>
      </c>
      <c r="J1545" s="2">
        <v>87</v>
      </c>
      <c r="K1545" s="2">
        <v>80</v>
      </c>
      <c r="L1545" s="2">
        <v>6</v>
      </c>
      <c r="M1545" s="7">
        <f t="shared" si="92"/>
        <v>480</v>
      </c>
      <c r="N1545" s="7">
        <f t="shared" si="93"/>
        <v>522</v>
      </c>
      <c r="O1545" s="2">
        <v>10</v>
      </c>
      <c r="P1545" s="8">
        <f t="shared" si="94"/>
        <v>532</v>
      </c>
      <c r="Q1545" s="8">
        <f t="shared" si="95"/>
        <v>512</v>
      </c>
      <c r="R1545" s="2" t="s">
        <v>28</v>
      </c>
      <c r="S1545" s="9">
        <f>VLOOKUP(P1545,$T$2:U1542,2,1)</f>
        <v>0.02</v>
      </c>
    </row>
    <row r="1546" spans="1:19" x14ac:dyDescent="0.25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e">
        <f>VLOOKUP(F1546,'Customer Info'!A1538:I2037,2,0)</f>
        <v>#N/A</v>
      </c>
      <c r="H1546" s="6" t="e">
        <f>VLOOKUP(F1546,'Customer Info'!A1538:I2037,3,0)</f>
        <v>#N/A</v>
      </c>
      <c r="I1546" s="6" t="e">
        <f>VLOOKUP(F1546,'Customer Info'!A1538:I2037,5,0)</f>
        <v>#N/A</v>
      </c>
      <c r="J1546" s="2">
        <v>1637</v>
      </c>
      <c r="K1546" s="2">
        <v>1532</v>
      </c>
      <c r="L1546" s="2">
        <v>3</v>
      </c>
      <c r="M1546" s="7">
        <f t="shared" si="92"/>
        <v>4596</v>
      </c>
      <c r="N1546" s="7">
        <f t="shared" si="93"/>
        <v>4911</v>
      </c>
      <c r="O1546" s="2">
        <v>30</v>
      </c>
      <c r="P1546" s="8">
        <f t="shared" si="94"/>
        <v>4941</v>
      </c>
      <c r="Q1546" s="8">
        <f t="shared" si="95"/>
        <v>4881</v>
      </c>
      <c r="R1546" s="2" t="s">
        <v>50</v>
      </c>
      <c r="S1546" s="9">
        <f>VLOOKUP(P1546,$T$2:U1543,2,1)</f>
        <v>0.02</v>
      </c>
    </row>
    <row r="1547" spans="1:19" x14ac:dyDescent="0.25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e">
        <f>VLOOKUP(F1547,'Customer Info'!A1539:I2038,2,0)</f>
        <v>#N/A</v>
      </c>
      <c r="H1547" s="6" t="e">
        <f>VLOOKUP(F1547,'Customer Info'!A1539:I2038,3,0)</f>
        <v>#N/A</v>
      </c>
      <c r="I1547" s="6" t="e">
        <f>VLOOKUP(F1547,'Customer Info'!A1539:I2038,5,0)</f>
        <v>#N/A</v>
      </c>
      <c r="J1547" s="2">
        <v>2829</v>
      </c>
      <c r="K1547" s="2">
        <v>2596</v>
      </c>
      <c r="L1547" s="2">
        <v>2</v>
      </c>
      <c r="M1547" s="7">
        <f t="shared" ref="M1547:M1610" si="96">K1547*L1547</f>
        <v>5192</v>
      </c>
      <c r="N1547" s="7">
        <f t="shared" ref="N1547:N1610" si="97">J1547*L1547</f>
        <v>5658</v>
      </c>
      <c r="O1547" s="2">
        <v>61</v>
      </c>
      <c r="P1547" s="8">
        <f t="shared" ref="P1547:P1610" si="98">SUM(N1547,O1547)</f>
        <v>5719</v>
      </c>
      <c r="Q1547" s="8">
        <f t="shared" ref="Q1547:Q1610" si="99">N1547-O1547</f>
        <v>5597</v>
      </c>
      <c r="R1547" s="2" t="s">
        <v>28</v>
      </c>
      <c r="S1547" s="9">
        <f>VLOOKUP(P1547,$T$2:U1544,2,1)</f>
        <v>0.05</v>
      </c>
    </row>
    <row r="1548" spans="1:19" x14ac:dyDescent="0.25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e">
        <f>VLOOKUP(F1548,'Customer Info'!A1540:I2039,2,0)</f>
        <v>#N/A</v>
      </c>
      <c r="H1548" s="6" t="e">
        <f>VLOOKUP(F1548,'Customer Info'!A1540:I2039,3,0)</f>
        <v>#N/A</v>
      </c>
      <c r="I1548" s="6" t="e">
        <f>VLOOKUP(F1548,'Customer Info'!A1540:I2039,5,0)</f>
        <v>#N/A</v>
      </c>
      <c r="J1548" s="2">
        <v>279</v>
      </c>
      <c r="K1548" s="2">
        <v>254</v>
      </c>
      <c r="L1548" s="2">
        <v>3</v>
      </c>
      <c r="M1548" s="7">
        <f t="shared" si="96"/>
        <v>762</v>
      </c>
      <c r="N1548" s="7">
        <f t="shared" si="97"/>
        <v>837</v>
      </c>
      <c r="O1548" s="2">
        <v>85</v>
      </c>
      <c r="P1548" s="8">
        <f t="shared" si="98"/>
        <v>922</v>
      </c>
      <c r="Q1548" s="8">
        <f t="shared" si="99"/>
        <v>752</v>
      </c>
      <c r="R1548" s="2" t="s">
        <v>28</v>
      </c>
      <c r="S1548" s="9">
        <f>VLOOKUP(P1548,$T$2:U1545,2,1)</f>
        <v>0.02</v>
      </c>
    </row>
    <row r="1549" spans="1:19" x14ac:dyDescent="0.25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e">
        <f>VLOOKUP(F1549,'Customer Info'!A1541:I2040,2,0)</f>
        <v>#N/A</v>
      </c>
      <c r="H1549" s="6" t="e">
        <f>VLOOKUP(F1549,'Customer Info'!A1541:I2040,3,0)</f>
        <v>#N/A</v>
      </c>
      <c r="I1549" s="6" t="e">
        <f>VLOOKUP(F1549,'Customer Info'!A1541:I2040,5,0)</f>
        <v>#N/A</v>
      </c>
      <c r="J1549" s="2">
        <v>62</v>
      </c>
      <c r="K1549" s="2">
        <v>58</v>
      </c>
      <c r="L1549" s="2">
        <v>4</v>
      </c>
      <c r="M1549" s="7">
        <f t="shared" si="96"/>
        <v>232</v>
      </c>
      <c r="N1549" s="7">
        <f t="shared" si="97"/>
        <v>248</v>
      </c>
      <c r="O1549" s="2">
        <v>10</v>
      </c>
      <c r="P1549" s="8">
        <f t="shared" si="98"/>
        <v>258</v>
      </c>
      <c r="Q1549" s="8">
        <f t="shared" si="99"/>
        <v>238</v>
      </c>
      <c r="R1549" s="2" t="s">
        <v>28</v>
      </c>
      <c r="S1549" s="9">
        <f>VLOOKUP(P1549,$T$2:U1546,2,1)</f>
        <v>0.02</v>
      </c>
    </row>
    <row r="1550" spans="1:19" x14ac:dyDescent="0.25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e">
        <f>VLOOKUP(F1550,'Customer Info'!A1542:I2041,2,0)</f>
        <v>#N/A</v>
      </c>
      <c r="H1550" s="6" t="e">
        <f>VLOOKUP(F1550,'Customer Info'!A1542:I2041,3,0)</f>
        <v>#N/A</v>
      </c>
      <c r="I1550" s="6" t="e">
        <f>VLOOKUP(F1550,'Customer Info'!A1542:I2041,5,0)</f>
        <v>#N/A</v>
      </c>
      <c r="J1550" s="2">
        <v>1210</v>
      </c>
      <c r="K1550" s="2">
        <v>1164</v>
      </c>
      <c r="L1550" s="2">
        <v>2</v>
      </c>
      <c r="M1550" s="7">
        <f t="shared" si="96"/>
        <v>2328</v>
      </c>
      <c r="N1550" s="7">
        <f t="shared" si="97"/>
        <v>2420</v>
      </c>
      <c r="O1550" s="2">
        <v>23</v>
      </c>
      <c r="P1550" s="8">
        <f t="shared" si="98"/>
        <v>2443</v>
      </c>
      <c r="Q1550" s="8">
        <f t="shared" si="99"/>
        <v>2397</v>
      </c>
      <c r="R1550" s="2" t="s">
        <v>28</v>
      </c>
      <c r="S1550" s="9">
        <f>VLOOKUP(P1550,$T$2:U1547,2,1)</f>
        <v>0.02</v>
      </c>
    </row>
    <row r="1551" spans="1:19" x14ac:dyDescent="0.25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e">
        <f>VLOOKUP(F1551,'Customer Info'!A1543:I2042,2,0)</f>
        <v>#N/A</v>
      </c>
      <c r="H1551" s="6" t="e">
        <f>VLOOKUP(F1551,'Customer Info'!A1543:I2042,3,0)</f>
        <v>#N/A</v>
      </c>
      <c r="I1551" s="6" t="e">
        <f>VLOOKUP(F1551,'Customer Info'!A1543:I2042,5,0)</f>
        <v>#N/A</v>
      </c>
      <c r="J1551" s="2">
        <v>8773</v>
      </c>
      <c r="K1551" s="2">
        <v>8115</v>
      </c>
      <c r="L1551" s="2">
        <v>3</v>
      </c>
      <c r="M1551" s="7">
        <f t="shared" si="96"/>
        <v>24345</v>
      </c>
      <c r="N1551" s="7">
        <f t="shared" si="97"/>
        <v>26319</v>
      </c>
      <c r="O1551" s="2">
        <v>54</v>
      </c>
      <c r="P1551" s="8">
        <f t="shared" si="98"/>
        <v>26373</v>
      </c>
      <c r="Q1551" s="8">
        <f t="shared" si="99"/>
        <v>26265</v>
      </c>
      <c r="R1551" s="2" t="s">
        <v>28</v>
      </c>
      <c r="S1551" s="9">
        <f>VLOOKUP(P1551,$T$2:U1548,2,1)</f>
        <v>7.0000000000000007E-2</v>
      </c>
    </row>
    <row r="1552" spans="1:19" x14ac:dyDescent="0.25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e">
        <f>VLOOKUP(F1552,'Customer Info'!A1544:I2043,2,0)</f>
        <v>#N/A</v>
      </c>
      <c r="H1552" s="6" t="e">
        <f>VLOOKUP(F1552,'Customer Info'!A1544:I2043,3,0)</f>
        <v>#N/A</v>
      </c>
      <c r="I1552" s="6" t="e">
        <f>VLOOKUP(F1552,'Customer Info'!A1544:I2043,5,0)</f>
        <v>#N/A</v>
      </c>
      <c r="J1552" s="2">
        <v>2960</v>
      </c>
      <c r="K1552" s="2">
        <v>2635</v>
      </c>
      <c r="L1552" s="2">
        <v>1</v>
      </c>
      <c r="M1552" s="7">
        <f t="shared" si="96"/>
        <v>2635</v>
      </c>
      <c r="N1552" s="7">
        <f t="shared" si="97"/>
        <v>2960</v>
      </c>
      <c r="O1552" s="2">
        <v>86</v>
      </c>
      <c r="P1552" s="8">
        <f t="shared" si="98"/>
        <v>3046</v>
      </c>
      <c r="Q1552" s="8">
        <f t="shared" si="99"/>
        <v>2874</v>
      </c>
      <c r="R1552" s="2" t="s">
        <v>50</v>
      </c>
      <c r="S1552" s="9">
        <f>VLOOKUP(P1552,$T$2:U1549,2,1)</f>
        <v>0.02</v>
      </c>
    </row>
    <row r="1553" spans="1:19" x14ac:dyDescent="0.25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e">
        <f>VLOOKUP(F1553,'Customer Info'!A1545:I2044,2,0)</f>
        <v>#N/A</v>
      </c>
      <c r="H1553" s="6" t="e">
        <f>VLOOKUP(F1553,'Customer Info'!A1545:I2044,3,0)</f>
        <v>#N/A</v>
      </c>
      <c r="I1553" s="6" t="e">
        <f>VLOOKUP(F1553,'Customer Info'!A1545:I2044,5,0)</f>
        <v>#N/A</v>
      </c>
      <c r="J1553" s="2">
        <v>1447</v>
      </c>
      <c r="K1553" s="2">
        <v>1326</v>
      </c>
      <c r="L1553" s="2">
        <v>1</v>
      </c>
      <c r="M1553" s="7">
        <f t="shared" si="96"/>
        <v>1326</v>
      </c>
      <c r="N1553" s="7">
        <f t="shared" si="97"/>
        <v>1447</v>
      </c>
      <c r="O1553" s="2">
        <v>20</v>
      </c>
      <c r="P1553" s="8">
        <f t="shared" si="98"/>
        <v>1467</v>
      </c>
      <c r="Q1553" s="8">
        <f t="shared" si="99"/>
        <v>1427</v>
      </c>
      <c r="R1553" s="2" t="s">
        <v>50</v>
      </c>
      <c r="S1553" s="9">
        <f>VLOOKUP(P1553,$T$2:U1550,2,1)</f>
        <v>0.02</v>
      </c>
    </row>
    <row r="1554" spans="1:19" x14ac:dyDescent="0.25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e">
        <f>VLOOKUP(F1554,'Customer Info'!A1546:I2045,2,0)</f>
        <v>#N/A</v>
      </c>
      <c r="H1554" s="6" t="e">
        <f>VLOOKUP(F1554,'Customer Info'!A1546:I2045,3,0)</f>
        <v>#N/A</v>
      </c>
      <c r="I1554" s="6" t="e">
        <f>VLOOKUP(F1554,'Customer Info'!A1546:I2045,5,0)</f>
        <v>#N/A</v>
      </c>
      <c r="J1554" s="2">
        <v>60</v>
      </c>
      <c r="K1554" s="2">
        <v>58</v>
      </c>
      <c r="L1554" s="2">
        <v>4</v>
      </c>
      <c r="M1554" s="7">
        <f t="shared" si="96"/>
        <v>232</v>
      </c>
      <c r="N1554" s="7">
        <f t="shared" si="97"/>
        <v>240</v>
      </c>
      <c r="O1554" s="2">
        <v>10</v>
      </c>
      <c r="P1554" s="8">
        <f t="shared" si="98"/>
        <v>250</v>
      </c>
      <c r="Q1554" s="8">
        <f t="shared" si="99"/>
        <v>230</v>
      </c>
      <c r="R1554" s="2" t="s">
        <v>50</v>
      </c>
      <c r="S1554" s="9">
        <f>VLOOKUP(P1554,$T$2:U1551,2,1)</f>
        <v>0.02</v>
      </c>
    </row>
    <row r="1555" spans="1:19" x14ac:dyDescent="0.25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e">
        <f>VLOOKUP(F1555,'Customer Info'!A1547:I2046,2,0)</f>
        <v>#N/A</v>
      </c>
      <c r="H1555" s="6" t="e">
        <f>VLOOKUP(F1555,'Customer Info'!A1547:I2046,3,0)</f>
        <v>#N/A</v>
      </c>
      <c r="I1555" s="6" t="e">
        <f>VLOOKUP(F1555,'Customer Info'!A1547:I2046,5,0)</f>
        <v>#N/A</v>
      </c>
      <c r="J1555" s="2">
        <v>726</v>
      </c>
      <c r="K1555" s="2">
        <v>646</v>
      </c>
      <c r="L1555" s="2">
        <v>4</v>
      </c>
      <c r="M1555" s="7">
        <f t="shared" si="96"/>
        <v>2584</v>
      </c>
      <c r="N1555" s="7">
        <f t="shared" si="97"/>
        <v>2904</v>
      </c>
      <c r="O1555" s="2">
        <v>86</v>
      </c>
      <c r="P1555" s="8">
        <f t="shared" si="98"/>
        <v>2990</v>
      </c>
      <c r="Q1555" s="8">
        <f t="shared" si="99"/>
        <v>2818</v>
      </c>
      <c r="R1555" s="2" t="s">
        <v>28</v>
      </c>
      <c r="S1555" s="9">
        <f>VLOOKUP(P1555,$T$2:U1552,2,1)</f>
        <v>0.02</v>
      </c>
    </row>
    <row r="1556" spans="1:19" x14ac:dyDescent="0.25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e">
        <f>VLOOKUP(F1556,'Customer Info'!A1548:I2047,2,0)</f>
        <v>#N/A</v>
      </c>
      <c r="H1556" s="6" t="e">
        <f>VLOOKUP(F1556,'Customer Info'!A1548:I2047,3,0)</f>
        <v>#N/A</v>
      </c>
      <c r="I1556" s="6" t="e">
        <f>VLOOKUP(F1556,'Customer Info'!A1548:I2047,5,0)</f>
        <v>#N/A</v>
      </c>
      <c r="J1556" s="2">
        <v>400</v>
      </c>
      <c r="K1556" s="2">
        <v>360</v>
      </c>
      <c r="L1556" s="2">
        <v>1</v>
      </c>
      <c r="M1556" s="7">
        <f t="shared" si="96"/>
        <v>360</v>
      </c>
      <c r="N1556" s="7">
        <f t="shared" si="97"/>
        <v>400</v>
      </c>
      <c r="O1556" s="2">
        <v>68</v>
      </c>
      <c r="P1556" s="8">
        <f t="shared" si="98"/>
        <v>468</v>
      </c>
      <c r="Q1556" s="8">
        <f t="shared" si="99"/>
        <v>332</v>
      </c>
      <c r="R1556" s="2" t="s">
        <v>28</v>
      </c>
      <c r="S1556" s="9">
        <f>VLOOKUP(P1556,$T$2:U1553,2,1)</f>
        <v>0.02</v>
      </c>
    </row>
    <row r="1557" spans="1:19" x14ac:dyDescent="0.25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e">
        <f>VLOOKUP(F1557,'Customer Info'!A1549:I2048,2,0)</f>
        <v>#N/A</v>
      </c>
      <c r="H1557" s="6" t="e">
        <f>VLOOKUP(F1557,'Customer Info'!A1549:I2048,3,0)</f>
        <v>#N/A</v>
      </c>
      <c r="I1557" s="6" t="e">
        <f>VLOOKUP(F1557,'Customer Info'!A1549:I2048,5,0)</f>
        <v>#N/A</v>
      </c>
      <c r="J1557" s="2">
        <v>2342</v>
      </c>
      <c r="K1557" s="2">
        <v>2210</v>
      </c>
      <c r="L1557" s="2">
        <v>4</v>
      </c>
      <c r="M1557" s="7">
        <f t="shared" si="96"/>
        <v>8840</v>
      </c>
      <c r="N1557" s="7">
        <f t="shared" si="97"/>
        <v>9368</v>
      </c>
      <c r="O1557" s="2">
        <v>43</v>
      </c>
      <c r="P1557" s="8">
        <f t="shared" si="98"/>
        <v>9411</v>
      </c>
      <c r="Q1557" s="8">
        <f t="shared" si="99"/>
        <v>9325</v>
      </c>
      <c r="R1557" s="2" t="s">
        <v>28</v>
      </c>
      <c r="S1557" s="9">
        <f>VLOOKUP(P1557,$T$2:U1554,2,1)</f>
        <v>0.05</v>
      </c>
    </row>
    <row r="1558" spans="1:19" x14ac:dyDescent="0.25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e">
        <f>VLOOKUP(F1558,'Customer Info'!A1550:I2049,2,0)</f>
        <v>#N/A</v>
      </c>
      <c r="H1558" s="6" t="e">
        <f>VLOOKUP(F1558,'Customer Info'!A1550:I2049,3,0)</f>
        <v>#N/A</v>
      </c>
      <c r="I1558" s="6" t="e">
        <f>VLOOKUP(F1558,'Customer Info'!A1550:I2049,5,0)</f>
        <v>#N/A</v>
      </c>
      <c r="J1558" s="2">
        <v>185</v>
      </c>
      <c r="K1558" s="2">
        <v>171</v>
      </c>
      <c r="L1558" s="2">
        <v>3</v>
      </c>
      <c r="M1558" s="7">
        <f t="shared" si="96"/>
        <v>513</v>
      </c>
      <c r="N1558" s="7">
        <f t="shared" si="97"/>
        <v>555</v>
      </c>
      <c r="O1558" s="2">
        <v>30</v>
      </c>
      <c r="P1558" s="8">
        <f t="shared" si="98"/>
        <v>585</v>
      </c>
      <c r="Q1558" s="8">
        <f t="shared" si="99"/>
        <v>525</v>
      </c>
      <c r="R1558" s="2" t="s">
        <v>50</v>
      </c>
      <c r="S1558" s="9">
        <f>VLOOKUP(P1558,$T$2:U1555,2,1)</f>
        <v>0.02</v>
      </c>
    </row>
    <row r="1559" spans="1:19" x14ac:dyDescent="0.25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e">
        <f>VLOOKUP(F1559,'Customer Info'!A1551:I2050,2,0)</f>
        <v>#N/A</v>
      </c>
      <c r="H1559" s="6" t="e">
        <f>VLOOKUP(F1559,'Customer Info'!A1551:I2050,3,0)</f>
        <v>#N/A</v>
      </c>
      <c r="I1559" s="6" t="e">
        <f>VLOOKUP(F1559,'Customer Info'!A1551:I2050,5,0)</f>
        <v>#N/A</v>
      </c>
      <c r="J1559" s="2">
        <v>142</v>
      </c>
      <c r="K1559" s="2">
        <v>129</v>
      </c>
      <c r="L1559" s="2">
        <v>1</v>
      </c>
      <c r="M1559" s="7">
        <f t="shared" si="96"/>
        <v>129</v>
      </c>
      <c r="N1559" s="7">
        <f t="shared" si="97"/>
        <v>142</v>
      </c>
      <c r="O1559" s="2">
        <v>30</v>
      </c>
      <c r="P1559" s="8">
        <f t="shared" si="98"/>
        <v>172</v>
      </c>
      <c r="Q1559" s="8">
        <f t="shared" si="99"/>
        <v>112</v>
      </c>
      <c r="R1559" s="2" t="s">
        <v>28</v>
      </c>
      <c r="S1559" s="9">
        <f>VLOOKUP(P1559,$T$2:U1556,2,1)</f>
        <v>0.02</v>
      </c>
    </row>
    <row r="1560" spans="1:19" x14ac:dyDescent="0.25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e">
        <f>VLOOKUP(F1560,'Customer Info'!A1552:I2051,2,0)</f>
        <v>#N/A</v>
      </c>
      <c r="H1560" s="6" t="e">
        <f>VLOOKUP(F1560,'Customer Info'!A1552:I2051,3,0)</f>
        <v>#N/A</v>
      </c>
      <c r="I1560" s="6" t="e">
        <f>VLOOKUP(F1560,'Customer Info'!A1552:I2051,5,0)</f>
        <v>#N/A</v>
      </c>
      <c r="J1560" s="2">
        <v>1809</v>
      </c>
      <c r="K1560" s="2">
        <v>1691</v>
      </c>
      <c r="L1560" s="2">
        <v>3</v>
      </c>
      <c r="M1560" s="7">
        <f t="shared" si="96"/>
        <v>5073</v>
      </c>
      <c r="N1560" s="7">
        <f t="shared" si="97"/>
        <v>5427</v>
      </c>
      <c r="O1560" s="2">
        <v>32</v>
      </c>
      <c r="P1560" s="8">
        <f t="shared" si="98"/>
        <v>5459</v>
      </c>
      <c r="Q1560" s="8">
        <f t="shared" si="99"/>
        <v>5395</v>
      </c>
      <c r="R1560" s="2" t="s">
        <v>50</v>
      </c>
      <c r="S1560" s="9">
        <f>VLOOKUP(P1560,$T$2:U1557,2,1)</f>
        <v>0.05</v>
      </c>
    </row>
    <row r="1561" spans="1:19" x14ac:dyDescent="0.25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e">
        <f>VLOOKUP(F1561,'Customer Info'!A1553:I2052,2,0)</f>
        <v>#N/A</v>
      </c>
      <c r="H1561" s="6" t="e">
        <f>VLOOKUP(F1561,'Customer Info'!A1553:I2052,3,0)</f>
        <v>#N/A</v>
      </c>
      <c r="I1561" s="6" t="e">
        <f>VLOOKUP(F1561,'Customer Info'!A1553:I2052,5,0)</f>
        <v>#N/A</v>
      </c>
      <c r="J1561" s="2">
        <v>92</v>
      </c>
      <c r="K1561" s="2">
        <v>85</v>
      </c>
      <c r="L1561" s="2">
        <v>2</v>
      </c>
      <c r="M1561" s="7">
        <f t="shared" si="96"/>
        <v>170</v>
      </c>
      <c r="N1561" s="7">
        <f t="shared" si="97"/>
        <v>184</v>
      </c>
      <c r="O1561" s="2">
        <v>10</v>
      </c>
      <c r="P1561" s="8">
        <f t="shared" si="98"/>
        <v>194</v>
      </c>
      <c r="Q1561" s="8">
        <f t="shared" si="99"/>
        <v>174</v>
      </c>
      <c r="R1561" s="2" t="s">
        <v>50</v>
      </c>
      <c r="S1561" s="9">
        <f>VLOOKUP(P1561,$T$2:U1558,2,1)</f>
        <v>0.02</v>
      </c>
    </row>
    <row r="1562" spans="1:19" x14ac:dyDescent="0.25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e">
        <f>VLOOKUP(F1562,'Customer Info'!A1554:I2053,2,0)</f>
        <v>#N/A</v>
      </c>
      <c r="H1562" s="6" t="e">
        <f>VLOOKUP(F1562,'Customer Info'!A1554:I2053,3,0)</f>
        <v>#N/A</v>
      </c>
      <c r="I1562" s="6" t="e">
        <f>VLOOKUP(F1562,'Customer Info'!A1554:I2053,5,0)</f>
        <v>#N/A</v>
      </c>
      <c r="J1562" s="2">
        <v>5051</v>
      </c>
      <c r="K1562" s="2">
        <v>4634</v>
      </c>
      <c r="L1562" s="2">
        <v>2</v>
      </c>
      <c r="M1562" s="7">
        <f t="shared" si="96"/>
        <v>9268</v>
      </c>
      <c r="N1562" s="7">
        <f t="shared" si="97"/>
        <v>10102</v>
      </c>
      <c r="O1562" s="2">
        <v>80</v>
      </c>
      <c r="P1562" s="8">
        <f t="shared" si="98"/>
        <v>10182</v>
      </c>
      <c r="Q1562" s="8">
        <f t="shared" si="99"/>
        <v>10022</v>
      </c>
      <c r="R1562" s="2" t="s">
        <v>26</v>
      </c>
      <c r="S1562" s="9">
        <f>VLOOKUP(P1562,$T$2:U1559,2,1)</f>
        <v>0.05</v>
      </c>
    </row>
    <row r="1563" spans="1:19" x14ac:dyDescent="0.25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e">
        <f>VLOOKUP(F1563,'Customer Info'!A1555:I2054,2,0)</f>
        <v>#N/A</v>
      </c>
      <c r="H1563" s="6" t="e">
        <f>VLOOKUP(F1563,'Customer Info'!A1555:I2054,3,0)</f>
        <v>#N/A</v>
      </c>
      <c r="I1563" s="6" t="e">
        <f>VLOOKUP(F1563,'Customer Info'!A1555:I2054,5,0)</f>
        <v>#N/A</v>
      </c>
      <c r="J1563" s="2">
        <v>5906</v>
      </c>
      <c r="K1563" s="2">
        <v>5266</v>
      </c>
      <c r="L1563" s="2">
        <v>1</v>
      </c>
      <c r="M1563" s="7">
        <f t="shared" si="96"/>
        <v>5266</v>
      </c>
      <c r="N1563" s="7">
        <f t="shared" si="97"/>
        <v>5906</v>
      </c>
      <c r="O1563" s="2">
        <v>53</v>
      </c>
      <c r="P1563" s="8">
        <f t="shared" si="98"/>
        <v>5959</v>
      </c>
      <c r="Q1563" s="8">
        <f t="shared" si="99"/>
        <v>5853</v>
      </c>
      <c r="R1563" s="2" t="s">
        <v>50</v>
      </c>
      <c r="S1563" s="9">
        <f>VLOOKUP(P1563,$T$2:U1560,2,1)</f>
        <v>0.05</v>
      </c>
    </row>
    <row r="1564" spans="1:19" x14ac:dyDescent="0.25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e">
        <f>VLOOKUP(F1564,'Customer Info'!A1556:I2055,2,0)</f>
        <v>#N/A</v>
      </c>
      <c r="H1564" s="6" t="e">
        <f>VLOOKUP(F1564,'Customer Info'!A1556:I2055,3,0)</f>
        <v>#N/A</v>
      </c>
      <c r="I1564" s="6" t="e">
        <f>VLOOKUP(F1564,'Customer Info'!A1556:I2055,5,0)</f>
        <v>#N/A</v>
      </c>
      <c r="J1564" s="2">
        <v>1399</v>
      </c>
      <c r="K1564" s="2">
        <v>1308</v>
      </c>
      <c r="L1564" s="2">
        <v>6</v>
      </c>
      <c r="M1564" s="7">
        <f t="shared" si="96"/>
        <v>7848</v>
      </c>
      <c r="N1564" s="7">
        <f t="shared" si="97"/>
        <v>8394</v>
      </c>
      <c r="O1564" s="2">
        <v>76</v>
      </c>
      <c r="P1564" s="8">
        <f t="shared" si="98"/>
        <v>8470</v>
      </c>
      <c r="Q1564" s="8">
        <f t="shared" si="99"/>
        <v>8318</v>
      </c>
      <c r="R1564" s="2" t="s">
        <v>50</v>
      </c>
      <c r="S1564" s="9">
        <f>VLOOKUP(P1564,$T$2:U1561,2,1)</f>
        <v>0.05</v>
      </c>
    </row>
    <row r="1565" spans="1:19" x14ac:dyDescent="0.25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e">
        <f>VLOOKUP(F1565,'Customer Info'!A1557:I2056,2,0)</f>
        <v>#N/A</v>
      </c>
      <c r="H1565" s="6" t="e">
        <f>VLOOKUP(F1565,'Customer Info'!A1557:I2056,3,0)</f>
        <v>#N/A</v>
      </c>
      <c r="I1565" s="6" t="e">
        <f>VLOOKUP(F1565,'Customer Info'!A1557:I2056,5,0)</f>
        <v>#N/A</v>
      </c>
      <c r="J1565" s="2">
        <v>2857</v>
      </c>
      <c r="K1565" s="2">
        <v>2622</v>
      </c>
      <c r="L1565" s="2">
        <v>5</v>
      </c>
      <c r="M1565" s="7">
        <f t="shared" si="96"/>
        <v>13110</v>
      </c>
      <c r="N1565" s="7">
        <f t="shared" si="97"/>
        <v>14285</v>
      </c>
      <c r="O1565" s="2">
        <v>55</v>
      </c>
      <c r="P1565" s="8">
        <f t="shared" si="98"/>
        <v>14340</v>
      </c>
      <c r="Q1565" s="8">
        <f t="shared" si="99"/>
        <v>14230</v>
      </c>
      <c r="R1565" s="2" t="s">
        <v>50</v>
      </c>
      <c r="S1565" s="9">
        <f>VLOOKUP(P1565,$T$2:U1562,2,1)</f>
        <v>0.05</v>
      </c>
    </row>
    <row r="1566" spans="1:19" x14ac:dyDescent="0.25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e">
        <f>VLOOKUP(F1566,'Customer Info'!A1558:I2057,2,0)</f>
        <v>#N/A</v>
      </c>
      <c r="H1566" s="6" t="e">
        <f>VLOOKUP(F1566,'Customer Info'!A1558:I2057,3,0)</f>
        <v>#N/A</v>
      </c>
      <c r="I1566" s="6" t="e">
        <f>VLOOKUP(F1566,'Customer Info'!A1558:I2057,5,0)</f>
        <v>#N/A</v>
      </c>
      <c r="J1566" s="2">
        <v>7212</v>
      </c>
      <c r="K1566" s="2">
        <v>6737</v>
      </c>
      <c r="L1566" s="2">
        <v>2</v>
      </c>
      <c r="M1566" s="7">
        <f t="shared" si="96"/>
        <v>13474</v>
      </c>
      <c r="N1566" s="7">
        <f t="shared" si="97"/>
        <v>14424</v>
      </c>
      <c r="O1566" s="2">
        <v>34</v>
      </c>
      <c r="P1566" s="8">
        <f t="shared" si="98"/>
        <v>14458</v>
      </c>
      <c r="Q1566" s="8">
        <f t="shared" si="99"/>
        <v>14390</v>
      </c>
      <c r="R1566" s="2" t="s">
        <v>50</v>
      </c>
      <c r="S1566" s="9">
        <f>VLOOKUP(P1566,$T$2:U1563,2,1)</f>
        <v>0.05</v>
      </c>
    </row>
    <row r="1567" spans="1:19" x14ac:dyDescent="0.25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e">
        <f>VLOOKUP(F1567,'Customer Info'!A1559:I2058,2,0)</f>
        <v>#N/A</v>
      </c>
      <c r="H1567" s="6" t="e">
        <f>VLOOKUP(F1567,'Customer Info'!A1559:I2058,3,0)</f>
        <v>#N/A</v>
      </c>
      <c r="I1567" s="6" t="e">
        <f>VLOOKUP(F1567,'Customer Info'!A1559:I2058,5,0)</f>
        <v>#N/A</v>
      </c>
      <c r="J1567" s="2">
        <v>2310</v>
      </c>
      <c r="K1567" s="2">
        <v>2040</v>
      </c>
      <c r="L1567" s="2">
        <v>1</v>
      </c>
      <c r="M1567" s="7">
        <f t="shared" si="96"/>
        <v>2040</v>
      </c>
      <c r="N1567" s="7">
        <f t="shared" si="97"/>
        <v>2310</v>
      </c>
      <c r="O1567" s="2">
        <v>30</v>
      </c>
      <c r="P1567" s="8">
        <f t="shared" si="98"/>
        <v>2340</v>
      </c>
      <c r="Q1567" s="8">
        <f t="shared" si="99"/>
        <v>2280</v>
      </c>
      <c r="R1567" s="2" t="s">
        <v>50</v>
      </c>
      <c r="S1567" s="9">
        <f>VLOOKUP(P1567,$T$2:U1564,2,1)</f>
        <v>0.02</v>
      </c>
    </row>
    <row r="1568" spans="1:19" x14ac:dyDescent="0.25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e">
        <f>VLOOKUP(F1568,'Customer Info'!A1560:I2059,2,0)</f>
        <v>#N/A</v>
      </c>
      <c r="H1568" s="6" t="e">
        <f>VLOOKUP(F1568,'Customer Info'!A1560:I2059,3,0)</f>
        <v>#N/A</v>
      </c>
      <c r="I1568" s="6" t="e">
        <f>VLOOKUP(F1568,'Customer Info'!A1560:I2059,5,0)</f>
        <v>#N/A</v>
      </c>
      <c r="J1568" s="2">
        <v>2759</v>
      </c>
      <c r="K1568" s="2">
        <v>2628</v>
      </c>
      <c r="L1568" s="2">
        <v>2</v>
      </c>
      <c r="M1568" s="7">
        <f t="shared" si="96"/>
        <v>5256</v>
      </c>
      <c r="N1568" s="7">
        <f t="shared" si="97"/>
        <v>5518</v>
      </c>
      <c r="O1568" s="2">
        <v>98</v>
      </c>
      <c r="P1568" s="8">
        <f t="shared" si="98"/>
        <v>5616</v>
      </c>
      <c r="Q1568" s="8">
        <f t="shared" si="99"/>
        <v>5420</v>
      </c>
      <c r="R1568" s="2" t="s">
        <v>50</v>
      </c>
      <c r="S1568" s="9">
        <f>VLOOKUP(P1568,$T$2:U1565,2,1)</f>
        <v>0.05</v>
      </c>
    </row>
    <row r="1569" spans="1:19" x14ac:dyDescent="0.25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e">
        <f>VLOOKUP(F1569,'Customer Info'!A1561:I2060,2,0)</f>
        <v>#N/A</v>
      </c>
      <c r="H1569" s="6" t="e">
        <f>VLOOKUP(F1569,'Customer Info'!A1561:I2060,3,0)</f>
        <v>#N/A</v>
      </c>
      <c r="I1569" s="6" t="e">
        <f>VLOOKUP(F1569,'Customer Info'!A1561:I2060,5,0)</f>
        <v>#N/A</v>
      </c>
      <c r="J1569" s="2">
        <v>1635</v>
      </c>
      <c r="K1569" s="2">
        <v>1573</v>
      </c>
      <c r="L1569" s="2">
        <v>1</v>
      </c>
      <c r="M1569" s="7">
        <f t="shared" si="96"/>
        <v>1573</v>
      </c>
      <c r="N1569" s="7">
        <f t="shared" si="97"/>
        <v>1635</v>
      </c>
      <c r="O1569" s="2">
        <v>68</v>
      </c>
      <c r="P1569" s="8">
        <f t="shared" si="98"/>
        <v>1703</v>
      </c>
      <c r="Q1569" s="8">
        <f t="shared" si="99"/>
        <v>1567</v>
      </c>
      <c r="R1569" s="2" t="s">
        <v>26</v>
      </c>
      <c r="S1569" s="9">
        <f>VLOOKUP(P1569,$T$2:U1566,2,1)</f>
        <v>0.02</v>
      </c>
    </row>
    <row r="1570" spans="1:19" x14ac:dyDescent="0.25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e">
        <f>VLOOKUP(F1570,'Customer Info'!A1562:I2061,2,0)</f>
        <v>#N/A</v>
      </c>
      <c r="H1570" s="6" t="e">
        <f>VLOOKUP(F1570,'Customer Info'!A1562:I2061,3,0)</f>
        <v>#N/A</v>
      </c>
      <c r="I1570" s="6" t="e">
        <f>VLOOKUP(F1570,'Customer Info'!A1562:I2061,5,0)</f>
        <v>#N/A</v>
      </c>
      <c r="J1570" s="2">
        <v>1306</v>
      </c>
      <c r="K1570" s="2">
        <v>1197</v>
      </c>
      <c r="L1570" s="2">
        <v>3</v>
      </c>
      <c r="M1570" s="7">
        <f t="shared" si="96"/>
        <v>3591</v>
      </c>
      <c r="N1570" s="7">
        <f t="shared" si="97"/>
        <v>3918</v>
      </c>
      <c r="O1570" s="2">
        <v>70</v>
      </c>
      <c r="P1570" s="8">
        <f t="shared" si="98"/>
        <v>3988</v>
      </c>
      <c r="Q1570" s="8">
        <f t="shared" si="99"/>
        <v>3848</v>
      </c>
      <c r="R1570" s="2" t="s">
        <v>50</v>
      </c>
      <c r="S1570" s="9">
        <f>VLOOKUP(P1570,$T$2:U1567,2,1)</f>
        <v>0.02</v>
      </c>
    </row>
    <row r="1571" spans="1:19" x14ac:dyDescent="0.25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e">
        <f>VLOOKUP(F1571,'Customer Info'!A1563:I2062,2,0)</f>
        <v>#N/A</v>
      </c>
      <c r="H1571" s="6" t="e">
        <f>VLOOKUP(F1571,'Customer Info'!A1563:I2062,3,0)</f>
        <v>#N/A</v>
      </c>
      <c r="I1571" s="6" t="e">
        <f>VLOOKUP(F1571,'Customer Info'!A1563:I2062,5,0)</f>
        <v>#N/A</v>
      </c>
      <c r="J1571" s="2">
        <v>6951</v>
      </c>
      <c r="K1571" s="2">
        <v>6620</v>
      </c>
      <c r="L1571" s="2">
        <v>7</v>
      </c>
      <c r="M1571" s="7">
        <f t="shared" si="96"/>
        <v>46340</v>
      </c>
      <c r="N1571" s="7">
        <f t="shared" si="97"/>
        <v>48657</v>
      </c>
      <c r="O1571" s="2">
        <v>94</v>
      </c>
      <c r="P1571" s="8">
        <f t="shared" si="98"/>
        <v>48751</v>
      </c>
      <c r="Q1571" s="8">
        <f t="shared" si="99"/>
        <v>48563</v>
      </c>
      <c r="R1571" s="2" t="s">
        <v>28</v>
      </c>
      <c r="S1571" s="9">
        <f>VLOOKUP(P1571,$T$2:U1568,2,1)</f>
        <v>7.0000000000000007E-2</v>
      </c>
    </row>
    <row r="1572" spans="1:19" x14ac:dyDescent="0.25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e">
        <f>VLOOKUP(F1572,'Customer Info'!A1564:I2063,2,0)</f>
        <v>#N/A</v>
      </c>
      <c r="H1572" s="6" t="e">
        <f>VLOOKUP(F1572,'Customer Info'!A1564:I2063,3,0)</f>
        <v>#N/A</v>
      </c>
      <c r="I1572" s="6" t="e">
        <f>VLOOKUP(F1572,'Customer Info'!A1564:I2063,5,0)</f>
        <v>#N/A</v>
      </c>
      <c r="J1572" s="2">
        <v>184</v>
      </c>
      <c r="K1572" s="2">
        <v>176</v>
      </c>
      <c r="L1572" s="2">
        <v>2</v>
      </c>
      <c r="M1572" s="7">
        <f t="shared" si="96"/>
        <v>352</v>
      </c>
      <c r="N1572" s="7">
        <f t="shared" si="97"/>
        <v>368</v>
      </c>
      <c r="O1572" s="2">
        <v>30</v>
      </c>
      <c r="P1572" s="8">
        <f t="shared" si="98"/>
        <v>398</v>
      </c>
      <c r="Q1572" s="8">
        <f t="shared" si="99"/>
        <v>338</v>
      </c>
      <c r="R1572" s="2" t="s">
        <v>28</v>
      </c>
      <c r="S1572" s="9">
        <f>VLOOKUP(P1572,$T$2:U1569,2,1)</f>
        <v>0.02</v>
      </c>
    </row>
    <row r="1573" spans="1:19" x14ac:dyDescent="0.25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e">
        <f>VLOOKUP(F1573,'Customer Info'!A1565:I2064,2,0)</f>
        <v>#N/A</v>
      </c>
      <c r="H1573" s="6" t="e">
        <f>VLOOKUP(F1573,'Customer Info'!A1565:I2064,3,0)</f>
        <v>#N/A</v>
      </c>
      <c r="I1573" s="6" t="e">
        <f>VLOOKUP(F1573,'Customer Info'!A1565:I2064,5,0)</f>
        <v>#N/A</v>
      </c>
      <c r="J1573" s="2">
        <v>1686</v>
      </c>
      <c r="K1573" s="2">
        <v>1591</v>
      </c>
      <c r="L1573" s="2">
        <v>2</v>
      </c>
      <c r="M1573" s="7">
        <f t="shared" si="96"/>
        <v>3182</v>
      </c>
      <c r="N1573" s="7">
        <f t="shared" si="97"/>
        <v>3372</v>
      </c>
      <c r="O1573" s="2">
        <v>28</v>
      </c>
      <c r="P1573" s="8">
        <f t="shared" si="98"/>
        <v>3400</v>
      </c>
      <c r="Q1573" s="8">
        <f t="shared" si="99"/>
        <v>3344</v>
      </c>
      <c r="R1573" s="2" t="s">
        <v>50</v>
      </c>
      <c r="S1573" s="9">
        <f>VLOOKUP(P1573,$T$2:U1570,2,1)</f>
        <v>0.02</v>
      </c>
    </row>
    <row r="1574" spans="1:19" x14ac:dyDescent="0.25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e">
        <f>VLOOKUP(F1574,'Customer Info'!A1566:I2065,2,0)</f>
        <v>#N/A</v>
      </c>
      <c r="H1574" s="6" t="e">
        <f>VLOOKUP(F1574,'Customer Info'!A1566:I2065,3,0)</f>
        <v>#N/A</v>
      </c>
      <c r="I1574" s="6" t="e">
        <f>VLOOKUP(F1574,'Customer Info'!A1566:I2065,5,0)</f>
        <v>#N/A</v>
      </c>
      <c r="J1574" s="2">
        <v>3354</v>
      </c>
      <c r="K1574" s="2">
        <v>3102</v>
      </c>
      <c r="L1574" s="2">
        <v>3</v>
      </c>
      <c r="M1574" s="7">
        <f t="shared" si="96"/>
        <v>9306</v>
      </c>
      <c r="N1574" s="7">
        <f t="shared" si="97"/>
        <v>10062</v>
      </c>
      <c r="O1574" s="2">
        <v>75</v>
      </c>
      <c r="P1574" s="8">
        <f t="shared" si="98"/>
        <v>10137</v>
      </c>
      <c r="Q1574" s="8">
        <f t="shared" si="99"/>
        <v>9987</v>
      </c>
      <c r="R1574" s="2" t="s">
        <v>28</v>
      </c>
      <c r="S1574" s="9">
        <f>VLOOKUP(P1574,$T$2:U1571,2,1)</f>
        <v>0.05</v>
      </c>
    </row>
    <row r="1575" spans="1:19" x14ac:dyDescent="0.25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e">
        <f>VLOOKUP(F1575,'Customer Info'!A1567:I2066,2,0)</f>
        <v>#N/A</v>
      </c>
      <c r="H1575" s="6" t="e">
        <f>VLOOKUP(F1575,'Customer Info'!A1567:I2066,3,0)</f>
        <v>#N/A</v>
      </c>
      <c r="I1575" s="6" t="e">
        <f>VLOOKUP(F1575,'Customer Info'!A1567:I2066,5,0)</f>
        <v>#N/A</v>
      </c>
      <c r="J1575" s="2">
        <v>4714</v>
      </c>
      <c r="K1575" s="2">
        <v>4323</v>
      </c>
      <c r="L1575" s="2">
        <v>1</v>
      </c>
      <c r="M1575" s="7">
        <f t="shared" si="96"/>
        <v>4323</v>
      </c>
      <c r="N1575" s="7">
        <f t="shared" si="97"/>
        <v>4714</v>
      </c>
      <c r="O1575" s="2">
        <v>90</v>
      </c>
      <c r="P1575" s="8">
        <f t="shared" si="98"/>
        <v>4804</v>
      </c>
      <c r="Q1575" s="8">
        <f t="shared" si="99"/>
        <v>4624</v>
      </c>
      <c r="R1575" s="2" t="s">
        <v>28</v>
      </c>
      <c r="S1575" s="9">
        <f>VLOOKUP(P1575,$T$2:U1572,2,1)</f>
        <v>0.02</v>
      </c>
    </row>
    <row r="1576" spans="1:19" x14ac:dyDescent="0.25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e">
        <f>VLOOKUP(F1576,'Customer Info'!A1568:I2067,2,0)</f>
        <v>#N/A</v>
      </c>
      <c r="H1576" s="6" t="e">
        <f>VLOOKUP(F1576,'Customer Info'!A1568:I2067,3,0)</f>
        <v>#N/A</v>
      </c>
      <c r="I1576" s="6" t="e">
        <f>VLOOKUP(F1576,'Customer Info'!A1568:I2067,5,0)</f>
        <v>#N/A</v>
      </c>
      <c r="J1576" s="2">
        <v>1292</v>
      </c>
      <c r="K1576" s="2">
        <v>1185</v>
      </c>
      <c r="L1576" s="2">
        <v>8</v>
      </c>
      <c r="M1576" s="7">
        <f t="shared" si="96"/>
        <v>9480</v>
      </c>
      <c r="N1576" s="7">
        <f t="shared" si="97"/>
        <v>10336</v>
      </c>
      <c r="O1576" s="2">
        <v>43</v>
      </c>
      <c r="P1576" s="8">
        <f t="shared" si="98"/>
        <v>10379</v>
      </c>
      <c r="Q1576" s="8">
        <f t="shared" si="99"/>
        <v>10293</v>
      </c>
      <c r="R1576" s="2" t="s">
        <v>28</v>
      </c>
      <c r="S1576" s="9">
        <f>VLOOKUP(P1576,$T$2:U1573,2,1)</f>
        <v>0.05</v>
      </c>
    </row>
    <row r="1577" spans="1:19" x14ac:dyDescent="0.25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e">
        <f>VLOOKUP(F1577,'Customer Info'!A1569:I2068,2,0)</f>
        <v>#N/A</v>
      </c>
      <c r="H1577" s="6" t="e">
        <f>VLOOKUP(F1577,'Customer Info'!A1569:I2068,3,0)</f>
        <v>#N/A</v>
      </c>
      <c r="I1577" s="6" t="e">
        <f>VLOOKUP(F1577,'Customer Info'!A1569:I2068,5,0)</f>
        <v>#N/A</v>
      </c>
      <c r="J1577" s="2">
        <v>1901</v>
      </c>
      <c r="K1577" s="2">
        <v>1810</v>
      </c>
      <c r="L1577" s="2">
        <v>7</v>
      </c>
      <c r="M1577" s="7">
        <f t="shared" si="96"/>
        <v>12670</v>
      </c>
      <c r="N1577" s="7">
        <f t="shared" si="97"/>
        <v>13307</v>
      </c>
      <c r="O1577" s="2">
        <v>71</v>
      </c>
      <c r="P1577" s="8">
        <f t="shared" si="98"/>
        <v>13378</v>
      </c>
      <c r="Q1577" s="8">
        <f t="shared" si="99"/>
        <v>13236</v>
      </c>
      <c r="R1577" s="2" t="s">
        <v>28</v>
      </c>
      <c r="S1577" s="9">
        <f>VLOOKUP(P1577,$T$2:U1574,2,1)</f>
        <v>0.05</v>
      </c>
    </row>
    <row r="1578" spans="1:19" x14ac:dyDescent="0.25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e">
        <f>VLOOKUP(F1578,'Customer Info'!A1570:I2069,2,0)</f>
        <v>#N/A</v>
      </c>
      <c r="H1578" s="6" t="e">
        <f>VLOOKUP(F1578,'Customer Info'!A1570:I2069,3,0)</f>
        <v>#N/A</v>
      </c>
      <c r="I1578" s="6" t="e">
        <f>VLOOKUP(F1578,'Customer Info'!A1570:I2069,5,0)</f>
        <v>#N/A</v>
      </c>
      <c r="J1578" s="2">
        <v>729</v>
      </c>
      <c r="K1578" s="2">
        <v>689</v>
      </c>
      <c r="L1578" s="2">
        <v>2</v>
      </c>
      <c r="M1578" s="7">
        <f t="shared" si="96"/>
        <v>1378</v>
      </c>
      <c r="N1578" s="7">
        <f t="shared" si="97"/>
        <v>1458</v>
      </c>
      <c r="O1578" s="2">
        <v>95</v>
      </c>
      <c r="P1578" s="8">
        <f t="shared" si="98"/>
        <v>1553</v>
      </c>
      <c r="Q1578" s="8">
        <f t="shared" si="99"/>
        <v>1363</v>
      </c>
      <c r="R1578" s="2" t="s">
        <v>50</v>
      </c>
      <c r="S1578" s="9">
        <f>VLOOKUP(P1578,$T$2:U1575,2,1)</f>
        <v>0.02</v>
      </c>
    </row>
    <row r="1579" spans="1:19" x14ac:dyDescent="0.25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e">
        <f>VLOOKUP(F1579,'Customer Info'!A1571:I2070,2,0)</f>
        <v>#N/A</v>
      </c>
      <c r="H1579" s="6" t="e">
        <f>VLOOKUP(F1579,'Customer Info'!A1571:I2070,3,0)</f>
        <v>#N/A</v>
      </c>
      <c r="I1579" s="6" t="e">
        <f>VLOOKUP(F1579,'Customer Info'!A1571:I2070,5,0)</f>
        <v>#N/A</v>
      </c>
      <c r="J1579" s="2">
        <v>2042</v>
      </c>
      <c r="K1579" s="2">
        <v>1965</v>
      </c>
      <c r="L1579" s="2">
        <v>2</v>
      </c>
      <c r="M1579" s="7">
        <f t="shared" si="96"/>
        <v>3930</v>
      </c>
      <c r="N1579" s="7">
        <f t="shared" si="97"/>
        <v>4084</v>
      </c>
      <c r="O1579" s="2">
        <v>55</v>
      </c>
      <c r="P1579" s="8">
        <f t="shared" si="98"/>
        <v>4139</v>
      </c>
      <c r="Q1579" s="8">
        <f t="shared" si="99"/>
        <v>4029</v>
      </c>
      <c r="R1579" s="2" t="s">
        <v>28</v>
      </c>
      <c r="S1579" s="9">
        <f>VLOOKUP(P1579,$T$2:U1576,2,1)</f>
        <v>0.02</v>
      </c>
    </row>
    <row r="1580" spans="1:19" x14ac:dyDescent="0.25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e">
        <f>VLOOKUP(F1580,'Customer Info'!A1572:I2071,2,0)</f>
        <v>#N/A</v>
      </c>
      <c r="H1580" s="6" t="e">
        <f>VLOOKUP(F1580,'Customer Info'!A1572:I2071,3,0)</f>
        <v>#N/A</v>
      </c>
      <c r="I1580" s="6" t="e">
        <f>VLOOKUP(F1580,'Customer Info'!A1572:I2071,5,0)</f>
        <v>#N/A</v>
      </c>
      <c r="J1580" s="2">
        <v>1968</v>
      </c>
      <c r="K1580" s="2">
        <v>1821</v>
      </c>
      <c r="L1580" s="2">
        <v>1</v>
      </c>
      <c r="M1580" s="7">
        <f t="shared" si="96"/>
        <v>1821</v>
      </c>
      <c r="N1580" s="7">
        <f t="shared" si="97"/>
        <v>1968</v>
      </c>
      <c r="O1580" s="2">
        <v>21</v>
      </c>
      <c r="P1580" s="8">
        <f t="shared" si="98"/>
        <v>1989</v>
      </c>
      <c r="Q1580" s="8">
        <f t="shared" si="99"/>
        <v>1947</v>
      </c>
      <c r="R1580" s="2" t="s">
        <v>56</v>
      </c>
      <c r="S1580" s="9">
        <f>VLOOKUP(P1580,$T$2:U1577,2,1)</f>
        <v>0.02</v>
      </c>
    </row>
    <row r="1581" spans="1:19" x14ac:dyDescent="0.25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e">
        <f>VLOOKUP(F1581,'Customer Info'!A1573:I2072,2,0)</f>
        <v>#N/A</v>
      </c>
      <c r="H1581" s="6" t="e">
        <f>VLOOKUP(F1581,'Customer Info'!A1573:I2072,3,0)</f>
        <v>#N/A</v>
      </c>
      <c r="I1581" s="6" t="e">
        <f>VLOOKUP(F1581,'Customer Info'!A1573:I2072,5,0)</f>
        <v>#N/A</v>
      </c>
      <c r="J1581" s="2">
        <v>1651</v>
      </c>
      <c r="K1581" s="2">
        <v>1604</v>
      </c>
      <c r="L1581" s="2">
        <v>2</v>
      </c>
      <c r="M1581" s="7">
        <f t="shared" si="96"/>
        <v>3208</v>
      </c>
      <c r="N1581" s="7">
        <f t="shared" si="97"/>
        <v>3302</v>
      </c>
      <c r="O1581" s="2">
        <v>80</v>
      </c>
      <c r="P1581" s="8">
        <f t="shared" si="98"/>
        <v>3382</v>
      </c>
      <c r="Q1581" s="8">
        <f t="shared" si="99"/>
        <v>3222</v>
      </c>
      <c r="R1581" s="2" t="s">
        <v>50</v>
      </c>
      <c r="S1581" s="9">
        <f>VLOOKUP(P1581,$T$2:U1578,2,1)</f>
        <v>0.02</v>
      </c>
    </row>
    <row r="1582" spans="1:19" x14ac:dyDescent="0.25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e">
        <f>VLOOKUP(F1582,'Customer Info'!A1574:I2073,2,0)</f>
        <v>#N/A</v>
      </c>
      <c r="H1582" s="6" t="e">
        <f>VLOOKUP(F1582,'Customer Info'!A1574:I2073,3,0)</f>
        <v>#N/A</v>
      </c>
      <c r="I1582" s="6" t="e">
        <f>VLOOKUP(F1582,'Customer Info'!A1574:I2073,5,0)</f>
        <v>#N/A</v>
      </c>
      <c r="J1582" s="2">
        <v>39095</v>
      </c>
      <c r="K1582" s="2">
        <v>35516</v>
      </c>
      <c r="L1582" s="2">
        <v>4</v>
      </c>
      <c r="M1582" s="7">
        <f t="shared" si="96"/>
        <v>142064</v>
      </c>
      <c r="N1582" s="7">
        <f t="shared" si="97"/>
        <v>156380</v>
      </c>
      <c r="O1582" s="2">
        <v>52</v>
      </c>
      <c r="P1582" s="8">
        <f t="shared" si="98"/>
        <v>156432</v>
      </c>
      <c r="Q1582" s="8">
        <f t="shared" si="99"/>
        <v>156328</v>
      </c>
      <c r="R1582" s="2" t="s">
        <v>50</v>
      </c>
      <c r="S1582" s="9">
        <f>VLOOKUP(P1582,$T$2:U1579,2,1)</f>
        <v>0.12</v>
      </c>
    </row>
    <row r="1583" spans="1:19" x14ac:dyDescent="0.25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e">
        <f>VLOOKUP(F1583,'Customer Info'!A1575:I2074,2,0)</f>
        <v>#N/A</v>
      </c>
      <c r="H1583" s="6" t="e">
        <f>VLOOKUP(F1583,'Customer Info'!A1575:I2074,3,0)</f>
        <v>#N/A</v>
      </c>
      <c r="I1583" s="6" t="e">
        <f>VLOOKUP(F1583,'Customer Info'!A1575:I2074,5,0)</f>
        <v>#N/A</v>
      </c>
      <c r="J1583" s="2">
        <v>1901</v>
      </c>
      <c r="K1583" s="2">
        <v>1810</v>
      </c>
      <c r="L1583" s="2">
        <v>2</v>
      </c>
      <c r="M1583" s="7">
        <f t="shared" si="96"/>
        <v>3620</v>
      </c>
      <c r="N1583" s="7">
        <f t="shared" si="97"/>
        <v>3802</v>
      </c>
      <c r="O1583" s="2">
        <v>56</v>
      </c>
      <c r="P1583" s="8">
        <f t="shared" si="98"/>
        <v>3858</v>
      </c>
      <c r="Q1583" s="8">
        <f t="shared" si="99"/>
        <v>3746</v>
      </c>
      <c r="R1583" s="2" t="s">
        <v>26</v>
      </c>
      <c r="S1583" s="9">
        <f>VLOOKUP(P1583,$T$2:U1580,2,1)</f>
        <v>0.02</v>
      </c>
    </row>
    <row r="1584" spans="1:19" x14ac:dyDescent="0.25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e">
        <f>VLOOKUP(F1584,'Customer Info'!A1576:I2075,2,0)</f>
        <v>#N/A</v>
      </c>
      <c r="H1584" s="6" t="e">
        <f>VLOOKUP(F1584,'Customer Info'!A1576:I2075,3,0)</f>
        <v>#N/A</v>
      </c>
      <c r="I1584" s="6" t="e">
        <f>VLOOKUP(F1584,'Customer Info'!A1576:I2075,5,0)</f>
        <v>#N/A</v>
      </c>
      <c r="J1584" s="2">
        <v>1518</v>
      </c>
      <c r="K1584" s="2">
        <v>1392</v>
      </c>
      <c r="L1584" s="2">
        <v>6</v>
      </c>
      <c r="M1584" s="7">
        <f t="shared" si="96"/>
        <v>8352</v>
      </c>
      <c r="N1584" s="7">
        <f t="shared" si="97"/>
        <v>9108</v>
      </c>
      <c r="O1584" s="2">
        <v>76</v>
      </c>
      <c r="P1584" s="8">
        <f t="shared" si="98"/>
        <v>9184</v>
      </c>
      <c r="Q1584" s="8">
        <f t="shared" si="99"/>
        <v>9032</v>
      </c>
      <c r="R1584" s="2" t="s">
        <v>50</v>
      </c>
      <c r="S1584" s="9">
        <f>VLOOKUP(P1584,$T$2:U1581,2,1)</f>
        <v>0.05</v>
      </c>
    </row>
    <row r="1585" spans="1:19" x14ac:dyDescent="0.25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e">
        <f>VLOOKUP(F1585,'Customer Info'!A1577:I2076,2,0)</f>
        <v>#N/A</v>
      </c>
      <c r="H1585" s="6" t="e">
        <f>VLOOKUP(F1585,'Customer Info'!A1577:I2076,3,0)</f>
        <v>#N/A</v>
      </c>
      <c r="I1585" s="6" t="e">
        <f>VLOOKUP(F1585,'Customer Info'!A1577:I2076,5,0)</f>
        <v>#N/A</v>
      </c>
      <c r="J1585" s="2">
        <v>8878</v>
      </c>
      <c r="K1585" s="2">
        <v>7914</v>
      </c>
      <c r="L1585" s="2">
        <v>1</v>
      </c>
      <c r="M1585" s="7">
        <f t="shared" si="96"/>
        <v>7914</v>
      </c>
      <c r="N1585" s="7">
        <f t="shared" si="97"/>
        <v>8878</v>
      </c>
      <c r="O1585" s="2">
        <v>69</v>
      </c>
      <c r="P1585" s="8">
        <f t="shared" si="98"/>
        <v>8947</v>
      </c>
      <c r="Q1585" s="8">
        <f t="shared" si="99"/>
        <v>8809</v>
      </c>
      <c r="R1585" s="2" t="s">
        <v>28</v>
      </c>
      <c r="S1585" s="9">
        <f>VLOOKUP(P1585,$T$2:U1582,2,1)</f>
        <v>0.05</v>
      </c>
    </row>
    <row r="1586" spans="1:19" x14ac:dyDescent="0.25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e">
        <f>VLOOKUP(F1586,'Customer Info'!A1578:I2077,2,0)</f>
        <v>#N/A</v>
      </c>
      <c r="H1586" s="6" t="e">
        <f>VLOOKUP(F1586,'Customer Info'!A1578:I2077,3,0)</f>
        <v>#N/A</v>
      </c>
      <c r="I1586" s="6" t="e">
        <f>VLOOKUP(F1586,'Customer Info'!A1578:I2077,5,0)</f>
        <v>#N/A</v>
      </c>
      <c r="J1586" s="2">
        <v>2843</v>
      </c>
      <c r="K1586" s="2">
        <v>2735</v>
      </c>
      <c r="L1586" s="2">
        <v>2</v>
      </c>
      <c r="M1586" s="7">
        <f t="shared" si="96"/>
        <v>5470</v>
      </c>
      <c r="N1586" s="7">
        <f t="shared" si="97"/>
        <v>5686</v>
      </c>
      <c r="O1586" s="2">
        <v>65</v>
      </c>
      <c r="P1586" s="8">
        <f t="shared" si="98"/>
        <v>5751</v>
      </c>
      <c r="Q1586" s="8">
        <f t="shared" si="99"/>
        <v>5621</v>
      </c>
      <c r="R1586" s="2" t="s">
        <v>50</v>
      </c>
      <c r="S1586" s="9">
        <f>VLOOKUP(P1586,$T$2:U1583,2,1)</f>
        <v>0.05</v>
      </c>
    </row>
    <row r="1587" spans="1:19" x14ac:dyDescent="0.25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e">
        <f>VLOOKUP(F1587,'Customer Info'!A1579:I2078,2,0)</f>
        <v>#N/A</v>
      </c>
      <c r="H1587" s="6" t="e">
        <f>VLOOKUP(F1587,'Customer Info'!A1579:I2078,3,0)</f>
        <v>#N/A</v>
      </c>
      <c r="I1587" s="6" t="e">
        <f>VLOOKUP(F1587,'Customer Info'!A1579:I2078,5,0)</f>
        <v>#N/A</v>
      </c>
      <c r="J1587" s="2">
        <v>58</v>
      </c>
      <c r="K1587" s="2">
        <v>56</v>
      </c>
      <c r="L1587" s="2">
        <v>3</v>
      </c>
      <c r="M1587" s="7">
        <f t="shared" si="96"/>
        <v>168</v>
      </c>
      <c r="N1587" s="7">
        <f t="shared" si="97"/>
        <v>174</v>
      </c>
      <c r="O1587" s="2">
        <v>10</v>
      </c>
      <c r="P1587" s="8">
        <f t="shared" si="98"/>
        <v>184</v>
      </c>
      <c r="Q1587" s="8">
        <f t="shared" si="99"/>
        <v>164</v>
      </c>
      <c r="R1587" s="2" t="s">
        <v>50</v>
      </c>
      <c r="S1587" s="9">
        <f>VLOOKUP(P1587,$T$2:U1584,2,1)</f>
        <v>0.02</v>
      </c>
    </row>
    <row r="1588" spans="1:19" x14ac:dyDescent="0.25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e">
        <f>VLOOKUP(F1588,'Customer Info'!A1580:I2079,2,0)</f>
        <v>#N/A</v>
      </c>
      <c r="H1588" s="6" t="e">
        <f>VLOOKUP(F1588,'Customer Info'!A1580:I2079,3,0)</f>
        <v>#N/A</v>
      </c>
      <c r="I1588" s="6" t="e">
        <f>VLOOKUP(F1588,'Customer Info'!A1580:I2079,5,0)</f>
        <v>#N/A</v>
      </c>
      <c r="J1588" s="2">
        <v>973</v>
      </c>
      <c r="K1588" s="2">
        <v>910</v>
      </c>
      <c r="L1588" s="2">
        <v>6</v>
      </c>
      <c r="M1588" s="7">
        <f t="shared" si="96"/>
        <v>5460</v>
      </c>
      <c r="N1588" s="7">
        <f t="shared" si="97"/>
        <v>5838</v>
      </c>
      <c r="O1588" s="2">
        <v>29</v>
      </c>
      <c r="P1588" s="8">
        <f t="shared" si="98"/>
        <v>5867</v>
      </c>
      <c r="Q1588" s="8">
        <f t="shared" si="99"/>
        <v>5809</v>
      </c>
      <c r="R1588" s="2" t="s">
        <v>28</v>
      </c>
      <c r="S1588" s="9">
        <f>VLOOKUP(P1588,$T$2:U1585,2,1)</f>
        <v>0.05</v>
      </c>
    </row>
    <row r="1589" spans="1:19" x14ac:dyDescent="0.25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e">
        <f>VLOOKUP(F1589,'Customer Info'!A1581:I2080,2,0)</f>
        <v>#N/A</v>
      </c>
      <c r="H1589" s="6" t="e">
        <f>VLOOKUP(F1589,'Customer Info'!A1581:I2080,3,0)</f>
        <v>#N/A</v>
      </c>
      <c r="I1589" s="6" t="e">
        <f>VLOOKUP(F1589,'Customer Info'!A1581:I2080,5,0)</f>
        <v>#N/A</v>
      </c>
      <c r="J1589" s="2">
        <v>393</v>
      </c>
      <c r="K1589" s="2">
        <v>374</v>
      </c>
      <c r="L1589" s="2">
        <v>5</v>
      </c>
      <c r="M1589" s="7">
        <f t="shared" si="96"/>
        <v>1870</v>
      </c>
      <c r="N1589" s="7">
        <f t="shared" si="97"/>
        <v>1965</v>
      </c>
      <c r="O1589" s="2">
        <v>35</v>
      </c>
      <c r="P1589" s="8">
        <f t="shared" si="98"/>
        <v>2000</v>
      </c>
      <c r="Q1589" s="8">
        <f t="shared" si="99"/>
        <v>1930</v>
      </c>
      <c r="R1589" s="2" t="s">
        <v>28</v>
      </c>
      <c r="S1589" s="9">
        <f>VLOOKUP(P1589,$T$2:U1586,2,1)</f>
        <v>0.02</v>
      </c>
    </row>
    <row r="1590" spans="1:19" x14ac:dyDescent="0.25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e">
        <f>VLOOKUP(F1590,'Customer Info'!A1582:I2081,2,0)</f>
        <v>#N/A</v>
      </c>
      <c r="H1590" s="6" t="e">
        <f>VLOOKUP(F1590,'Customer Info'!A1582:I2081,3,0)</f>
        <v>#N/A</v>
      </c>
      <c r="I1590" s="6" t="e">
        <f>VLOOKUP(F1590,'Customer Info'!A1582:I2081,5,0)</f>
        <v>#N/A</v>
      </c>
      <c r="J1590" s="2">
        <v>751</v>
      </c>
      <c r="K1590" s="2">
        <v>696</v>
      </c>
      <c r="L1590" s="2">
        <v>7</v>
      </c>
      <c r="M1590" s="7">
        <f t="shared" si="96"/>
        <v>4872</v>
      </c>
      <c r="N1590" s="7">
        <f t="shared" si="97"/>
        <v>5257</v>
      </c>
      <c r="O1590" s="2">
        <v>29</v>
      </c>
      <c r="P1590" s="8">
        <f t="shared" si="98"/>
        <v>5286</v>
      </c>
      <c r="Q1590" s="8">
        <f t="shared" si="99"/>
        <v>5228</v>
      </c>
      <c r="R1590" s="2" t="s">
        <v>50</v>
      </c>
      <c r="S1590" s="9">
        <f>VLOOKUP(P1590,$T$2:U1587,2,1)</f>
        <v>0.05</v>
      </c>
    </row>
    <row r="1591" spans="1:19" x14ac:dyDescent="0.25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e">
        <f>VLOOKUP(F1591,'Customer Info'!A1583:I2082,2,0)</f>
        <v>#N/A</v>
      </c>
      <c r="H1591" s="6" t="e">
        <f>VLOOKUP(F1591,'Customer Info'!A1583:I2082,3,0)</f>
        <v>#N/A</v>
      </c>
      <c r="I1591" s="6" t="e">
        <f>VLOOKUP(F1591,'Customer Info'!A1583:I2082,5,0)</f>
        <v>#N/A</v>
      </c>
      <c r="J1591" s="2">
        <v>139</v>
      </c>
      <c r="K1591" s="2">
        <v>133</v>
      </c>
      <c r="L1591" s="2">
        <v>3</v>
      </c>
      <c r="M1591" s="7">
        <f t="shared" si="96"/>
        <v>399</v>
      </c>
      <c r="N1591" s="7">
        <f t="shared" si="97"/>
        <v>417</v>
      </c>
      <c r="O1591" s="2">
        <v>30</v>
      </c>
      <c r="P1591" s="8">
        <f t="shared" si="98"/>
        <v>447</v>
      </c>
      <c r="Q1591" s="8">
        <f t="shared" si="99"/>
        <v>387</v>
      </c>
      <c r="R1591" s="2" t="s">
        <v>28</v>
      </c>
      <c r="S1591" s="9">
        <f>VLOOKUP(P1591,$T$2:U1588,2,1)</f>
        <v>0.02</v>
      </c>
    </row>
    <row r="1592" spans="1:19" x14ac:dyDescent="0.25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e">
        <f>VLOOKUP(F1592,'Customer Info'!A1584:I2083,2,0)</f>
        <v>#N/A</v>
      </c>
      <c r="H1592" s="6" t="e">
        <f>VLOOKUP(F1592,'Customer Info'!A1584:I2083,3,0)</f>
        <v>#N/A</v>
      </c>
      <c r="I1592" s="6" t="e">
        <f>VLOOKUP(F1592,'Customer Info'!A1584:I2083,5,0)</f>
        <v>#N/A</v>
      </c>
      <c r="J1592" s="2">
        <v>1845</v>
      </c>
      <c r="K1592" s="2">
        <v>1742</v>
      </c>
      <c r="L1592" s="2">
        <v>1</v>
      </c>
      <c r="M1592" s="7">
        <f t="shared" si="96"/>
        <v>1742</v>
      </c>
      <c r="N1592" s="7">
        <f t="shared" si="97"/>
        <v>1845</v>
      </c>
      <c r="O1592" s="2">
        <v>79</v>
      </c>
      <c r="P1592" s="8">
        <f t="shared" si="98"/>
        <v>1924</v>
      </c>
      <c r="Q1592" s="8">
        <f t="shared" si="99"/>
        <v>1766</v>
      </c>
      <c r="R1592" s="2" t="s">
        <v>56</v>
      </c>
      <c r="S1592" s="9">
        <f>VLOOKUP(P1592,$T$2:U1589,2,1)</f>
        <v>0.02</v>
      </c>
    </row>
    <row r="1593" spans="1:19" x14ac:dyDescent="0.25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e">
        <f>VLOOKUP(F1593,'Customer Info'!A1585:I2084,2,0)</f>
        <v>#N/A</v>
      </c>
      <c r="H1593" s="6" t="e">
        <f>VLOOKUP(F1593,'Customer Info'!A1585:I2084,3,0)</f>
        <v>#N/A</v>
      </c>
      <c r="I1593" s="6" t="e">
        <f>VLOOKUP(F1593,'Customer Info'!A1585:I2084,5,0)</f>
        <v>#N/A</v>
      </c>
      <c r="J1593" s="2">
        <v>1601</v>
      </c>
      <c r="K1593" s="2">
        <v>1510</v>
      </c>
      <c r="L1593" s="2">
        <v>4</v>
      </c>
      <c r="M1593" s="7">
        <f t="shared" si="96"/>
        <v>6040</v>
      </c>
      <c r="N1593" s="7">
        <f t="shared" si="97"/>
        <v>6404</v>
      </c>
      <c r="O1593" s="2">
        <v>34</v>
      </c>
      <c r="P1593" s="8">
        <f t="shared" si="98"/>
        <v>6438</v>
      </c>
      <c r="Q1593" s="8">
        <f t="shared" si="99"/>
        <v>6370</v>
      </c>
      <c r="R1593" s="2" t="s">
        <v>28</v>
      </c>
      <c r="S1593" s="9">
        <f>VLOOKUP(P1593,$T$2:U1590,2,1)</f>
        <v>0.05</v>
      </c>
    </row>
    <row r="1594" spans="1:19" x14ac:dyDescent="0.25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e">
        <f>VLOOKUP(F1594,'Customer Info'!A1586:I2085,2,0)</f>
        <v>#N/A</v>
      </c>
      <c r="H1594" s="6" t="e">
        <f>VLOOKUP(F1594,'Customer Info'!A1586:I2085,3,0)</f>
        <v>#N/A</v>
      </c>
      <c r="I1594" s="6" t="e">
        <f>VLOOKUP(F1594,'Customer Info'!A1586:I2085,5,0)</f>
        <v>#N/A</v>
      </c>
      <c r="J1594" s="2">
        <v>1305</v>
      </c>
      <c r="K1594" s="2">
        <v>1197</v>
      </c>
      <c r="L1594" s="2">
        <v>2</v>
      </c>
      <c r="M1594" s="7">
        <f t="shared" si="96"/>
        <v>2394</v>
      </c>
      <c r="N1594" s="7">
        <f t="shared" si="97"/>
        <v>2610</v>
      </c>
      <c r="O1594" s="2">
        <v>39</v>
      </c>
      <c r="P1594" s="8">
        <f t="shared" si="98"/>
        <v>2649</v>
      </c>
      <c r="Q1594" s="8">
        <f t="shared" si="99"/>
        <v>2571</v>
      </c>
      <c r="R1594" s="2" t="s">
        <v>28</v>
      </c>
      <c r="S1594" s="9">
        <f>VLOOKUP(P1594,$T$2:U1591,2,1)</f>
        <v>0.02</v>
      </c>
    </row>
    <row r="1595" spans="1:19" x14ac:dyDescent="0.25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e">
        <f>VLOOKUP(F1595,'Customer Info'!A1587:I2086,2,0)</f>
        <v>#N/A</v>
      </c>
      <c r="H1595" s="6" t="e">
        <f>VLOOKUP(F1595,'Customer Info'!A1587:I2086,3,0)</f>
        <v>#N/A</v>
      </c>
      <c r="I1595" s="6" t="e">
        <f>VLOOKUP(F1595,'Customer Info'!A1587:I2086,5,0)</f>
        <v>#N/A</v>
      </c>
      <c r="J1595" s="2">
        <v>138</v>
      </c>
      <c r="K1595" s="2">
        <v>128</v>
      </c>
      <c r="L1595" s="2">
        <v>3</v>
      </c>
      <c r="M1595" s="7">
        <f t="shared" si="96"/>
        <v>384</v>
      </c>
      <c r="N1595" s="7">
        <f t="shared" si="97"/>
        <v>414</v>
      </c>
      <c r="O1595" s="2">
        <v>30</v>
      </c>
      <c r="P1595" s="8">
        <f t="shared" si="98"/>
        <v>444</v>
      </c>
      <c r="Q1595" s="8">
        <f t="shared" si="99"/>
        <v>384</v>
      </c>
      <c r="R1595" s="2" t="s">
        <v>28</v>
      </c>
      <c r="S1595" s="9">
        <f>VLOOKUP(P1595,$T$2:U1592,2,1)</f>
        <v>0.02</v>
      </c>
    </row>
    <row r="1596" spans="1:19" x14ac:dyDescent="0.25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e">
        <f>VLOOKUP(F1596,'Customer Info'!A1588:I2087,2,0)</f>
        <v>#N/A</v>
      </c>
      <c r="H1596" s="6" t="e">
        <f>VLOOKUP(F1596,'Customer Info'!A1588:I2087,3,0)</f>
        <v>#N/A</v>
      </c>
      <c r="I1596" s="6" t="e">
        <f>VLOOKUP(F1596,'Customer Info'!A1588:I2087,5,0)</f>
        <v>#N/A</v>
      </c>
      <c r="J1596" s="2">
        <v>1048</v>
      </c>
      <c r="K1596" s="2">
        <v>979</v>
      </c>
      <c r="L1596" s="2">
        <v>4</v>
      </c>
      <c r="M1596" s="7">
        <f t="shared" si="96"/>
        <v>3916</v>
      </c>
      <c r="N1596" s="7">
        <f t="shared" si="97"/>
        <v>4192</v>
      </c>
      <c r="O1596" s="2">
        <v>21</v>
      </c>
      <c r="P1596" s="8">
        <f t="shared" si="98"/>
        <v>4213</v>
      </c>
      <c r="Q1596" s="8">
        <f t="shared" si="99"/>
        <v>4171</v>
      </c>
      <c r="R1596" s="2" t="s">
        <v>50</v>
      </c>
      <c r="S1596" s="9">
        <f>VLOOKUP(P1596,$T$2:U1593,2,1)</f>
        <v>0.02</v>
      </c>
    </row>
    <row r="1597" spans="1:19" x14ac:dyDescent="0.25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e">
        <f>VLOOKUP(F1597,'Customer Info'!A1589:I2088,2,0)</f>
        <v>#N/A</v>
      </c>
      <c r="H1597" s="6" t="e">
        <f>VLOOKUP(F1597,'Customer Info'!A1589:I2088,3,0)</f>
        <v>#N/A</v>
      </c>
      <c r="I1597" s="6" t="e">
        <f>VLOOKUP(F1597,'Customer Info'!A1589:I2088,5,0)</f>
        <v>#N/A</v>
      </c>
      <c r="J1597" s="2">
        <v>3017</v>
      </c>
      <c r="K1597" s="2">
        <v>2825</v>
      </c>
      <c r="L1597" s="2">
        <v>4</v>
      </c>
      <c r="M1597" s="7">
        <f t="shared" si="96"/>
        <v>11300</v>
      </c>
      <c r="N1597" s="7">
        <f t="shared" si="97"/>
        <v>12068</v>
      </c>
      <c r="O1597" s="2">
        <v>63</v>
      </c>
      <c r="P1597" s="8">
        <f t="shared" si="98"/>
        <v>12131</v>
      </c>
      <c r="Q1597" s="8">
        <f t="shared" si="99"/>
        <v>12005</v>
      </c>
      <c r="R1597" s="2" t="s">
        <v>28</v>
      </c>
      <c r="S1597" s="9">
        <f>VLOOKUP(P1597,$T$2:U1594,2,1)</f>
        <v>0.05</v>
      </c>
    </row>
    <row r="1598" spans="1:19" x14ac:dyDescent="0.25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e">
        <f>VLOOKUP(F1598,'Customer Info'!A1590:I2089,2,0)</f>
        <v>#N/A</v>
      </c>
      <c r="H1598" s="6" t="e">
        <f>VLOOKUP(F1598,'Customer Info'!A1590:I2089,3,0)</f>
        <v>#N/A</v>
      </c>
      <c r="I1598" s="6" t="e">
        <f>VLOOKUP(F1598,'Customer Info'!A1590:I2089,5,0)</f>
        <v>#N/A</v>
      </c>
      <c r="J1598" s="2">
        <v>4577</v>
      </c>
      <c r="K1598" s="2">
        <v>4285</v>
      </c>
      <c r="L1598" s="2">
        <v>7</v>
      </c>
      <c r="M1598" s="7">
        <f t="shared" si="96"/>
        <v>29995</v>
      </c>
      <c r="N1598" s="7">
        <f t="shared" si="97"/>
        <v>32039</v>
      </c>
      <c r="O1598" s="2">
        <v>53</v>
      </c>
      <c r="P1598" s="8">
        <f t="shared" si="98"/>
        <v>32092</v>
      </c>
      <c r="Q1598" s="8">
        <f t="shared" si="99"/>
        <v>31986</v>
      </c>
      <c r="R1598" s="2" t="s">
        <v>50</v>
      </c>
      <c r="S1598" s="9">
        <f>VLOOKUP(P1598,$T$2:U1595,2,1)</f>
        <v>7.0000000000000007E-2</v>
      </c>
    </row>
    <row r="1599" spans="1:19" x14ac:dyDescent="0.25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e">
        <f>VLOOKUP(F1599,'Customer Info'!A1591:I2090,2,0)</f>
        <v>#N/A</v>
      </c>
      <c r="H1599" s="6" t="e">
        <f>VLOOKUP(F1599,'Customer Info'!A1591:I2090,3,0)</f>
        <v>#N/A</v>
      </c>
      <c r="I1599" s="6" t="e">
        <f>VLOOKUP(F1599,'Customer Info'!A1591:I2090,5,0)</f>
        <v>#N/A</v>
      </c>
      <c r="J1599" s="2">
        <v>4798</v>
      </c>
      <c r="K1599" s="2">
        <v>4448</v>
      </c>
      <c r="L1599" s="2">
        <v>2</v>
      </c>
      <c r="M1599" s="7">
        <f t="shared" si="96"/>
        <v>8896</v>
      </c>
      <c r="N1599" s="7">
        <f t="shared" si="97"/>
        <v>9596</v>
      </c>
      <c r="O1599" s="2">
        <v>37</v>
      </c>
      <c r="P1599" s="8">
        <f t="shared" si="98"/>
        <v>9633</v>
      </c>
      <c r="Q1599" s="8">
        <f t="shared" si="99"/>
        <v>9559</v>
      </c>
      <c r="R1599" s="2" t="s">
        <v>50</v>
      </c>
      <c r="S1599" s="9">
        <f>VLOOKUP(P1599,$T$2:U1596,2,1)</f>
        <v>0.05</v>
      </c>
    </row>
    <row r="1600" spans="1:19" x14ac:dyDescent="0.25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e">
        <f>VLOOKUP(F1600,'Customer Info'!A1592:I2091,2,0)</f>
        <v>#N/A</v>
      </c>
      <c r="H1600" s="6" t="e">
        <f>VLOOKUP(F1600,'Customer Info'!A1592:I2091,3,0)</f>
        <v>#N/A</v>
      </c>
      <c r="I1600" s="6" t="e">
        <f>VLOOKUP(F1600,'Customer Info'!A1592:I2091,5,0)</f>
        <v>#N/A</v>
      </c>
      <c r="J1600" s="2">
        <v>36778</v>
      </c>
      <c r="K1600" s="2">
        <v>34709</v>
      </c>
      <c r="L1600" s="2">
        <v>2</v>
      </c>
      <c r="M1600" s="7">
        <f t="shared" si="96"/>
        <v>69418</v>
      </c>
      <c r="N1600" s="7">
        <f t="shared" si="97"/>
        <v>73556</v>
      </c>
      <c r="O1600" s="2">
        <v>97</v>
      </c>
      <c r="P1600" s="8">
        <f t="shared" si="98"/>
        <v>73653</v>
      </c>
      <c r="Q1600" s="8">
        <f t="shared" si="99"/>
        <v>73459</v>
      </c>
      <c r="R1600" s="2" t="s">
        <v>28</v>
      </c>
      <c r="S1600" s="9">
        <f>VLOOKUP(P1600,$T$2:U1597,2,1)</f>
        <v>0.09</v>
      </c>
    </row>
    <row r="1601" spans="1:19" x14ac:dyDescent="0.25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e">
        <f>VLOOKUP(F1601,'Customer Info'!A1593:I2092,2,0)</f>
        <v>#N/A</v>
      </c>
      <c r="H1601" s="6" t="e">
        <f>VLOOKUP(F1601,'Customer Info'!A1593:I2092,3,0)</f>
        <v>#N/A</v>
      </c>
      <c r="I1601" s="6" t="e">
        <f>VLOOKUP(F1601,'Customer Info'!A1593:I2092,5,0)</f>
        <v>#N/A</v>
      </c>
      <c r="J1601" s="2">
        <v>3256</v>
      </c>
      <c r="K1601" s="2">
        <v>3044</v>
      </c>
      <c r="L1601" s="2">
        <v>3</v>
      </c>
      <c r="M1601" s="7">
        <f t="shared" si="96"/>
        <v>9132</v>
      </c>
      <c r="N1601" s="7">
        <f t="shared" si="97"/>
        <v>9768</v>
      </c>
      <c r="O1601" s="2">
        <v>80</v>
      </c>
      <c r="P1601" s="8">
        <f t="shared" si="98"/>
        <v>9848</v>
      </c>
      <c r="Q1601" s="8">
        <f t="shared" si="99"/>
        <v>9688</v>
      </c>
      <c r="R1601" s="2" t="s">
        <v>28</v>
      </c>
      <c r="S1601" s="9">
        <f>VLOOKUP(P1601,$T$2:U1598,2,1)</f>
        <v>0.05</v>
      </c>
    </row>
    <row r="1602" spans="1:19" x14ac:dyDescent="0.25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e">
        <f>VLOOKUP(F1602,'Customer Info'!A1594:I2093,2,0)</f>
        <v>#N/A</v>
      </c>
      <c r="H1602" s="6" t="e">
        <f>VLOOKUP(F1602,'Customer Info'!A1594:I2093,3,0)</f>
        <v>#N/A</v>
      </c>
      <c r="I1602" s="6" t="e">
        <f>VLOOKUP(F1602,'Customer Info'!A1594:I2093,5,0)</f>
        <v>#N/A</v>
      </c>
      <c r="J1602" s="2">
        <v>2017</v>
      </c>
      <c r="K1602" s="2">
        <v>1834</v>
      </c>
      <c r="L1602" s="2">
        <v>4</v>
      </c>
      <c r="M1602" s="7">
        <f t="shared" si="96"/>
        <v>7336</v>
      </c>
      <c r="N1602" s="7">
        <f t="shared" si="97"/>
        <v>8068</v>
      </c>
      <c r="O1602" s="2">
        <v>51</v>
      </c>
      <c r="P1602" s="8">
        <f t="shared" si="98"/>
        <v>8119</v>
      </c>
      <c r="Q1602" s="8">
        <f t="shared" si="99"/>
        <v>8017</v>
      </c>
      <c r="R1602" s="2" t="s">
        <v>50</v>
      </c>
      <c r="S1602" s="9">
        <f>VLOOKUP(P1602,$T$2:U1599,2,1)</f>
        <v>0.05</v>
      </c>
    </row>
    <row r="1603" spans="1:19" x14ac:dyDescent="0.25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e">
        <f>VLOOKUP(F1603,'Customer Info'!A1595:I2094,2,0)</f>
        <v>#N/A</v>
      </c>
      <c r="H1603" s="6" t="e">
        <f>VLOOKUP(F1603,'Customer Info'!A1595:I2094,3,0)</f>
        <v>#N/A</v>
      </c>
      <c r="I1603" s="6" t="e">
        <f>VLOOKUP(F1603,'Customer Info'!A1595:I2094,5,0)</f>
        <v>#N/A</v>
      </c>
      <c r="J1603" s="2">
        <v>1968</v>
      </c>
      <c r="K1603" s="2">
        <v>1821</v>
      </c>
      <c r="L1603" s="2">
        <v>9</v>
      </c>
      <c r="M1603" s="7">
        <f t="shared" si="96"/>
        <v>16389</v>
      </c>
      <c r="N1603" s="7">
        <f t="shared" si="97"/>
        <v>17712</v>
      </c>
      <c r="O1603" s="2">
        <v>72</v>
      </c>
      <c r="P1603" s="8">
        <f t="shared" si="98"/>
        <v>17784</v>
      </c>
      <c r="Q1603" s="8">
        <f t="shared" si="99"/>
        <v>17640</v>
      </c>
      <c r="R1603" s="2" t="s">
        <v>28</v>
      </c>
      <c r="S1603" s="9">
        <f>VLOOKUP(P1603,$T$2:U1600,2,1)</f>
        <v>0.05</v>
      </c>
    </row>
    <row r="1604" spans="1:19" x14ac:dyDescent="0.25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e">
        <f>VLOOKUP(F1604,'Customer Info'!A1596:I2095,2,0)</f>
        <v>#N/A</v>
      </c>
      <c r="H1604" s="6" t="e">
        <f>VLOOKUP(F1604,'Customer Info'!A1596:I2095,3,0)</f>
        <v>#N/A</v>
      </c>
      <c r="I1604" s="6" t="e">
        <f>VLOOKUP(F1604,'Customer Info'!A1596:I2095,5,0)</f>
        <v>#N/A</v>
      </c>
      <c r="J1604" s="2">
        <v>3053</v>
      </c>
      <c r="K1604" s="2">
        <v>2937</v>
      </c>
      <c r="L1604" s="2">
        <v>4</v>
      </c>
      <c r="M1604" s="7">
        <f t="shared" si="96"/>
        <v>11748</v>
      </c>
      <c r="N1604" s="7">
        <f t="shared" si="97"/>
        <v>12212</v>
      </c>
      <c r="O1604" s="2">
        <v>96</v>
      </c>
      <c r="P1604" s="8">
        <f t="shared" si="98"/>
        <v>12308</v>
      </c>
      <c r="Q1604" s="8">
        <f t="shared" si="99"/>
        <v>12116</v>
      </c>
      <c r="R1604" s="2" t="s">
        <v>50</v>
      </c>
      <c r="S1604" s="9">
        <f>VLOOKUP(P1604,$T$2:U1601,2,1)</f>
        <v>0.05</v>
      </c>
    </row>
    <row r="1605" spans="1:19" x14ac:dyDescent="0.25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e">
        <f>VLOOKUP(F1605,'Customer Info'!A1597:I2096,2,0)</f>
        <v>#N/A</v>
      </c>
      <c r="H1605" s="6" t="e">
        <f>VLOOKUP(F1605,'Customer Info'!A1597:I2096,3,0)</f>
        <v>#N/A</v>
      </c>
      <c r="I1605" s="6" t="e">
        <f>VLOOKUP(F1605,'Customer Info'!A1597:I2096,5,0)</f>
        <v>#N/A</v>
      </c>
      <c r="J1605" s="2">
        <v>2864</v>
      </c>
      <c r="K1605" s="2">
        <v>2754</v>
      </c>
      <c r="L1605" s="2">
        <v>4</v>
      </c>
      <c r="M1605" s="7">
        <f t="shared" si="96"/>
        <v>11016</v>
      </c>
      <c r="N1605" s="7">
        <f t="shared" si="97"/>
        <v>11456</v>
      </c>
      <c r="O1605" s="2">
        <v>24</v>
      </c>
      <c r="P1605" s="8">
        <f t="shared" si="98"/>
        <v>11480</v>
      </c>
      <c r="Q1605" s="8">
        <f t="shared" si="99"/>
        <v>11432</v>
      </c>
      <c r="R1605" s="2" t="s">
        <v>28</v>
      </c>
      <c r="S1605" s="9">
        <f>VLOOKUP(P1605,$T$2:U1602,2,1)</f>
        <v>0.05</v>
      </c>
    </row>
    <row r="1606" spans="1:19" x14ac:dyDescent="0.25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e">
        <f>VLOOKUP(F1606,'Customer Info'!A1598:I2097,2,0)</f>
        <v>#N/A</v>
      </c>
      <c r="H1606" s="6" t="e">
        <f>VLOOKUP(F1606,'Customer Info'!A1598:I2097,3,0)</f>
        <v>#N/A</v>
      </c>
      <c r="I1606" s="6" t="e">
        <f>VLOOKUP(F1606,'Customer Info'!A1598:I2097,5,0)</f>
        <v>#N/A</v>
      </c>
      <c r="J1606" s="2">
        <v>2808</v>
      </c>
      <c r="K1606" s="2">
        <v>2674</v>
      </c>
      <c r="L1606" s="2">
        <v>3</v>
      </c>
      <c r="M1606" s="7">
        <f t="shared" si="96"/>
        <v>8022</v>
      </c>
      <c r="N1606" s="7">
        <f t="shared" si="97"/>
        <v>8424</v>
      </c>
      <c r="O1606" s="2">
        <v>75</v>
      </c>
      <c r="P1606" s="8">
        <f t="shared" si="98"/>
        <v>8499</v>
      </c>
      <c r="Q1606" s="8">
        <f t="shared" si="99"/>
        <v>8349</v>
      </c>
      <c r="R1606" s="2" t="s">
        <v>50</v>
      </c>
      <c r="S1606" s="9">
        <f>VLOOKUP(P1606,$T$2:U1603,2,1)</f>
        <v>0.05</v>
      </c>
    </row>
    <row r="1607" spans="1:19" x14ac:dyDescent="0.25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e">
        <f>VLOOKUP(F1607,'Customer Info'!A1599:I2098,2,0)</f>
        <v>#N/A</v>
      </c>
      <c r="H1607" s="6" t="e">
        <f>VLOOKUP(F1607,'Customer Info'!A1599:I2098,3,0)</f>
        <v>#N/A</v>
      </c>
      <c r="I1607" s="6" t="e">
        <f>VLOOKUP(F1607,'Customer Info'!A1599:I2098,5,0)</f>
        <v>#N/A</v>
      </c>
      <c r="J1607" s="2">
        <v>30525</v>
      </c>
      <c r="K1607" s="2">
        <v>27702</v>
      </c>
      <c r="L1607" s="2">
        <v>4</v>
      </c>
      <c r="M1607" s="7">
        <f t="shared" si="96"/>
        <v>110808</v>
      </c>
      <c r="N1607" s="7">
        <f t="shared" si="97"/>
        <v>122100</v>
      </c>
      <c r="O1607" s="2">
        <v>54</v>
      </c>
      <c r="P1607" s="8">
        <f t="shared" si="98"/>
        <v>122154</v>
      </c>
      <c r="Q1607" s="8">
        <f t="shared" si="99"/>
        <v>122046</v>
      </c>
      <c r="R1607" s="2" t="s">
        <v>50</v>
      </c>
      <c r="S1607" s="9">
        <f>VLOOKUP(P1607,$T$2:U1604,2,1)</f>
        <v>0.12</v>
      </c>
    </row>
    <row r="1608" spans="1:19" x14ac:dyDescent="0.25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e">
        <f>VLOOKUP(F1608,'Customer Info'!A1600:I2099,2,0)</f>
        <v>#N/A</v>
      </c>
      <c r="H1608" s="6" t="e">
        <f>VLOOKUP(F1608,'Customer Info'!A1600:I2099,3,0)</f>
        <v>#N/A</v>
      </c>
      <c r="I1608" s="6" t="e">
        <f>VLOOKUP(F1608,'Customer Info'!A1600:I2099,5,0)</f>
        <v>#N/A</v>
      </c>
      <c r="J1608" s="2">
        <v>729</v>
      </c>
      <c r="K1608" s="2">
        <v>689</v>
      </c>
      <c r="L1608" s="2">
        <v>7</v>
      </c>
      <c r="M1608" s="7">
        <f t="shared" si="96"/>
        <v>4823</v>
      </c>
      <c r="N1608" s="7">
        <f t="shared" si="97"/>
        <v>5103</v>
      </c>
      <c r="O1608" s="2">
        <v>93</v>
      </c>
      <c r="P1608" s="8">
        <f t="shared" si="98"/>
        <v>5196</v>
      </c>
      <c r="Q1608" s="8">
        <f t="shared" si="99"/>
        <v>5010</v>
      </c>
      <c r="R1608" s="2" t="s">
        <v>28</v>
      </c>
      <c r="S1608" s="9">
        <f>VLOOKUP(P1608,$T$2:U1605,2,1)</f>
        <v>0.05</v>
      </c>
    </row>
    <row r="1609" spans="1:19" x14ac:dyDescent="0.25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e">
        <f>VLOOKUP(F1609,'Customer Info'!A1601:I2100,2,0)</f>
        <v>#N/A</v>
      </c>
      <c r="H1609" s="6" t="e">
        <f>VLOOKUP(F1609,'Customer Info'!A1601:I2100,3,0)</f>
        <v>#N/A</v>
      </c>
      <c r="I1609" s="6" t="e">
        <f>VLOOKUP(F1609,'Customer Info'!A1601:I2100,5,0)</f>
        <v>#N/A</v>
      </c>
      <c r="J1609" s="2">
        <v>1385</v>
      </c>
      <c r="K1609" s="2">
        <v>1295</v>
      </c>
      <c r="L1609" s="2">
        <v>6</v>
      </c>
      <c r="M1609" s="7">
        <f t="shared" si="96"/>
        <v>7770</v>
      </c>
      <c r="N1609" s="7">
        <f t="shared" si="97"/>
        <v>8310</v>
      </c>
      <c r="O1609" s="2">
        <v>84</v>
      </c>
      <c r="P1609" s="8">
        <f t="shared" si="98"/>
        <v>8394</v>
      </c>
      <c r="Q1609" s="8">
        <f t="shared" si="99"/>
        <v>8226</v>
      </c>
      <c r="R1609" s="2" t="s">
        <v>50</v>
      </c>
      <c r="S1609" s="9">
        <f>VLOOKUP(P1609,$T$2:U1606,2,1)</f>
        <v>0.05</v>
      </c>
    </row>
    <row r="1610" spans="1:19" x14ac:dyDescent="0.25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e">
        <f>VLOOKUP(F1610,'Customer Info'!A1602:I2101,2,0)</f>
        <v>#N/A</v>
      </c>
      <c r="H1610" s="6" t="e">
        <f>VLOOKUP(F1610,'Customer Info'!A1602:I2101,3,0)</f>
        <v>#N/A</v>
      </c>
      <c r="I1610" s="6" t="e">
        <f>VLOOKUP(F1610,'Customer Info'!A1602:I2101,5,0)</f>
        <v>#N/A</v>
      </c>
      <c r="J1610" s="2">
        <v>1518</v>
      </c>
      <c r="K1610" s="2">
        <v>1392</v>
      </c>
      <c r="L1610" s="2">
        <v>2</v>
      </c>
      <c r="M1610" s="7">
        <f t="shared" si="96"/>
        <v>2784</v>
      </c>
      <c r="N1610" s="7">
        <f t="shared" si="97"/>
        <v>3036</v>
      </c>
      <c r="O1610" s="2">
        <v>67</v>
      </c>
      <c r="P1610" s="8">
        <f t="shared" si="98"/>
        <v>3103</v>
      </c>
      <c r="Q1610" s="8">
        <f t="shared" si="99"/>
        <v>2969</v>
      </c>
      <c r="R1610" s="2" t="s">
        <v>28</v>
      </c>
      <c r="S1610" s="9">
        <f>VLOOKUP(P1610,$T$2:U1607,2,1)</f>
        <v>0.02</v>
      </c>
    </row>
    <row r="1611" spans="1:19" x14ac:dyDescent="0.25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e">
        <f>VLOOKUP(F1611,'Customer Info'!A1603:I2102,2,0)</f>
        <v>#N/A</v>
      </c>
      <c r="H1611" s="6" t="e">
        <f>VLOOKUP(F1611,'Customer Info'!A1603:I2102,3,0)</f>
        <v>#N/A</v>
      </c>
      <c r="I1611" s="6" t="e">
        <f>VLOOKUP(F1611,'Customer Info'!A1603:I2102,5,0)</f>
        <v>#N/A</v>
      </c>
      <c r="J1611" s="2">
        <v>127</v>
      </c>
      <c r="K1611" s="2">
        <v>116</v>
      </c>
      <c r="L1611" s="2">
        <v>1</v>
      </c>
      <c r="M1611" s="7">
        <f t="shared" ref="M1611:M1674" si="100">K1611*L1611</f>
        <v>116</v>
      </c>
      <c r="N1611" s="7">
        <f t="shared" ref="N1611:N1674" si="101">J1611*L1611</f>
        <v>127</v>
      </c>
      <c r="O1611" s="2">
        <v>30</v>
      </c>
      <c r="P1611" s="8">
        <f t="shared" ref="P1611:P1674" si="102">SUM(N1611,O1611)</f>
        <v>157</v>
      </c>
      <c r="Q1611" s="8">
        <f t="shared" ref="Q1611:Q1674" si="103">N1611-O1611</f>
        <v>97</v>
      </c>
      <c r="R1611" s="2" t="s">
        <v>50</v>
      </c>
      <c r="S1611" s="9">
        <f>VLOOKUP(P1611,$T$2:U1608,2,1)</f>
        <v>0.02</v>
      </c>
    </row>
    <row r="1612" spans="1:19" x14ac:dyDescent="0.25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e">
        <f>VLOOKUP(F1612,'Customer Info'!A1604:I2103,2,0)</f>
        <v>#N/A</v>
      </c>
      <c r="H1612" s="6" t="e">
        <f>VLOOKUP(F1612,'Customer Info'!A1604:I2103,3,0)</f>
        <v>#N/A</v>
      </c>
      <c r="I1612" s="6" t="e">
        <f>VLOOKUP(F1612,'Customer Info'!A1604:I2103,5,0)</f>
        <v>#N/A</v>
      </c>
      <c r="J1612" s="2">
        <v>3176</v>
      </c>
      <c r="K1612" s="2">
        <v>3116</v>
      </c>
      <c r="L1612" s="2">
        <v>6</v>
      </c>
      <c r="M1612" s="7">
        <f t="shared" si="100"/>
        <v>18696</v>
      </c>
      <c r="N1612" s="7">
        <f t="shared" si="101"/>
        <v>19056</v>
      </c>
      <c r="O1612" s="2">
        <v>69</v>
      </c>
      <c r="P1612" s="8">
        <f t="shared" si="102"/>
        <v>19125</v>
      </c>
      <c r="Q1612" s="8">
        <f t="shared" si="103"/>
        <v>18987</v>
      </c>
      <c r="R1612" s="2" t="s">
        <v>50</v>
      </c>
      <c r="S1612" s="9">
        <f>VLOOKUP(P1612,$T$2:U1609,2,1)</f>
        <v>0.05</v>
      </c>
    </row>
    <row r="1613" spans="1:19" x14ac:dyDescent="0.25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e">
        <f>VLOOKUP(F1613,'Customer Info'!A1605:I2104,2,0)</f>
        <v>#N/A</v>
      </c>
      <c r="H1613" s="6" t="e">
        <f>VLOOKUP(F1613,'Customer Info'!A1605:I2104,3,0)</f>
        <v>#N/A</v>
      </c>
      <c r="I1613" s="6" t="e">
        <f>VLOOKUP(F1613,'Customer Info'!A1605:I2104,5,0)</f>
        <v>#N/A</v>
      </c>
      <c r="J1613" s="2">
        <v>68</v>
      </c>
      <c r="K1613" s="2">
        <v>63</v>
      </c>
      <c r="L1613" s="2">
        <v>3</v>
      </c>
      <c r="M1613" s="7">
        <f t="shared" si="100"/>
        <v>189</v>
      </c>
      <c r="N1613" s="7">
        <f t="shared" si="101"/>
        <v>204</v>
      </c>
      <c r="O1613" s="2">
        <v>10</v>
      </c>
      <c r="P1613" s="8">
        <f t="shared" si="102"/>
        <v>214</v>
      </c>
      <c r="Q1613" s="8">
        <f t="shared" si="103"/>
        <v>194</v>
      </c>
      <c r="R1613" s="2" t="s">
        <v>50</v>
      </c>
      <c r="S1613" s="9">
        <f>VLOOKUP(P1613,$T$2:U1610,2,1)</f>
        <v>0.02</v>
      </c>
    </row>
    <row r="1614" spans="1:19" x14ac:dyDescent="0.25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e">
        <f>VLOOKUP(F1614,'Customer Info'!A1606:I2105,2,0)</f>
        <v>#N/A</v>
      </c>
      <c r="H1614" s="6" t="e">
        <f>VLOOKUP(F1614,'Customer Info'!A1606:I2105,3,0)</f>
        <v>#N/A</v>
      </c>
      <c r="I1614" s="6" t="e">
        <f>VLOOKUP(F1614,'Customer Info'!A1606:I2105,5,0)</f>
        <v>#N/A</v>
      </c>
      <c r="J1614" s="2">
        <v>1623</v>
      </c>
      <c r="K1614" s="2">
        <v>1546</v>
      </c>
      <c r="L1614" s="2">
        <v>3</v>
      </c>
      <c r="M1614" s="7">
        <f t="shared" si="100"/>
        <v>4638</v>
      </c>
      <c r="N1614" s="7">
        <f t="shared" si="101"/>
        <v>4869</v>
      </c>
      <c r="O1614" s="2">
        <v>86</v>
      </c>
      <c r="P1614" s="8">
        <f t="shared" si="102"/>
        <v>4955</v>
      </c>
      <c r="Q1614" s="8">
        <f t="shared" si="103"/>
        <v>4783</v>
      </c>
      <c r="R1614" s="2" t="s">
        <v>28</v>
      </c>
      <c r="S1614" s="9">
        <f>VLOOKUP(P1614,$T$2:U1611,2,1)</f>
        <v>0.02</v>
      </c>
    </row>
    <row r="1615" spans="1:19" x14ac:dyDescent="0.25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e">
        <f>VLOOKUP(F1615,'Customer Info'!A1607:I2106,2,0)</f>
        <v>#N/A</v>
      </c>
      <c r="H1615" s="6" t="e">
        <f>VLOOKUP(F1615,'Customer Info'!A1607:I2106,3,0)</f>
        <v>#N/A</v>
      </c>
      <c r="I1615" s="6" t="e">
        <f>VLOOKUP(F1615,'Customer Info'!A1607:I2106,5,0)</f>
        <v>#N/A</v>
      </c>
      <c r="J1615" s="2">
        <v>2228</v>
      </c>
      <c r="K1615" s="2">
        <v>2143</v>
      </c>
      <c r="L1615" s="2">
        <v>7</v>
      </c>
      <c r="M1615" s="7">
        <f t="shared" si="100"/>
        <v>15001</v>
      </c>
      <c r="N1615" s="7">
        <f t="shared" si="101"/>
        <v>15596</v>
      </c>
      <c r="O1615" s="2">
        <v>54</v>
      </c>
      <c r="P1615" s="8">
        <f t="shared" si="102"/>
        <v>15650</v>
      </c>
      <c r="Q1615" s="8">
        <f t="shared" si="103"/>
        <v>15542</v>
      </c>
      <c r="R1615" s="2" t="s">
        <v>50</v>
      </c>
      <c r="S1615" s="9">
        <f>VLOOKUP(P1615,$T$2:U1612,2,1)</f>
        <v>0.05</v>
      </c>
    </row>
    <row r="1616" spans="1:19" x14ac:dyDescent="0.25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e">
        <f>VLOOKUP(F1616,'Customer Info'!A1608:I2107,2,0)</f>
        <v>#N/A</v>
      </c>
      <c r="H1616" s="6" t="e">
        <f>VLOOKUP(F1616,'Customer Info'!A1608:I2107,3,0)</f>
        <v>#N/A</v>
      </c>
      <c r="I1616" s="6" t="e">
        <f>VLOOKUP(F1616,'Customer Info'!A1608:I2107,5,0)</f>
        <v>#N/A</v>
      </c>
      <c r="J1616" s="2">
        <v>4714</v>
      </c>
      <c r="K1616" s="2">
        <v>4323</v>
      </c>
      <c r="L1616" s="2">
        <v>3</v>
      </c>
      <c r="M1616" s="7">
        <f t="shared" si="100"/>
        <v>12969</v>
      </c>
      <c r="N1616" s="7">
        <f t="shared" si="101"/>
        <v>14142</v>
      </c>
      <c r="O1616" s="2">
        <v>85</v>
      </c>
      <c r="P1616" s="8">
        <f t="shared" si="102"/>
        <v>14227</v>
      </c>
      <c r="Q1616" s="8">
        <f t="shared" si="103"/>
        <v>14057</v>
      </c>
      <c r="R1616" s="2" t="s">
        <v>50</v>
      </c>
      <c r="S1616" s="9">
        <f>VLOOKUP(P1616,$T$2:U1613,2,1)</f>
        <v>0.05</v>
      </c>
    </row>
    <row r="1617" spans="1:19" x14ac:dyDescent="0.25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e">
        <f>VLOOKUP(F1617,'Customer Info'!A1609:I2108,2,0)</f>
        <v>#N/A</v>
      </c>
      <c r="H1617" s="6" t="e">
        <f>VLOOKUP(F1617,'Customer Info'!A1609:I2108,3,0)</f>
        <v>#N/A</v>
      </c>
      <c r="I1617" s="6" t="e">
        <f>VLOOKUP(F1617,'Customer Info'!A1609:I2108,5,0)</f>
        <v>#N/A</v>
      </c>
      <c r="J1617" s="2">
        <v>1911</v>
      </c>
      <c r="K1617" s="2">
        <v>1785</v>
      </c>
      <c r="L1617" s="2">
        <v>2</v>
      </c>
      <c r="M1617" s="7">
        <f t="shared" si="100"/>
        <v>3570</v>
      </c>
      <c r="N1617" s="7">
        <f t="shared" si="101"/>
        <v>3822</v>
      </c>
      <c r="O1617" s="2">
        <v>90</v>
      </c>
      <c r="P1617" s="8">
        <f t="shared" si="102"/>
        <v>3912</v>
      </c>
      <c r="Q1617" s="8">
        <f t="shared" si="103"/>
        <v>3732</v>
      </c>
      <c r="R1617" s="2" t="s">
        <v>50</v>
      </c>
      <c r="S1617" s="9">
        <f>VLOOKUP(P1617,$T$2:U1614,2,1)</f>
        <v>0.02</v>
      </c>
    </row>
    <row r="1618" spans="1:19" x14ac:dyDescent="0.25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e">
        <f>VLOOKUP(F1618,'Customer Info'!A1610:I2109,2,0)</f>
        <v>#N/A</v>
      </c>
      <c r="H1618" s="6" t="e">
        <f>VLOOKUP(F1618,'Customer Info'!A1610:I2109,3,0)</f>
        <v>#N/A</v>
      </c>
      <c r="I1618" s="6" t="e">
        <f>VLOOKUP(F1618,'Customer Info'!A1610:I2109,5,0)</f>
        <v>#N/A</v>
      </c>
      <c r="J1618" s="2">
        <v>2960</v>
      </c>
      <c r="K1618" s="2">
        <v>2635</v>
      </c>
      <c r="L1618" s="2">
        <v>2</v>
      </c>
      <c r="M1618" s="7">
        <f t="shared" si="100"/>
        <v>5270</v>
      </c>
      <c r="N1618" s="7">
        <f t="shared" si="101"/>
        <v>5920</v>
      </c>
      <c r="O1618" s="2">
        <v>77</v>
      </c>
      <c r="P1618" s="8">
        <f t="shared" si="102"/>
        <v>5997</v>
      </c>
      <c r="Q1618" s="8">
        <f t="shared" si="103"/>
        <v>5843</v>
      </c>
      <c r="R1618" s="2" t="s">
        <v>28</v>
      </c>
      <c r="S1618" s="9">
        <f>VLOOKUP(P1618,$T$2:U1615,2,1)</f>
        <v>0.05</v>
      </c>
    </row>
    <row r="1619" spans="1:19" x14ac:dyDescent="0.25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e">
        <f>VLOOKUP(F1619,'Customer Info'!A1611:I2110,2,0)</f>
        <v>#N/A</v>
      </c>
      <c r="H1619" s="6" t="e">
        <f>VLOOKUP(F1619,'Customer Info'!A1611:I2110,3,0)</f>
        <v>#N/A</v>
      </c>
      <c r="I1619" s="6" t="e">
        <f>VLOOKUP(F1619,'Customer Info'!A1611:I2110,5,0)</f>
        <v>#N/A</v>
      </c>
      <c r="J1619" s="2">
        <v>36057</v>
      </c>
      <c r="K1619" s="2">
        <v>34028</v>
      </c>
      <c r="L1619" s="2">
        <v>2</v>
      </c>
      <c r="M1619" s="7">
        <f t="shared" si="100"/>
        <v>68056</v>
      </c>
      <c r="N1619" s="7">
        <f t="shared" si="101"/>
        <v>72114</v>
      </c>
      <c r="O1619" s="2">
        <v>85</v>
      </c>
      <c r="P1619" s="8">
        <f t="shared" si="102"/>
        <v>72199</v>
      </c>
      <c r="Q1619" s="8">
        <f t="shared" si="103"/>
        <v>72029</v>
      </c>
      <c r="R1619" s="2" t="s">
        <v>28</v>
      </c>
      <c r="S1619" s="9">
        <f>VLOOKUP(P1619,$T$2:U1616,2,1)</f>
        <v>0.09</v>
      </c>
    </row>
    <row r="1620" spans="1:19" x14ac:dyDescent="0.25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e">
        <f>VLOOKUP(F1620,'Customer Info'!A1612:I2111,2,0)</f>
        <v>#N/A</v>
      </c>
      <c r="H1620" s="6" t="e">
        <f>VLOOKUP(F1620,'Customer Info'!A1612:I2111,3,0)</f>
        <v>#N/A</v>
      </c>
      <c r="I1620" s="6" t="e">
        <f>VLOOKUP(F1620,'Customer Info'!A1612:I2111,5,0)</f>
        <v>#N/A</v>
      </c>
      <c r="J1620" s="2">
        <v>69</v>
      </c>
      <c r="K1620" s="2">
        <v>64</v>
      </c>
      <c r="L1620" s="2">
        <v>3</v>
      </c>
      <c r="M1620" s="7">
        <f t="shared" si="100"/>
        <v>192</v>
      </c>
      <c r="N1620" s="7">
        <f t="shared" si="101"/>
        <v>207</v>
      </c>
      <c r="O1620" s="2">
        <v>10</v>
      </c>
      <c r="P1620" s="8">
        <f t="shared" si="102"/>
        <v>217</v>
      </c>
      <c r="Q1620" s="8">
        <f t="shared" si="103"/>
        <v>197</v>
      </c>
      <c r="R1620" s="2" t="s">
        <v>28</v>
      </c>
      <c r="S1620" s="9">
        <f>VLOOKUP(P1620,$T$2:U1617,2,1)</f>
        <v>0.02</v>
      </c>
    </row>
    <row r="1621" spans="1:19" x14ac:dyDescent="0.25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e">
        <f>VLOOKUP(F1621,'Customer Info'!A1613:I2112,2,0)</f>
        <v>#N/A</v>
      </c>
      <c r="H1621" s="6" t="e">
        <f>VLOOKUP(F1621,'Customer Info'!A1613:I2112,3,0)</f>
        <v>#N/A</v>
      </c>
      <c r="I1621" s="6" t="e">
        <f>VLOOKUP(F1621,'Customer Info'!A1613:I2112,5,0)</f>
        <v>#N/A</v>
      </c>
      <c r="J1621" s="2">
        <v>6611</v>
      </c>
      <c r="K1621" s="2">
        <v>5943</v>
      </c>
      <c r="L1621" s="2">
        <v>6</v>
      </c>
      <c r="M1621" s="7">
        <f t="shared" si="100"/>
        <v>35658</v>
      </c>
      <c r="N1621" s="7">
        <f t="shared" si="101"/>
        <v>39666</v>
      </c>
      <c r="O1621" s="2">
        <v>70</v>
      </c>
      <c r="P1621" s="8">
        <f t="shared" si="102"/>
        <v>39736</v>
      </c>
      <c r="Q1621" s="8">
        <f t="shared" si="103"/>
        <v>39596</v>
      </c>
      <c r="R1621" s="2" t="s">
        <v>50</v>
      </c>
      <c r="S1621" s="9">
        <f>VLOOKUP(P1621,$T$2:U1618,2,1)</f>
        <v>7.0000000000000007E-2</v>
      </c>
    </row>
    <row r="1622" spans="1:19" x14ac:dyDescent="0.25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e">
        <f>VLOOKUP(F1622,'Customer Info'!A1614:I2113,2,0)</f>
        <v>#N/A</v>
      </c>
      <c r="H1622" s="6" t="e">
        <f>VLOOKUP(F1622,'Customer Info'!A1614:I2113,3,0)</f>
        <v>#N/A</v>
      </c>
      <c r="I1622" s="6" t="e">
        <f>VLOOKUP(F1622,'Customer Info'!A1614:I2113,5,0)</f>
        <v>#N/A</v>
      </c>
      <c r="J1622" s="2">
        <v>978</v>
      </c>
      <c r="K1622" s="2">
        <v>922</v>
      </c>
      <c r="L1622" s="2">
        <v>1</v>
      </c>
      <c r="M1622" s="7">
        <f t="shared" si="100"/>
        <v>922</v>
      </c>
      <c r="N1622" s="7">
        <f t="shared" si="101"/>
        <v>978</v>
      </c>
      <c r="O1622" s="2">
        <v>54</v>
      </c>
      <c r="P1622" s="8">
        <f t="shared" si="102"/>
        <v>1032</v>
      </c>
      <c r="Q1622" s="8">
        <f t="shared" si="103"/>
        <v>924</v>
      </c>
      <c r="R1622" s="2" t="s">
        <v>28</v>
      </c>
      <c r="S1622" s="9">
        <f>VLOOKUP(P1622,$T$2:U1619,2,1)</f>
        <v>0.02</v>
      </c>
    </row>
    <row r="1623" spans="1:19" x14ac:dyDescent="0.25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e">
        <f>VLOOKUP(F1623,'Customer Info'!A1615:I2114,2,0)</f>
        <v>#N/A</v>
      </c>
      <c r="H1623" s="6" t="e">
        <f>VLOOKUP(F1623,'Customer Info'!A1615:I2114,3,0)</f>
        <v>#N/A</v>
      </c>
      <c r="I1623" s="6" t="e">
        <f>VLOOKUP(F1623,'Customer Info'!A1615:I2114,5,0)</f>
        <v>#N/A</v>
      </c>
      <c r="J1623" s="2">
        <v>2960</v>
      </c>
      <c r="K1623" s="2">
        <v>2635</v>
      </c>
      <c r="L1623" s="2">
        <v>4</v>
      </c>
      <c r="M1623" s="7">
        <f t="shared" si="100"/>
        <v>10540</v>
      </c>
      <c r="N1623" s="7">
        <f t="shared" si="101"/>
        <v>11840</v>
      </c>
      <c r="O1623" s="2">
        <v>63</v>
      </c>
      <c r="P1623" s="8">
        <f t="shared" si="102"/>
        <v>11903</v>
      </c>
      <c r="Q1623" s="8">
        <f t="shared" si="103"/>
        <v>11777</v>
      </c>
      <c r="R1623" s="2" t="s">
        <v>50</v>
      </c>
      <c r="S1623" s="9">
        <f>VLOOKUP(P1623,$T$2:U1620,2,1)</f>
        <v>0.05</v>
      </c>
    </row>
    <row r="1624" spans="1:19" x14ac:dyDescent="0.25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e">
        <f>VLOOKUP(F1624,'Customer Info'!A1616:I2115,2,0)</f>
        <v>#N/A</v>
      </c>
      <c r="H1624" s="6" t="e">
        <f>VLOOKUP(F1624,'Customer Info'!A1616:I2115,3,0)</f>
        <v>#N/A</v>
      </c>
      <c r="I1624" s="6" t="e">
        <f>VLOOKUP(F1624,'Customer Info'!A1616:I2115,5,0)</f>
        <v>#N/A</v>
      </c>
      <c r="J1624" s="2">
        <v>8448</v>
      </c>
      <c r="K1624" s="2">
        <v>7822</v>
      </c>
      <c r="L1624" s="2">
        <v>3</v>
      </c>
      <c r="M1624" s="7">
        <f t="shared" si="100"/>
        <v>23466</v>
      </c>
      <c r="N1624" s="7">
        <f t="shared" si="101"/>
        <v>25344</v>
      </c>
      <c r="O1624" s="2">
        <v>46</v>
      </c>
      <c r="P1624" s="8">
        <f t="shared" si="102"/>
        <v>25390</v>
      </c>
      <c r="Q1624" s="8">
        <f t="shared" si="103"/>
        <v>25298</v>
      </c>
      <c r="R1624" s="2" t="s">
        <v>28</v>
      </c>
      <c r="S1624" s="9">
        <f>VLOOKUP(P1624,$T$2:U1621,2,1)</f>
        <v>7.0000000000000007E-2</v>
      </c>
    </row>
    <row r="1625" spans="1:19" x14ac:dyDescent="0.25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e">
        <f>VLOOKUP(F1625,'Customer Info'!A1617:I2116,2,0)</f>
        <v>#N/A</v>
      </c>
      <c r="H1625" s="6" t="e">
        <f>VLOOKUP(F1625,'Customer Info'!A1617:I2116,3,0)</f>
        <v>#N/A</v>
      </c>
      <c r="I1625" s="6" t="e">
        <f>VLOOKUP(F1625,'Customer Info'!A1617:I2116,5,0)</f>
        <v>#N/A</v>
      </c>
      <c r="J1625" s="2">
        <v>6060</v>
      </c>
      <c r="K1625" s="2">
        <v>6002</v>
      </c>
      <c r="L1625" s="2">
        <v>2</v>
      </c>
      <c r="M1625" s="7">
        <f t="shared" si="100"/>
        <v>12004</v>
      </c>
      <c r="N1625" s="7">
        <f t="shared" si="101"/>
        <v>12120</v>
      </c>
      <c r="O1625" s="2">
        <v>54</v>
      </c>
      <c r="P1625" s="8">
        <f t="shared" si="102"/>
        <v>12174</v>
      </c>
      <c r="Q1625" s="8">
        <f t="shared" si="103"/>
        <v>12066</v>
      </c>
      <c r="R1625" s="2" t="s">
        <v>26</v>
      </c>
      <c r="S1625" s="9">
        <f>VLOOKUP(P1625,$T$2:U1622,2,1)</f>
        <v>0.05</v>
      </c>
    </row>
    <row r="1626" spans="1:19" x14ac:dyDescent="0.25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e">
        <f>VLOOKUP(F1626,'Customer Info'!A1618:I2117,2,0)</f>
        <v>#N/A</v>
      </c>
      <c r="H1626" s="6" t="e">
        <f>VLOOKUP(F1626,'Customer Info'!A1618:I2117,3,0)</f>
        <v>#N/A</v>
      </c>
      <c r="I1626" s="6" t="e">
        <f>VLOOKUP(F1626,'Customer Info'!A1618:I2117,5,0)</f>
        <v>#N/A</v>
      </c>
      <c r="J1626" s="2">
        <v>139</v>
      </c>
      <c r="K1626" s="2">
        <v>130</v>
      </c>
      <c r="L1626" s="2">
        <v>4</v>
      </c>
      <c r="M1626" s="7">
        <f t="shared" si="100"/>
        <v>520</v>
      </c>
      <c r="N1626" s="7">
        <f t="shared" si="101"/>
        <v>556</v>
      </c>
      <c r="O1626" s="2">
        <v>30</v>
      </c>
      <c r="P1626" s="8">
        <f t="shared" si="102"/>
        <v>586</v>
      </c>
      <c r="Q1626" s="8">
        <f t="shared" si="103"/>
        <v>526</v>
      </c>
      <c r="R1626" s="2" t="s">
        <v>50</v>
      </c>
      <c r="S1626" s="9">
        <f>VLOOKUP(P1626,$T$2:U1623,2,1)</f>
        <v>0.02</v>
      </c>
    </row>
    <row r="1627" spans="1:19" x14ac:dyDescent="0.25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e">
        <f>VLOOKUP(F1627,'Customer Info'!A1619:I2118,2,0)</f>
        <v>#N/A</v>
      </c>
      <c r="H1627" s="6" t="e">
        <f>VLOOKUP(F1627,'Customer Info'!A1619:I2118,3,0)</f>
        <v>#N/A</v>
      </c>
      <c r="I1627" s="6" t="e">
        <f>VLOOKUP(F1627,'Customer Info'!A1619:I2118,5,0)</f>
        <v>#N/A</v>
      </c>
      <c r="J1627" s="2">
        <v>7232</v>
      </c>
      <c r="K1627" s="2">
        <v>6753</v>
      </c>
      <c r="L1627" s="2">
        <v>2</v>
      </c>
      <c r="M1627" s="7">
        <f t="shared" si="100"/>
        <v>13506</v>
      </c>
      <c r="N1627" s="7">
        <f t="shared" si="101"/>
        <v>14464</v>
      </c>
      <c r="O1627" s="2">
        <v>72</v>
      </c>
      <c r="P1627" s="8">
        <f t="shared" si="102"/>
        <v>14536</v>
      </c>
      <c r="Q1627" s="8">
        <f t="shared" si="103"/>
        <v>14392</v>
      </c>
      <c r="R1627" s="2" t="s">
        <v>28</v>
      </c>
      <c r="S1627" s="9">
        <f>VLOOKUP(P1627,$T$2:U1624,2,1)</f>
        <v>0.05</v>
      </c>
    </row>
    <row r="1628" spans="1:19" x14ac:dyDescent="0.25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e">
        <f>VLOOKUP(F1628,'Customer Info'!A1620:I2119,2,0)</f>
        <v>#N/A</v>
      </c>
      <c r="H1628" s="6" t="e">
        <f>VLOOKUP(F1628,'Customer Info'!A1620:I2119,3,0)</f>
        <v>#N/A</v>
      </c>
      <c r="I1628" s="6" t="e">
        <f>VLOOKUP(F1628,'Customer Info'!A1620:I2119,5,0)</f>
        <v>#N/A</v>
      </c>
      <c r="J1628" s="2">
        <v>27691</v>
      </c>
      <c r="K1628" s="2">
        <v>25616</v>
      </c>
      <c r="L1628" s="2">
        <v>6</v>
      </c>
      <c r="M1628" s="7">
        <f t="shared" si="100"/>
        <v>153696</v>
      </c>
      <c r="N1628" s="7">
        <f t="shared" si="101"/>
        <v>166146</v>
      </c>
      <c r="O1628" s="2">
        <v>82</v>
      </c>
      <c r="P1628" s="8">
        <f t="shared" si="102"/>
        <v>166228</v>
      </c>
      <c r="Q1628" s="8">
        <f t="shared" si="103"/>
        <v>166064</v>
      </c>
      <c r="R1628" s="2" t="s">
        <v>26</v>
      </c>
      <c r="S1628" s="9">
        <f>VLOOKUP(P1628,$T$2:U1625,2,1)</f>
        <v>0.12</v>
      </c>
    </row>
    <row r="1629" spans="1:19" x14ac:dyDescent="0.25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e">
        <f>VLOOKUP(F1629,'Customer Info'!A1621:I2120,2,0)</f>
        <v>#N/A</v>
      </c>
      <c r="H1629" s="6" t="e">
        <f>VLOOKUP(F1629,'Customer Info'!A1621:I2120,3,0)</f>
        <v>#N/A</v>
      </c>
      <c r="I1629" s="6" t="e">
        <f>VLOOKUP(F1629,'Customer Info'!A1621:I2120,5,0)</f>
        <v>#N/A</v>
      </c>
      <c r="J1629" s="2">
        <v>2981</v>
      </c>
      <c r="K1629" s="2">
        <v>2870</v>
      </c>
      <c r="L1629" s="2">
        <v>4</v>
      </c>
      <c r="M1629" s="7">
        <f t="shared" si="100"/>
        <v>11480</v>
      </c>
      <c r="N1629" s="7">
        <f t="shared" si="101"/>
        <v>11924</v>
      </c>
      <c r="O1629" s="2">
        <v>60</v>
      </c>
      <c r="P1629" s="8">
        <f t="shared" si="102"/>
        <v>11984</v>
      </c>
      <c r="Q1629" s="8">
        <f t="shared" si="103"/>
        <v>11864</v>
      </c>
      <c r="R1629" s="2" t="s">
        <v>50</v>
      </c>
      <c r="S1629" s="9">
        <f>VLOOKUP(P1629,$T$2:U1626,2,1)</f>
        <v>0.05</v>
      </c>
    </row>
    <row r="1630" spans="1:19" x14ac:dyDescent="0.25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e">
        <f>VLOOKUP(F1630,'Customer Info'!A1622:I2121,2,0)</f>
        <v>#N/A</v>
      </c>
      <c r="H1630" s="6" t="e">
        <f>VLOOKUP(F1630,'Customer Info'!A1622:I2121,3,0)</f>
        <v>#N/A</v>
      </c>
      <c r="I1630" s="6" t="e">
        <f>VLOOKUP(F1630,'Customer Info'!A1622:I2121,5,0)</f>
        <v>#N/A</v>
      </c>
      <c r="J1630" s="2">
        <v>2333</v>
      </c>
      <c r="K1630" s="2">
        <v>2060</v>
      </c>
      <c r="L1630" s="2">
        <v>3</v>
      </c>
      <c r="M1630" s="7">
        <f t="shared" si="100"/>
        <v>6180</v>
      </c>
      <c r="N1630" s="7">
        <f t="shared" si="101"/>
        <v>6999</v>
      </c>
      <c r="O1630" s="2">
        <v>65</v>
      </c>
      <c r="P1630" s="8">
        <f t="shared" si="102"/>
        <v>7064</v>
      </c>
      <c r="Q1630" s="8">
        <f t="shared" si="103"/>
        <v>6934</v>
      </c>
      <c r="R1630" s="2" t="s">
        <v>28</v>
      </c>
      <c r="S1630" s="9">
        <f>VLOOKUP(P1630,$T$2:U1627,2,1)</f>
        <v>0.05</v>
      </c>
    </row>
    <row r="1631" spans="1:19" x14ac:dyDescent="0.25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e">
        <f>VLOOKUP(F1631,'Customer Info'!A1623:I2122,2,0)</f>
        <v>#N/A</v>
      </c>
      <c r="H1631" s="6" t="e">
        <f>VLOOKUP(F1631,'Customer Info'!A1623:I2122,3,0)</f>
        <v>#N/A</v>
      </c>
      <c r="I1631" s="6" t="e">
        <f>VLOOKUP(F1631,'Customer Info'!A1623:I2122,5,0)</f>
        <v>#N/A</v>
      </c>
      <c r="J1631" s="2">
        <v>4577</v>
      </c>
      <c r="K1631" s="2">
        <v>4285</v>
      </c>
      <c r="L1631" s="2">
        <v>1</v>
      </c>
      <c r="M1631" s="7">
        <f t="shared" si="100"/>
        <v>4285</v>
      </c>
      <c r="N1631" s="7">
        <f t="shared" si="101"/>
        <v>4577</v>
      </c>
      <c r="O1631" s="2">
        <v>22</v>
      </c>
      <c r="P1631" s="8">
        <f t="shared" si="102"/>
        <v>4599</v>
      </c>
      <c r="Q1631" s="8">
        <f t="shared" si="103"/>
        <v>4555</v>
      </c>
      <c r="R1631" s="2" t="s">
        <v>50</v>
      </c>
      <c r="S1631" s="9">
        <f>VLOOKUP(P1631,$T$2:U1628,2,1)</f>
        <v>0.02</v>
      </c>
    </row>
    <row r="1632" spans="1:19" x14ac:dyDescent="0.25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e">
        <f>VLOOKUP(F1632,'Customer Info'!A1624:I2123,2,0)</f>
        <v>#N/A</v>
      </c>
      <c r="H1632" s="6" t="e">
        <f>VLOOKUP(F1632,'Customer Info'!A1624:I2123,3,0)</f>
        <v>#N/A</v>
      </c>
      <c r="I1632" s="6" t="e">
        <f>VLOOKUP(F1632,'Customer Info'!A1624:I2123,5,0)</f>
        <v>#N/A</v>
      </c>
      <c r="J1632" s="2">
        <v>1925</v>
      </c>
      <c r="K1632" s="2">
        <v>1834</v>
      </c>
      <c r="L1632" s="2">
        <v>1</v>
      </c>
      <c r="M1632" s="7">
        <f t="shared" si="100"/>
        <v>1834</v>
      </c>
      <c r="N1632" s="7">
        <f t="shared" si="101"/>
        <v>1925</v>
      </c>
      <c r="O1632" s="2">
        <v>32</v>
      </c>
      <c r="P1632" s="8">
        <f t="shared" si="102"/>
        <v>1957</v>
      </c>
      <c r="Q1632" s="8">
        <f t="shared" si="103"/>
        <v>1893</v>
      </c>
      <c r="R1632" s="2" t="s">
        <v>50</v>
      </c>
      <c r="S1632" s="9">
        <f>VLOOKUP(P1632,$T$2:U1629,2,1)</f>
        <v>0.02</v>
      </c>
    </row>
    <row r="1633" spans="1:19" x14ac:dyDescent="0.25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e">
        <f>VLOOKUP(F1633,'Customer Info'!A1625:I2124,2,0)</f>
        <v>#N/A</v>
      </c>
      <c r="H1633" s="6" t="e">
        <f>VLOOKUP(F1633,'Customer Info'!A1625:I2124,3,0)</f>
        <v>#N/A</v>
      </c>
      <c r="I1633" s="6" t="e">
        <f>VLOOKUP(F1633,'Customer Info'!A1625:I2124,5,0)</f>
        <v>#N/A</v>
      </c>
      <c r="J1633" s="2">
        <v>2078</v>
      </c>
      <c r="K1633" s="2">
        <v>1871</v>
      </c>
      <c r="L1633" s="2">
        <v>5</v>
      </c>
      <c r="M1633" s="7">
        <f t="shared" si="100"/>
        <v>9355</v>
      </c>
      <c r="N1633" s="7">
        <f t="shared" si="101"/>
        <v>10390</v>
      </c>
      <c r="O1633" s="2">
        <v>49</v>
      </c>
      <c r="P1633" s="8">
        <f t="shared" si="102"/>
        <v>10439</v>
      </c>
      <c r="Q1633" s="8">
        <f t="shared" si="103"/>
        <v>10341</v>
      </c>
      <c r="R1633" s="2" t="s">
        <v>50</v>
      </c>
      <c r="S1633" s="9">
        <f>VLOOKUP(P1633,$T$2:U1630,2,1)</f>
        <v>0.05</v>
      </c>
    </row>
    <row r="1634" spans="1:19" x14ac:dyDescent="0.25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e">
        <f>VLOOKUP(F1634,'Customer Info'!A1626:I2125,2,0)</f>
        <v>#N/A</v>
      </c>
      <c r="H1634" s="6" t="e">
        <f>VLOOKUP(F1634,'Customer Info'!A1626:I2125,3,0)</f>
        <v>#N/A</v>
      </c>
      <c r="I1634" s="6" t="e">
        <f>VLOOKUP(F1634,'Customer Info'!A1626:I2125,5,0)</f>
        <v>#N/A</v>
      </c>
      <c r="J1634" s="2">
        <v>193</v>
      </c>
      <c r="K1634" s="2">
        <v>173</v>
      </c>
      <c r="L1634" s="2">
        <v>2</v>
      </c>
      <c r="M1634" s="7">
        <f t="shared" si="100"/>
        <v>346</v>
      </c>
      <c r="N1634" s="7">
        <f t="shared" si="101"/>
        <v>386</v>
      </c>
      <c r="O1634" s="2">
        <v>30</v>
      </c>
      <c r="P1634" s="8">
        <f t="shared" si="102"/>
        <v>416</v>
      </c>
      <c r="Q1634" s="8">
        <f t="shared" si="103"/>
        <v>356</v>
      </c>
      <c r="R1634" s="2" t="s">
        <v>50</v>
      </c>
      <c r="S1634" s="9">
        <f>VLOOKUP(P1634,$T$2:U1631,2,1)</f>
        <v>0.02</v>
      </c>
    </row>
    <row r="1635" spans="1:19" x14ac:dyDescent="0.25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e">
        <f>VLOOKUP(F1635,'Customer Info'!A1627:I2126,2,0)</f>
        <v>#N/A</v>
      </c>
      <c r="H1635" s="6" t="e">
        <f>VLOOKUP(F1635,'Customer Info'!A1627:I2126,3,0)</f>
        <v>#N/A</v>
      </c>
      <c r="I1635" s="6" t="e">
        <f>VLOOKUP(F1635,'Customer Info'!A1627:I2126,5,0)</f>
        <v>#N/A</v>
      </c>
      <c r="J1635" s="2">
        <v>140</v>
      </c>
      <c r="K1635" s="2">
        <v>137</v>
      </c>
      <c r="L1635" s="2">
        <v>3</v>
      </c>
      <c r="M1635" s="7">
        <f t="shared" si="100"/>
        <v>411</v>
      </c>
      <c r="N1635" s="7">
        <f t="shared" si="101"/>
        <v>420</v>
      </c>
      <c r="O1635" s="2">
        <v>30</v>
      </c>
      <c r="P1635" s="8">
        <f t="shared" si="102"/>
        <v>450</v>
      </c>
      <c r="Q1635" s="8">
        <f t="shared" si="103"/>
        <v>390</v>
      </c>
      <c r="R1635" s="2" t="s">
        <v>28</v>
      </c>
      <c r="S1635" s="9">
        <f>VLOOKUP(P1635,$T$2:U1632,2,1)</f>
        <v>0.02</v>
      </c>
    </row>
    <row r="1636" spans="1:19" x14ac:dyDescent="0.25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e">
        <f>VLOOKUP(F1636,'Customer Info'!A1628:I2127,2,0)</f>
        <v>#N/A</v>
      </c>
      <c r="H1636" s="6" t="e">
        <f>VLOOKUP(F1636,'Customer Info'!A1628:I2127,3,0)</f>
        <v>#N/A</v>
      </c>
      <c r="I1636" s="6" t="e">
        <f>VLOOKUP(F1636,'Customer Info'!A1628:I2127,5,0)</f>
        <v>#N/A</v>
      </c>
      <c r="J1636" s="2">
        <v>3321</v>
      </c>
      <c r="K1636" s="2">
        <v>2989</v>
      </c>
      <c r="L1636" s="2">
        <v>14</v>
      </c>
      <c r="M1636" s="7">
        <f t="shared" si="100"/>
        <v>41846</v>
      </c>
      <c r="N1636" s="7">
        <f t="shared" si="101"/>
        <v>46494</v>
      </c>
      <c r="O1636" s="2">
        <v>97</v>
      </c>
      <c r="P1636" s="8">
        <f t="shared" si="102"/>
        <v>46591</v>
      </c>
      <c r="Q1636" s="8">
        <f t="shared" si="103"/>
        <v>46397</v>
      </c>
      <c r="R1636" s="2" t="s">
        <v>28</v>
      </c>
      <c r="S1636" s="9">
        <f>VLOOKUP(P1636,$T$2:U1633,2,1)</f>
        <v>7.0000000000000007E-2</v>
      </c>
    </row>
    <row r="1637" spans="1:19" x14ac:dyDescent="0.25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e">
        <f>VLOOKUP(F1637,'Customer Info'!A1629:I2128,2,0)</f>
        <v>#N/A</v>
      </c>
      <c r="H1637" s="6" t="e">
        <f>VLOOKUP(F1637,'Customer Info'!A1629:I2128,3,0)</f>
        <v>#N/A</v>
      </c>
      <c r="I1637" s="6" t="e">
        <f>VLOOKUP(F1637,'Customer Info'!A1629:I2128,5,0)</f>
        <v>#N/A</v>
      </c>
      <c r="J1637" s="2">
        <v>1321</v>
      </c>
      <c r="K1637" s="2">
        <v>1211</v>
      </c>
      <c r="L1637" s="2">
        <v>1</v>
      </c>
      <c r="M1637" s="7">
        <f t="shared" si="100"/>
        <v>1211</v>
      </c>
      <c r="N1637" s="7">
        <f t="shared" si="101"/>
        <v>1321</v>
      </c>
      <c r="O1637" s="2">
        <v>38</v>
      </c>
      <c r="P1637" s="8">
        <f t="shared" si="102"/>
        <v>1359</v>
      </c>
      <c r="Q1637" s="8">
        <f t="shared" si="103"/>
        <v>1283</v>
      </c>
      <c r="R1637" s="2" t="s">
        <v>28</v>
      </c>
      <c r="S1637" s="9">
        <f>VLOOKUP(P1637,$T$2:U1634,2,1)</f>
        <v>0.02</v>
      </c>
    </row>
    <row r="1638" spans="1:19" x14ac:dyDescent="0.25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e">
        <f>VLOOKUP(F1638,'Customer Info'!A1630:I2129,2,0)</f>
        <v>#N/A</v>
      </c>
      <c r="H1638" s="6" t="e">
        <f>VLOOKUP(F1638,'Customer Info'!A1630:I2129,3,0)</f>
        <v>#N/A</v>
      </c>
      <c r="I1638" s="6" t="e">
        <f>VLOOKUP(F1638,'Customer Info'!A1630:I2129,5,0)</f>
        <v>#N/A</v>
      </c>
      <c r="J1638" s="2">
        <v>7658</v>
      </c>
      <c r="K1638" s="2">
        <v>7026</v>
      </c>
      <c r="L1638" s="2">
        <v>3</v>
      </c>
      <c r="M1638" s="7">
        <f t="shared" si="100"/>
        <v>21078</v>
      </c>
      <c r="N1638" s="7">
        <f t="shared" si="101"/>
        <v>22974</v>
      </c>
      <c r="O1638" s="2">
        <v>20</v>
      </c>
      <c r="P1638" s="8">
        <f t="shared" si="102"/>
        <v>22994</v>
      </c>
      <c r="Q1638" s="8">
        <f t="shared" si="103"/>
        <v>22954</v>
      </c>
      <c r="R1638" s="2" t="s">
        <v>28</v>
      </c>
      <c r="S1638" s="9">
        <f>VLOOKUP(P1638,$T$2:U1635,2,1)</f>
        <v>0.05</v>
      </c>
    </row>
    <row r="1639" spans="1:19" x14ac:dyDescent="0.25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e">
        <f>VLOOKUP(F1639,'Customer Info'!A1631:I2130,2,0)</f>
        <v>#N/A</v>
      </c>
      <c r="H1639" s="6" t="e">
        <f>VLOOKUP(F1639,'Customer Info'!A1631:I2130,3,0)</f>
        <v>#N/A</v>
      </c>
      <c r="I1639" s="6" t="e">
        <f>VLOOKUP(F1639,'Customer Info'!A1631:I2130,5,0)</f>
        <v>#N/A</v>
      </c>
      <c r="J1639" s="2">
        <v>6768</v>
      </c>
      <c r="K1639" s="2">
        <v>6512</v>
      </c>
      <c r="L1639" s="2">
        <v>4</v>
      </c>
      <c r="M1639" s="7">
        <f t="shared" si="100"/>
        <v>26048</v>
      </c>
      <c r="N1639" s="7">
        <f t="shared" si="101"/>
        <v>27072</v>
      </c>
      <c r="O1639" s="2">
        <v>96</v>
      </c>
      <c r="P1639" s="8">
        <f t="shared" si="102"/>
        <v>27168</v>
      </c>
      <c r="Q1639" s="8">
        <f t="shared" si="103"/>
        <v>26976</v>
      </c>
      <c r="R1639" s="2" t="s">
        <v>28</v>
      </c>
      <c r="S1639" s="9">
        <f>VLOOKUP(P1639,$T$2:U1636,2,1)</f>
        <v>7.0000000000000007E-2</v>
      </c>
    </row>
    <row r="1640" spans="1:19" x14ac:dyDescent="0.25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e">
        <f>VLOOKUP(F1640,'Customer Info'!A1632:I2131,2,0)</f>
        <v>#N/A</v>
      </c>
      <c r="H1640" s="6" t="e">
        <f>VLOOKUP(F1640,'Customer Info'!A1632:I2131,3,0)</f>
        <v>#N/A</v>
      </c>
      <c r="I1640" s="6" t="e">
        <f>VLOOKUP(F1640,'Customer Info'!A1632:I2131,5,0)</f>
        <v>#N/A</v>
      </c>
      <c r="J1640" s="2">
        <v>1576</v>
      </c>
      <c r="K1640" s="2">
        <v>1531</v>
      </c>
      <c r="L1640" s="2">
        <v>4</v>
      </c>
      <c r="M1640" s="7">
        <f t="shared" si="100"/>
        <v>6124</v>
      </c>
      <c r="N1640" s="7">
        <f t="shared" si="101"/>
        <v>6304</v>
      </c>
      <c r="O1640" s="2">
        <v>79</v>
      </c>
      <c r="P1640" s="8">
        <f t="shared" si="102"/>
        <v>6383</v>
      </c>
      <c r="Q1640" s="8">
        <f t="shared" si="103"/>
        <v>6225</v>
      </c>
      <c r="R1640" s="2" t="s">
        <v>28</v>
      </c>
      <c r="S1640" s="9">
        <f>VLOOKUP(P1640,$T$2:U1637,2,1)</f>
        <v>0.05</v>
      </c>
    </row>
    <row r="1641" spans="1:19" x14ac:dyDescent="0.25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e">
        <f>VLOOKUP(F1641,'Customer Info'!A1633:I2132,2,0)</f>
        <v>#N/A</v>
      </c>
      <c r="H1641" s="6" t="e">
        <f>VLOOKUP(F1641,'Customer Info'!A1633:I2132,3,0)</f>
        <v>#N/A</v>
      </c>
      <c r="I1641" s="6" t="e">
        <f>VLOOKUP(F1641,'Customer Info'!A1633:I2132,5,0)</f>
        <v>#N/A</v>
      </c>
      <c r="J1641" s="2">
        <v>63</v>
      </c>
      <c r="K1641" s="2">
        <v>59</v>
      </c>
      <c r="L1641" s="2">
        <v>3</v>
      </c>
      <c r="M1641" s="7">
        <f t="shared" si="100"/>
        <v>177</v>
      </c>
      <c r="N1641" s="7">
        <f t="shared" si="101"/>
        <v>189</v>
      </c>
      <c r="O1641" s="2">
        <v>10</v>
      </c>
      <c r="P1641" s="8">
        <f t="shared" si="102"/>
        <v>199</v>
      </c>
      <c r="Q1641" s="8">
        <f t="shared" si="103"/>
        <v>179</v>
      </c>
      <c r="R1641" s="2" t="s">
        <v>50</v>
      </c>
      <c r="S1641" s="9">
        <f>VLOOKUP(P1641,$T$2:U1638,2,1)</f>
        <v>0.02</v>
      </c>
    </row>
    <row r="1642" spans="1:19" x14ac:dyDescent="0.25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e">
        <f>VLOOKUP(F1642,'Customer Info'!A1634:I2133,2,0)</f>
        <v>#N/A</v>
      </c>
      <c r="H1642" s="6" t="e">
        <f>VLOOKUP(F1642,'Customer Info'!A1634:I2133,3,0)</f>
        <v>#N/A</v>
      </c>
      <c r="I1642" s="6" t="e">
        <f>VLOOKUP(F1642,'Customer Info'!A1634:I2133,5,0)</f>
        <v>#N/A</v>
      </c>
      <c r="J1642" s="2">
        <v>1651</v>
      </c>
      <c r="K1642" s="2">
        <v>1604</v>
      </c>
      <c r="L1642" s="2">
        <v>2</v>
      </c>
      <c r="M1642" s="7">
        <f t="shared" si="100"/>
        <v>3208</v>
      </c>
      <c r="N1642" s="7">
        <f t="shared" si="101"/>
        <v>3302</v>
      </c>
      <c r="O1642" s="2">
        <v>33</v>
      </c>
      <c r="P1642" s="8">
        <f t="shared" si="102"/>
        <v>3335</v>
      </c>
      <c r="Q1642" s="8">
        <f t="shared" si="103"/>
        <v>3269</v>
      </c>
      <c r="R1642" s="2" t="s">
        <v>28</v>
      </c>
      <c r="S1642" s="9">
        <f>VLOOKUP(P1642,$T$2:U1639,2,1)</f>
        <v>0.02</v>
      </c>
    </row>
    <row r="1643" spans="1:19" x14ac:dyDescent="0.25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e">
        <f>VLOOKUP(F1643,'Customer Info'!A1635:I2134,2,0)</f>
        <v>#N/A</v>
      </c>
      <c r="H1643" s="6" t="e">
        <f>VLOOKUP(F1643,'Customer Info'!A1635:I2134,3,0)</f>
        <v>#N/A</v>
      </c>
      <c r="I1643" s="6" t="e">
        <f>VLOOKUP(F1643,'Customer Info'!A1635:I2134,5,0)</f>
        <v>#N/A</v>
      </c>
      <c r="J1643" s="2">
        <v>214</v>
      </c>
      <c r="K1643" s="2">
        <v>200</v>
      </c>
      <c r="L1643" s="2">
        <v>4</v>
      </c>
      <c r="M1643" s="7">
        <f t="shared" si="100"/>
        <v>800</v>
      </c>
      <c r="N1643" s="7">
        <f t="shared" si="101"/>
        <v>856</v>
      </c>
      <c r="O1643" s="2">
        <v>24</v>
      </c>
      <c r="P1643" s="8">
        <f t="shared" si="102"/>
        <v>880</v>
      </c>
      <c r="Q1643" s="8">
        <f t="shared" si="103"/>
        <v>832</v>
      </c>
      <c r="R1643" s="2" t="s">
        <v>28</v>
      </c>
      <c r="S1643" s="9">
        <f>VLOOKUP(P1643,$T$2:U1640,2,1)</f>
        <v>0.02</v>
      </c>
    </row>
    <row r="1644" spans="1:19" x14ac:dyDescent="0.25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e">
        <f>VLOOKUP(F1644,'Customer Info'!A1636:I2135,2,0)</f>
        <v>#N/A</v>
      </c>
      <c r="H1644" s="6" t="e">
        <f>VLOOKUP(F1644,'Customer Info'!A1636:I2135,3,0)</f>
        <v>#N/A</v>
      </c>
      <c r="I1644" s="6" t="e">
        <f>VLOOKUP(F1644,'Customer Info'!A1636:I2135,5,0)</f>
        <v>#N/A</v>
      </c>
      <c r="J1644" s="2">
        <v>2697</v>
      </c>
      <c r="K1644" s="2">
        <v>2498</v>
      </c>
      <c r="L1644" s="2">
        <v>3</v>
      </c>
      <c r="M1644" s="7">
        <f t="shared" si="100"/>
        <v>7494</v>
      </c>
      <c r="N1644" s="7">
        <f t="shared" si="101"/>
        <v>8091</v>
      </c>
      <c r="O1644" s="2">
        <v>91</v>
      </c>
      <c r="P1644" s="8">
        <f t="shared" si="102"/>
        <v>8182</v>
      </c>
      <c r="Q1644" s="8">
        <f t="shared" si="103"/>
        <v>8000</v>
      </c>
      <c r="R1644" s="2" t="s">
        <v>28</v>
      </c>
      <c r="S1644" s="9">
        <f>VLOOKUP(P1644,$T$2:U1641,2,1)</f>
        <v>0.05</v>
      </c>
    </row>
    <row r="1645" spans="1:19" x14ac:dyDescent="0.25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e">
        <f>VLOOKUP(F1645,'Customer Info'!A1637:I2136,2,0)</f>
        <v>#N/A</v>
      </c>
      <c r="H1645" s="6" t="e">
        <f>VLOOKUP(F1645,'Customer Info'!A1637:I2136,3,0)</f>
        <v>#N/A</v>
      </c>
      <c r="I1645" s="6" t="e">
        <f>VLOOKUP(F1645,'Customer Info'!A1637:I2136,5,0)</f>
        <v>#N/A</v>
      </c>
      <c r="J1645" s="2">
        <v>1568</v>
      </c>
      <c r="K1645" s="2">
        <v>1495</v>
      </c>
      <c r="L1645" s="2">
        <v>4</v>
      </c>
      <c r="M1645" s="7">
        <f t="shared" si="100"/>
        <v>5980</v>
      </c>
      <c r="N1645" s="7">
        <f t="shared" si="101"/>
        <v>6272</v>
      </c>
      <c r="O1645" s="2">
        <v>73</v>
      </c>
      <c r="P1645" s="8">
        <f t="shared" si="102"/>
        <v>6345</v>
      </c>
      <c r="Q1645" s="8">
        <f t="shared" si="103"/>
        <v>6199</v>
      </c>
      <c r="R1645" s="2" t="s">
        <v>28</v>
      </c>
      <c r="S1645" s="9">
        <f>VLOOKUP(P1645,$T$2:U1642,2,1)</f>
        <v>0.05</v>
      </c>
    </row>
    <row r="1646" spans="1:19" x14ac:dyDescent="0.25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e">
        <f>VLOOKUP(F1646,'Customer Info'!A1638:I2137,2,0)</f>
        <v>#N/A</v>
      </c>
      <c r="H1646" s="6" t="e">
        <f>VLOOKUP(F1646,'Customer Info'!A1638:I2137,3,0)</f>
        <v>#N/A</v>
      </c>
      <c r="I1646" s="6" t="e">
        <f>VLOOKUP(F1646,'Customer Info'!A1638:I2137,5,0)</f>
        <v>#N/A</v>
      </c>
      <c r="J1646" s="2">
        <v>2907</v>
      </c>
      <c r="K1646" s="2">
        <v>2667</v>
      </c>
      <c r="L1646" s="2">
        <v>4</v>
      </c>
      <c r="M1646" s="7">
        <f t="shared" si="100"/>
        <v>10668</v>
      </c>
      <c r="N1646" s="7">
        <f t="shared" si="101"/>
        <v>11628</v>
      </c>
      <c r="O1646" s="2">
        <v>53</v>
      </c>
      <c r="P1646" s="8">
        <f t="shared" si="102"/>
        <v>11681</v>
      </c>
      <c r="Q1646" s="8">
        <f t="shared" si="103"/>
        <v>11575</v>
      </c>
      <c r="R1646" s="2" t="s">
        <v>28</v>
      </c>
      <c r="S1646" s="9">
        <f>VLOOKUP(P1646,$T$2:U1643,2,1)</f>
        <v>0.05</v>
      </c>
    </row>
    <row r="1647" spans="1:19" x14ac:dyDescent="0.25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e">
        <f>VLOOKUP(F1647,'Customer Info'!A1639:I2138,2,0)</f>
        <v>#N/A</v>
      </c>
      <c r="H1647" s="6" t="e">
        <f>VLOOKUP(F1647,'Customer Info'!A1639:I2138,3,0)</f>
        <v>#N/A</v>
      </c>
      <c r="I1647" s="6" t="e">
        <f>VLOOKUP(F1647,'Customer Info'!A1639:I2138,5,0)</f>
        <v>#N/A</v>
      </c>
      <c r="J1647" s="2">
        <v>60</v>
      </c>
      <c r="K1647" s="2">
        <v>56</v>
      </c>
      <c r="L1647" s="2">
        <v>1</v>
      </c>
      <c r="M1647" s="7">
        <f t="shared" si="100"/>
        <v>56</v>
      </c>
      <c r="N1647" s="7">
        <f t="shared" si="101"/>
        <v>60</v>
      </c>
      <c r="O1647" s="2">
        <v>10</v>
      </c>
      <c r="P1647" s="8">
        <f t="shared" si="102"/>
        <v>70</v>
      </c>
      <c r="Q1647" s="8">
        <f t="shared" si="103"/>
        <v>50</v>
      </c>
      <c r="R1647" s="2" t="s">
        <v>28</v>
      </c>
      <c r="S1647" s="9">
        <f>VLOOKUP(P1647,$T$2:U1644,2,1)</f>
        <v>0.02</v>
      </c>
    </row>
    <row r="1648" spans="1:19" x14ac:dyDescent="0.25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e">
        <f>VLOOKUP(F1648,'Customer Info'!A1640:I2139,2,0)</f>
        <v>#N/A</v>
      </c>
      <c r="H1648" s="6" t="e">
        <f>VLOOKUP(F1648,'Customer Info'!A1640:I2139,3,0)</f>
        <v>#N/A</v>
      </c>
      <c r="I1648" s="6" t="e">
        <f>VLOOKUP(F1648,'Customer Info'!A1640:I2139,5,0)</f>
        <v>#N/A</v>
      </c>
      <c r="J1648" s="2">
        <v>6012</v>
      </c>
      <c r="K1648" s="2">
        <v>5677</v>
      </c>
      <c r="L1648" s="2">
        <v>6</v>
      </c>
      <c r="M1648" s="7">
        <f t="shared" si="100"/>
        <v>34062</v>
      </c>
      <c r="N1648" s="7">
        <f t="shared" si="101"/>
        <v>36072</v>
      </c>
      <c r="O1648" s="2">
        <v>40</v>
      </c>
      <c r="P1648" s="8">
        <f t="shared" si="102"/>
        <v>36112</v>
      </c>
      <c r="Q1648" s="8">
        <f t="shared" si="103"/>
        <v>36032</v>
      </c>
      <c r="R1648" s="2" t="s">
        <v>50</v>
      </c>
      <c r="S1648" s="9">
        <f>VLOOKUP(P1648,$T$2:U1645,2,1)</f>
        <v>7.0000000000000007E-2</v>
      </c>
    </row>
    <row r="1649" spans="1:19" x14ac:dyDescent="0.25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e">
        <f>VLOOKUP(F1649,'Customer Info'!A1641:I2140,2,0)</f>
        <v>#N/A</v>
      </c>
      <c r="H1649" s="6" t="e">
        <f>VLOOKUP(F1649,'Customer Info'!A1641:I2140,3,0)</f>
        <v>#N/A</v>
      </c>
      <c r="I1649" s="6" t="e">
        <f>VLOOKUP(F1649,'Customer Info'!A1641:I2140,5,0)</f>
        <v>#N/A</v>
      </c>
      <c r="J1649" s="2">
        <v>2778</v>
      </c>
      <c r="K1649" s="2">
        <v>2573</v>
      </c>
      <c r="L1649" s="2">
        <v>2</v>
      </c>
      <c r="M1649" s="7">
        <f t="shared" si="100"/>
        <v>5146</v>
      </c>
      <c r="N1649" s="7">
        <f t="shared" si="101"/>
        <v>5556</v>
      </c>
      <c r="O1649" s="2">
        <v>100</v>
      </c>
      <c r="P1649" s="8">
        <f t="shared" si="102"/>
        <v>5656</v>
      </c>
      <c r="Q1649" s="8">
        <f t="shared" si="103"/>
        <v>5456</v>
      </c>
      <c r="R1649" s="2" t="s">
        <v>50</v>
      </c>
      <c r="S1649" s="9">
        <f>VLOOKUP(P1649,$T$2:U1646,2,1)</f>
        <v>0.05</v>
      </c>
    </row>
    <row r="1650" spans="1:19" x14ac:dyDescent="0.25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e">
        <f>VLOOKUP(F1650,'Customer Info'!A1642:I2141,2,0)</f>
        <v>#N/A</v>
      </c>
      <c r="H1650" s="6" t="e">
        <f>VLOOKUP(F1650,'Customer Info'!A1642:I2141,3,0)</f>
        <v>#N/A</v>
      </c>
      <c r="I1650" s="6" t="e">
        <f>VLOOKUP(F1650,'Customer Info'!A1642:I2141,5,0)</f>
        <v>#N/A</v>
      </c>
      <c r="J1650" s="2">
        <v>78</v>
      </c>
      <c r="K1650" s="2">
        <v>74</v>
      </c>
      <c r="L1650" s="2">
        <v>6</v>
      </c>
      <c r="M1650" s="7">
        <f t="shared" si="100"/>
        <v>444</v>
      </c>
      <c r="N1650" s="7">
        <f t="shared" si="101"/>
        <v>468</v>
      </c>
      <c r="O1650" s="2">
        <v>10</v>
      </c>
      <c r="P1650" s="8">
        <f t="shared" si="102"/>
        <v>478</v>
      </c>
      <c r="Q1650" s="8">
        <f t="shared" si="103"/>
        <v>458</v>
      </c>
      <c r="R1650" s="2" t="s">
        <v>50</v>
      </c>
      <c r="S1650" s="9">
        <f>VLOOKUP(P1650,$T$2:U1647,2,1)</f>
        <v>0.02</v>
      </c>
    </row>
    <row r="1651" spans="1:19" x14ac:dyDescent="0.25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e">
        <f>VLOOKUP(F1651,'Customer Info'!A1643:I2142,2,0)</f>
        <v>#N/A</v>
      </c>
      <c r="H1651" s="6" t="e">
        <f>VLOOKUP(F1651,'Customer Info'!A1643:I2142,3,0)</f>
        <v>#N/A</v>
      </c>
      <c r="I1651" s="6" t="e">
        <f>VLOOKUP(F1651,'Customer Info'!A1643:I2142,5,0)</f>
        <v>#N/A</v>
      </c>
      <c r="J1651" s="2">
        <v>743</v>
      </c>
      <c r="K1651" s="2">
        <v>694</v>
      </c>
      <c r="L1651" s="2">
        <v>3</v>
      </c>
      <c r="M1651" s="7">
        <f t="shared" si="100"/>
        <v>2082</v>
      </c>
      <c r="N1651" s="7">
        <f t="shared" si="101"/>
        <v>2229</v>
      </c>
      <c r="O1651" s="2">
        <v>33</v>
      </c>
      <c r="P1651" s="8">
        <f t="shared" si="102"/>
        <v>2262</v>
      </c>
      <c r="Q1651" s="8">
        <f t="shared" si="103"/>
        <v>2196</v>
      </c>
      <c r="R1651" s="2" t="s">
        <v>28</v>
      </c>
      <c r="S1651" s="9">
        <f>VLOOKUP(P1651,$T$2:U1648,2,1)</f>
        <v>0.02</v>
      </c>
    </row>
    <row r="1652" spans="1:19" x14ac:dyDescent="0.25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e">
        <f>VLOOKUP(F1652,'Customer Info'!A1644:I2143,2,0)</f>
        <v>#N/A</v>
      </c>
      <c r="H1652" s="6" t="e">
        <f>VLOOKUP(F1652,'Customer Info'!A1644:I2143,3,0)</f>
        <v>#N/A</v>
      </c>
      <c r="I1652" s="6" t="e">
        <f>VLOOKUP(F1652,'Customer Info'!A1644:I2143,5,0)</f>
        <v>#N/A</v>
      </c>
      <c r="J1652" s="2">
        <v>2007</v>
      </c>
      <c r="K1652" s="2">
        <v>1839</v>
      </c>
      <c r="L1652" s="2">
        <v>5</v>
      </c>
      <c r="M1652" s="7">
        <f t="shared" si="100"/>
        <v>9195</v>
      </c>
      <c r="N1652" s="7">
        <f t="shared" si="101"/>
        <v>10035</v>
      </c>
      <c r="O1652" s="2">
        <v>69</v>
      </c>
      <c r="P1652" s="8">
        <f t="shared" si="102"/>
        <v>10104</v>
      </c>
      <c r="Q1652" s="8">
        <f t="shared" si="103"/>
        <v>9966</v>
      </c>
      <c r="R1652" s="2" t="s">
        <v>26</v>
      </c>
      <c r="S1652" s="9">
        <f>VLOOKUP(P1652,$T$2:U1649,2,1)</f>
        <v>0.05</v>
      </c>
    </row>
    <row r="1653" spans="1:19" x14ac:dyDescent="0.25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e">
        <f>VLOOKUP(F1653,'Customer Info'!A1645:I2144,2,0)</f>
        <v>#N/A</v>
      </c>
      <c r="H1653" s="6" t="e">
        <f>VLOOKUP(F1653,'Customer Info'!A1645:I2144,3,0)</f>
        <v>#N/A</v>
      </c>
      <c r="I1653" s="6" t="e">
        <f>VLOOKUP(F1653,'Customer Info'!A1645:I2144,5,0)</f>
        <v>#N/A</v>
      </c>
      <c r="J1653" s="2">
        <v>4577</v>
      </c>
      <c r="K1653" s="2">
        <v>4280</v>
      </c>
      <c r="L1653" s="2">
        <v>1</v>
      </c>
      <c r="M1653" s="7">
        <f t="shared" si="100"/>
        <v>4280</v>
      </c>
      <c r="N1653" s="7">
        <f t="shared" si="101"/>
        <v>4577</v>
      </c>
      <c r="O1653" s="2">
        <v>36</v>
      </c>
      <c r="P1653" s="8">
        <f t="shared" si="102"/>
        <v>4613</v>
      </c>
      <c r="Q1653" s="8">
        <f t="shared" si="103"/>
        <v>4541</v>
      </c>
      <c r="R1653" s="2" t="s">
        <v>28</v>
      </c>
      <c r="S1653" s="9">
        <f>VLOOKUP(P1653,$T$2:U1650,2,1)</f>
        <v>0.02</v>
      </c>
    </row>
    <row r="1654" spans="1:19" x14ac:dyDescent="0.25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e">
        <f>VLOOKUP(F1654,'Customer Info'!A1646:I2145,2,0)</f>
        <v>#N/A</v>
      </c>
      <c r="H1654" s="6" t="e">
        <f>VLOOKUP(F1654,'Customer Info'!A1646:I2145,3,0)</f>
        <v>#N/A</v>
      </c>
      <c r="I1654" s="6" t="e">
        <f>VLOOKUP(F1654,'Customer Info'!A1646:I2145,5,0)</f>
        <v>#N/A</v>
      </c>
      <c r="J1654" s="2">
        <v>8967</v>
      </c>
      <c r="K1654" s="2">
        <v>8151</v>
      </c>
      <c r="L1654" s="2">
        <v>2</v>
      </c>
      <c r="M1654" s="7">
        <f t="shared" si="100"/>
        <v>16302</v>
      </c>
      <c r="N1654" s="7">
        <f t="shared" si="101"/>
        <v>17934</v>
      </c>
      <c r="O1654" s="2">
        <v>38</v>
      </c>
      <c r="P1654" s="8">
        <f t="shared" si="102"/>
        <v>17972</v>
      </c>
      <c r="Q1654" s="8">
        <f t="shared" si="103"/>
        <v>17896</v>
      </c>
      <c r="R1654" s="2" t="s">
        <v>28</v>
      </c>
      <c r="S1654" s="9">
        <f>VLOOKUP(P1654,$T$2:U1651,2,1)</f>
        <v>0.05</v>
      </c>
    </row>
    <row r="1655" spans="1:19" x14ac:dyDescent="0.25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e">
        <f>VLOOKUP(F1655,'Customer Info'!A1647:I2146,2,0)</f>
        <v>#N/A</v>
      </c>
      <c r="H1655" s="6" t="e">
        <f>VLOOKUP(F1655,'Customer Info'!A1647:I2146,3,0)</f>
        <v>#N/A</v>
      </c>
      <c r="I1655" s="6" t="e">
        <f>VLOOKUP(F1655,'Customer Info'!A1647:I2146,5,0)</f>
        <v>#N/A</v>
      </c>
      <c r="J1655" s="2">
        <v>1453</v>
      </c>
      <c r="K1655" s="2">
        <v>1411</v>
      </c>
      <c r="L1655" s="2">
        <v>3</v>
      </c>
      <c r="M1655" s="7">
        <f t="shared" si="100"/>
        <v>4233</v>
      </c>
      <c r="N1655" s="7">
        <f t="shared" si="101"/>
        <v>4359</v>
      </c>
      <c r="O1655" s="2">
        <v>32</v>
      </c>
      <c r="P1655" s="8">
        <f t="shared" si="102"/>
        <v>4391</v>
      </c>
      <c r="Q1655" s="8">
        <f t="shared" si="103"/>
        <v>4327</v>
      </c>
      <c r="R1655" s="2" t="s">
        <v>28</v>
      </c>
      <c r="S1655" s="9">
        <f>VLOOKUP(P1655,$T$2:U1652,2,1)</f>
        <v>0.02</v>
      </c>
    </row>
    <row r="1656" spans="1:19" x14ac:dyDescent="0.25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e">
        <f>VLOOKUP(F1656,'Customer Info'!A1648:I2147,2,0)</f>
        <v>#N/A</v>
      </c>
      <c r="H1656" s="6" t="e">
        <f>VLOOKUP(F1656,'Customer Info'!A1648:I2147,3,0)</f>
        <v>#N/A</v>
      </c>
      <c r="I1656" s="6" t="e">
        <f>VLOOKUP(F1656,'Customer Info'!A1648:I2147,5,0)</f>
        <v>#N/A</v>
      </c>
      <c r="J1656" s="2">
        <v>900</v>
      </c>
      <c r="K1656" s="2">
        <v>834</v>
      </c>
      <c r="L1656" s="2">
        <v>8</v>
      </c>
      <c r="M1656" s="7">
        <f t="shared" si="100"/>
        <v>6672</v>
      </c>
      <c r="N1656" s="7">
        <f t="shared" si="101"/>
        <v>7200</v>
      </c>
      <c r="O1656" s="2">
        <v>32</v>
      </c>
      <c r="P1656" s="8">
        <f t="shared" si="102"/>
        <v>7232</v>
      </c>
      <c r="Q1656" s="8">
        <f t="shared" si="103"/>
        <v>7168</v>
      </c>
      <c r="R1656" s="2" t="s">
        <v>56</v>
      </c>
      <c r="S1656" s="9">
        <f>VLOOKUP(P1656,$T$2:U1653,2,1)</f>
        <v>0.05</v>
      </c>
    </row>
    <row r="1657" spans="1:19" x14ac:dyDescent="0.25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e">
        <f>VLOOKUP(F1657,'Customer Info'!A1649:I2148,2,0)</f>
        <v>#N/A</v>
      </c>
      <c r="H1657" s="6" t="e">
        <f>VLOOKUP(F1657,'Customer Info'!A1649:I2148,3,0)</f>
        <v>#N/A</v>
      </c>
      <c r="I1657" s="6" t="e">
        <f>VLOOKUP(F1657,'Customer Info'!A1649:I2148,5,0)</f>
        <v>#N/A</v>
      </c>
      <c r="J1657" s="2">
        <v>73</v>
      </c>
      <c r="K1657" s="2">
        <v>65</v>
      </c>
      <c r="L1657" s="2">
        <v>1</v>
      </c>
      <c r="M1657" s="7">
        <f t="shared" si="100"/>
        <v>65</v>
      </c>
      <c r="N1657" s="7">
        <f t="shared" si="101"/>
        <v>73</v>
      </c>
      <c r="O1657" s="2">
        <v>10</v>
      </c>
      <c r="P1657" s="8">
        <f t="shared" si="102"/>
        <v>83</v>
      </c>
      <c r="Q1657" s="8">
        <f t="shared" si="103"/>
        <v>63</v>
      </c>
      <c r="R1657" s="2" t="s">
        <v>28</v>
      </c>
      <c r="S1657" s="9">
        <f>VLOOKUP(P1657,$T$2:U1654,2,1)</f>
        <v>0.02</v>
      </c>
    </row>
    <row r="1658" spans="1:19" x14ac:dyDescent="0.25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e">
        <f>VLOOKUP(F1658,'Customer Info'!A1650:I2149,2,0)</f>
        <v>#N/A</v>
      </c>
      <c r="H1658" s="6" t="e">
        <f>VLOOKUP(F1658,'Customer Info'!A1650:I2149,3,0)</f>
        <v>#N/A</v>
      </c>
      <c r="I1658" s="6" t="e">
        <f>VLOOKUP(F1658,'Customer Info'!A1650:I2149,5,0)</f>
        <v>#N/A</v>
      </c>
      <c r="J1658" s="2">
        <v>765</v>
      </c>
      <c r="K1658" s="2">
        <v>701</v>
      </c>
      <c r="L1658" s="2">
        <v>2</v>
      </c>
      <c r="M1658" s="7">
        <f t="shared" si="100"/>
        <v>1402</v>
      </c>
      <c r="N1658" s="7">
        <f t="shared" si="101"/>
        <v>1530</v>
      </c>
      <c r="O1658" s="2">
        <v>87</v>
      </c>
      <c r="P1658" s="8">
        <f t="shared" si="102"/>
        <v>1617</v>
      </c>
      <c r="Q1658" s="8">
        <f t="shared" si="103"/>
        <v>1443</v>
      </c>
      <c r="R1658" s="2" t="s">
        <v>56</v>
      </c>
      <c r="S1658" s="9">
        <f>VLOOKUP(P1658,$T$2:U1655,2,1)</f>
        <v>0.02</v>
      </c>
    </row>
    <row r="1659" spans="1:19" x14ac:dyDescent="0.25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e">
        <f>VLOOKUP(F1659,'Customer Info'!A1651:I2150,2,0)</f>
        <v>#N/A</v>
      </c>
      <c r="H1659" s="6" t="e">
        <f>VLOOKUP(F1659,'Customer Info'!A1651:I2150,3,0)</f>
        <v>#N/A</v>
      </c>
      <c r="I1659" s="6" t="e">
        <f>VLOOKUP(F1659,'Customer Info'!A1651:I2150,5,0)</f>
        <v>#N/A</v>
      </c>
      <c r="J1659" s="2">
        <v>3054</v>
      </c>
      <c r="K1659" s="2">
        <v>2721</v>
      </c>
      <c r="L1659" s="2">
        <v>1</v>
      </c>
      <c r="M1659" s="7">
        <f t="shared" si="100"/>
        <v>2721</v>
      </c>
      <c r="N1659" s="7">
        <f t="shared" si="101"/>
        <v>3054</v>
      </c>
      <c r="O1659" s="2">
        <v>52</v>
      </c>
      <c r="P1659" s="8">
        <f t="shared" si="102"/>
        <v>3106</v>
      </c>
      <c r="Q1659" s="8">
        <f t="shared" si="103"/>
        <v>3002</v>
      </c>
      <c r="R1659" s="2" t="s">
        <v>50</v>
      </c>
      <c r="S1659" s="9">
        <f>VLOOKUP(P1659,$T$2:U1656,2,1)</f>
        <v>0.02</v>
      </c>
    </row>
    <row r="1660" spans="1:19" x14ac:dyDescent="0.25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e">
        <f>VLOOKUP(F1660,'Customer Info'!A1652:I2151,2,0)</f>
        <v>#N/A</v>
      </c>
      <c r="H1660" s="6" t="e">
        <f>VLOOKUP(F1660,'Customer Info'!A1652:I2151,3,0)</f>
        <v>#N/A</v>
      </c>
      <c r="I1660" s="6" t="e">
        <f>VLOOKUP(F1660,'Customer Info'!A1652:I2151,5,0)</f>
        <v>#N/A</v>
      </c>
      <c r="J1660" s="2">
        <v>2787</v>
      </c>
      <c r="K1660" s="2">
        <v>2681</v>
      </c>
      <c r="L1660" s="2">
        <v>3</v>
      </c>
      <c r="M1660" s="7">
        <f t="shared" si="100"/>
        <v>8043</v>
      </c>
      <c r="N1660" s="7">
        <f t="shared" si="101"/>
        <v>8361</v>
      </c>
      <c r="O1660" s="2">
        <v>59</v>
      </c>
      <c r="P1660" s="8">
        <f t="shared" si="102"/>
        <v>8420</v>
      </c>
      <c r="Q1660" s="8">
        <f t="shared" si="103"/>
        <v>8302</v>
      </c>
      <c r="R1660" s="2" t="s">
        <v>50</v>
      </c>
      <c r="S1660" s="9">
        <f>VLOOKUP(P1660,$T$2:U1657,2,1)</f>
        <v>0.05</v>
      </c>
    </row>
    <row r="1661" spans="1:19" x14ac:dyDescent="0.25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e">
        <f>VLOOKUP(F1661,'Customer Info'!A1653:I2152,2,0)</f>
        <v>#N/A</v>
      </c>
      <c r="H1661" s="6" t="e">
        <f>VLOOKUP(F1661,'Customer Info'!A1653:I2152,3,0)</f>
        <v>#N/A</v>
      </c>
      <c r="I1661" s="6" t="e">
        <f>VLOOKUP(F1661,'Customer Info'!A1653:I2152,5,0)</f>
        <v>#N/A</v>
      </c>
      <c r="J1661" s="2">
        <v>177</v>
      </c>
      <c r="K1661" s="2">
        <v>169</v>
      </c>
      <c r="L1661" s="2">
        <v>2</v>
      </c>
      <c r="M1661" s="7">
        <f t="shared" si="100"/>
        <v>338</v>
      </c>
      <c r="N1661" s="7">
        <f t="shared" si="101"/>
        <v>354</v>
      </c>
      <c r="O1661" s="2">
        <v>30</v>
      </c>
      <c r="P1661" s="8">
        <f t="shared" si="102"/>
        <v>384</v>
      </c>
      <c r="Q1661" s="8">
        <f t="shared" si="103"/>
        <v>324</v>
      </c>
      <c r="R1661" s="2" t="s">
        <v>28</v>
      </c>
      <c r="S1661" s="9">
        <f>VLOOKUP(P1661,$T$2:U1658,2,1)</f>
        <v>0.02</v>
      </c>
    </row>
    <row r="1662" spans="1:19" x14ac:dyDescent="0.25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e">
        <f>VLOOKUP(F1662,'Customer Info'!A1654:I2153,2,0)</f>
        <v>#N/A</v>
      </c>
      <c r="H1662" s="6" t="e">
        <f>VLOOKUP(F1662,'Customer Info'!A1654:I2153,3,0)</f>
        <v>#N/A</v>
      </c>
      <c r="I1662" s="6" t="e">
        <f>VLOOKUP(F1662,'Customer Info'!A1654:I2153,5,0)</f>
        <v>#N/A</v>
      </c>
      <c r="J1662" s="2">
        <v>1906</v>
      </c>
      <c r="K1662" s="2">
        <v>1798</v>
      </c>
      <c r="L1662" s="2">
        <v>6</v>
      </c>
      <c r="M1662" s="7">
        <f t="shared" si="100"/>
        <v>10788</v>
      </c>
      <c r="N1662" s="7">
        <f t="shared" si="101"/>
        <v>11436</v>
      </c>
      <c r="O1662" s="2">
        <v>73</v>
      </c>
      <c r="P1662" s="8">
        <f t="shared" si="102"/>
        <v>11509</v>
      </c>
      <c r="Q1662" s="8">
        <f t="shared" si="103"/>
        <v>11363</v>
      </c>
      <c r="R1662" s="2" t="s">
        <v>50</v>
      </c>
      <c r="S1662" s="9">
        <f>VLOOKUP(P1662,$T$2:U1659,2,1)</f>
        <v>0.05</v>
      </c>
    </row>
    <row r="1663" spans="1:19" x14ac:dyDescent="0.25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e">
        <f>VLOOKUP(F1663,'Customer Info'!A1655:I2154,2,0)</f>
        <v>#N/A</v>
      </c>
      <c r="H1663" s="6" t="e">
        <f>VLOOKUP(F1663,'Customer Info'!A1655:I2154,3,0)</f>
        <v>#N/A</v>
      </c>
      <c r="I1663" s="6" t="e">
        <f>VLOOKUP(F1663,'Customer Info'!A1655:I2154,5,0)</f>
        <v>#N/A</v>
      </c>
      <c r="J1663" s="2">
        <v>695</v>
      </c>
      <c r="K1663" s="2">
        <v>661</v>
      </c>
      <c r="L1663" s="2">
        <v>2</v>
      </c>
      <c r="M1663" s="7">
        <f t="shared" si="100"/>
        <v>1322</v>
      </c>
      <c r="N1663" s="7">
        <f t="shared" si="101"/>
        <v>1390</v>
      </c>
      <c r="O1663" s="2">
        <v>95</v>
      </c>
      <c r="P1663" s="8">
        <f t="shared" si="102"/>
        <v>1485</v>
      </c>
      <c r="Q1663" s="8">
        <f t="shared" si="103"/>
        <v>1295</v>
      </c>
      <c r="R1663" s="2" t="s">
        <v>28</v>
      </c>
      <c r="S1663" s="9">
        <f>VLOOKUP(P1663,$T$2:U1660,2,1)</f>
        <v>0.02</v>
      </c>
    </row>
    <row r="1664" spans="1:19" x14ac:dyDescent="0.25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e">
        <f>VLOOKUP(F1664,'Customer Info'!A1656:I2155,2,0)</f>
        <v>#N/A</v>
      </c>
      <c r="H1664" s="6" t="e">
        <f>VLOOKUP(F1664,'Customer Info'!A1656:I2155,3,0)</f>
        <v>#N/A</v>
      </c>
      <c r="I1664" s="6" t="e">
        <f>VLOOKUP(F1664,'Customer Info'!A1656:I2155,5,0)</f>
        <v>#N/A</v>
      </c>
      <c r="J1664" s="2">
        <v>1790</v>
      </c>
      <c r="K1664" s="2">
        <v>1706</v>
      </c>
      <c r="L1664" s="2">
        <v>5</v>
      </c>
      <c r="M1664" s="7">
        <f t="shared" si="100"/>
        <v>8530</v>
      </c>
      <c r="N1664" s="7">
        <f t="shared" si="101"/>
        <v>8950</v>
      </c>
      <c r="O1664" s="2">
        <v>58</v>
      </c>
      <c r="P1664" s="8">
        <f t="shared" si="102"/>
        <v>9008</v>
      </c>
      <c r="Q1664" s="8">
        <f t="shared" si="103"/>
        <v>8892</v>
      </c>
      <c r="R1664" s="2" t="s">
        <v>50</v>
      </c>
      <c r="S1664" s="9">
        <f>VLOOKUP(P1664,$T$2:U1661,2,1)</f>
        <v>0.05</v>
      </c>
    </row>
    <row r="1665" spans="1:19" x14ac:dyDescent="0.25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e">
        <f>VLOOKUP(F1665,'Customer Info'!A1657:I2156,2,0)</f>
        <v>#N/A</v>
      </c>
      <c r="H1665" s="6" t="e">
        <f>VLOOKUP(F1665,'Customer Info'!A1657:I2156,3,0)</f>
        <v>#N/A</v>
      </c>
      <c r="I1665" s="6" t="e">
        <f>VLOOKUP(F1665,'Customer Info'!A1657:I2156,5,0)</f>
        <v>#N/A</v>
      </c>
      <c r="J1665" s="2">
        <v>1318</v>
      </c>
      <c r="K1665" s="2">
        <v>1209</v>
      </c>
      <c r="L1665" s="2">
        <v>1</v>
      </c>
      <c r="M1665" s="7">
        <f t="shared" si="100"/>
        <v>1209</v>
      </c>
      <c r="N1665" s="7">
        <f t="shared" si="101"/>
        <v>1318</v>
      </c>
      <c r="O1665" s="2">
        <v>33</v>
      </c>
      <c r="P1665" s="8">
        <f t="shared" si="102"/>
        <v>1351</v>
      </c>
      <c r="Q1665" s="8">
        <f t="shared" si="103"/>
        <v>1285</v>
      </c>
      <c r="R1665" s="2" t="s">
        <v>50</v>
      </c>
      <c r="S1665" s="9">
        <f>VLOOKUP(P1665,$T$2:U1662,2,1)</f>
        <v>0.02</v>
      </c>
    </row>
    <row r="1666" spans="1:19" x14ac:dyDescent="0.25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e">
        <f>VLOOKUP(F1666,'Customer Info'!A1658:I2157,2,0)</f>
        <v>#N/A</v>
      </c>
      <c r="H1666" s="6" t="e">
        <f>VLOOKUP(F1666,'Customer Info'!A1658:I2157,3,0)</f>
        <v>#N/A</v>
      </c>
      <c r="I1666" s="6" t="e">
        <f>VLOOKUP(F1666,'Customer Info'!A1658:I2157,5,0)</f>
        <v>#N/A</v>
      </c>
      <c r="J1666" s="2">
        <v>1441</v>
      </c>
      <c r="K1666" s="2">
        <v>1360</v>
      </c>
      <c r="L1666" s="2">
        <v>4</v>
      </c>
      <c r="M1666" s="7">
        <f t="shared" si="100"/>
        <v>5440</v>
      </c>
      <c r="N1666" s="7">
        <f t="shared" si="101"/>
        <v>5764</v>
      </c>
      <c r="O1666" s="2">
        <v>50</v>
      </c>
      <c r="P1666" s="8">
        <f t="shared" si="102"/>
        <v>5814</v>
      </c>
      <c r="Q1666" s="8">
        <f t="shared" si="103"/>
        <v>5714</v>
      </c>
      <c r="R1666" s="2" t="s">
        <v>28</v>
      </c>
      <c r="S1666" s="9">
        <f>VLOOKUP(P1666,$T$2:U1663,2,1)</f>
        <v>0.05</v>
      </c>
    </row>
    <row r="1667" spans="1:19" x14ac:dyDescent="0.25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e">
        <f>VLOOKUP(F1667,'Customer Info'!A1659:I2158,2,0)</f>
        <v>#N/A</v>
      </c>
      <c r="H1667" s="6" t="e">
        <f>VLOOKUP(F1667,'Customer Info'!A1659:I2158,3,0)</f>
        <v>#N/A</v>
      </c>
      <c r="I1667" s="6" t="e">
        <f>VLOOKUP(F1667,'Customer Info'!A1659:I2158,5,0)</f>
        <v>#N/A</v>
      </c>
      <c r="J1667" s="2">
        <v>38328</v>
      </c>
      <c r="K1667" s="2">
        <v>35164</v>
      </c>
      <c r="L1667" s="2">
        <v>3</v>
      </c>
      <c r="M1667" s="7">
        <f t="shared" si="100"/>
        <v>105492</v>
      </c>
      <c r="N1667" s="7">
        <f t="shared" si="101"/>
        <v>114984</v>
      </c>
      <c r="O1667" s="2">
        <v>52</v>
      </c>
      <c r="P1667" s="8">
        <f t="shared" si="102"/>
        <v>115036</v>
      </c>
      <c r="Q1667" s="8">
        <f t="shared" si="103"/>
        <v>114932</v>
      </c>
      <c r="R1667" s="2" t="s">
        <v>50</v>
      </c>
      <c r="S1667" s="9">
        <f>VLOOKUP(P1667,$T$2:U1664,2,1)</f>
        <v>0.12</v>
      </c>
    </row>
    <row r="1668" spans="1:19" x14ac:dyDescent="0.25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e">
        <f>VLOOKUP(F1668,'Customer Info'!A1660:I2159,2,0)</f>
        <v>#N/A</v>
      </c>
      <c r="H1668" s="6" t="e">
        <f>VLOOKUP(F1668,'Customer Info'!A1660:I2159,3,0)</f>
        <v>#N/A</v>
      </c>
      <c r="I1668" s="6" t="e">
        <f>VLOOKUP(F1668,'Customer Info'!A1660:I2159,5,0)</f>
        <v>#N/A</v>
      </c>
      <c r="J1668" s="2">
        <v>1058</v>
      </c>
      <c r="K1668" s="2">
        <v>989</v>
      </c>
      <c r="L1668" s="2">
        <v>1</v>
      </c>
      <c r="M1668" s="7">
        <f t="shared" si="100"/>
        <v>989</v>
      </c>
      <c r="N1668" s="7">
        <f t="shared" si="101"/>
        <v>1058</v>
      </c>
      <c r="O1668" s="2">
        <v>59</v>
      </c>
      <c r="P1668" s="8">
        <f t="shared" si="102"/>
        <v>1117</v>
      </c>
      <c r="Q1668" s="8">
        <f t="shared" si="103"/>
        <v>999</v>
      </c>
      <c r="R1668" s="2" t="s">
        <v>28</v>
      </c>
      <c r="S1668" s="9">
        <f>VLOOKUP(P1668,$T$2:U1665,2,1)</f>
        <v>0.02</v>
      </c>
    </row>
    <row r="1669" spans="1:19" x14ac:dyDescent="0.25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e">
        <f>VLOOKUP(F1669,'Customer Info'!A1661:I2160,2,0)</f>
        <v>#N/A</v>
      </c>
      <c r="H1669" s="6" t="e">
        <f>VLOOKUP(F1669,'Customer Info'!A1661:I2160,3,0)</f>
        <v>#N/A</v>
      </c>
      <c r="I1669" s="6" t="e">
        <f>VLOOKUP(F1669,'Customer Info'!A1661:I2160,5,0)</f>
        <v>#N/A</v>
      </c>
      <c r="J1669" s="2">
        <v>7691</v>
      </c>
      <c r="K1669" s="2">
        <v>7255</v>
      </c>
      <c r="L1669" s="2">
        <v>2</v>
      </c>
      <c r="M1669" s="7">
        <f t="shared" si="100"/>
        <v>14510</v>
      </c>
      <c r="N1669" s="7">
        <f t="shared" si="101"/>
        <v>15382</v>
      </c>
      <c r="O1669" s="2">
        <v>21</v>
      </c>
      <c r="P1669" s="8">
        <f t="shared" si="102"/>
        <v>15403</v>
      </c>
      <c r="Q1669" s="8">
        <f t="shared" si="103"/>
        <v>15361</v>
      </c>
      <c r="R1669" s="2" t="s">
        <v>26</v>
      </c>
      <c r="S1669" s="9">
        <f>VLOOKUP(P1669,$T$2:U1666,2,1)</f>
        <v>0.05</v>
      </c>
    </row>
    <row r="1670" spans="1:19" x14ac:dyDescent="0.25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e">
        <f>VLOOKUP(F1670,'Customer Info'!A1662:I2161,2,0)</f>
        <v>#N/A</v>
      </c>
      <c r="H1670" s="6" t="e">
        <f>VLOOKUP(F1670,'Customer Info'!A1662:I2161,3,0)</f>
        <v>#N/A</v>
      </c>
      <c r="I1670" s="6" t="e">
        <f>VLOOKUP(F1670,'Customer Info'!A1662:I2161,5,0)</f>
        <v>#N/A</v>
      </c>
      <c r="J1670" s="2">
        <v>1774</v>
      </c>
      <c r="K1670" s="2">
        <v>1642</v>
      </c>
      <c r="L1670" s="2">
        <v>1</v>
      </c>
      <c r="M1670" s="7">
        <f t="shared" si="100"/>
        <v>1642</v>
      </c>
      <c r="N1670" s="7">
        <f t="shared" si="101"/>
        <v>1774</v>
      </c>
      <c r="O1670" s="2">
        <v>54</v>
      </c>
      <c r="P1670" s="8">
        <f t="shared" si="102"/>
        <v>1828</v>
      </c>
      <c r="Q1670" s="8">
        <f t="shared" si="103"/>
        <v>1720</v>
      </c>
      <c r="R1670" s="2" t="s">
        <v>28</v>
      </c>
      <c r="S1670" s="9">
        <f>VLOOKUP(P1670,$T$2:U1667,2,1)</f>
        <v>0.02</v>
      </c>
    </row>
    <row r="1671" spans="1:19" x14ac:dyDescent="0.25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e">
        <f>VLOOKUP(F1671,'Customer Info'!A1663:I2162,2,0)</f>
        <v>#N/A</v>
      </c>
      <c r="H1671" s="6" t="e">
        <f>VLOOKUP(F1671,'Customer Info'!A1663:I2162,3,0)</f>
        <v>#N/A</v>
      </c>
      <c r="I1671" s="6" t="e">
        <f>VLOOKUP(F1671,'Customer Info'!A1663:I2162,5,0)</f>
        <v>#N/A</v>
      </c>
      <c r="J1671" s="2">
        <v>645</v>
      </c>
      <c r="K1671" s="2">
        <v>565</v>
      </c>
      <c r="L1671" s="2">
        <v>1</v>
      </c>
      <c r="M1671" s="7">
        <f t="shared" si="100"/>
        <v>565</v>
      </c>
      <c r="N1671" s="7">
        <f t="shared" si="101"/>
        <v>645</v>
      </c>
      <c r="O1671" s="2">
        <v>67</v>
      </c>
      <c r="P1671" s="8">
        <f t="shared" si="102"/>
        <v>712</v>
      </c>
      <c r="Q1671" s="8">
        <f t="shared" si="103"/>
        <v>578</v>
      </c>
      <c r="R1671" s="2" t="s">
        <v>28</v>
      </c>
      <c r="S1671" s="9">
        <f>VLOOKUP(P1671,$T$2:U1668,2,1)</f>
        <v>0.02</v>
      </c>
    </row>
    <row r="1672" spans="1:19" x14ac:dyDescent="0.25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e">
        <f>VLOOKUP(F1672,'Customer Info'!A1664:I2163,2,0)</f>
        <v>#N/A</v>
      </c>
      <c r="H1672" s="6" t="e">
        <f>VLOOKUP(F1672,'Customer Info'!A1664:I2163,3,0)</f>
        <v>#N/A</v>
      </c>
      <c r="I1672" s="6" t="e">
        <f>VLOOKUP(F1672,'Customer Info'!A1664:I2163,5,0)</f>
        <v>#N/A</v>
      </c>
      <c r="J1672" s="2">
        <v>7691</v>
      </c>
      <c r="K1672" s="2">
        <v>7255</v>
      </c>
      <c r="L1672" s="2">
        <v>3</v>
      </c>
      <c r="M1672" s="7">
        <f t="shared" si="100"/>
        <v>21765</v>
      </c>
      <c r="N1672" s="7">
        <f t="shared" si="101"/>
        <v>23073</v>
      </c>
      <c r="O1672" s="2">
        <v>47</v>
      </c>
      <c r="P1672" s="8">
        <f t="shared" si="102"/>
        <v>23120</v>
      </c>
      <c r="Q1672" s="8">
        <f t="shared" si="103"/>
        <v>23026</v>
      </c>
      <c r="R1672" s="2" t="s">
        <v>56</v>
      </c>
      <c r="S1672" s="9">
        <f>VLOOKUP(P1672,$T$2:U1669,2,1)</f>
        <v>0.05</v>
      </c>
    </row>
    <row r="1673" spans="1:19" x14ac:dyDescent="0.25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e">
        <f>VLOOKUP(F1673,'Customer Info'!A1665:I2164,2,0)</f>
        <v>#N/A</v>
      </c>
      <c r="H1673" s="6" t="e">
        <f>VLOOKUP(F1673,'Customer Info'!A1665:I2164,3,0)</f>
        <v>#N/A</v>
      </c>
      <c r="I1673" s="6" t="e">
        <f>VLOOKUP(F1673,'Customer Info'!A1665:I2164,5,0)</f>
        <v>#N/A</v>
      </c>
      <c r="J1673" s="2">
        <v>6337</v>
      </c>
      <c r="K1673" s="2">
        <v>6215</v>
      </c>
      <c r="L1673" s="2">
        <v>3</v>
      </c>
      <c r="M1673" s="7">
        <f t="shared" si="100"/>
        <v>18645</v>
      </c>
      <c r="N1673" s="7">
        <f t="shared" si="101"/>
        <v>19011</v>
      </c>
      <c r="O1673" s="2">
        <v>55</v>
      </c>
      <c r="P1673" s="8">
        <f t="shared" si="102"/>
        <v>19066</v>
      </c>
      <c r="Q1673" s="8">
        <f t="shared" si="103"/>
        <v>18956</v>
      </c>
      <c r="R1673" s="2" t="s">
        <v>28</v>
      </c>
      <c r="S1673" s="9">
        <f>VLOOKUP(P1673,$T$2:U1670,2,1)</f>
        <v>0.05</v>
      </c>
    </row>
    <row r="1674" spans="1:19" x14ac:dyDescent="0.25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e">
        <f>VLOOKUP(F1674,'Customer Info'!A1666:I2165,2,0)</f>
        <v>#N/A</v>
      </c>
      <c r="H1674" s="6" t="e">
        <f>VLOOKUP(F1674,'Customer Info'!A1666:I2165,3,0)</f>
        <v>#N/A</v>
      </c>
      <c r="I1674" s="6" t="e">
        <f>VLOOKUP(F1674,'Customer Info'!A1666:I2165,5,0)</f>
        <v>#N/A</v>
      </c>
      <c r="J1674" s="2">
        <v>1623</v>
      </c>
      <c r="K1674" s="2">
        <v>1546</v>
      </c>
      <c r="L1674" s="2">
        <v>4</v>
      </c>
      <c r="M1674" s="7">
        <f t="shared" si="100"/>
        <v>6184</v>
      </c>
      <c r="N1674" s="7">
        <f t="shared" si="101"/>
        <v>6492</v>
      </c>
      <c r="O1674" s="2">
        <v>53</v>
      </c>
      <c r="P1674" s="8">
        <f t="shared" si="102"/>
        <v>6545</v>
      </c>
      <c r="Q1674" s="8">
        <f t="shared" si="103"/>
        <v>6439</v>
      </c>
      <c r="R1674" s="2" t="s">
        <v>28</v>
      </c>
      <c r="S1674" s="9">
        <f>VLOOKUP(P1674,$T$2:U1671,2,1)</f>
        <v>0.05</v>
      </c>
    </row>
    <row r="1675" spans="1:19" x14ac:dyDescent="0.25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e">
        <f>VLOOKUP(F1675,'Customer Info'!A1667:I2166,2,0)</f>
        <v>#N/A</v>
      </c>
      <c r="H1675" s="6" t="e">
        <f>VLOOKUP(F1675,'Customer Info'!A1667:I2166,3,0)</f>
        <v>#N/A</v>
      </c>
      <c r="I1675" s="6" t="e">
        <f>VLOOKUP(F1675,'Customer Info'!A1667:I2166,5,0)</f>
        <v>#N/A</v>
      </c>
      <c r="J1675" s="2">
        <v>90</v>
      </c>
      <c r="K1675" s="2">
        <v>81</v>
      </c>
      <c r="L1675" s="2">
        <v>2</v>
      </c>
      <c r="M1675" s="7">
        <f t="shared" ref="M1675:M1738" si="104">K1675*L1675</f>
        <v>162</v>
      </c>
      <c r="N1675" s="7">
        <f t="shared" ref="N1675:N1738" si="105">J1675*L1675</f>
        <v>180</v>
      </c>
      <c r="O1675" s="2">
        <v>10</v>
      </c>
      <c r="P1675" s="8">
        <f t="shared" ref="P1675:P1738" si="106">SUM(N1675,O1675)</f>
        <v>190</v>
      </c>
      <c r="Q1675" s="8">
        <f t="shared" ref="Q1675:Q1738" si="107">N1675-O1675</f>
        <v>170</v>
      </c>
      <c r="R1675" s="2" t="s">
        <v>26</v>
      </c>
      <c r="S1675" s="9">
        <f>VLOOKUP(P1675,$T$2:U1672,2,1)</f>
        <v>0.02</v>
      </c>
    </row>
    <row r="1676" spans="1:19" x14ac:dyDescent="0.25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e">
        <f>VLOOKUP(F1676,'Customer Info'!A1668:I2167,2,0)</f>
        <v>#N/A</v>
      </c>
      <c r="H1676" s="6" t="e">
        <f>VLOOKUP(F1676,'Customer Info'!A1668:I2167,3,0)</f>
        <v>#N/A</v>
      </c>
      <c r="I1676" s="6" t="e">
        <f>VLOOKUP(F1676,'Customer Info'!A1668:I2167,5,0)</f>
        <v>#N/A</v>
      </c>
      <c r="J1676" s="2">
        <v>29378</v>
      </c>
      <c r="K1676" s="2">
        <v>26912</v>
      </c>
      <c r="L1676" s="2">
        <v>5</v>
      </c>
      <c r="M1676" s="7">
        <f t="shared" si="104"/>
        <v>134560</v>
      </c>
      <c r="N1676" s="7">
        <f t="shared" si="105"/>
        <v>146890</v>
      </c>
      <c r="O1676" s="2">
        <v>100</v>
      </c>
      <c r="P1676" s="8">
        <f t="shared" si="106"/>
        <v>146990</v>
      </c>
      <c r="Q1676" s="8">
        <f t="shared" si="107"/>
        <v>146790</v>
      </c>
      <c r="R1676" s="2" t="s">
        <v>56</v>
      </c>
      <c r="S1676" s="9">
        <f>VLOOKUP(P1676,$T$2:U1673,2,1)</f>
        <v>0.12</v>
      </c>
    </row>
    <row r="1677" spans="1:19" x14ac:dyDescent="0.25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e">
        <f>VLOOKUP(F1677,'Customer Info'!A1669:I2168,2,0)</f>
        <v>#N/A</v>
      </c>
      <c r="H1677" s="6" t="e">
        <f>VLOOKUP(F1677,'Customer Info'!A1669:I2168,3,0)</f>
        <v>#N/A</v>
      </c>
      <c r="I1677" s="6" t="e">
        <f>VLOOKUP(F1677,'Customer Info'!A1669:I2168,5,0)</f>
        <v>#N/A</v>
      </c>
      <c r="J1677" s="2">
        <v>1399</v>
      </c>
      <c r="K1677" s="2">
        <v>1333</v>
      </c>
      <c r="L1677" s="2">
        <v>4</v>
      </c>
      <c r="M1677" s="7">
        <f t="shared" si="104"/>
        <v>5332</v>
      </c>
      <c r="N1677" s="7">
        <f t="shared" si="105"/>
        <v>5596</v>
      </c>
      <c r="O1677" s="2">
        <v>44</v>
      </c>
      <c r="P1677" s="8">
        <f t="shared" si="106"/>
        <v>5640</v>
      </c>
      <c r="Q1677" s="8">
        <f t="shared" si="107"/>
        <v>5552</v>
      </c>
      <c r="R1677" s="2" t="s">
        <v>28</v>
      </c>
      <c r="S1677" s="9">
        <f>VLOOKUP(P1677,$T$2:U1674,2,1)</f>
        <v>0.05</v>
      </c>
    </row>
    <row r="1678" spans="1:19" x14ac:dyDescent="0.25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e">
        <f>VLOOKUP(F1678,'Customer Info'!A1670:I2169,2,0)</f>
        <v>#N/A</v>
      </c>
      <c r="H1678" s="6" t="e">
        <f>VLOOKUP(F1678,'Customer Info'!A1670:I2169,3,0)</f>
        <v>#N/A</v>
      </c>
      <c r="I1678" s="6" t="e">
        <f>VLOOKUP(F1678,'Customer Info'!A1670:I2169,5,0)</f>
        <v>#N/A</v>
      </c>
      <c r="J1678" s="2">
        <v>139</v>
      </c>
      <c r="K1678" s="2">
        <v>133</v>
      </c>
      <c r="L1678" s="2">
        <v>3</v>
      </c>
      <c r="M1678" s="7">
        <f t="shared" si="104"/>
        <v>399</v>
      </c>
      <c r="N1678" s="7">
        <f t="shared" si="105"/>
        <v>417</v>
      </c>
      <c r="O1678" s="2">
        <v>30</v>
      </c>
      <c r="P1678" s="8">
        <f t="shared" si="106"/>
        <v>447</v>
      </c>
      <c r="Q1678" s="8">
        <f t="shared" si="107"/>
        <v>387</v>
      </c>
      <c r="R1678" s="2" t="s">
        <v>28</v>
      </c>
      <c r="S1678" s="9">
        <f>VLOOKUP(P1678,$T$2:U1675,2,1)</f>
        <v>0.02</v>
      </c>
    </row>
    <row r="1679" spans="1:19" x14ac:dyDescent="0.25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e">
        <f>VLOOKUP(F1679,'Customer Info'!A1671:I2170,2,0)</f>
        <v>#N/A</v>
      </c>
      <c r="H1679" s="6" t="e">
        <f>VLOOKUP(F1679,'Customer Info'!A1671:I2170,3,0)</f>
        <v>#N/A</v>
      </c>
      <c r="I1679" s="6" t="e">
        <f>VLOOKUP(F1679,'Customer Info'!A1671:I2170,5,0)</f>
        <v>#N/A</v>
      </c>
      <c r="J1679" s="2">
        <v>7141</v>
      </c>
      <c r="K1679" s="2">
        <v>6541</v>
      </c>
      <c r="L1679" s="2">
        <v>9</v>
      </c>
      <c r="M1679" s="7">
        <f t="shared" si="104"/>
        <v>58869</v>
      </c>
      <c r="N1679" s="7">
        <f t="shared" si="105"/>
        <v>64269</v>
      </c>
      <c r="O1679" s="2">
        <v>45</v>
      </c>
      <c r="P1679" s="8">
        <f t="shared" si="106"/>
        <v>64314</v>
      </c>
      <c r="Q1679" s="8">
        <f t="shared" si="107"/>
        <v>64224</v>
      </c>
      <c r="R1679" s="2" t="s">
        <v>50</v>
      </c>
      <c r="S1679" s="9">
        <f>VLOOKUP(P1679,$T$2:U1676,2,1)</f>
        <v>0.09</v>
      </c>
    </row>
    <row r="1680" spans="1:19" x14ac:dyDescent="0.25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e">
        <f>VLOOKUP(F1680,'Customer Info'!A1672:I2171,2,0)</f>
        <v>#N/A</v>
      </c>
      <c r="H1680" s="6" t="e">
        <f>VLOOKUP(F1680,'Customer Info'!A1672:I2171,3,0)</f>
        <v>#N/A</v>
      </c>
      <c r="I1680" s="6" t="e">
        <f>VLOOKUP(F1680,'Customer Info'!A1672:I2171,5,0)</f>
        <v>#N/A</v>
      </c>
      <c r="J1680" s="2">
        <v>187</v>
      </c>
      <c r="K1680" s="2">
        <v>176</v>
      </c>
      <c r="L1680" s="2">
        <v>2</v>
      </c>
      <c r="M1680" s="7">
        <f t="shared" si="104"/>
        <v>352</v>
      </c>
      <c r="N1680" s="7">
        <f t="shared" si="105"/>
        <v>374</v>
      </c>
      <c r="O1680" s="2">
        <v>30</v>
      </c>
      <c r="P1680" s="8">
        <f t="shared" si="106"/>
        <v>404</v>
      </c>
      <c r="Q1680" s="8">
        <f t="shared" si="107"/>
        <v>344</v>
      </c>
      <c r="R1680" s="2" t="s">
        <v>28</v>
      </c>
      <c r="S1680" s="9">
        <f>VLOOKUP(P1680,$T$2:U1677,2,1)</f>
        <v>0.02</v>
      </c>
    </row>
    <row r="1681" spans="1:19" x14ac:dyDescent="0.25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e">
        <f>VLOOKUP(F1681,'Customer Info'!A1673:I2172,2,0)</f>
        <v>#N/A</v>
      </c>
      <c r="H1681" s="6" t="e">
        <f>VLOOKUP(F1681,'Customer Info'!A1673:I2172,3,0)</f>
        <v>#N/A</v>
      </c>
      <c r="I1681" s="6" t="e">
        <f>VLOOKUP(F1681,'Customer Info'!A1673:I2172,5,0)</f>
        <v>#N/A</v>
      </c>
      <c r="J1681" s="2">
        <v>5848</v>
      </c>
      <c r="K1681" s="2">
        <v>5214</v>
      </c>
      <c r="L1681" s="2">
        <v>3</v>
      </c>
      <c r="M1681" s="7">
        <f t="shared" si="104"/>
        <v>15642</v>
      </c>
      <c r="N1681" s="7">
        <f t="shared" si="105"/>
        <v>17544</v>
      </c>
      <c r="O1681" s="2">
        <v>21</v>
      </c>
      <c r="P1681" s="8">
        <f t="shared" si="106"/>
        <v>17565</v>
      </c>
      <c r="Q1681" s="8">
        <f t="shared" si="107"/>
        <v>17523</v>
      </c>
      <c r="R1681" s="2" t="s">
        <v>28</v>
      </c>
      <c r="S1681" s="9">
        <f>VLOOKUP(P1681,$T$2:U1678,2,1)</f>
        <v>0.05</v>
      </c>
    </row>
    <row r="1682" spans="1:19" x14ac:dyDescent="0.25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e">
        <f>VLOOKUP(F1682,'Customer Info'!A1674:I2173,2,0)</f>
        <v>#N/A</v>
      </c>
      <c r="H1682" s="6" t="e">
        <f>VLOOKUP(F1682,'Customer Info'!A1674:I2173,3,0)</f>
        <v>#N/A</v>
      </c>
      <c r="I1682" s="6" t="e">
        <f>VLOOKUP(F1682,'Customer Info'!A1674:I2173,5,0)</f>
        <v>#N/A</v>
      </c>
      <c r="J1682" s="2">
        <v>1512</v>
      </c>
      <c r="K1682" s="2">
        <v>1497</v>
      </c>
      <c r="L1682" s="2">
        <v>2</v>
      </c>
      <c r="M1682" s="7">
        <f t="shared" si="104"/>
        <v>2994</v>
      </c>
      <c r="N1682" s="7">
        <f t="shared" si="105"/>
        <v>3024</v>
      </c>
      <c r="O1682" s="2">
        <v>96</v>
      </c>
      <c r="P1682" s="8">
        <f t="shared" si="106"/>
        <v>3120</v>
      </c>
      <c r="Q1682" s="8">
        <f t="shared" si="107"/>
        <v>2928</v>
      </c>
      <c r="R1682" s="2" t="s">
        <v>50</v>
      </c>
      <c r="S1682" s="9">
        <f>VLOOKUP(P1682,$T$2:U1679,2,1)</f>
        <v>0.02</v>
      </c>
    </row>
    <row r="1683" spans="1:19" x14ac:dyDescent="0.25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e">
        <f>VLOOKUP(F1683,'Customer Info'!A1675:I2174,2,0)</f>
        <v>#N/A</v>
      </c>
      <c r="H1683" s="6" t="e">
        <f>VLOOKUP(F1683,'Customer Info'!A1675:I2174,3,0)</f>
        <v>#N/A</v>
      </c>
      <c r="I1683" s="6" t="e">
        <f>VLOOKUP(F1683,'Customer Info'!A1675:I2174,5,0)</f>
        <v>#N/A</v>
      </c>
      <c r="J1683" s="2">
        <v>62</v>
      </c>
      <c r="K1683" s="2">
        <v>58</v>
      </c>
      <c r="L1683" s="2">
        <v>4</v>
      </c>
      <c r="M1683" s="7">
        <f t="shared" si="104"/>
        <v>232</v>
      </c>
      <c r="N1683" s="7">
        <f t="shared" si="105"/>
        <v>248</v>
      </c>
      <c r="O1683" s="2">
        <v>10</v>
      </c>
      <c r="P1683" s="8">
        <f t="shared" si="106"/>
        <v>258</v>
      </c>
      <c r="Q1683" s="8">
        <f t="shared" si="107"/>
        <v>238</v>
      </c>
      <c r="R1683" s="2" t="s">
        <v>50</v>
      </c>
      <c r="S1683" s="9">
        <f>VLOOKUP(P1683,$T$2:U1680,2,1)</f>
        <v>0.02</v>
      </c>
    </row>
    <row r="1684" spans="1:19" x14ac:dyDescent="0.25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e">
        <f>VLOOKUP(F1684,'Customer Info'!A1676:I2175,2,0)</f>
        <v>#N/A</v>
      </c>
      <c r="H1684" s="6" t="e">
        <f>VLOOKUP(F1684,'Customer Info'!A1676:I2175,3,0)</f>
        <v>#N/A</v>
      </c>
      <c r="I1684" s="6" t="e">
        <f>VLOOKUP(F1684,'Customer Info'!A1676:I2175,5,0)</f>
        <v>#N/A</v>
      </c>
      <c r="J1684" s="2">
        <v>1103</v>
      </c>
      <c r="K1684" s="2">
        <v>1030</v>
      </c>
      <c r="L1684" s="2">
        <v>3</v>
      </c>
      <c r="M1684" s="7">
        <f t="shared" si="104"/>
        <v>3090</v>
      </c>
      <c r="N1684" s="7">
        <f t="shared" si="105"/>
        <v>3309</v>
      </c>
      <c r="O1684" s="2">
        <v>47</v>
      </c>
      <c r="P1684" s="8">
        <f t="shared" si="106"/>
        <v>3356</v>
      </c>
      <c r="Q1684" s="8">
        <f t="shared" si="107"/>
        <v>3262</v>
      </c>
      <c r="R1684" s="2" t="s">
        <v>26</v>
      </c>
      <c r="S1684" s="9">
        <f>VLOOKUP(P1684,$T$2:U1681,2,1)</f>
        <v>0.02</v>
      </c>
    </row>
    <row r="1685" spans="1:19" x14ac:dyDescent="0.25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e">
        <f>VLOOKUP(F1685,'Customer Info'!A1677:I2176,2,0)</f>
        <v>#N/A</v>
      </c>
      <c r="H1685" s="6" t="e">
        <f>VLOOKUP(F1685,'Customer Info'!A1677:I2176,3,0)</f>
        <v>#N/A</v>
      </c>
      <c r="I1685" s="6" t="e">
        <f>VLOOKUP(F1685,'Customer Info'!A1677:I2176,5,0)</f>
        <v>#N/A</v>
      </c>
      <c r="J1685" s="2">
        <v>138</v>
      </c>
      <c r="K1685" s="2">
        <v>128</v>
      </c>
      <c r="L1685" s="2">
        <v>2</v>
      </c>
      <c r="M1685" s="7">
        <f t="shared" si="104"/>
        <v>256</v>
      </c>
      <c r="N1685" s="7">
        <f t="shared" si="105"/>
        <v>276</v>
      </c>
      <c r="O1685" s="2">
        <v>30</v>
      </c>
      <c r="P1685" s="8">
        <f t="shared" si="106"/>
        <v>306</v>
      </c>
      <c r="Q1685" s="8">
        <f t="shared" si="107"/>
        <v>246</v>
      </c>
      <c r="R1685" s="2" t="s">
        <v>28</v>
      </c>
      <c r="S1685" s="9">
        <f>VLOOKUP(P1685,$T$2:U1682,2,1)</f>
        <v>0.02</v>
      </c>
    </row>
    <row r="1686" spans="1:19" x14ac:dyDescent="0.25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e">
        <f>VLOOKUP(F1686,'Customer Info'!A1678:I2177,2,0)</f>
        <v>#N/A</v>
      </c>
      <c r="H1686" s="6" t="e">
        <f>VLOOKUP(F1686,'Customer Info'!A1678:I2177,3,0)</f>
        <v>#N/A</v>
      </c>
      <c r="I1686" s="6" t="e">
        <f>VLOOKUP(F1686,'Customer Info'!A1678:I2177,5,0)</f>
        <v>#N/A</v>
      </c>
      <c r="J1686" s="2">
        <v>456</v>
      </c>
      <c r="K1686" s="2">
        <v>430</v>
      </c>
      <c r="L1686" s="2">
        <v>2</v>
      </c>
      <c r="M1686" s="7">
        <f t="shared" si="104"/>
        <v>860</v>
      </c>
      <c r="N1686" s="7">
        <f t="shared" si="105"/>
        <v>912</v>
      </c>
      <c r="O1686" s="2">
        <v>32</v>
      </c>
      <c r="P1686" s="8">
        <f t="shared" si="106"/>
        <v>944</v>
      </c>
      <c r="Q1686" s="8">
        <f t="shared" si="107"/>
        <v>880</v>
      </c>
      <c r="R1686" s="2" t="s">
        <v>28</v>
      </c>
      <c r="S1686" s="9">
        <f>VLOOKUP(P1686,$T$2:U1683,2,1)</f>
        <v>0.02</v>
      </c>
    </row>
    <row r="1687" spans="1:19" x14ac:dyDescent="0.25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e">
        <f>VLOOKUP(F1687,'Customer Info'!A1679:I2178,2,0)</f>
        <v>#N/A</v>
      </c>
      <c r="H1687" s="6" t="e">
        <f>VLOOKUP(F1687,'Customer Info'!A1679:I2178,3,0)</f>
        <v>#N/A</v>
      </c>
      <c r="I1687" s="6" t="e">
        <f>VLOOKUP(F1687,'Customer Info'!A1679:I2178,5,0)</f>
        <v>#N/A</v>
      </c>
      <c r="J1687" s="2">
        <v>144</v>
      </c>
      <c r="K1687" s="2">
        <v>132</v>
      </c>
      <c r="L1687" s="2">
        <v>5</v>
      </c>
      <c r="M1687" s="7">
        <f t="shared" si="104"/>
        <v>660</v>
      </c>
      <c r="N1687" s="7">
        <f t="shared" si="105"/>
        <v>720</v>
      </c>
      <c r="O1687" s="2">
        <v>30</v>
      </c>
      <c r="P1687" s="8">
        <f t="shared" si="106"/>
        <v>750</v>
      </c>
      <c r="Q1687" s="8">
        <f t="shared" si="107"/>
        <v>690</v>
      </c>
      <c r="R1687" s="2" t="s">
        <v>28</v>
      </c>
      <c r="S1687" s="9">
        <f>VLOOKUP(P1687,$T$2:U1684,2,1)</f>
        <v>0.02</v>
      </c>
    </row>
    <row r="1688" spans="1:19" x14ac:dyDescent="0.25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e">
        <f>VLOOKUP(F1688,'Customer Info'!A1680:I2179,2,0)</f>
        <v>#N/A</v>
      </c>
      <c r="H1688" s="6" t="e">
        <f>VLOOKUP(F1688,'Customer Info'!A1680:I2179,3,0)</f>
        <v>#N/A</v>
      </c>
      <c r="I1688" s="6" t="e">
        <f>VLOOKUP(F1688,'Customer Info'!A1680:I2179,5,0)</f>
        <v>#N/A</v>
      </c>
      <c r="J1688" s="2">
        <v>2478</v>
      </c>
      <c r="K1688" s="2">
        <v>2406</v>
      </c>
      <c r="L1688" s="2">
        <v>5</v>
      </c>
      <c r="M1688" s="7">
        <f t="shared" si="104"/>
        <v>12030</v>
      </c>
      <c r="N1688" s="7">
        <f t="shared" si="105"/>
        <v>12390</v>
      </c>
      <c r="O1688" s="2">
        <v>79</v>
      </c>
      <c r="P1688" s="8">
        <f t="shared" si="106"/>
        <v>12469</v>
      </c>
      <c r="Q1688" s="8">
        <f t="shared" si="107"/>
        <v>12311</v>
      </c>
      <c r="R1688" s="2" t="s">
        <v>50</v>
      </c>
      <c r="S1688" s="9">
        <f>VLOOKUP(P1688,$T$2:U1685,2,1)</f>
        <v>0.05</v>
      </c>
    </row>
    <row r="1689" spans="1:19" x14ac:dyDescent="0.25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e">
        <f>VLOOKUP(F1689,'Customer Info'!A1681:I2180,2,0)</f>
        <v>#N/A</v>
      </c>
      <c r="H1689" s="6" t="e">
        <f>VLOOKUP(F1689,'Customer Info'!A1681:I2180,3,0)</f>
        <v>#N/A</v>
      </c>
      <c r="I1689" s="6" t="e">
        <f>VLOOKUP(F1689,'Customer Info'!A1681:I2180,5,0)</f>
        <v>#N/A</v>
      </c>
      <c r="J1689" s="2">
        <v>119</v>
      </c>
      <c r="K1689" s="2">
        <v>112</v>
      </c>
      <c r="L1689" s="2">
        <v>8</v>
      </c>
      <c r="M1689" s="7">
        <f t="shared" si="104"/>
        <v>896</v>
      </c>
      <c r="N1689" s="7">
        <f t="shared" si="105"/>
        <v>952</v>
      </c>
      <c r="O1689" s="2">
        <v>30</v>
      </c>
      <c r="P1689" s="8">
        <f t="shared" si="106"/>
        <v>982</v>
      </c>
      <c r="Q1689" s="8">
        <f t="shared" si="107"/>
        <v>922</v>
      </c>
      <c r="R1689" s="2" t="s">
        <v>28</v>
      </c>
      <c r="S1689" s="9">
        <f>VLOOKUP(P1689,$T$2:U1686,2,1)</f>
        <v>0.02</v>
      </c>
    </row>
    <row r="1690" spans="1:19" x14ac:dyDescent="0.25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e">
        <f>VLOOKUP(F1690,'Customer Info'!A1682:I2181,2,0)</f>
        <v>#N/A</v>
      </c>
      <c r="H1690" s="6" t="e">
        <f>VLOOKUP(F1690,'Customer Info'!A1682:I2181,3,0)</f>
        <v>#N/A</v>
      </c>
      <c r="I1690" s="6" t="e">
        <f>VLOOKUP(F1690,'Customer Info'!A1682:I2181,5,0)</f>
        <v>#N/A</v>
      </c>
      <c r="J1690" s="2">
        <v>7943</v>
      </c>
      <c r="K1690" s="2">
        <v>7790</v>
      </c>
      <c r="L1690" s="2">
        <v>1</v>
      </c>
      <c r="M1690" s="7">
        <f t="shared" si="104"/>
        <v>7790</v>
      </c>
      <c r="N1690" s="7">
        <f t="shared" si="105"/>
        <v>7943</v>
      </c>
      <c r="O1690" s="2">
        <v>97</v>
      </c>
      <c r="P1690" s="8">
        <f t="shared" si="106"/>
        <v>8040</v>
      </c>
      <c r="Q1690" s="8">
        <f t="shared" si="107"/>
        <v>7846</v>
      </c>
      <c r="R1690" s="2" t="s">
        <v>28</v>
      </c>
      <c r="S1690" s="9">
        <f>VLOOKUP(P1690,$T$2:U1687,2,1)</f>
        <v>0.05</v>
      </c>
    </row>
    <row r="1691" spans="1:19" x14ac:dyDescent="0.25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e">
        <f>VLOOKUP(F1691,'Customer Info'!A1683:I2182,2,0)</f>
        <v>#N/A</v>
      </c>
      <c r="H1691" s="6" t="e">
        <f>VLOOKUP(F1691,'Customer Info'!A1683:I2182,3,0)</f>
        <v>#N/A</v>
      </c>
      <c r="I1691" s="6" t="e">
        <f>VLOOKUP(F1691,'Customer Info'!A1683:I2182,5,0)</f>
        <v>#N/A</v>
      </c>
      <c r="J1691" s="2">
        <v>1887</v>
      </c>
      <c r="K1691" s="2">
        <v>1763</v>
      </c>
      <c r="L1691" s="2">
        <v>12</v>
      </c>
      <c r="M1691" s="7">
        <f t="shared" si="104"/>
        <v>21156</v>
      </c>
      <c r="N1691" s="7">
        <f t="shared" si="105"/>
        <v>22644</v>
      </c>
      <c r="O1691" s="2">
        <v>94</v>
      </c>
      <c r="P1691" s="8">
        <f t="shared" si="106"/>
        <v>22738</v>
      </c>
      <c r="Q1691" s="8">
        <f t="shared" si="107"/>
        <v>22550</v>
      </c>
      <c r="R1691" s="2" t="s">
        <v>50</v>
      </c>
      <c r="S1691" s="9">
        <f>VLOOKUP(P1691,$T$2:U1688,2,1)</f>
        <v>0.05</v>
      </c>
    </row>
    <row r="1692" spans="1:19" x14ac:dyDescent="0.25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e">
        <f>VLOOKUP(F1692,'Customer Info'!A1684:I2183,2,0)</f>
        <v>#N/A</v>
      </c>
      <c r="H1692" s="6" t="e">
        <f>VLOOKUP(F1692,'Customer Info'!A1684:I2183,3,0)</f>
        <v>#N/A</v>
      </c>
      <c r="I1692" s="6" t="e">
        <f>VLOOKUP(F1692,'Customer Info'!A1684:I2183,5,0)</f>
        <v>#N/A</v>
      </c>
      <c r="J1692" s="2">
        <v>1358</v>
      </c>
      <c r="K1692" s="2">
        <v>1294</v>
      </c>
      <c r="L1692" s="2">
        <v>5</v>
      </c>
      <c r="M1692" s="7">
        <f t="shared" si="104"/>
        <v>6470</v>
      </c>
      <c r="N1692" s="7">
        <f t="shared" si="105"/>
        <v>6790</v>
      </c>
      <c r="O1692" s="2">
        <v>83</v>
      </c>
      <c r="P1692" s="8">
        <f t="shared" si="106"/>
        <v>6873</v>
      </c>
      <c r="Q1692" s="8">
        <f t="shared" si="107"/>
        <v>6707</v>
      </c>
      <c r="R1692" s="2" t="s">
        <v>28</v>
      </c>
      <c r="S1692" s="9">
        <f>VLOOKUP(P1692,$T$2:U1689,2,1)</f>
        <v>0.05</v>
      </c>
    </row>
    <row r="1693" spans="1:19" x14ac:dyDescent="0.25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e">
        <f>VLOOKUP(F1693,'Customer Info'!A1685:I2184,2,0)</f>
        <v>#N/A</v>
      </c>
      <c r="H1693" s="6" t="e">
        <f>VLOOKUP(F1693,'Customer Info'!A1685:I2184,3,0)</f>
        <v>#N/A</v>
      </c>
      <c r="I1693" s="6" t="e">
        <f>VLOOKUP(F1693,'Customer Info'!A1685:I2184,5,0)</f>
        <v>#N/A</v>
      </c>
      <c r="J1693" s="2">
        <v>2733</v>
      </c>
      <c r="K1693" s="2">
        <v>2579</v>
      </c>
      <c r="L1693" s="2">
        <v>8</v>
      </c>
      <c r="M1693" s="7">
        <f t="shared" si="104"/>
        <v>20632</v>
      </c>
      <c r="N1693" s="7">
        <f t="shared" si="105"/>
        <v>21864</v>
      </c>
      <c r="O1693" s="2">
        <v>51</v>
      </c>
      <c r="P1693" s="8">
        <f t="shared" si="106"/>
        <v>21915</v>
      </c>
      <c r="Q1693" s="8">
        <f t="shared" si="107"/>
        <v>21813</v>
      </c>
      <c r="R1693" s="2" t="s">
        <v>26</v>
      </c>
      <c r="S1693" s="9">
        <f>VLOOKUP(P1693,$T$2:U1690,2,1)</f>
        <v>0.05</v>
      </c>
    </row>
    <row r="1694" spans="1:19" x14ac:dyDescent="0.25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e">
        <f>VLOOKUP(F1694,'Customer Info'!A1686:I2185,2,0)</f>
        <v>#N/A</v>
      </c>
      <c r="H1694" s="6" t="e">
        <f>VLOOKUP(F1694,'Customer Info'!A1686:I2185,3,0)</f>
        <v>#N/A</v>
      </c>
      <c r="I1694" s="6" t="e">
        <f>VLOOKUP(F1694,'Customer Info'!A1686:I2185,5,0)</f>
        <v>#N/A</v>
      </c>
      <c r="J1694" s="2">
        <v>1568</v>
      </c>
      <c r="K1694" s="2">
        <v>1495</v>
      </c>
      <c r="L1694" s="2">
        <v>2</v>
      </c>
      <c r="M1694" s="7">
        <f t="shared" si="104"/>
        <v>2990</v>
      </c>
      <c r="N1694" s="7">
        <f t="shared" si="105"/>
        <v>3136</v>
      </c>
      <c r="O1694" s="2">
        <v>74</v>
      </c>
      <c r="P1694" s="8">
        <f t="shared" si="106"/>
        <v>3210</v>
      </c>
      <c r="Q1694" s="8">
        <f t="shared" si="107"/>
        <v>3062</v>
      </c>
      <c r="R1694" s="2" t="s">
        <v>28</v>
      </c>
      <c r="S1694" s="9">
        <f>VLOOKUP(P1694,$T$2:U1691,2,1)</f>
        <v>0.02</v>
      </c>
    </row>
    <row r="1695" spans="1:19" x14ac:dyDescent="0.25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e">
        <f>VLOOKUP(F1695,'Customer Info'!A1687:I2186,2,0)</f>
        <v>#N/A</v>
      </c>
      <c r="H1695" s="6" t="e">
        <f>VLOOKUP(F1695,'Customer Info'!A1687:I2186,3,0)</f>
        <v>#N/A</v>
      </c>
      <c r="I1695" s="6" t="e">
        <f>VLOOKUP(F1695,'Customer Info'!A1687:I2186,5,0)</f>
        <v>#N/A</v>
      </c>
      <c r="J1695" s="2">
        <v>825</v>
      </c>
      <c r="K1695" s="2">
        <v>793</v>
      </c>
      <c r="L1695" s="2">
        <v>6</v>
      </c>
      <c r="M1695" s="7">
        <f t="shared" si="104"/>
        <v>4758</v>
      </c>
      <c r="N1695" s="7">
        <f t="shared" si="105"/>
        <v>4950</v>
      </c>
      <c r="O1695" s="2">
        <v>50</v>
      </c>
      <c r="P1695" s="8">
        <f t="shared" si="106"/>
        <v>5000</v>
      </c>
      <c r="Q1695" s="8">
        <f t="shared" si="107"/>
        <v>4900</v>
      </c>
      <c r="R1695" s="2" t="s">
        <v>50</v>
      </c>
      <c r="S1695" s="9">
        <f>VLOOKUP(P1695,$T$2:U1692,2,1)</f>
        <v>0.05</v>
      </c>
    </row>
    <row r="1696" spans="1:19" x14ac:dyDescent="0.25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e">
        <f>VLOOKUP(F1696,'Customer Info'!A1688:I2187,2,0)</f>
        <v>#N/A</v>
      </c>
      <c r="H1696" s="6" t="e">
        <f>VLOOKUP(F1696,'Customer Info'!A1688:I2187,3,0)</f>
        <v>#N/A</v>
      </c>
      <c r="I1696" s="6" t="e">
        <f>VLOOKUP(F1696,'Customer Info'!A1688:I2187,5,0)</f>
        <v>#N/A</v>
      </c>
      <c r="J1696" s="2">
        <v>63</v>
      </c>
      <c r="K1696" s="2">
        <v>59</v>
      </c>
      <c r="L1696" s="2">
        <v>2</v>
      </c>
      <c r="M1696" s="7">
        <f t="shared" si="104"/>
        <v>118</v>
      </c>
      <c r="N1696" s="7">
        <f t="shared" si="105"/>
        <v>126</v>
      </c>
      <c r="O1696" s="2">
        <v>10</v>
      </c>
      <c r="P1696" s="8">
        <f t="shared" si="106"/>
        <v>136</v>
      </c>
      <c r="Q1696" s="8">
        <f t="shared" si="107"/>
        <v>116</v>
      </c>
      <c r="R1696" s="2" t="s">
        <v>28</v>
      </c>
      <c r="S1696" s="9">
        <f>VLOOKUP(P1696,$T$2:U1693,2,1)</f>
        <v>0.02</v>
      </c>
    </row>
    <row r="1697" spans="1:19" x14ac:dyDescent="0.25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e">
        <f>VLOOKUP(F1697,'Customer Info'!A1689:I2188,2,0)</f>
        <v>#N/A</v>
      </c>
      <c r="H1697" s="6" t="e">
        <f>VLOOKUP(F1697,'Customer Info'!A1689:I2188,3,0)</f>
        <v>#N/A</v>
      </c>
      <c r="I1697" s="6" t="e">
        <f>VLOOKUP(F1697,'Customer Info'!A1689:I2188,5,0)</f>
        <v>#N/A</v>
      </c>
      <c r="J1697" s="2">
        <v>81</v>
      </c>
      <c r="K1697" s="2">
        <v>77</v>
      </c>
      <c r="L1697" s="2">
        <v>5</v>
      </c>
      <c r="M1697" s="7">
        <f t="shared" si="104"/>
        <v>385</v>
      </c>
      <c r="N1697" s="7">
        <f t="shared" si="105"/>
        <v>405</v>
      </c>
      <c r="O1697" s="2">
        <v>10</v>
      </c>
      <c r="P1697" s="8">
        <f t="shared" si="106"/>
        <v>415</v>
      </c>
      <c r="Q1697" s="8">
        <f t="shared" si="107"/>
        <v>395</v>
      </c>
      <c r="R1697" s="2" t="s">
        <v>28</v>
      </c>
      <c r="S1697" s="9">
        <f>VLOOKUP(P1697,$T$2:U1694,2,1)</f>
        <v>0.02</v>
      </c>
    </row>
    <row r="1698" spans="1:19" x14ac:dyDescent="0.25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e">
        <f>VLOOKUP(F1698,'Customer Info'!A1690:I2189,2,0)</f>
        <v>#N/A</v>
      </c>
      <c r="H1698" s="6" t="e">
        <f>VLOOKUP(F1698,'Customer Info'!A1690:I2189,3,0)</f>
        <v>#N/A</v>
      </c>
      <c r="I1698" s="6" t="e">
        <f>VLOOKUP(F1698,'Customer Info'!A1690:I2189,5,0)</f>
        <v>#N/A</v>
      </c>
      <c r="J1698" s="2">
        <v>21226</v>
      </c>
      <c r="K1698" s="2">
        <v>20615</v>
      </c>
      <c r="L1698" s="2">
        <v>5</v>
      </c>
      <c r="M1698" s="7">
        <f t="shared" si="104"/>
        <v>103075</v>
      </c>
      <c r="N1698" s="7">
        <f t="shared" si="105"/>
        <v>106130</v>
      </c>
      <c r="O1698" s="2">
        <v>39</v>
      </c>
      <c r="P1698" s="8">
        <f t="shared" si="106"/>
        <v>106169</v>
      </c>
      <c r="Q1698" s="8">
        <f t="shared" si="107"/>
        <v>106091</v>
      </c>
      <c r="R1698" s="2" t="s">
        <v>26</v>
      </c>
      <c r="S1698" s="9">
        <f>VLOOKUP(P1698,$T$2:U1695,2,1)</f>
        <v>0.12</v>
      </c>
    </row>
    <row r="1699" spans="1:19" x14ac:dyDescent="0.25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e">
        <f>VLOOKUP(F1699,'Customer Info'!A1691:I2190,2,0)</f>
        <v>#N/A</v>
      </c>
      <c r="H1699" s="6" t="e">
        <f>VLOOKUP(F1699,'Customer Info'!A1691:I2190,3,0)</f>
        <v>#N/A</v>
      </c>
      <c r="I1699" s="6" t="e">
        <f>VLOOKUP(F1699,'Customer Info'!A1691:I2190,5,0)</f>
        <v>#N/A</v>
      </c>
      <c r="J1699" s="2">
        <v>1060</v>
      </c>
      <c r="K1699" s="2">
        <v>964</v>
      </c>
      <c r="L1699" s="2">
        <v>1</v>
      </c>
      <c r="M1699" s="7">
        <f t="shared" si="104"/>
        <v>964</v>
      </c>
      <c r="N1699" s="7">
        <f t="shared" si="105"/>
        <v>1060</v>
      </c>
      <c r="O1699" s="2">
        <v>43</v>
      </c>
      <c r="P1699" s="8">
        <f t="shared" si="106"/>
        <v>1103</v>
      </c>
      <c r="Q1699" s="8">
        <f t="shared" si="107"/>
        <v>1017</v>
      </c>
      <c r="R1699" s="2" t="s">
        <v>28</v>
      </c>
      <c r="S1699" s="9">
        <f>VLOOKUP(P1699,$T$2:U1696,2,1)</f>
        <v>0.02</v>
      </c>
    </row>
    <row r="1700" spans="1:19" x14ac:dyDescent="0.25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e">
        <f>VLOOKUP(F1700,'Customer Info'!A1692:I2191,2,0)</f>
        <v>#N/A</v>
      </c>
      <c r="H1700" s="6" t="e">
        <f>VLOOKUP(F1700,'Customer Info'!A1692:I2191,3,0)</f>
        <v>#N/A</v>
      </c>
      <c r="I1700" s="6" t="e">
        <f>VLOOKUP(F1700,'Customer Info'!A1692:I2191,5,0)</f>
        <v>#N/A</v>
      </c>
      <c r="J1700" s="2">
        <v>2243</v>
      </c>
      <c r="K1700" s="2">
        <v>2000</v>
      </c>
      <c r="L1700" s="2">
        <v>4</v>
      </c>
      <c r="M1700" s="7">
        <f t="shared" si="104"/>
        <v>8000</v>
      </c>
      <c r="N1700" s="7">
        <f t="shared" si="105"/>
        <v>8972</v>
      </c>
      <c r="O1700" s="2">
        <v>60</v>
      </c>
      <c r="P1700" s="8">
        <f t="shared" si="106"/>
        <v>9032</v>
      </c>
      <c r="Q1700" s="8">
        <f t="shared" si="107"/>
        <v>8912</v>
      </c>
      <c r="R1700" s="2" t="s">
        <v>28</v>
      </c>
      <c r="S1700" s="9">
        <f>VLOOKUP(P1700,$T$2:U1697,2,1)</f>
        <v>0.05</v>
      </c>
    </row>
    <row r="1701" spans="1:19" x14ac:dyDescent="0.25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e">
        <f>VLOOKUP(F1701,'Customer Info'!A1693:I2192,2,0)</f>
        <v>#N/A</v>
      </c>
      <c r="H1701" s="6" t="e">
        <f>VLOOKUP(F1701,'Customer Info'!A1693:I2192,3,0)</f>
        <v>#N/A</v>
      </c>
      <c r="I1701" s="6" t="e">
        <f>VLOOKUP(F1701,'Customer Info'!A1693:I2192,5,0)</f>
        <v>#N/A</v>
      </c>
      <c r="J1701" s="2">
        <v>165</v>
      </c>
      <c r="K1701" s="2">
        <v>149</v>
      </c>
      <c r="L1701" s="2">
        <v>10</v>
      </c>
      <c r="M1701" s="7">
        <f t="shared" si="104"/>
        <v>1490</v>
      </c>
      <c r="N1701" s="7">
        <f t="shared" si="105"/>
        <v>1650</v>
      </c>
      <c r="O1701" s="2">
        <v>30</v>
      </c>
      <c r="P1701" s="8">
        <f t="shared" si="106"/>
        <v>1680</v>
      </c>
      <c r="Q1701" s="8">
        <f t="shared" si="107"/>
        <v>1620</v>
      </c>
      <c r="R1701" s="2" t="s">
        <v>28</v>
      </c>
      <c r="S1701" s="9">
        <f>VLOOKUP(P1701,$T$2:U1698,2,1)</f>
        <v>0.02</v>
      </c>
    </row>
    <row r="1702" spans="1:19" x14ac:dyDescent="0.25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e">
        <f>VLOOKUP(F1702,'Customer Info'!A1694:I2193,2,0)</f>
        <v>#N/A</v>
      </c>
      <c r="H1702" s="6" t="e">
        <f>VLOOKUP(F1702,'Customer Info'!A1694:I2193,3,0)</f>
        <v>#N/A</v>
      </c>
      <c r="I1702" s="6" t="e">
        <f>VLOOKUP(F1702,'Customer Info'!A1694:I2193,5,0)</f>
        <v>#N/A</v>
      </c>
      <c r="J1702" s="2">
        <v>5906</v>
      </c>
      <c r="K1702" s="2">
        <v>5266</v>
      </c>
      <c r="L1702" s="2">
        <v>2</v>
      </c>
      <c r="M1702" s="7">
        <f t="shared" si="104"/>
        <v>10532</v>
      </c>
      <c r="N1702" s="7">
        <f t="shared" si="105"/>
        <v>11812</v>
      </c>
      <c r="O1702" s="2">
        <v>96</v>
      </c>
      <c r="P1702" s="8">
        <f t="shared" si="106"/>
        <v>11908</v>
      </c>
      <c r="Q1702" s="8">
        <f t="shared" si="107"/>
        <v>11716</v>
      </c>
      <c r="R1702" s="2" t="s">
        <v>56</v>
      </c>
      <c r="S1702" s="9">
        <f>VLOOKUP(P1702,$T$2:U1699,2,1)</f>
        <v>0.05</v>
      </c>
    </row>
    <row r="1703" spans="1:19" x14ac:dyDescent="0.25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e">
        <f>VLOOKUP(F1703,'Customer Info'!A1695:I2194,2,0)</f>
        <v>#N/A</v>
      </c>
      <c r="H1703" s="6" t="e">
        <f>VLOOKUP(F1703,'Customer Info'!A1695:I2194,3,0)</f>
        <v>#N/A</v>
      </c>
      <c r="I1703" s="6" t="e">
        <f>VLOOKUP(F1703,'Customer Info'!A1695:I2194,5,0)</f>
        <v>#N/A</v>
      </c>
      <c r="J1703" s="2">
        <v>516</v>
      </c>
      <c r="K1703" s="2">
        <v>473</v>
      </c>
      <c r="L1703" s="2">
        <v>4</v>
      </c>
      <c r="M1703" s="7">
        <f t="shared" si="104"/>
        <v>1892</v>
      </c>
      <c r="N1703" s="7">
        <f t="shared" si="105"/>
        <v>2064</v>
      </c>
      <c r="O1703" s="2">
        <v>51</v>
      </c>
      <c r="P1703" s="8">
        <f t="shared" si="106"/>
        <v>2115</v>
      </c>
      <c r="Q1703" s="8">
        <f t="shared" si="107"/>
        <v>2013</v>
      </c>
      <c r="R1703" s="2" t="s">
        <v>28</v>
      </c>
      <c r="S1703" s="9">
        <f>VLOOKUP(P1703,$T$2:U1700,2,1)</f>
        <v>0.02</v>
      </c>
    </row>
    <row r="1704" spans="1:19" x14ac:dyDescent="0.25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e">
        <f>VLOOKUP(F1704,'Customer Info'!A1696:I2195,2,0)</f>
        <v>#N/A</v>
      </c>
      <c r="H1704" s="6" t="e">
        <f>VLOOKUP(F1704,'Customer Info'!A1696:I2195,3,0)</f>
        <v>#N/A</v>
      </c>
      <c r="I1704" s="6" t="e">
        <f>VLOOKUP(F1704,'Customer Info'!A1696:I2195,5,0)</f>
        <v>#N/A</v>
      </c>
      <c r="J1704" s="2">
        <v>2249</v>
      </c>
      <c r="K1704" s="2">
        <v>2102</v>
      </c>
      <c r="L1704" s="2">
        <v>3</v>
      </c>
      <c r="M1704" s="7">
        <f t="shared" si="104"/>
        <v>6306</v>
      </c>
      <c r="N1704" s="7">
        <f t="shared" si="105"/>
        <v>6747</v>
      </c>
      <c r="O1704" s="2">
        <v>100</v>
      </c>
      <c r="P1704" s="8">
        <f t="shared" si="106"/>
        <v>6847</v>
      </c>
      <c r="Q1704" s="8">
        <f t="shared" si="107"/>
        <v>6647</v>
      </c>
      <c r="R1704" s="2" t="s">
        <v>28</v>
      </c>
      <c r="S1704" s="9">
        <f>VLOOKUP(P1704,$T$2:U1701,2,1)</f>
        <v>0.05</v>
      </c>
    </row>
    <row r="1705" spans="1:19" x14ac:dyDescent="0.25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e">
        <f>VLOOKUP(F1705,'Customer Info'!A1697:I2196,2,0)</f>
        <v>#N/A</v>
      </c>
      <c r="H1705" s="6" t="e">
        <f>VLOOKUP(F1705,'Customer Info'!A1697:I2196,3,0)</f>
        <v>#N/A</v>
      </c>
      <c r="I1705" s="6" t="e">
        <f>VLOOKUP(F1705,'Customer Info'!A1697:I2196,5,0)</f>
        <v>#N/A</v>
      </c>
      <c r="J1705" s="2">
        <v>511</v>
      </c>
      <c r="K1705" s="2">
        <v>477</v>
      </c>
      <c r="L1705" s="2">
        <v>4</v>
      </c>
      <c r="M1705" s="7">
        <f t="shared" si="104"/>
        <v>1908</v>
      </c>
      <c r="N1705" s="7">
        <f t="shared" si="105"/>
        <v>2044</v>
      </c>
      <c r="O1705" s="2">
        <v>34</v>
      </c>
      <c r="P1705" s="8">
        <f t="shared" si="106"/>
        <v>2078</v>
      </c>
      <c r="Q1705" s="8">
        <f t="shared" si="107"/>
        <v>2010</v>
      </c>
      <c r="R1705" s="2" t="s">
        <v>26</v>
      </c>
      <c r="S1705" s="9">
        <f>VLOOKUP(P1705,$T$2:U1702,2,1)</f>
        <v>0.02</v>
      </c>
    </row>
    <row r="1706" spans="1:19" x14ac:dyDescent="0.25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e">
        <f>VLOOKUP(F1706,'Customer Info'!A1698:I2197,2,0)</f>
        <v>#N/A</v>
      </c>
      <c r="H1706" s="6" t="e">
        <f>VLOOKUP(F1706,'Customer Info'!A1698:I2197,3,0)</f>
        <v>#N/A</v>
      </c>
      <c r="I1706" s="6" t="e">
        <f>VLOOKUP(F1706,'Customer Info'!A1698:I2197,5,0)</f>
        <v>#N/A</v>
      </c>
      <c r="J1706" s="2">
        <v>165</v>
      </c>
      <c r="K1706" s="2">
        <v>149</v>
      </c>
      <c r="L1706" s="2">
        <v>7</v>
      </c>
      <c r="M1706" s="7">
        <f t="shared" si="104"/>
        <v>1043</v>
      </c>
      <c r="N1706" s="7">
        <f t="shared" si="105"/>
        <v>1155</v>
      </c>
      <c r="O1706" s="2">
        <v>30</v>
      </c>
      <c r="P1706" s="8">
        <f t="shared" si="106"/>
        <v>1185</v>
      </c>
      <c r="Q1706" s="8">
        <f t="shared" si="107"/>
        <v>1125</v>
      </c>
      <c r="R1706" s="2" t="s">
        <v>28</v>
      </c>
      <c r="S1706" s="9">
        <f>VLOOKUP(P1706,$T$2:U1703,2,1)</f>
        <v>0.02</v>
      </c>
    </row>
    <row r="1707" spans="1:19" x14ac:dyDescent="0.25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e">
        <f>VLOOKUP(F1707,'Customer Info'!A1699:I2198,2,0)</f>
        <v>#N/A</v>
      </c>
      <c r="H1707" s="6" t="e">
        <f>VLOOKUP(F1707,'Customer Info'!A1699:I2198,3,0)</f>
        <v>#N/A</v>
      </c>
      <c r="I1707" s="6" t="e">
        <f>VLOOKUP(F1707,'Customer Info'!A1699:I2198,5,0)</f>
        <v>#N/A</v>
      </c>
      <c r="J1707" s="2">
        <v>2228</v>
      </c>
      <c r="K1707" s="2">
        <v>2143</v>
      </c>
      <c r="L1707" s="2">
        <v>1</v>
      </c>
      <c r="M1707" s="7">
        <f t="shared" si="104"/>
        <v>2143</v>
      </c>
      <c r="N1707" s="7">
        <f t="shared" si="105"/>
        <v>2228</v>
      </c>
      <c r="O1707" s="2">
        <v>27</v>
      </c>
      <c r="P1707" s="8">
        <f t="shared" si="106"/>
        <v>2255</v>
      </c>
      <c r="Q1707" s="8">
        <f t="shared" si="107"/>
        <v>2201</v>
      </c>
      <c r="R1707" s="2" t="s">
        <v>28</v>
      </c>
      <c r="S1707" s="9">
        <f>VLOOKUP(P1707,$T$2:U1704,2,1)</f>
        <v>0.02</v>
      </c>
    </row>
    <row r="1708" spans="1:19" x14ac:dyDescent="0.25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e">
        <f>VLOOKUP(F1708,'Customer Info'!A1700:I2199,2,0)</f>
        <v>#N/A</v>
      </c>
      <c r="H1708" s="6" t="e">
        <f>VLOOKUP(F1708,'Customer Info'!A1700:I2199,3,0)</f>
        <v>#N/A</v>
      </c>
      <c r="I1708" s="6" t="e">
        <f>VLOOKUP(F1708,'Customer Info'!A1700:I2199,5,0)</f>
        <v>#N/A</v>
      </c>
      <c r="J1708" s="2">
        <v>1358</v>
      </c>
      <c r="K1708" s="2">
        <v>1294</v>
      </c>
      <c r="L1708" s="2">
        <v>1</v>
      </c>
      <c r="M1708" s="7">
        <f t="shared" si="104"/>
        <v>1294</v>
      </c>
      <c r="N1708" s="7">
        <f t="shared" si="105"/>
        <v>1358</v>
      </c>
      <c r="O1708" s="2">
        <v>58</v>
      </c>
      <c r="P1708" s="8">
        <f t="shared" si="106"/>
        <v>1416</v>
      </c>
      <c r="Q1708" s="8">
        <f t="shared" si="107"/>
        <v>1300</v>
      </c>
      <c r="R1708" s="2" t="s">
        <v>28</v>
      </c>
      <c r="S1708" s="9">
        <f>VLOOKUP(P1708,$T$2:U1705,2,1)</f>
        <v>0.02</v>
      </c>
    </row>
    <row r="1709" spans="1:19" x14ac:dyDescent="0.25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e">
        <f>VLOOKUP(F1709,'Customer Info'!A1701:I2200,2,0)</f>
        <v>#N/A</v>
      </c>
      <c r="H1709" s="6" t="e">
        <f>VLOOKUP(F1709,'Customer Info'!A1701:I2200,3,0)</f>
        <v>#N/A</v>
      </c>
      <c r="I1709" s="6" t="e">
        <f>VLOOKUP(F1709,'Customer Info'!A1701:I2200,5,0)</f>
        <v>#N/A</v>
      </c>
      <c r="J1709" s="2">
        <v>726</v>
      </c>
      <c r="K1709" s="2">
        <v>646</v>
      </c>
      <c r="L1709" s="2">
        <v>3</v>
      </c>
      <c r="M1709" s="7">
        <f t="shared" si="104"/>
        <v>1938</v>
      </c>
      <c r="N1709" s="7">
        <f t="shared" si="105"/>
        <v>2178</v>
      </c>
      <c r="O1709" s="2">
        <v>75</v>
      </c>
      <c r="P1709" s="8">
        <f t="shared" si="106"/>
        <v>2253</v>
      </c>
      <c r="Q1709" s="8">
        <f t="shared" si="107"/>
        <v>2103</v>
      </c>
      <c r="R1709" s="2" t="s">
        <v>28</v>
      </c>
      <c r="S1709" s="9">
        <f>VLOOKUP(P1709,$T$2:U1706,2,1)</f>
        <v>0.02</v>
      </c>
    </row>
    <row r="1710" spans="1:19" x14ac:dyDescent="0.25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e">
        <f>VLOOKUP(F1710,'Customer Info'!A1702:I2201,2,0)</f>
        <v>#N/A</v>
      </c>
      <c r="H1710" s="6" t="e">
        <f>VLOOKUP(F1710,'Customer Info'!A1702:I2201,3,0)</f>
        <v>#N/A</v>
      </c>
      <c r="I1710" s="6" t="e">
        <f>VLOOKUP(F1710,'Customer Info'!A1702:I2201,5,0)</f>
        <v>#N/A</v>
      </c>
      <c r="J1710" s="2">
        <v>8433</v>
      </c>
      <c r="K1710" s="2">
        <v>7801</v>
      </c>
      <c r="L1710" s="2">
        <v>5</v>
      </c>
      <c r="M1710" s="7">
        <f t="shared" si="104"/>
        <v>39005</v>
      </c>
      <c r="N1710" s="7">
        <f t="shared" si="105"/>
        <v>42165</v>
      </c>
      <c r="O1710" s="2">
        <v>60</v>
      </c>
      <c r="P1710" s="8">
        <f t="shared" si="106"/>
        <v>42225</v>
      </c>
      <c r="Q1710" s="8">
        <f t="shared" si="107"/>
        <v>42105</v>
      </c>
      <c r="R1710" s="2" t="s">
        <v>50</v>
      </c>
      <c r="S1710" s="9">
        <f>VLOOKUP(P1710,$T$2:U1707,2,1)</f>
        <v>7.0000000000000007E-2</v>
      </c>
    </row>
    <row r="1711" spans="1:19" x14ac:dyDescent="0.25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e">
        <f>VLOOKUP(F1711,'Customer Info'!A1703:I2202,2,0)</f>
        <v>#N/A</v>
      </c>
      <c r="H1711" s="6" t="e">
        <f>VLOOKUP(F1711,'Customer Info'!A1703:I2202,3,0)</f>
        <v>#N/A</v>
      </c>
      <c r="I1711" s="6" t="e">
        <f>VLOOKUP(F1711,'Customer Info'!A1703:I2202,5,0)</f>
        <v>#N/A</v>
      </c>
      <c r="J1711" s="2">
        <v>1834</v>
      </c>
      <c r="K1711" s="2">
        <v>1716</v>
      </c>
      <c r="L1711" s="2">
        <v>2</v>
      </c>
      <c r="M1711" s="7">
        <f t="shared" si="104"/>
        <v>3432</v>
      </c>
      <c r="N1711" s="7">
        <f t="shared" si="105"/>
        <v>3668</v>
      </c>
      <c r="O1711" s="2">
        <v>27</v>
      </c>
      <c r="P1711" s="8">
        <f t="shared" si="106"/>
        <v>3695</v>
      </c>
      <c r="Q1711" s="8">
        <f t="shared" si="107"/>
        <v>3641</v>
      </c>
      <c r="R1711" s="2" t="s">
        <v>50</v>
      </c>
      <c r="S1711" s="9">
        <f>VLOOKUP(P1711,$T$2:U1708,2,1)</f>
        <v>0.02</v>
      </c>
    </row>
    <row r="1712" spans="1:19" x14ac:dyDescent="0.25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e">
        <f>VLOOKUP(F1712,'Customer Info'!A1704:I2203,2,0)</f>
        <v>#N/A</v>
      </c>
      <c r="H1712" s="6" t="e">
        <f>VLOOKUP(F1712,'Customer Info'!A1704:I2203,3,0)</f>
        <v>#N/A</v>
      </c>
      <c r="I1712" s="6" t="e">
        <f>VLOOKUP(F1712,'Customer Info'!A1704:I2203,5,0)</f>
        <v>#N/A</v>
      </c>
      <c r="J1712" s="2">
        <v>56</v>
      </c>
      <c r="K1712" s="2">
        <v>54</v>
      </c>
      <c r="L1712" s="2">
        <v>2</v>
      </c>
      <c r="M1712" s="7">
        <f t="shared" si="104"/>
        <v>108</v>
      </c>
      <c r="N1712" s="7">
        <f t="shared" si="105"/>
        <v>112</v>
      </c>
      <c r="O1712" s="2">
        <v>10</v>
      </c>
      <c r="P1712" s="8">
        <f t="shared" si="106"/>
        <v>122</v>
      </c>
      <c r="Q1712" s="8">
        <f t="shared" si="107"/>
        <v>102</v>
      </c>
      <c r="R1712" s="2" t="s">
        <v>50</v>
      </c>
      <c r="S1712" s="9">
        <f>VLOOKUP(P1712,$T$2:U1709,2,1)</f>
        <v>0.02</v>
      </c>
    </row>
    <row r="1713" spans="1:19" x14ac:dyDescent="0.25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e">
        <f>VLOOKUP(F1713,'Customer Info'!A1705:I2204,2,0)</f>
        <v>#N/A</v>
      </c>
      <c r="H1713" s="6" t="e">
        <f>VLOOKUP(F1713,'Customer Info'!A1705:I2204,3,0)</f>
        <v>#N/A</v>
      </c>
      <c r="I1713" s="6" t="e">
        <f>VLOOKUP(F1713,'Customer Info'!A1705:I2204,5,0)</f>
        <v>#N/A</v>
      </c>
      <c r="J1713" s="2">
        <v>681</v>
      </c>
      <c r="K1713" s="2">
        <v>642</v>
      </c>
      <c r="L1713" s="2">
        <v>3</v>
      </c>
      <c r="M1713" s="7">
        <f t="shared" si="104"/>
        <v>1926</v>
      </c>
      <c r="N1713" s="7">
        <f t="shared" si="105"/>
        <v>2043</v>
      </c>
      <c r="O1713" s="2">
        <v>77</v>
      </c>
      <c r="P1713" s="8">
        <f t="shared" si="106"/>
        <v>2120</v>
      </c>
      <c r="Q1713" s="8">
        <f t="shared" si="107"/>
        <v>1966</v>
      </c>
      <c r="R1713" s="2" t="s">
        <v>50</v>
      </c>
      <c r="S1713" s="9">
        <f>VLOOKUP(P1713,$T$2:U1710,2,1)</f>
        <v>0.02</v>
      </c>
    </row>
    <row r="1714" spans="1:19" x14ac:dyDescent="0.25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e">
        <f>VLOOKUP(F1714,'Customer Info'!A1706:I2205,2,0)</f>
        <v>#N/A</v>
      </c>
      <c r="H1714" s="6" t="e">
        <f>VLOOKUP(F1714,'Customer Info'!A1706:I2205,3,0)</f>
        <v>#N/A</v>
      </c>
      <c r="I1714" s="6" t="e">
        <f>VLOOKUP(F1714,'Customer Info'!A1706:I2205,5,0)</f>
        <v>#N/A</v>
      </c>
      <c r="J1714" s="2">
        <v>71</v>
      </c>
      <c r="K1714" s="2">
        <v>64</v>
      </c>
      <c r="L1714" s="2">
        <v>9</v>
      </c>
      <c r="M1714" s="7">
        <f t="shared" si="104"/>
        <v>576</v>
      </c>
      <c r="N1714" s="7">
        <f t="shared" si="105"/>
        <v>639</v>
      </c>
      <c r="O1714" s="2">
        <v>10</v>
      </c>
      <c r="P1714" s="8">
        <f t="shared" si="106"/>
        <v>649</v>
      </c>
      <c r="Q1714" s="8">
        <f t="shared" si="107"/>
        <v>629</v>
      </c>
      <c r="R1714" s="2" t="s">
        <v>50</v>
      </c>
      <c r="S1714" s="9">
        <f>VLOOKUP(P1714,$T$2:U1711,2,1)</f>
        <v>0.02</v>
      </c>
    </row>
    <row r="1715" spans="1:19" x14ac:dyDescent="0.25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e">
        <f>VLOOKUP(F1715,'Customer Info'!A1707:I2206,2,0)</f>
        <v>#N/A</v>
      </c>
      <c r="H1715" s="6" t="e">
        <f>VLOOKUP(F1715,'Customer Info'!A1707:I2206,3,0)</f>
        <v>#N/A</v>
      </c>
      <c r="I1715" s="6" t="e">
        <f>VLOOKUP(F1715,'Customer Info'!A1707:I2206,5,0)</f>
        <v>#N/A</v>
      </c>
      <c r="J1715" s="2">
        <v>392</v>
      </c>
      <c r="K1715" s="2">
        <v>356</v>
      </c>
      <c r="L1715" s="2">
        <v>3</v>
      </c>
      <c r="M1715" s="7">
        <f t="shared" si="104"/>
        <v>1068</v>
      </c>
      <c r="N1715" s="7">
        <f t="shared" si="105"/>
        <v>1176</v>
      </c>
      <c r="O1715" s="2">
        <v>71</v>
      </c>
      <c r="P1715" s="8">
        <f t="shared" si="106"/>
        <v>1247</v>
      </c>
      <c r="Q1715" s="8">
        <f t="shared" si="107"/>
        <v>1105</v>
      </c>
      <c r="R1715" s="2" t="s">
        <v>28</v>
      </c>
      <c r="S1715" s="9">
        <f>VLOOKUP(P1715,$T$2:U1712,2,1)</f>
        <v>0.02</v>
      </c>
    </row>
    <row r="1716" spans="1:19" x14ac:dyDescent="0.25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e">
        <f>VLOOKUP(F1716,'Customer Info'!A1708:I2207,2,0)</f>
        <v>#N/A</v>
      </c>
      <c r="H1716" s="6" t="e">
        <f>VLOOKUP(F1716,'Customer Info'!A1708:I2207,3,0)</f>
        <v>#N/A</v>
      </c>
      <c r="I1716" s="6" t="e">
        <f>VLOOKUP(F1716,'Customer Info'!A1708:I2207,5,0)</f>
        <v>#N/A</v>
      </c>
      <c r="J1716" s="2">
        <v>129</v>
      </c>
      <c r="K1716" s="2">
        <v>118</v>
      </c>
      <c r="L1716" s="2">
        <v>3</v>
      </c>
      <c r="M1716" s="7">
        <f t="shared" si="104"/>
        <v>354</v>
      </c>
      <c r="N1716" s="7">
        <f t="shared" si="105"/>
        <v>387</v>
      </c>
      <c r="O1716" s="2">
        <v>30</v>
      </c>
      <c r="P1716" s="8">
        <f t="shared" si="106"/>
        <v>417</v>
      </c>
      <c r="Q1716" s="8">
        <f t="shared" si="107"/>
        <v>357</v>
      </c>
      <c r="R1716" s="2" t="s">
        <v>28</v>
      </c>
      <c r="S1716" s="9">
        <f>VLOOKUP(P1716,$T$2:U1713,2,1)</f>
        <v>0.02</v>
      </c>
    </row>
    <row r="1717" spans="1:19" x14ac:dyDescent="0.25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e">
        <f>VLOOKUP(F1717,'Customer Info'!A1709:I2208,2,0)</f>
        <v>#N/A</v>
      </c>
      <c r="H1717" s="6" t="e">
        <f>VLOOKUP(F1717,'Customer Info'!A1709:I2208,3,0)</f>
        <v>#N/A</v>
      </c>
      <c r="I1717" s="6" t="e">
        <f>VLOOKUP(F1717,'Customer Info'!A1709:I2208,5,0)</f>
        <v>#N/A</v>
      </c>
      <c r="J1717" s="2">
        <v>2501</v>
      </c>
      <c r="K1717" s="2">
        <v>2361</v>
      </c>
      <c r="L1717" s="2">
        <v>5</v>
      </c>
      <c r="M1717" s="7">
        <f t="shared" si="104"/>
        <v>11805</v>
      </c>
      <c r="N1717" s="7">
        <f t="shared" si="105"/>
        <v>12505</v>
      </c>
      <c r="O1717" s="2">
        <v>57</v>
      </c>
      <c r="P1717" s="8">
        <f t="shared" si="106"/>
        <v>12562</v>
      </c>
      <c r="Q1717" s="8">
        <f t="shared" si="107"/>
        <v>12448</v>
      </c>
      <c r="R1717" s="2" t="s">
        <v>28</v>
      </c>
      <c r="S1717" s="9">
        <f>VLOOKUP(P1717,$T$2:U1714,2,1)</f>
        <v>0.05</v>
      </c>
    </row>
    <row r="1718" spans="1:19" x14ac:dyDescent="0.25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e">
        <f>VLOOKUP(F1718,'Customer Info'!A1710:I2209,2,0)</f>
        <v>#N/A</v>
      </c>
      <c r="H1718" s="6" t="e">
        <f>VLOOKUP(F1718,'Customer Info'!A1710:I2209,3,0)</f>
        <v>#N/A</v>
      </c>
      <c r="I1718" s="6" t="e">
        <f>VLOOKUP(F1718,'Customer Info'!A1710:I2209,5,0)</f>
        <v>#N/A</v>
      </c>
      <c r="J1718" s="2">
        <v>7943</v>
      </c>
      <c r="K1718" s="2">
        <v>7790</v>
      </c>
      <c r="L1718" s="2">
        <v>1</v>
      </c>
      <c r="M1718" s="7">
        <f t="shared" si="104"/>
        <v>7790</v>
      </c>
      <c r="N1718" s="7">
        <f t="shared" si="105"/>
        <v>7943</v>
      </c>
      <c r="O1718" s="2">
        <v>39</v>
      </c>
      <c r="P1718" s="8">
        <f t="shared" si="106"/>
        <v>7982</v>
      </c>
      <c r="Q1718" s="8">
        <f t="shared" si="107"/>
        <v>7904</v>
      </c>
      <c r="R1718" s="2" t="s">
        <v>26</v>
      </c>
      <c r="S1718" s="9">
        <f>VLOOKUP(P1718,$T$2:U1715,2,1)</f>
        <v>0.05</v>
      </c>
    </row>
    <row r="1719" spans="1:19" x14ac:dyDescent="0.25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e">
        <f>VLOOKUP(F1719,'Customer Info'!A1711:I2210,2,0)</f>
        <v>#N/A</v>
      </c>
      <c r="H1719" s="6" t="e">
        <f>VLOOKUP(F1719,'Customer Info'!A1711:I2210,3,0)</f>
        <v>#N/A</v>
      </c>
      <c r="I1719" s="6" t="e">
        <f>VLOOKUP(F1719,'Customer Info'!A1711:I2210,5,0)</f>
        <v>#N/A</v>
      </c>
      <c r="J1719" s="2">
        <v>5051</v>
      </c>
      <c r="K1719" s="2">
        <v>4634</v>
      </c>
      <c r="L1719" s="2">
        <v>6</v>
      </c>
      <c r="M1719" s="7">
        <f t="shared" si="104"/>
        <v>27804</v>
      </c>
      <c r="N1719" s="7">
        <f t="shared" si="105"/>
        <v>30306</v>
      </c>
      <c r="O1719" s="2">
        <v>89</v>
      </c>
      <c r="P1719" s="8">
        <f t="shared" si="106"/>
        <v>30395</v>
      </c>
      <c r="Q1719" s="8">
        <f t="shared" si="107"/>
        <v>30217</v>
      </c>
      <c r="R1719" s="2" t="s">
        <v>50</v>
      </c>
      <c r="S1719" s="9">
        <f>VLOOKUP(P1719,$T$2:U1716,2,1)</f>
        <v>7.0000000000000007E-2</v>
      </c>
    </row>
    <row r="1720" spans="1:19" x14ac:dyDescent="0.25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e">
        <f>VLOOKUP(F1720,'Customer Info'!A1712:I2211,2,0)</f>
        <v>#N/A</v>
      </c>
      <c r="H1720" s="6" t="e">
        <f>VLOOKUP(F1720,'Customer Info'!A1712:I2211,3,0)</f>
        <v>#N/A</v>
      </c>
      <c r="I1720" s="6" t="e">
        <f>VLOOKUP(F1720,'Customer Info'!A1712:I2211,5,0)</f>
        <v>#N/A</v>
      </c>
      <c r="J1720" s="2">
        <v>542</v>
      </c>
      <c r="K1720" s="2">
        <v>492</v>
      </c>
      <c r="L1720" s="2">
        <v>1</v>
      </c>
      <c r="M1720" s="7">
        <f t="shared" si="104"/>
        <v>492</v>
      </c>
      <c r="N1720" s="7">
        <f t="shared" si="105"/>
        <v>542</v>
      </c>
      <c r="O1720" s="2">
        <v>87</v>
      </c>
      <c r="P1720" s="8">
        <f t="shared" si="106"/>
        <v>629</v>
      </c>
      <c r="Q1720" s="8">
        <f t="shared" si="107"/>
        <v>455</v>
      </c>
      <c r="R1720" s="2" t="s">
        <v>28</v>
      </c>
      <c r="S1720" s="9">
        <f>VLOOKUP(P1720,$T$2:U1717,2,1)</f>
        <v>0.02</v>
      </c>
    </row>
    <row r="1721" spans="1:19" x14ac:dyDescent="0.25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e">
        <f>VLOOKUP(F1721,'Customer Info'!A1713:I2212,2,0)</f>
        <v>#N/A</v>
      </c>
      <c r="H1721" s="6" t="e">
        <f>VLOOKUP(F1721,'Customer Info'!A1713:I2212,3,0)</f>
        <v>#N/A</v>
      </c>
      <c r="I1721" s="6" t="e">
        <f>VLOOKUP(F1721,'Customer Info'!A1713:I2212,5,0)</f>
        <v>#N/A</v>
      </c>
      <c r="J1721" s="2">
        <v>130</v>
      </c>
      <c r="K1721" s="2">
        <v>122</v>
      </c>
      <c r="L1721" s="2">
        <v>2</v>
      </c>
      <c r="M1721" s="7">
        <f t="shared" si="104"/>
        <v>244</v>
      </c>
      <c r="N1721" s="7">
        <f t="shared" si="105"/>
        <v>260</v>
      </c>
      <c r="O1721" s="2">
        <v>30</v>
      </c>
      <c r="P1721" s="8">
        <f t="shared" si="106"/>
        <v>290</v>
      </c>
      <c r="Q1721" s="8">
        <f t="shared" si="107"/>
        <v>230</v>
      </c>
      <c r="R1721" s="2" t="s">
        <v>28</v>
      </c>
      <c r="S1721" s="9">
        <f>VLOOKUP(P1721,$T$2:U1718,2,1)</f>
        <v>0.02</v>
      </c>
    </row>
    <row r="1722" spans="1:19" x14ac:dyDescent="0.25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e">
        <f>VLOOKUP(F1722,'Customer Info'!A1714:I2213,2,0)</f>
        <v>#N/A</v>
      </c>
      <c r="H1722" s="6" t="e">
        <f>VLOOKUP(F1722,'Customer Info'!A1714:I2213,3,0)</f>
        <v>#N/A</v>
      </c>
      <c r="I1722" s="6" t="e">
        <f>VLOOKUP(F1722,'Customer Info'!A1714:I2213,5,0)</f>
        <v>#N/A</v>
      </c>
      <c r="J1722" s="2">
        <v>2958</v>
      </c>
      <c r="K1722" s="2">
        <v>2743</v>
      </c>
      <c r="L1722" s="2">
        <v>2</v>
      </c>
      <c r="M1722" s="7">
        <f t="shared" si="104"/>
        <v>5486</v>
      </c>
      <c r="N1722" s="7">
        <f t="shared" si="105"/>
        <v>5916</v>
      </c>
      <c r="O1722" s="2">
        <v>26</v>
      </c>
      <c r="P1722" s="8">
        <f t="shared" si="106"/>
        <v>5942</v>
      </c>
      <c r="Q1722" s="8">
        <f t="shared" si="107"/>
        <v>5890</v>
      </c>
      <c r="R1722" s="2" t="s">
        <v>50</v>
      </c>
      <c r="S1722" s="9">
        <f>VLOOKUP(P1722,$T$2:U1719,2,1)</f>
        <v>0.05</v>
      </c>
    </row>
    <row r="1723" spans="1:19" x14ac:dyDescent="0.25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e">
        <f>VLOOKUP(F1723,'Customer Info'!A1715:I2214,2,0)</f>
        <v>#N/A</v>
      </c>
      <c r="H1723" s="6" t="e">
        <f>VLOOKUP(F1723,'Customer Info'!A1715:I2214,3,0)</f>
        <v>#N/A</v>
      </c>
      <c r="I1723" s="6" t="e">
        <f>VLOOKUP(F1723,'Customer Info'!A1715:I2214,5,0)</f>
        <v>#N/A</v>
      </c>
      <c r="J1723" s="2">
        <v>1568</v>
      </c>
      <c r="K1723" s="2">
        <v>1495</v>
      </c>
      <c r="L1723" s="2">
        <v>2</v>
      </c>
      <c r="M1723" s="7">
        <f t="shared" si="104"/>
        <v>2990</v>
      </c>
      <c r="N1723" s="7">
        <f t="shared" si="105"/>
        <v>3136</v>
      </c>
      <c r="O1723" s="2">
        <v>65</v>
      </c>
      <c r="P1723" s="8">
        <f t="shared" si="106"/>
        <v>3201</v>
      </c>
      <c r="Q1723" s="8">
        <f t="shared" si="107"/>
        <v>3071</v>
      </c>
      <c r="R1723" s="2" t="s">
        <v>50</v>
      </c>
      <c r="S1723" s="9">
        <f>VLOOKUP(P1723,$T$2:U1720,2,1)</f>
        <v>0.02</v>
      </c>
    </row>
    <row r="1724" spans="1:19" x14ac:dyDescent="0.25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e">
        <f>VLOOKUP(F1724,'Customer Info'!A1716:I2215,2,0)</f>
        <v>#N/A</v>
      </c>
      <c r="H1724" s="6" t="e">
        <f>VLOOKUP(F1724,'Customer Info'!A1716:I2215,3,0)</f>
        <v>#N/A</v>
      </c>
      <c r="I1724" s="6" t="e">
        <f>VLOOKUP(F1724,'Customer Info'!A1716:I2215,5,0)</f>
        <v>#N/A</v>
      </c>
      <c r="J1724" s="2">
        <v>1798</v>
      </c>
      <c r="K1724" s="2">
        <v>1650</v>
      </c>
      <c r="L1724" s="2">
        <v>3</v>
      </c>
      <c r="M1724" s="7">
        <f t="shared" si="104"/>
        <v>4950</v>
      </c>
      <c r="N1724" s="7">
        <f t="shared" si="105"/>
        <v>5394</v>
      </c>
      <c r="O1724" s="2">
        <v>51</v>
      </c>
      <c r="P1724" s="8">
        <f t="shared" si="106"/>
        <v>5445</v>
      </c>
      <c r="Q1724" s="8">
        <f t="shared" si="107"/>
        <v>5343</v>
      </c>
      <c r="R1724" s="2" t="s">
        <v>28</v>
      </c>
      <c r="S1724" s="9">
        <f>VLOOKUP(P1724,$T$2:U1721,2,1)</f>
        <v>0.05</v>
      </c>
    </row>
    <row r="1725" spans="1:19" x14ac:dyDescent="0.25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e">
        <f>VLOOKUP(F1725,'Customer Info'!A1717:I2216,2,0)</f>
        <v>#N/A</v>
      </c>
      <c r="H1725" s="6" t="e">
        <f>VLOOKUP(F1725,'Customer Info'!A1717:I2216,3,0)</f>
        <v>#N/A</v>
      </c>
      <c r="I1725" s="6" t="e">
        <f>VLOOKUP(F1725,'Customer Info'!A1717:I2216,5,0)</f>
        <v>#N/A</v>
      </c>
      <c r="J1725" s="2">
        <v>1983</v>
      </c>
      <c r="K1725" s="2">
        <v>1908</v>
      </c>
      <c r="L1725" s="2">
        <v>4</v>
      </c>
      <c r="M1725" s="7">
        <f t="shared" si="104"/>
        <v>7632</v>
      </c>
      <c r="N1725" s="7">
        <f t="shared" si="105"/>
        <v>7932</v>
      </c>
      <c r="O1725" s="2">
        <v>38</v>
      </c>
      <c r="P1725" s="8">
        <f t="shared" si="106"/>
        <v>7970</v>
      </c>
      <c r="Q1725" s="8">
        <f t="shared" si="107"/>
        <v>7894</v>
      </c>
      <c r="R1725" s="2" t="s">
        <v>50</v>
      </c>
      <c r="S1725" s="9">
        <f>VLOOKUP(P1725,$T$2:U1722,2,1)</f>
        <v>0.05</v>
      </c>
    </row>
    <row r="1726" spans="1:19" x14ac:dyDescent="0.25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e">
        <f>VLOOKUP(F1726,'Customer Info'!A1718:I2217,2,0)</f>
        <v>#N/A</v>
      </c>
      <c r="H1726" s="6" t="e">
        <f>VLOOKUP(F1726,'Customer Info'!A1718:I2217,3,0)</f>
        <v>#N/A</v>
      </c>
      <c r="I1726" s="6" t="e">
        <f>VLOOKUP(F1726,'Customer Info'!A1718:I2217,5,0)</f>
        <v>#N/A</v>
      </c>
      <c r="J1726" s="2">
        <v>7960</v>
      </c>
      <c r="K1726" s="2">
        <v>7375</v>
      </c>
      <c r="L1726" s="2">
        <v>6</v>
      </c>
      <c r="M1726" s="7">
        <f t="shared" si="104"/>
        <v>44250</v>
      </c>
      <c r="N1726" s="7">
        <f t="shared" si="105"/>
        <v>47760</v>
      </c>
      <c r="O1726" s="2">
        <v>63</v>
      </c>
      <c r="P1726" s="8">
        <f t="shared" si="106"/>
        <v>47823</v>
      </c>
      <c r="Q1726" s="8">
        <f t="shared" si="107"/>
        <v>47697</v>
      </c>
      <c r="R1726" s="2" t="s">
        <v>50</v>
      </c>
      <c r="S1726" s="9">
        <f>VLOOKUP(P1726,$T$2:U1723,2,1)</f>
        <v>7.0000000000000007E-2</v>
      </c>
    </row>
    <row r="1727" spans="1:19" x14ac:dyDescent="0.25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e">
        <f>VLOOKUP(F1727,'Customer Info'!A1719:I2218,2,0)</f>
        <v>#N/A</v>
      </c>
      <c r="H1727" s="6" t="e">
        <f>VLOOKUP(F1727,'Customer Info'!A1719:I2218,3,0)</f>
        <v>#N/A</v>
      </c>
      <c r="I1727" s="6" t="e">
        <f>VLOOKUP(F1727,'Customer Info'!A1719:I2218,5,0)</f>
        <v>#N/A</v>
      </c>
      <c r="J1727" s="2">
        <v>210</v>
      </c>
      <c r="K1727" s="2">
        <v>191</v>
      </c>
      <c r="L1727" s="2">
        <v>13</v>
      </c>
      <c r="M1727" s="7">
        <f t="shared" si="104"/>
        <v>2483</v>
      </c>
      <c r="N1727" s="7">
        <f t="shared" si="105"/>
        <v>2730</v>
      </c>
      <c r="O1727" s="2">
        <v>25</v>
      </c>
      <c r="P1727" s="8">
        <f t="shared" si="106"/>
        <v>2755</v>
      </c>
      <c r="Q1727" s="8">
        <f t="shared" si="107"/>
        <v>2705</v>
      </c>
      <c r="R1727" s="2" t="s">
        <v>28</v>
      </c>
      <c r="S1727" s="9">
        <f>VLOOKUP(P1727,$T$2:U1724,2,1)</f>
        <v>0.02</v>
      </c>
    </row>
    <row r="1728" spans="1:19" x14ac:dyDescent="0.25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e">
        <f>VLOOKUP(F1728,'Customer Info'!A1720:I2219,2,0)</f>
        <v>#N/A</v>
      </c>
      <c r="H1728" s="6" t="e">
        <f>VLOOKUP(F1728,'Customer Info'!A1720:I2219,3,0)</f>
        <v>#N/A</v>
      </c>
      <c r="I1728" s="6" t="e">
        <f>VLOOKUP(F1728,'Customer Info'!A1720:I2219,5,0)</f>
        <v>#N/A</v>
      </c>
      <c r="J1728" s="2">
        <v>877</v>
      </c>
      <c r="K1728" s="2">
        <v>788</v>
      </c>
      <c r="L1728" s="2">
        <v>3</v>
      </c>
      <c r="M1728" s="7">
        <f t="shared" si="104"/>
        <v>2364</v>
      </c>
      <c r="N1728" s="7">
        <f t="shared" si="105"/>
        <v>2631</v>
      </c>
      <c r="O1728" s="2">
        <v>40</v>
      </c>
      <c r="P1728" s="8">
        <f t="shared" si="106"/>
        <v>2671</v>
      </c>
      <c r="Q1728" s="8">
        <f t="shared" si="107"/>
        <v>2591</v>
      </c>
      <c r="R1728" s="2" t="s">
        <v>50</v>
      </c>
      <c r="S1728" s="9">
        <f>VLOOKUP(P1728,$T$2:U1725,2,1)</f>
        <v>0.02</v>
      </c>
    </row>
    <row r="1729" spans="1:19" x14ac:dyDescent="0.25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e">
        <f>VLOOKUP(F1729,'Customer Info'!A1721:I2220,2,0)</f>
        <v>#N/A</v>
      </c>
      <c r="H1729" s="6" t="e">
        <f>VLOOKUP(F1729,'Customer Info'!A1721:I2220,3,0)</f>
        <v>#N/A</v>
      </c>
      <c r="I1729" s="6" t="e">
        <f>VLOOKUP(F1729,'Customer Info'!A1721:I2220,5,0)</f>
        <v>#N/A</v>
      </c>
      <c r="J1729" s="2">
        <v>8379</v>
      </c>
      <c r="K1729" s="2">
        <v>8061</v>
      </c>
      <c r="L1729" s="2">
        <v>2</v>
      </c>
      <c r="M1729" s="7">
        <f t="shared" si="104"/>
        <v>16122</v>
      </c>
      <c r="N1729" s="7">
        <f t="shared" si="105"/>
        <v>16758</v>
      </c>
      <c r="O1729" s="2">
        <v>96</v>
      </c>
      <c r="P1729" s="8">
        <f t="shared" si="106"/>
        <v>16854</v>
      </c>
      <c r="Q1729" s="8">
        <f t="shared" si="107"/>
        <v>16662</v>
      </c>
      <c r="R1729" s="2" t="s">
        <v>50</v>
      </c>
      <c r="S1729" s="9">
        <f>VLOOKUP(P1729,$T$2:U1726,2,1)</f>
        <v>0.05</v>
      </c>
    </row>
    <row r="1730" spans="1:19" x14ac:dyDescent="0.25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e">
        <f>VLOOKUP(F1730,'Customer Info'!A1722:I2221,2,0)</f>
        <v>#N/A</v>
      </c>
      <c r="H1730" s="6" t="e">
        <f>VLOOKUP(F1730,'Customer Info'!A1722:I2221,3,0)</f>
        <v>#N/A</v>
      </c>
      <c r="I1730" s="6" t="e">
        <f>VLOOKUP(F1730,'Customer Info'!A1722:I2221,5,0)</f>
        <v>#N/A</v>
      </c>
      <c r="J1730" s="2">
        <v>1906</v>
      </c>
      <c r="K1730" s="2">
        <v>1798</v>
      </c>
      <c r="L1730" s="2">
        <v>1</v>
      </c>
      <c r="M1730" s="7">
        <f t="shared" si="104"/>
        <v>1798</v>
      </c>
      <c r="N1730" s="7">
        <f t="shared" si="105"/>
        <v>1906</v>
      </c>
      <c r="O1730" s="2">
        <v>80</v>
      </c>
      <c r="P1730" s="8">
        <f t="shared" si="106"/>
        <v>1986</v>
      </c>
      <c r="Q1730" s="8">
        <f t="shared" si="107"/>
        <v>1826</v>
      </c>
      <c r="R1730" s="2" t="s">
        <v>28</v>
      </c>
      <c r="S1730" s="9">
        <f>VLOOKUP(P1730,$T$2:U1727,2,1)</f>
        <v>0.02</v>
      </c>
    </row>
    <row r="1731" spans="1:19" x14ac:dyDescent="0.25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e">
        <f>VLOOKUP(F1731,'Customer Info'!A1723:I2222,2,0)</f>
        <v>#N/A</v>
      </c>
      <c r="H1731" s="6" t="e">
        <f>VLOOKUP(F1731,'Customer Info'!A1723:I2222,3,0)</f>
        <v>#N/A</v>
      </c>
      <c r="I1731" s="6" t="e">
        <f>VLOOKUP(F1731,'Customer Info'!A1723:I2222,5,0)</f>
        <v>#N/A</v>
      </c>
      <c r="J1731" s="2">
        <v>918</v>
      </c>
      <c r="K1731" s="2">
        <v>859</v>
      </c>
      <c r="L1731" s="2">
        <v>7</v>
      </c>
      <c r="M1731" s="7">
        <f t="shared" si="104"/>
        <v>6013</v>
      </c>
      <c r="N1731" s="7">
        <f t="shared" si="105"/>
        <v>6426</v>
      </c>
      <c r="O1731" s="2">
        <v>24</v>
      </c>
      <c r="P1731" s="8">
        <f t="shared" si="106"/>
        <v>6450</v>
      </c>
      <c r="Q1731" s="8">
        <f t="shared" si="107"/>
        <v>6402</v>
      </c>
      <c r="R1731" s="2" t="s">
        <v>50</v>
      </c>
      <c r="S1731" s="9">
        <f>VLOOKUP(P1731,$T$2:U1728,2,1)</f>
        <v>0.05</v>
      </c>
    </row>
    <row r="1732" spans="1:19" x14ac:dyDescent="0.25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e">
        <f>VLOOKUP(F1732,'Customer Info'!A1724:I2223,2,0)</f>
        <v>#N/A</v>
      </c>
      <c r="H1732" s="6" t="e">
        <f>VLOOKUP(F1732,'Customer Info'!A1724:I2223,3,0)</f>
        <v>#N/A</v>
      </c>
      <c r="I1732" s="6" t="e">
        <f>VLOOKUP(F1732,'Customer Info'!A1724:I2223,5,0)</f>
        <v>#N/A</v>
      </c>
      <c r="J1732" s="2">
        <v>3341</v>
      </c>
      <c r="K1732" s="2">
        <v>3152</v>
      </c>
      <c r="L1732" s="2">
        <v>1</v>
      </c>
      <c r="M1732" s="7">
        <f t="shared" si="104"/>
        <v>3152</v>
      </c>
      <c r="N1732" s="7">
        <f t="shared" si="105"/>
        <v>3341</v>
      </c>
      <c r="O1732" s="2">
        <v>48</v>
      </c>
      <c r="P1732" s="8">
        <f t="shared" si="106"/>
        <v>3389</v>
      </c>
      <c r="Q1732" s="8">
        <f t="shared" si="107"/>
        <v>3293</v>
      </c>
      <c r="R1732" s="2" t="s">
        <v>28</v>
      </c>
      <c r="S1732" s="9">
        <f>VLOOKUP(P1732,$T$2:U1729,2,1)</f>
        <v>0.02</v>
      </c>
    </row>
    <row r="1733" spans="1:19" x14ac:dyDescent="0.25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e">
        <f>VLOOKUP(F1733,'Customer Info'!A1725:I2224,2,0)</f>
        <v>#N/A</v>
      </c>
      <c r="H1733" s="6" t="e">
        <f>VLOOKUP(F1733,'Customer Info'!A1725:I2224,3,0)</f>
        <v>#N/A</v>
      </c>
      <c r="I1733" s="6" t="e">
        <f>VLOOKUP(F1733,'Customer Info'!A1725:I2224,5,0)</f>
        <v>#N/A</v>
      </c>
      <c r="J1733" s="2">
        <v>1545</v>
      </c>
      <c r="K1733" s="2">
        <v>1486</v>
      </c>
      <c r="L1733" s="2">
        <v>5</v>
      </c>
      <c r="M1733" s="7">
        <f t="shared" si="104"/>
        <v>7430</v>
      </c>
      <c r="N1733" s="7">
        <f t="shared" si="105"/>
        <v>7725</v>
      </c>
      <c r="O1733" s="2">
        <v>98</v>
      </c>
      <c r="P1733" s="8">
        <f t="shared" si="106"/>
        <v>7823</v>
      </c>
      <c r="Q1733" s="8">
        <f t="shared" si="107"/>
        <v>7627</v>
      </c>
      <c r="R1733" s="2" t="s">
        <v>28</v>
      </c>
      <c r="S1733" s="9">
        <f>VLOOKUP(P1733,$T$2:U1730,2,1)</f>
        <v>0.05</v>
      </c>
    </row>
    <row r="1734" spans="1:19" x14ac:dyDescent="0.25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e">
        <f>VLOOKUP(F1734,'Customer Info'!A1726:I2225,2,0)</f>
        <v>#N/A</v>
      </c>
      <c r="H1734" s="6" t="e">
        <f>VLOOKUP(F1734,'Customer Info'!A1726:I2225,3,0)</f>
        <v>#N/A</v>
      </c>
      <c r="I1734" s="6" t="e">
        <f>VLOOKUP(F1734,'Customer Info'!A1726:I2225,5,0)</f>
        <v>#N/A</v>
      </c>
      <c r="J1734" s="2">
        <v>511</v>
      </c>
      <c r="K1734" s="2">
        <v>477</v>
      </c>
      <c r="L1734" s="2">
        <v>2</v>
      </c>
      <c r="M1734" s="7">
        <f t="shared" si="104"/>
        <v>954</v>
      </c>
      <c r="N1734" s="7">
        <f t="shared" si="105"/>
        <v>1022</v>
      </c>
      <c r="O1734" s="2">
        <v>61</v>
      </c>
      <c r="P1734" s="8">
        <f t="shared" si="106"/>
        <v>1083</v>
      </c>
      <c r="Q1734" s="8">
        <f t="shared" si="107"/>
        <v>961</v>
      </c>
      <c r="R1734" s="2" t="s">
        <v>28</v>
      </c>
      <c r="S1734" s="9">
        <f>VLOOKUP(P1734,$T$2:U1731,2,1)</f>
        <v>0.02</v>
      </c>
    </row>
    <row r="1735" spans="1:19" x14ac:dyDescent="0.25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e">
        <f>VLOOKUP(F1735,'Customer Info'!A1727:I2226,2,0)</f>
        <v>#N/A</v>
      </c>
      <c r="H1735" s="6" t="e">
        <f>VLOOKUP(F1735,'Customer Info'!A1727:I2226,3,0)</f>
        <v>#N/A</v>
      </c>
      <c r="I1735" s="6" t="e">
        <f>VLOOKUP(F1735,'Customer Info'!A1727:I2226,5,0)</f>
        <v>#N/A</v>
      </c>
      <c r="J1735" s="2">
        <v>7021</v>
      </c>
      <c r="K1735" s="2">
        <v>6686</v>
      </c>
      <c r="L1735" s="2">
        <v>4</v>
      </c>
      <c r="M1735" s="7">
        <f t="shared" si="104"/>
        <v>26744</v>
      </c>
      <c r="N1735" s="7">
        <f t="shared" si="105"/>
        <v>28084</v>
      </c>
      <c r="O1735" s="2">
        <v>26</v>
      </c>
      <c r="P1735" s="8">
        <f t="shared" si="106"/>
        <v>28110</v>
      </c>
      <c r="Q1735" s="8">
        <f t="shared" si="107"/>
        <v>28058</v>
      </c>
      <c r="R1735" s="2" t="s">
        <v>28</v>
      </c>
      <c r="S1735" s="9">
        <f>VLOOKUP(P1735,$T$2:U1732,2,1)</f>
        <v>7.0000000000000007E-2</v>
      </c>
    </row>
    <row r="1736" spans="1:19" x14ac:dyDescent="0.25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e">
        <f>VLOOKUP(F1736,'Customer Info'!A1728:I2227,2,0)</f>
        <v>#N/A</v>
      </c>
      <c r="H1736" s="6" t="e">
        <f>VLOOKUP(F1736,'Customer Info'!A1728:I2227,3,0)</f>
        <v>#N/A</v>
      </c>
      <c r="I1736" s="6" t="e">
        <f>VLOOKUP(F1736,'Customer Info'!A1728:I2227,5,0)</f>
        <v>#N/A</v>
      </c>
      <c r="J1736" s="2">
        <v>183</v>
      </c>
      <c r="K1736" s="2">
        <v>168</v>
      </c>
      <c r="L1736" s="2">
        <v>2</v>
      </c>
      <c r="M1736" s="7">
        <f t="shared" si="104"/>
        <v>336</v>
      </c>
      <c r="N1736" s="7">
        <f t="shared" si="105"/>
        <v>366</v>
      </c>
      <c r="O1736" s="2">
        <v>30</v>
      </c>
      <c r="P1736" s="8">
        <f t="shared" si="106"/>
        <v>396</v>
      </c>
      <c r="Q1736" s="8">
        <f t="shared" si="107"/>
        <v>336</v>
      </c>
      <c r="R1736" s="2" t="s">
        <v>50</v>
      </c>
      <c r="S1736" s="9">
        <f>VLOOKUP(P1736,$T$2:U1733,2,1)</f>
        <v>0.02</v>
      </c>
    </row>
    <row r="1737" spans="1:19" x14ac:dyDescent="0.25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e">
        <f>VLOOKUP(F1737,'Customer Info'!A1729:I2228,2,0)</f>
        <v>#N/A</v>
      </c>
      <c r="H1737" s="6" t="e">
        <f>VLOOKUP(F1737,'Customer Info'!A1729:I2228,3,0)</f>
        <v>#N/A</v>
      </c>
      <c r="I1737" s="6" t="e">
        <f>VLOOKUP(F1737,'Customer Info'!A1729:I2228,5,0)</f>
        <v>#N/A</v>
      </c>
      <c r="J1737" s="2">
        <v>505</v>
      </c>
      <c r="K1737" s="2">
        <v>463</v>
      </c>
      <c r="L1737" s="2">
        <v>7</v>
      </c>
      <c r="M1737" s="7">
        <f t="shared" si="104"/>
        <v>3241</v>
      </c>
      <c r="N1737" s="7">
        <f t="shared" si="105"/>
        <v>3535</v>
      </c>
      <c r="O1737" s="2">
        <v>71</v>
      </c>
      <c r="P1737" s="8">
        <f t="shared" si="106"/>
        <v>3606</v>
      </c>
      <c r="Q1737" s="8">
        <f t="shared" si="107"/>
        <v>3464</v>
      </c>
      <c r="R1737" s="2" t="s">
        <v>56</v>
      </c>
      <c r="S1737" s="9">
        <f>VLOOKUP(P1737,$T$2:U1734,2,1)</f>
        <v>0.02</v>
      </c>
    </row>
    <row r="1738" spans="1:19" x14ac:dyDescent="0.25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e">
        <f>VLOOKUP(F1738,'Customer Info'!A1730:I2229,2,0)</f>
        <v>#N/A</v>
      </c>
      <c r="H1738" s="6" t="e">
        <f>VLOOKUP(F1738,'Customer Info'!A1730:I2229,3,0)</f>
        <v>#N/A</v>
      </c>
      <c r="I1738" s="6" t="e">
        <f>VLOOKUP(F1738,'Customer Info'!A1730:I2229,5,0)</f>
        <v>#N/A</v>
      </c>
      <c r="J1738" s="2">
        <v>2228</v>
      </c>
      <c r="K1738" s="2">
        <v>2143</v>
      </c>
      <c r="L1738" s="2">
        <v>4</v>
      </c>
      <c r="M1738" s="7">
        <f t="shared" si="104"/>
        <v>8572</v>
      </c>
      <c r="N1738" s="7">
        <f t="shared" si="105"/>
        <v>8912</v>
      </c>
      <c r="O1738" s="2">
        <v>41</v>
      </c>
      <c r="P1738" s="8">
        <f t="shared" si="106"/>
        <v>8953</v>
      </c>
      <c r="Q1738" s="8">
        <f t="shared" si="107"/>
        <v>8871</v>
      </c>
      <c r="R1738" s="2" t="s">
        <v>28</v>
      </c>
      <c r="S1738" s="9">
        <f>VLOOKUP(P1738,$T$2:U1735,2,1)</f>
        <v>0.05</v>
      </c>
    </row>
    <row r="1739" spans="1:19" x14ac:dyDescent="0.25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e">
        <f>VLOOKUP(F1739,'Customer Info'!A1731:I2230,2,0)</f>
        <v>#N/A</v>
      </c>
      <c r="H1739" s="6" t="e">
        <f>VLOOKUP(F1739,'Customer Info'!A1731:I2230,3,0)</f>
        <v>#N/A</v>
      </c>
      <c r="I1739" s="6" t="e">
        <f>VLOOKUP(F1739,'Customer Info'!A1731:I2230,5,0)</f>
        <v>#N/A</v>
      </c>
      <c r="J1739" s="2">
        <v>1533</v>
      </c>
      <c r="K1739" s="2">
        <v>1406</v>
      </c>
      <c r="L1739" s="2">
        <v>2</v>
      </c>
      <c r="M1739" s="7">
        <f t="shared" ref="M1739:M1802" si="108">K1739*L1739</f>
        <v>2812</v>
      </c>
      <c r="N1739" s="7">
        <f t="shared" ref="N1739:N1802" si="109">J1739*L1739</f>
        <v>3066</v>
      </c>
      <c r="O1739" s="2">
        <v>22</v>
      </c>
      <c r="P1739" s="8">
        <f t="shared" ref="P1739:P1802" si="110">SUM(N1739,O1739)</f>
        <v>3088</v>
      </c>
      <c r="Q1739" s="8">
        <f t="shared" ref="Q1739:Q1802" si="111">N1739-O1739</f>
        <v>3044</v>
      </c>
      <c r="R1739" s="2" t="s">
        <v>56</v>
      </c>
      <c r="S1739" s="9">
        <f>VLOOKUP(P1739,$T$2:U1736,2,1)</f>
        <v>0.02</v>
      </c>
    </row>
    <row r="1740" spans="1:19" x14ac:dyDescent="0.25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e">
        <f>VLOOKUP(F1740,'Customer Info'!A1732:I2231,2,0)</f>
        <v>#N/A</v>
      </c>
      <c r="H1740" s="6" t="e">
        <f>VLOOKUP(F1740,'Customer Info'!A1732:I2231,3,0)</f>
        <v>#N/A</v>
      </c>
      <c r="I1740" s="6" t="e">
        <f>VLOOKUP(F1740,'Customer Info'!A1732:I2231,5,0)</f>
        <v>#N/A</v>
      </c>
      <c r="J1740" s="2">
        <v>1305</v>
      </c>
      <c r="K1740" s="2">
        <v>1197</v>
      </c>
      <c r="L1740" s="2">
        <v>2</v>
      </c>
      <c r="M1740" s="7">
        <f t="shared" si="108"/>
        <v>2394</v>
      </c>
      <c r="N1740" s="7">
        <f t="shared" si="109"/>
        <v>2610</v>
      </c>
      <c r="O1740" s="2">
        <v>74</v>
      </c>
      <c r="P1740" s="8">
        <f t="shared" si="110"/>
        <v>2684</v>
      </c>
      <c r="Q1740" s="8">
        <f t="shared" si="111"/>
        <v>2536</v>
      </c>
      <c r="R1740" s="2" t="s">
        <v>28</v>
      </c>
      <c r="S1740" s="9">
        <f>VLOOKUP(P1740,$T$2:U1737,2,1)</f>
        <v>0.02</v>
      </c>
    </row>
    <row r="1741" spans="1:19" x14ac:dyDescent="0.25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e">
        <f>VLOOKUP(F1741,'Customer Info'!A1733:I2232,2,0)</f>
        <v>#N/A</v>
      </c>
      <c r="H1741" s="6" t="e">
        <f>VLOOKUP(F1741,'Customer Info'!A1733:I2232,3,0)</f>
        <v>#N/A</v>
      </c>
      <c r="I1741" s="6" t="e">
        <f>VLOOKUP(F1741,'Customer Info'!A1733:I2232,5,0)</f>
        <v>#N/A</v>
      </c>
      <c r="J1741" s="2">
        <v>69</v>
      </c>
      <c r="K1741" s="2">
        <v>64</v>
      </c>
      <c r="L1741" s="2">
        <v>4</v>
      </c>
      <c r="M1741" s="7">
        <f t="shared" si="108"/>
        <v>256</v>
      </c>
      <c r="N1741" s="7">
        <f t="shared" si="109"/>
        <v>276</v>
      </c>
      <c r="O1741" s="2">
        <v>10</v>
      </c>
      <c r="P1741" s="8">
        <f t="shared" si="110"/>
        <v>286</v>
      </c>
      <c r="Q1741" s="8">
        <f t="shared" si="111"/>
        <v>266</v>
      </c>
      <c r="R1741" s="2" t="s">
        <v>50</v>
      </c>
      <c r="S1741" s="9">
        <f>VLOOKUP(P1741,$T$2:U1738,2,1)</f>
        <v>0.02</v>
      </c>
    </row>
    <row r="1742" spans="1:19" x14ac:dyDescent="0.25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e">
        <f>VLOOKUP(F1742,'Customer Info'!A1734:I2233,2,0)</f>
        <v>#N/A</v>
      </c>
      <c r="H1742" s="6" t="e">
        <f>VLOOKUP(F1742,'Customer Info'!A1734:I2233,3,0)</f>
        <v>#N/A</v>
      </c>
      <c r="I1742" s="6" t="e">
        <f>VLOOKUP(F1742,'Customer Info'!A1734:I2233,5,0)</f>
        <v>#N/A</v>
      </c>
      <c r="J1742" s="2">
        <v>25155</v>
      </c>
      <c r="K1742" s="2">
        <v>23753</v>
      </c>
      <c r="L1742" s="2">
        <v>2</v>
      </c>
      <c r="M1742" s="7">
        <f t="shared" si="108"/>
        <v>47506</v>
      </c>
      <c r="N1742" s="7">
        <f t="shared" si="109"/>
        <v>50310</v>
      </c>
      <c r="O1742" s="2">
        <v>27</v>
      </c>
      <c r="P1742" s="8">
        <f t="shared" si="110"/>
        <v>50337</v>
      </c>
      <c r="Q1742" s="8">
        <f t="shared" si="111"/>
        <v>50283</v>
      </c>
      <c r="R1742" s="2" t="s">
        <v>28</v>
      </c>
      <c r="S1742" s="9">
        <f>VLOOKUP(P1742,$T$2:U1739,2,1)</f>
        <v>0.09</v>
      </c>
    </row>
    <row r="1743" spans="1:19" x14ac:dyDescent="0.25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e">
        <f>VLOOKUP(F1743,'Customer Info'!A1735:I2234,2,0)</f>
        <v>#N/A</v>
      </c>
      <c r="H1743" s="6" t="e">
        <f>VLOOKUP(F1743,'Customer Info'!A1735:I2234,3,0)</f>
        <v>#N/A</v>
      </c>
      <c r="I1743" s="6" t="e">
        <f>VLOOKUP(F1743,'Customer Info'!A1735:I2234,5,0)</f>
        <v>#N/A</v>
      </c>
      <c r="J1743" s="2">
        <v>60</v>
      </c>
      <c r="K1743" s="2">
        <v>55</v>
      </c>
      <c r="L1743" s="2">
        <v>3</v>
      </c>
      <c r="M1743" s="7">
        <f t="shared" si="108"/>
        <v>165</v>
      </c>
      <c r="N1743" s="7">
        <f t="shared" si="109"/>
        <v>180</v>
      </c>
      <c r="O1743" s="2">
        <v>10</v>
      </c>
      <c r="P1743" s="8">
        <f t="shared" si="110"/>
        <v>190</v>
      </c>
      <c r="Q1743" s="8">
        <f t="shared" si="111"/>
        <v>170</v>
      </c>
      <c r="R1743" s="2" t="s">
        <v>28</v>
      </c>
      <c r="S1743" s="9">
        <f>VLOOKUP(P1743,$T$2:U1740,2,1)</f>
        <v>0.02</v>
      </c>
    </row>
    <row r="1744" spans="1:19" x14ac:dyDescent="0.25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e">
        <f>VLOOKUP(F1744,'Customer Info'!A1736:I2235,2,0)</f>
        <v>#N/A</v>
      </c>
      <c r="H1744" s="6" t="e">
        <f>VLOOKUP(F1744,'Customer Info'!A1736:I2235,3,0)</f>
        <v>#N/A</v>
      </c>
      <c r="I1744" s="6" t="e">
        <f>VLOOKUP(F1744,'Customer Info'!A1736:I2235,5,0)</f>
        <v>#N/A</v>
      </c>
      <c r="J1744" s="2">
        <v>3288</v>
      </c>
      <c r="K1744" s="2">
        <v>3041</v>
      </c>
      <c r="L1744" s="2">
        <v>2</v>
      </c>
      <c r="M1744" s="7">
        <f t="shared" si="108"/>
        <v>6082</v>
      </c>
      <c r="N1744" s="7">
        <f t="shared" si="109"/>
        <v>6576</v>
      </c>
      <c r="O1744" s="2">
        <v>87</v>
      </c>
      <c r="P1744" s="8">
        <f t="shared" si="110"/>
        <v>6663</v>
      </c>
      <c r="Q1744" s="8">
        <f t="shared" si="111"/>
        <v>6489</v>
      </c>
      <c r="R1744" s="2" t="s">
        <v>28</v>
      </c>
      <c r="S1744" s="9">
        <f>VLOOKUP(P1744,$T$2:U1741,2,1)</f>
        <v>0.05</v>
      </c>
    </row>
    <row r="1745" spans="1:19" x14ac:dyDescent="0.25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e">
        <f>VLOOKUP(F1745,'Customer Info'!A1737:I2236,2,0)</f>
        <v>#N/A</v>
      </c>
      <c r="H1745" s="6" t="e">
        <f>VLOOKUP(F1745,'Customer Info'!A1737:I2236,3,0)</f>
        <v>#N/A</v>
      </c>
      <c r="I1745" s="6" t="e">
        <f>VLOOKUP(F1745,'Customer Info'!A1737:I2236,5,0)</f>
        <v>#N/A</v>
      </c>
      <c r="J1745" s="2">
        <v>1318</v>
      </c>
      <c r="K1745" s="2">
        <v>1209</v>
      </c>
      <c r="L1745" s="2">
        <v>2</v>
      </c>
      <c r="M1745" s="7">
        <f t="shared" si="108"/>
        <v>2418</v>
      </c>
      <c r="N1745" s="7">
        <f t="shared" si="109"/>
        <v>2636</v>
      </c>
      <c r="O1745" s="2">
        <v>94</v>
      </c>
      <c r="P1745" s="8">
        <f t="shared" si="110"/>
        <v>2730</v>
      </c>
      <c r="Q1745" s="8">
        <f t="shared" si="111"/>
        <v>2542</v>
      </c>
      <c r="R1745" s="2" t="s">
        <v>26</v>
      </c>
      <c r="S1745" s="9">
        <f>VLOOKUP(P1745,$T$2:U1742,2,1)</f>
        <v>0.02</v>
      </c>
    </row>
    <row r="1746" spans="1:19" x14ac:dyDescent="0.25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e">
        <f>VLOOKUP(F1746,'Customer Info'!A1738:I2237,2,0)</f>
        <v>#N/A</v>
      </c>
      <c r="H1746" s="6" t="e">
        <f>VLOOKUP(F1746,'Customer Info'!A1738:I2237,3,0)</f>
        <v>#N/A</v>
      </c>
      <c r="I1746" s="6" t="e">
        <f>VLOOKUP(F1746,'Customer Info'!A1738:I2237,5,0)</f>
        <v>#N/A</v>
      </c>
      <c r="J1746" s="2">
        <v>693</v>
      </c>
      <c r="K1746" s="2">
        <v>667</v>
      </c>
      <c r="L1746" s="2">
        <v>4</v>
      </c>
      <c r="M1746" s="7">
        <f t="shared" si="108"/>
        <v>2668</v>
      </c>
      <c r="N1746" s="7">
        <f t="shared" si="109"/>
        <v>2772</v>
      </c>
      <c r="O1746" s="2">
        <v>80</v>
      </c>
      <c r="P1746" s="8">
        <f t="shared" si="110"/>
        <v>2852</v>
      </c>
      <c r="Q1746" s="8">
        <f t="shared" si="111"/>
        <v>2692</v>
      </c>
      <c r="R1746" s="2" t="s">
        <v>28</v>
      </c>
      <c r="S1746" s="9">
        <f>VLOOKUP(P1746,$T$2:U1743,2,1)</f>
        <v>0.02</v>
      </c>
    </row>
    <row r="1747" spans="1:19" x14ac:dyDescent="0.25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e">
        <f>VLOOKUP(F1747,'Customer Info'!A1739:I2238,2,0)</f>
        <v>#N/A</v>
      </c>
      <c r="H1747" s="6" t="e">
        <f>VLOOKUP(F1747,'Customer Info'!A1739:I2238,3,0)</f>
        <v>#N/A</v>
      </c>
      <c r="I1747" s="6" t="e">
        <f>VLOOKUP(F1747,'Customer Info'!A1739:I2238,5,0)</f>
        <v>#N/A</v>
      </c>
      <c r="J1747" s="2">
        <v>165</v>
      </c>
      <c r="K1747" s="2">
        <v>149</v>
      </c>
      <c r="L1747" s="2">
        <v>2</v>
      </c>
      <c r="M1747" s="7">
        <f t="shared" si="108"/>
        <v>298</v>
      </c>
      <c r="N1747" s="7">
        <f t="shared" si="109"/>
        <v>330</v>
      </c>
      <c r="O1747" s="2">
        <v>30</v>
      </c>
      <c r="P1747" s="8">
        <f t="shared" si="110"/>
        <v>360</v>
      </c>
      <c r="Q1747" s="8">
        <f t="shared" si="111"/>
        <v>300</v>
      </c>
      <c r="R1747" s="2" t="s">
        <v>50</v>
      </c>
      <c r="S1747" s="9">
        <f>VLOOKUP(P1747,$T$2:U1744,2,1)</f>
        <v>0.02</v>
      </c>
    </row>
    <row r="1748" spans="1:19" x14ac:dyDescent="0.25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e">
        <f>VLOOKUP(F1748,'Customer Info'!A1740:I2239,2,0)</f>
        <v>#N/A</v>
      </c>
      <c r="H1748" s="6" t="e">
        <f>VLOOKUP(F1748,'Customer Info'!A1740:I2239,3,0)</f>
        <v>#N/A</v>
      </c>
      <c r="I1748" s="6" t="e">
        <f>VLOOKUP(F1748,'Customer Info'!A1740:I2239,5,0)</f>
        <v>#N/A</v>
      </c>
      <c r="J1748" s="2">
        <v>1482</v>
      </c>
      <c r="K1748" s="2">
        <v>1453</v>
      </c>
      <c r="L1748" s="2">
        <v>1</v>
      </c>
      <c r="M1748" s="7">
        <f t="shared" si="108"/>
        <v>1453</v>
      </c>
      <c r="N1748" s="7">
        <f t="shared" si="109"/>
        <v>1482</v>
      </c>
      <c r="O1748" s="2">
        <v>75</v>
      </c>
      <c r="P1748" s="8">
        <f t="shared" si="110"/>
        <v>1557</v>
      </c>
      <c r="Q1748" s="8">
        <f t="shared" si="111"/>
        <v>1407</v>
      </c>
      <c r="R1748" s="2" t="s">
        <v>28</v>
      </c>
      <c r="S1748" s="9">
        <f>VLOOKUP(P1748,$T$2:U1745,2,1)</f>
        <v>0.02</v>
      </c>
    </row>
    <row r="1749" spans="1:19" x14ac:dyDescent="0.25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e">
        <f>VLOOKUP(F1749,'Customer Info'!A1741:I2240,2,0)</f>
        <v>#N/A</v>
      </c>
      <c r="H1749" s="6" t="e">
        <f>VLOOKUP(F1749,'Customer Info'!A1741:I2240,3,0)</f>
        <v>#N/A</v>
      </c>
      <c r="I1749" s="6" t="e">
        <f>VLOOKUP(F1749,'Customer Info'!A1741:I2240,5,0)</f>
        <v>#N/A</v>
      </c>
      <c r="J1749" s="2">
        <v>5894</v>
      </c>
      <c r="K1749" s="2">
        <v>5621</v>
      </c>
      <c r="L1749" s="2">
        <v>6</v>
      </c>
      <c r="M1749" s="7">
        <f t="shared" si="108"/>
        <v>33726</v>
      </c>
      <c r="N1749" s="7">
        <f t="shared" si="109"/>
        <v>35364</v>
      </c>
      <c r="O1749" s="2">
        <v>25</v>
      </c>
      <c r="P1749" s="8">
        <f t="shared" si="110"/>
        <v>35389</v>
      </c>
      <c r="Q1749" s="8">
        <f t="shared" si="111"/>
        <v>35339</v>
      </c>
      <c r="R1749" s="2" t="s">
        <v>28</v>
      </c>
      <c r="S1749" s="9">
        <f>VLOOKUP(P1749,$T$2:U1746,2,1)</f>
        <v>7.0000000000000007E-2</v>
      </c>
    </row>
    <row r="1750" spans="1:19" x14ac:dyDescent="0.25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e">
        <f>VLOOKUP(F1750,'Customer Info'!A1742:I2241,2,0)</f>
        <v>#N/A</v>
      </c>
      <c r="H1750" s="6" t="e">
        <f>VLOOKUP(F1750,'Customer Info'!A1742:I2241,3,0)</f>
        <v>#N/A</v>
      </c>
      <c r="I1750" s="6" t="e">
        <f>VLOOKUP(F1750,'Customer Info'!A1742:I2241,5,0)</f>
        <v>#N/A</v>
      </c>
      <c r="J1750" s="2">
        <v>393</v>
      </c>
      <c r="K1750" s="2">
        <v>374</v>
      </c>
      <c r="L1750" s="2">
        <v>2</v>
      </c>
      <c r="M1750" s="7">
        <f t="shared" si="108"/>
        <v>748</v>
      </c>
      <c r="N1750" s="7">
        <f t="shared" si="109"/>
        <v>786</v>
      </c>
      <c r="O1750" s="2">
        <v>27</v>
      </c>
      <c r="P1750" s="8">
        <f t="shared" si="110"/>
        <v>813</v>
      </c>
      <c r="Q1750" s="8">
        <f t="shared" si="111"/>
        <v>759</v>
      </c>
      <c r="R1750" s="2" t="s">
        <v>50</v>
      </c>
      <c r="S1750" s="9">
        <f>VLOOKUP(P1750,$T$2:U1747,2,1)</f>
        <v>0.02</v>
      </c>
    </row>
    <row r="1751" spans="1:19" x14ac:dyDescent="0.25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e">
        <f>VLOOKUP(F1751,'Customer Info'!A1743:I2242,2,0)</f>
        <v>#N/A</v>
      </c>
      <c r="H1751" s="6" t="e">
        <f>VLOOKUP(F1751,'Customer Info'!A1743:I2242,3,0)</f>
        <v>#N/A</v>
      </c>
      <c r="I1751" s="6" t="e">
        <f>VLOOKUP(F1751,'Customer Info'!A1743:I2242,5,0)</f>
        <v>#N/A</v>
      </c>
      <c r="J1751" s="2">
        <v>1637</v>
      </c>
      <c r="K1751" s="2">
        <v>1591</v>
      </c>
      <c r="L1751" s="2">
        <v>3</v>
      </c>
      <c r="M1751" s="7">
        <f t="shared" si="108"/>
        <v>4773</v>
      </c>
      <c r="N1751" s="7">
        <f t="shared" si="109"/>
        <v>4911</v>
      </c>
      <c r="O1751" s="2">
        <v>38</v>
      </c>
      <c r="P1751" s="8">
        <f t="shared" si="110"/>
        <v>4949</v>
      </c>
      <c r="Q1751" s="8">
        <f t="shared" si="111"/>
        <v>4873</v>
      </c>
      <c r="R1751" s="2" t="s">
        <v>28</v>
      </c>
      <c r="S1751" s="9">
        <f>VLOOKUP(P1751,$T$2:U1748,2,1)</f>
        <v>0.02</v>
      </c>
    </row>
    <row r="1752" spans="1:19" x14ac:dyDescent="0.25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e">
        <f>VLOOKUP(F1752,'Customer Info'!A1744:I2243,2,0)</f>
        <v>#N/A</v>
      </c>
      <c r="H1752" s="6" t="e">
        <f>VLOOKUP(F1752,'Customer Info'!A1744:I2243,3,0)</f>
        <v>#N/A</v>
      </c>
      <c r="I1752" s="6" t="e">
        <f>VLOOKUP(F1752,'Customer Info'!A1744:I2243,5,0)</f>
        <v>#N/A</v>
      </c>
      <c r="J1752" s="2">
        <v>1125</v>
      </c>
      <c r="K1752" s="2">
        <v>1040</v>
      </c>
      <c r="L1752" s="2">
        <v>1</v>
      </c>
      <c r="M1752" s="7">
        <f t="shared" si="108"/>
        <v>1040</v>
      </c>
      <c r="N1752" s="7">
        <f t="shared" si="109"/>
        <v>1125</v>
      </c>
      <c r="O1752" s="2">
        <v>43</v>
      </c>
      <c r="P1752" s="8">
        <f t="shared" si="110"/>
        <v>1168</v>
      </c>
      <c r="Q1752" s="8">
        <f t="shared" si="111"/>
        <v>1082</v>
      </c>
      <c r="R1752" s="2" t="s">
        <v>26</v>
      </c>
      <c r="S1752" s="9">
        <f>VLOOKUP(P1752,$T$2:U1749,2,1)</f>
        <v>0.02</v>
      </c>
    </row>
    <row r="1753" spans="1:19" x14ac:dyDescent="0.25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e">
        <f>VLOOKUP(F1753,'Customer Info'!A1745:I2244,2,0)</f>
        <v>#N/A</v>
      </c>
      <c r="H1753" s="6" t="e">
        <f>VLOOKUP(F1753,'Customer Info'!A1745:I2244,3,0)</f>
        <v>#N/A</v>
      </c>
      <c r="I1753" s="6" t="e">
        <f>VLOOKUP(F1753,'Customer Info'!A1745:I2244,5,0)</f>
        <v>#N/A</v>
      </c>
      <c r="J1753" s="2">
        <v>4704</v>
      </c>
      <c r="K1753" s="2">
        <v>4361</v>
      </c>
      <c r="L1753" s="2">
        <v>1</v>
      </c>
      <c r="M1753" s="7">
        <f t="shared" si="108"/>
        <v>4361</v>
      </c>
      <c r="N1753" s="7">
        <f t="shared" si="109"/>
        <v>4704</v>
      </c>
      <c r="O1753" s="2">
        <v>30</v>
      </c>
      <c r="P1753" s="8">
        <f t="shared" si="110"/>
        <v>4734</v>
      </c>
      <c r="Q1753" s="8">
        <f t="shared" si="111"/>
        <v>4674</v>
      </c>
      <c r="R1753" s="2" t="s">
        <v>28</v>
      </c>
      <c r="S1753" s="9">
        <f>VLOOKUP(P1753,$T$2:U1750,2,1)</f>
        <v>0.02</v>
      </c>
    </row>
    <row r="1754" spans="1:19" x14ac:dyDescent="0.25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e">
        <f>VLOOKUP(F1754,'Customer Info'!A1746:I2245,2,0)</f>
        <v>#N/A</v>
      </c>
      <c r="H1754" s="6" t="e">
        <f>VLOOKUP(F1754,'Customer Info'!A1746:I2245,3,0)</f>
        <v>#N/A</v>
      </c>
      <c r="I1754" s="6" t="e">
        <f>VLOOKUP(F1754,'Customer Info'!A1746:I2245,5,0)</f>
        <v>#N/A</v>
      </c>
      <c r="J1754" s="2">
        <v>1651</v>
      </c>
      <c r="K1754" s="2">
        <v>1604</v>
      </c>
      <c r="L1754" s="2">
        <v>5</v>
      </c>
      <c r="M1754" s="7">
        <f t="shared" si="108"/>
        <v>8020</v>
      </c>
      <c r="N1754" s="7">
        <f t="shared" si="109"/>
        <v>8255</v>
      </c>
      <c r="O1754" s="2">
        <v>67</v>
      </c>
      <c r="P1754" s="8">
        <f t="shared" si="110"/>
        <v>8322</v>
      </c>
      <c r="Q1754" s="8">
        <f t="shared" si="111"/>
        <v>8188</v>
      </c>
      <c r="R1754" s="2" t="s">
        <v>28</v>
      </c>
      <c r="S1754" s="9">
        <f>VLOOKUP(P1754,$T$2:U1751,2,1)</f>
        <v>0.05</v>
      </c>
    </row>
    <row r="1755" spans="1:19" x14ac:dyDescent="0.25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e">
        <f>VLOOKUP(F1755,'Customer Info'!A1747:I2246,2,0)</f>
        <v>#N/A</v>
      </c>
      <c r="H1755" s="6" t="e">
        <f>VLOOKUP(F1755,'Customer Info'!A1747:I2246,3,0)</f>
        <v>#N/A</v>
      </c>
      <c r="I1755" s="6" t="e">
        <f>VLOOKUP(F1755,'Customer Info'!A1747:I2246,5,0)</f>
        <v>#N/A</v>
      </c>
      <c r="J1755" s="2">
        <v>8738</v>
      </c>
      <c r="K1755" s="2">
        <v>8162</v>
      </c>
      <c r="L1755" s="2">
        <v>3</v>
      </c>
      <c r="M1755" s="7">
        <f t="shared" si="108"/>
        <v>24486</v>
      </c>
      <c r="N1755" s="7">
        <f t="shared" si="109"/>
        <v>26214</v>
      </c>
      <c r="O1755" s="2">
        <v>73</v>
      </c>
      <c r="P1755" s="8">
        <f t="shared" si="110"/>
        <v>26287</v>
      </c>
      <c r="Q1755" s="8">
        <f t="shared" si="111"/>
        <v>26141</v>
      </c>
      <c r="R1755" s="2" t="s">
        <v>28</v>
      </c>
      <c r="S1755" s="9">
        <f>VLOOKUP(P1755,$T$2:U1752,2,1)</f>
        <v>7.0000000000000007E-2</v>
      </c>
    </row>
    <row r="1756" spans="1:19" x14ac:dyDescent="0.25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e">
        <f>VLOOKUP(F1756,'Customer Info'!A1748:I2247,2,0)</f>
        <v>#N/A</v>
      </c>
      <c r="H1756" s="6" t="e">
        <f>VLOOKUP(F1756,'Customer Info'!A1748:I2247,3,0)</f>
        <v>#N/A</v>
      </c>
      <c r="I1756" s="6" t="e">
        <f>VLOOKUP(F1756,'Customer Info'!A1748:I2247,5,0)</f>
        <v>#N/A</v>
      </c>
      <c r="J1756" s="2">
        <v>2418</v>
      </c>
      <c r="K1756" s="2">
        <v>2282</v>
      </c>
      <c r="L1756" s="2">
        <v>3</v>
      </c>
      <c r="M1756" s="7">
        <f t="shared" si="108"/>
        <v>6846</v>
      </c>
      <c r="N1756" s="7">
        <f t="shared" si="109"/>
        <v>7254</v>
      </c>
      <c r="O1756" s="2">
        <v>99</v>
      </c>
      <c r="P1756" s="8">
        <f t="shared" si="110"/>
        <v>7353</v>
      </c>
      <c r="Q1756" s="8">
        <f t="shared" si="111"/>
        <v>7155</v>
      </c>
      <c r="R1756" s="2" t="s">
        <v>50</v>
      </c>
      <c r="S1756" s="9">
        <f>VLOOKUP(P1756,$T$2:U1753,2,1)</f>
        <v>0.05</v>
      </c>
    </row>
    <row r="1757" spans="1:19" x14ac:dyDescent="0.25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e">
        <f>VLOOKUP(F1757,'Customer Info'!A1749:I2248,2,0)</f>
        <v>#N/A</v>
      </c>
      <c r="H1757" s="6" t="e">
        <f>VLOOKUP(F1757,'Customer Info'!A1749:I2248,3,0)</f>
        <v>#N/A</v>
      </c>
      <c r="I1757" s="6" t="e">
        <f>VLOOKUP(F1757,'Customer Info'!A1749:I2248,5,0)</f>
        <v>#N/A</v>
      </c>
      <c r="J1757" s="2">
        <v>2540</v>
      </c>
      <c r="K1757" s="2">
        <v>2397</v>
      </c>
      <c r="L1757" s="2">
        <v>3</v>
      </c>
      <c r="M1757" s="7">
        <f t="shared" si="108"/>
        <v>7191</v>
      </c>
      <c r="N1757" s="7">
        <f t="shared" si="109"/>
        <v>7620</v>
      </c>
      <c r="O1757" s="2">
        <v>87</v>
      </c>
      <c r="P1757" s="8">
        <f t="shared" si="110"/>
        <v>7707</v>
      </c>
      <c r="Q1757" s="8">
        <f t="shared" si="111"/>
        <v>7533</v>
      </c>
      <c r="R1757" s="2" t="s">
        <v>28</v>
      </c>
      <c r="S1757" s="9">
        <f>VLOOKUP(P1757,$T$2:U1754,2,1)</f>
        <v>0.05</v>
      </c>
    </row>
    <row r="1758" spans="1:19" x14ac:dyDescent="0.25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e">
        <f>VLOOKUP(F1758,'Customer Info'!A1750:I2249,2,0)</f>
        <v>#N/A</v>
      </c>
      <c r="H1758" s="6" t="e">
        <f>VLOOKUP(F1758,'Customer Info'!A1750:I2249,3,0)</f>
        <v>#N/A</v>
      </c>
      <c r="I1758" s="6" t="e">
        <f>VLOOKUP(F1758,'Customer Info'!A1750:I2249,5,0)</f>
        <v>#N/A</v>
      </c>
      <c r="J1758" s="2">
        <v>666</v>
      </c>
      <c r="K1758" s="2">
        <v>641</v>
      </c>
      <c r="L1758" s="2">
        <v>1</v>
      </c>
      <c r="M1758" s="7">
        <f t="shared" si="108"/>
        <v>641</v>
      </c>
      <c r="N1758" s="7">
        <f t="shared" si="109"/>
        <v>666</v>
      </c>
      <c r="O1758" s="2">
        <v>35</v>
      </c>
      <c r="P1758" s="8">
        <f t="shared" si="110"/>
        <v>701</v>
      </c>
      <c r="Q1758" s="8">
        <f t="shared" si="111"/>
        <v>631</v>
      </c>
      <c r="R1758" s="2" t="s">
        <v>28</v>
      </c>
      <c r="S1758" s="9">
        <f>VLOOKUP(P1758,$T$2:U1755,2,1)</f>
        <v>0.02</v>
      </c>
    </row>
    <row r="1759" spans="1:19" x14ac:dyDescent="0.25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e">
        <f>VLOOKUP(F1759,'Customer Info'!A1751:I2250,2,0)</f>
        <v>#N/A</v>
      </c>
      <c r="H1759" s="6" t="e">
        <f>VLOOKUP(F1759,'Customer Info'!A1751:I2250,3,0)</f>
        <v>#N/A</v>
      </c>
      <c r="I1759" s="6" t="e">
        <f>VLOOKUP(F1759,'Customer Info'!A1751:I2250,5,0)</f>
        <v>#N/A</v>
      </c>
      <c r="J1759" s="2">
        <v>516</v>
      </c>
      <c r="K1759" s="2">
        <v>473</v>
      </c>
      <c r="L1759" s="2">
        <v>2</v>
      </c>
      <c r="M1759" s="7">
        <f t="shared" si="108"/>
        <v>946</v>
      </c>
      <c r="N1759" s="7">
        <f t="shared" si="109"/>
        <v>1032</v>
      </c>
      <c r="O1759" s="2">
        <v>91</v>
      </c>
      <c r="P1759" s="8">
        <f t="shared" si="110"/>
        <v>1123</v>
      </c>
      <c r="Q1759" s="8">
        <f t="shared" si="111"/>
        <v>941</v>
      </c>
      <c r="R1759" s="2" t="s">
        <v>28</v>
      </c>
      <c r="S1759" s="9">
        <f>VLOOKUP(P1759,$T$2:U1756,2,1)</f>
        <v>0.02</v>
      </c>
    </row>
    <row r="1760" spans="1:19" x14ac:dyDescent="0.25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e">
        <f>VLOOKUP(F1760,'Customer Info'!A1752:I2251,2,0)</f>
        <v>#N/A</v>
      </c>
      <c r="H1760" s="6" t="e">
        <f>VLOOKUP(F1760,'Customer Info'!A1752:I2251,3,0)</f>
        <v>#N/A</v>
      </c>
      <c r="I1760" s="6" t="e">
        <f>VLOOKUP(F1760,'Customer Info'!A1752:I2251,5,0)</f>
        <v>#N/A</v>
      </c>
      <c r="J1760" s="2">
        <v>520</v>
      </c>
      <c r="K1760" s="2">
        <v>477</v>
      </c>
      <c r="L1760" s="2">
        <v>1</v>
      </c>
      <c r="M1760" s="7">
        <f t="shared" si="108"/>
        <v>477</v>
      </c>
      <c r="N1760" s="7">
        <f t="shared" si="109"/>
        <v>520</v>
      </c>
      <c r="O1760" s="2">
        <v>59</v>
      </c>
      <c r="P1760" s="8">
        <f t="shared" si="110"/>
        <v>579</v>
      </c>
      <c r="Q1760" s="8">
        <f t="shared" si="111"/>
        <v>461</v>
      </c>
      <c r="R1760" s="2" t="s">
        <v>28</v>
      </c>
      <c r="S1760" s="9">
        <f>VLOOKUP(P1760,$T$2:U1757,2,1)</f>
        <v>0.02</v>
      </c>
    </row>
    <row r="1761" spans="1:19" x14ac:dyDescent="0.25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e">
        <f>VLOOKUP(F1761,'Customer Info'!A1753:I2252,2,0)</f>
        <v>#N/A</v>
      </c>
      <c r="H1761" s="6" t="e">
        <f>VLOOKUP(F1761,'Customer Info'!A1753:I2252,3,0)</f>
        <v>#N/A</v>
      </c>
      <c r="I1761" s="6" t="e">
        <f>VLOOKUP(F1761,'Customer Info'!A1753:I2252,5,0)</f>
        <v>#N/A</v>
      </c>
      <c r="J1761" s="2">
        <v>626</v>
      </c>
      <c r="K1761" s="2">
        <v>559</v>
      </c>
      <c r="L1761" s="2">
        <v>6</v>
      </c>
      <c r="M1761" s="7">
        <f t="shared" si="108"/>
        <v>3354</v>
      </c>
      <c r="N1761" s="7">
        <f t="shared" si="109"/>
        <v>3756</v>
      </c>
      <c r="O1761" s="2">
        <v>74</v>
      </c>
      <c r="P1761" s="8">
        <f t="shared" si="110"/>
        <v>3830</v>
      </c>
      <c r="Q1761" s="8">
        <f t="shared" si="111"/>
        <v>3682</v>
      </c>
      <c r="R1761" s="2" t="s">
        <v>50</v>
      </c>
      <c r="S1761" s="9">
        <f>VLOOKUP(P1761,$T$2:U1758,2,1)</f>
        <v>0.02</v>
      </c>
    </row>
    <row r="1762" spans="1:19" x14ac:dyDescent="0.25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e">
        <f>VLOOKUP(F1762,'Customer Info'!A1754:I2253,2,0)</f>
        <v>#N/A</v>
      </c>
      <c r="H1762" s="6" t="e">
        <f>VLOOKUP(F1762,'Customer Info'!A1754:I2253,3,0)</f>
        <v>#N/A</v>
      </c>
      <c r="I1762" s="6" t="e">
        <f>VLOOKUP(F1762,'Customer Info'!A1754:I2253,5,0)</f>
        <v>#N/A</v>
      </c>
      <c r="J1762" s="2">
        <v>809</v>
      </c>
      <c r="K1762" s="2">
        <v>770</v>
      </c>
      <c r="L1762" s="2">
        <v>2</v>
      </c>
      <c r="M1762" s="7">
        <f t="shared" si="108"/>
        <v>1540</v>
      </c>
      <c r="N1762" s="7">
        <f t="shared" si="109"/>
        <v>1618</v>
      </c>
      <c r="O1762" s="2">
        <v>67</v>
      </c>
      <c r="P1762" s="8">
        <f t="shared" si="110"/>
        <v>1685</v>
      </c>
      <c r="Q1762" s="8">
        <f t="shared" si="111"/>
        <v>1551</v>
      </c>
      <c r="R1762" s="2" t="s">
        <v>50</v>
      </c>
      <c r="S1762" s="9">
        <f>VLOOKUP(P1762,$T$2:U1759,2,1)</f>
        <v>0.02</v>
      </c>
    </row>
    <row r="1763" spans="1:19" x14ac:dyDescent="0.25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e">
        <f>VLOOKUP(F1763,'Customer Info'!A1755:I2254,2,0)</f>
        <v>#N/A</v>
      </c>
      <c r="H1763" s="6" t="e">
        <f>VLOOKUP(F1763,'Customer Info'!A1755:I2254,3,0)</f>
        <v>#N/A</v>
      </c>
      <c r="I1763" s="6" t="e">
        <f>VLOOKUP(F1763,'Customer Info'!A1755:I2254,5,0)</f>
        <v>#N/A</v>
      </c>
      <c r="J1763" s="2">
        <v>8160</v>
      </c>
      <c r="K1763" s="2">
        <v>7475</v>
      </c>
      <c r="L1763" s="2">
        <v>1</v>
      </c>
      <c r="M1763" s="7">
        <f t="shared" si="108"/>
        <v>7475</v>
      </c>
      <c r="N1763" s="7">
        <f t="shared" si="109"/>
        <v>8160</v>
      </c>
      <c r="O1763" s="2">
        <v>67</v>
      </c>
      <c r="P1763" s="8">
        <f t="shared" si="110"/>
        <v>8227</v>
      </c>
      <c r="Q1763" s="8">
        <f t="shared" si="111"/>
        <v>8093</v>
      </c>
      <c r="R1763" s="2" t="s">
        <v>28</v>
      </c>
      <c r="S1763" s="9">
        <f>VLOOKUP(P1763,$T$2:U1760,2,1)</f>
        <v>0.05</v>
      </c>
    </row>
    <row r="1764" spans="1:19" x14ac:dyDescent="0.25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e">
        <f>VLOOKUP(F1764,'Customer Info'!A1756:I2255,2,0)</f>
        <v>#N/A</v>
      </c>
      <c r="H1764" s="6" t="e">
        <f>VLOOKUP(F1764,'Customer Info'!A1756:I2255,3,0)</f>
        <v>#N/A</v>
      </c>
      <c r="I1764" s="6" t="e">
        <f>VLOOKUP(F1764,'Customer Info'!A1756:I2255,5,0)</f>
        <v>#N/A</v>
      </c>
      <c r="J1764" s="2">
        <v>835</v>
      </c>
      <c r="K1764" s="2">
        <v>796</v>
      </c>
      <c r="L1764" s="2">
        <v>2</v>
      </c>
      <c r="M1764" s="7">
        <f t="shared" si="108"/>
        <v>1592</v>
      </c>
      <c r="N1764" s="7">
        <f t="shared" si="109"/>
        <v>1670</v>
      </c>
      <c r="O1764" s="2">
        <v>28</v>
      </c>
      <c r="P1764" s="8">
        <f t="shared" si="110"/>
        <v>1698</v>
      </c>
      <c r="Q1764" s="8">
        <f t="shared" si="111"/>
        <v>1642</v>
      </c>
      <c r="R1764" s="2" t="s">
        <v>28</v>
      </c>
      <c r="S1764" s="9">
        <f>VLOOKUP(P1764,$T$2:U1761,2,1)</f>
        <v>0.02</v>
      </c>
    </row>
    <row r="1765" spans="1:19" x14ac:dyDescent="0.25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e">
        <f>VLOOKUP(F1765,'Customer Info'!A1757:I2256,2,0)</f>
        <v>#N/A</v>
      </c>
      <c r="H1765" s="6" t="e">
        <f>VLOOKUP(F1765,'Customer Info'!A1757:I2256,3,0)</f>
        <v>#N/A</v>
      </c>
      <c r="I1765" s="6" t="e">
        <f>VLOOKUP(F1765,'Customer Info'!A1757:I2256,5,0)</f>
        <v>#N/A</v>
      </c>
      <c r="J1765" s="2">
        <v>63</v>
      </c>
      <c r="K1765" s="2">
        <v>58</v>
      </c>
      <c r="L1765" s="2">
        <v>2</v>
      </c>
      <c r="M1765" s="7">
        <f t="shared" si="108"/>
        <v>116</v>
      </c>
      <c r="N1765" s="7">
        <f t="shared" si="109"/>
        <v>126</v>
      </c>
      <c r="O1765" s="2">
        <v>10</v>
      </c>
      <c r="P1765" s="8">
        <f t="shared" si="110"/>
        <v>136</v>
      </c>
      <c r="Q1765" s="8">
        <f t="shared" si="111"/>
        <v>116</v>
      </c>
      <c r="R1765" s="2" t="s">
        <v>28</v>
      </c>
      <c r="S1765" s="9">
        <f>VLOOKUP(P1765,$T$2:U1762,2,1)</f>
        <v>0.02</v>
      </c>
    </row>
    <row r="1766" spans="1:19" x14ac:dyDescent="0.25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e">
        <f>VLOOKUP(F1766,'Customer Info'!A1758:I2257,2,0)</f>
        <v>#N/A</v>
      </c>
      <c r="H1766" s="6" t="e">
        <f>VLOOKUP(F1766,'Customer Info'!A1758:I2257,3,0)</f>
        <v>#N/A</v>
      </c>
      <c r="I1766" s="6" t="e">
        <f>VLOOKUP(F1766,'Customer Info'!A1758:I2257,5,0)</f>
        <v>#N/A</v>
      </c>
      <c r="J1766" s="2">
        <v>8026</v>
      </c>
      <c r="K1766" s="2">
        <v>7572</v>
      </c>
      <c r="L1766" s="2">
        <v>4</v>
      </c>
      <c r="M1766" s="7">
        <f t="shared" si="108"/>
        <v>30288</v>
      </c>
      <c r="N1766" s="7">
        <f t="shared" si="109"/>
        <v>32104</v>
      </c>
      <c r="O1766" s="2">
        <v>68</v>
      </c>
      <c r="P1766" s="8">
        <f t="shared" si="110"/>
        <v>32172</v>
      </c>
      <c r="Q1766" s="8">
        <f t="shared" si="111"/>
        <v>32036</v>
      </c>
      <c r="R1766" s="2" t="s">
        <v>28</v>
      </c>
      <c r="S1766" s="9">
        <f>VLOOKUP(P1766,$T$2:U1763,2,1)</f>
        <v>7.0000000000000007E-2</v>
      </c>
    </row>
    <row r="1767" spans="1:19" x14ac:dyDescent="0.25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e">
        <f>VLOOKUP(F1767,'Customer Info'!A1759:I2258,2,0)</f>
        <v>#N/A</v>
      </c>
      <c r="H1767" s="6" t="e">
        <f>VLOOKUP(F1767,'Customer Info'!A1759:I2258,3,0)</f>
        <v>#N/A</v>
      </c>
      <c r="I1767" s="6" t="e">
        <f>VLOOKUP(F1767,'Customer Info'!A1759:I2258,5,0)</f>
        <v>#N/A</v>
      </c>
      <c r="J1767" s="2">
        <v>3224</v>
      </c>
      <c r="K1767" s="2">
        <v>2901</v>
      </c>
      <c r="L1767" s="2">
        <v>1</v>
      </c>
      <c r="M1767" s="7">
        <f t="shared" si="108"/>
        <v>2901</v>
      </c>
      <c r="N1767" s="7">
        <f t="shared" si="109"/>
        <v>3224</v>
      </c>
      <c r="O1767" s="2">
        <v>33</v>
      </c>
      <c r="P1767" s="8">
        <f t="shared" si="110"/>
        <v>3257</v>
      </c>
      <c r="Q1767" s="8">
        <f t="shared" si="111"/>
        <v>3191</v>
      </c>
      <c r="R1767" s="2" t="s">
        <v>28</v>
      </c>
      <c r="S1767" s="9">
        <f>VLOOKUP(P1767,$T$2:U1764,2,1)</f>
        <v>0.02</v>
      </c>
    </row>
    <row r="1768" spans="1:19" x14ac:dyDescent="0.25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e">
        <f>VLOOKUP(F1768,'Customer Info'!A1760:I2259,2,0)</f>
        <v>#N/A</v>
      </c>
      <c r="H1768" s="6" t="e">
        <f>VLOOKUP(F1768,'Customer Info'!A1760:I2259,3,0)</f>
        <v>#N/A</v>
      </c>
      <c r="I1768" s="6" t="e">
        <f>VLOOKUP(F1768,'Customer Info'!A1760:I2259,5,0)</f>
        <v>#N/A</v>
      </c>
      <c r="J1768" s="2">
        <v>1358</v>
      </c>
      <c r="K1768" s="2">
        <v>1257</v>
      </c>
      <c r="L1768" s="2">
        <v>4</v>
      </c>
      <c r="M1768" s="7">
        <f t="shared" si="108"/>
        <v>5028</v>
      </c>
      <c r="N1768" s="7">
        <f t="shared" si="109"/>
        <v>5432</v>
      </c>
      <c r="O1768" s="2">
        <v>86</v>
      </c>
      <c r="P1768" s="8">
        <f t="shared" si="110"/>
        <v>5518</v>
      </c>
      <c r="Q1768" s="8">
        <f t="shared" si="111"/>
        <v>5346</v>
      </c>
      <c r="R1768" s="2" t="s">
        <v>50</v>
      </c>
      <c r="S1768" s="9">
        <f>VLOOKUP(P1768,$T$2:U1765,2,1)</f>
        <v>0.05</v>
      </c>
    </row>
    <row r="1769" spans="1:19" x14ac:dyDescent="0.25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e">
        <f>VLOOKUP(F1769,'Customer Info'!A1761:I2260,2,0)</f>
        <v>#N/A</v>
      </c>
      <c r="H1769" s="6" t="e">
        <f>VLOOKUP(F1769,'Customer Info'!A1761:I2260,3,0)</f>
        <v>#N/A</v>
      </c>
      <c r="I1769" s="6" t="e">
        <f>VLOOKUP(F1769,'Customer Info'!A1761:I2260,5,0)</f>
        <v>#N/A</v>
      </c>
      <c r="J1769" s="2">
        <v>1704</v>
      </c>
      <c r="K1769" s="2">
        <v>1624</v>
      </c>
      <c r="L1769" s="2">
        <v>5</v>
      </c>
      <c r="M1769" s="7">
        <f t="shared" si="108"/>
        <v>8120</v>
      </c>
      <c r="N1769" s="7">
        <f t="shared" si="109"/>
        <v>8520</v>
      </c>
      <c r="O1769" s="2">
        <v>27</v>
      </c>
      <c r="P1769" s="8">
        <f t="shared" si="110"/>
        <v>8547</v>
      </c>
      <c r="Q1769" s="8">
        <f t="shared" si="111"/>
        <v>8493</v>
      </c>
      <c r="R1769" s="2" t="s">
        <v>28</v>
      </c>
      <c r="S1769" s="9">
        <f>VLOOKUP(P1769,$T$2:U1766,2,1)</f>
        <v>0.05</v>
      </c>
    </row>
    <row r="1770" spans="1:19" x14ac:dyDescent="0.25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e">
        <f>VLOOKUP(F1770,'Customer Info'!A1762:I2261,2,0)</f>
        <v>#N/A</v>
      </c>
      <c r="H1770" s="6" t="e">
        <f>VLOOKUP(F1770,'Customer Info'!A1762:I2261,3,0)</f>
        <v>#N/A</v>
      </c>
      <c r="I1770" s="6" t="e">
        <f>VLOOKUP(F1770,'Customer Info'!A1762:I2261,5,0)</f>
        <v>#N/A</v>
      </c>
      <c r="J1770" s="2">
        <v>135</v>
      </c>
      <c r="K1770" s="2">
        <v>129</v>
      </c>
      <c r="L1770" s="2">
        <v>2</v>
      </c>
      <c r="M1770" s="7">
        <f t="shared" si="108"/>
        <v>258</v>
      </c>
      <c r="N1770" s="7">
        <f t="shared" si="109"/>
        <v>270</v>
      </c>
      <c r="O1770" s="2">
        <v>30</v>
      </c>
      <c r="P1770" s="8">
        <f t="shared" si="110"/>
        <v>300</v>
      </c>
      <c r="Q1770" s="8">
        <f t="shared" si="111"/>
        <v>240</v>
      </c>
      <c r="R1770" s="2" t="s">
        <v>28</v>
      </c>
      <c r="S1770" s="9">
        <f>VLOOKUP(P1770,$T$2:U1767,2,1)</f>
        <v>0.02</v>
      </c>
    </row>
    <row r="1771" spans="1:19" x14ac:dyDescent="0.25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e">
        <f>VLOOKUP(F1771,'Customer Info'!A1763:I2262,2,0)</f>
        <v>#N/A</v>
      </c>
      <c r="H1771" s="6" t="e">
        <f>VLOOKUP(F1771,'Customer Info'!A1763:I2262,3,0)</f>
        <v>#N/A</v>
      </c>
      <c r="I1771" s="6" t="e">
        <f>VLOOKUP(F1771,'Customer Info'!A1763:I2262,5,0)</f>
        <v>#N/A</v>
      </c>
      <c r="J1771" s="2">
        <v>162</v>
      </c>
      <c r="K1771" s="2">
        <v>148</v>
      </c>
      <c r="L1771" s="2">
        <v>5</v>
      </c>
      <c r="M1771" s="7">
        <f t="shared" si="108"/>
        <v>740</v>
      </c>
      <c r="N1771" s="7">
        <f t="shared" si="109"/>
        <v>810</v>
      </c>
      <c r="O1771" s="2">
        <v>30</v>
      </c>
      <c r="P1771" s="8">
        <f t="shared" si="110"/>
        <v>840</v>
      </c>
      <c r="Q1771" s="8">
        <f t="shared" si="111"/>
        <v>780</v>
      </c>
      <c r="R1771" s="2" t="s">
        <v>28</v>
      </c>
      <c r="S1771" s="9">
        <f>VLOOKUP(P1771,$T$2:U1768,2,1)</f>
        <v>0.02</v>
      </c>
    </row>
    <row r="1772" spans="1:19" x14ac:dyDescent="0.25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e">
        <f>VLOOKUP(F1772,'Customer Info'!A1764:I2263,2,0)</f>
        <v>#N/A</v>
      </c>
      <c r="H1772" s="6" t="e">
        <f>VLOOKUP(F1772,'Customer Info'!A1764:I2263,3,0)</f>
        <v>#N/A</v>
      </c>
      <c r="I1772" s="6" t="e">
        <f>VLOOKUP(F1772,'Customer Info'!A1764:I2263,5,0)</f>
        <v>#N/A</v>
      </c>
      <c r="J1772" s="2">
        <v>1568</v>
      </c>
      <c r="K1772" s="2">
        <v>1495</v>
      </c>
      <c r="L1772" s="2">
        <v>4</v>
      </c>
      <c r="M1772" s="7">
        <f t="shared" si="108"/>
        <v>5980</v>
      </c>
      <c r="N1772" s="7">
        <f t="shared" si="109"/>
        <v>6272</v>
      </c>
      <c r="O1772" s="2">
        <v>97</v>
      </c>
      <c r="P1772" s="8">
        <f t="shared" si="110"/>
        <v>6369</v>
      </c>
      <c r="Q1772" s="8">
        <f t="shared" si="111"/>
        <v>6175</v>
      </c>
      <c r="R1772" s="2" t="s">
        <v>28</v>
      </c>
      <c r="S1772" s="9">
        <f>VLOOKUP(P1772,$T$2:U1769,2,1)</f>
        <v>0.05</v>
      </c>
    </row>
    <row r="1773" spans="1:19" x14ac:dyDescent="0.25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e">
        <f>VLOOKUP(F1773,'Customer Info'!A1765:I2264,2,0)</f>
        <v>#N/A</v>
      </c>
      <c r="H1773" s="6" t="e">
        <f>VLOOKUP(F1773,'Customer Info'!A1765:I2264,3,0)</f>
        <v>#N/A</v>
      </c>
      <c r="I1773" s="6" t="e">
        <f>VLOOKUP(F1773,'Customer Info'!A1765:I2264,5,0)</f>
        <v>#N/A</v>
      </c>
      <c r="J1773" s="2">
        <v>2706</v>
      </c>
      <c r="K1773" s="2">
        <v>2553</v>
      </c>
      <c r="L1773" s="2">
        <v>2</v>
      </c>
      <c r="M1773" s="7">
        <f t="shared" si="108"/>
        <v>5106</v>
      </c>
      <c r="N1773" s="7">
        <f t="shared" si="109"/>
        <v>5412</v>
      </c>
      <c r="O1773" s="2">
        <v>31</v>
      </c>
      <c r="P1773" s="8">
        <f t="shared" si="110"/>
        <v>5443</v>
      </c>
      <c r="Q1773" s="8">
        <f t="shared" si="111"/>
        <v>5381</v>
      </c>
      <c r="R1773" s="2" t="s">
        <v>28</v>
      </c>
      <c r="S1773" s="9">
        <f>VLOOKUP(P1773,$T$2:U1770,2,1)</f>
        <v>0.05</v>
      </c>
    </row>
    <row r="1774" spans="1:19" x14ac:dyDescent="0.25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e">
        <f>VLOOKUP(F1774,'Customer Info'!A1766:I2265,2,0)</f>
        <v>#N/A</v>
      </c>
      <c r="H1774" s="6" t="e">
        <f>VLOOKUP(F1774,'Customer Info'!A1766:I2265,3,0)</f>
        <v>#N/A</v>
      </c>
      <c r="I1774" s="6" t="e">
        <f>VLOOKUP(F1774,'Customer Info'!A1766:I2265,5,0)</f>
        <v>#N/A</v>
      </c>
      <c r="J1774" s="2">
        <v>135</v>
      </c>
      <c r="K1774" s="2">
        <v>126</v>
      </c>
      <c r="L1774" s="2">
        <v>3</v>
      </c>
      <c r="M1774" s="7">
        <f t="shared" si="108"/>
        <v>378</v>
      </c>
      <c r="N1774" s="7">
        <f t="shared" si="109"/>
        <v>405</v>
      </c>
      <c r="O1774" s="2">
        <v>30</v>
      </c>
      <c r="P1774" s="8">
        <f t="shared" si="110"/>
        <v>435</v>
      </c>
      <c r="Q1774" s="8">
        <f t="shared" si="111"/>
        <v>375</v>
      </c>
      <c r="R1774" s="2" t="s">
        <v>28</v>
      </c>
      <c r="S1774" s="9">
        <f>VLOOKUP(P1774,$T$2:U1771,2,1)</f>
        <v>0.02</v>
      </c>
    </row>
    <row r="1775" spans="1:19" x14ac:dyDescent="0.25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e">
        <f>VLOOKUP(F1775,'Customer Info'!A1767:I2266,2,0)</f>
        <v>#N/A</v>
      </c>
      <c r="H1775" s="6" t="e">
        <f>VLOOKUP(F1775,'Customer Info'!A1767:I2266,3,0)</f>
        <v>#N/A</v>
      </c>
      <c r="I1775" s="6" t="e">
        <f>VLOOKUP(F1775,'Customer Info'!A1767:I2266,5,0)</f>
        <v>#N/A</v>
      </c>
      <c r="J1775" s="2">
        <v>1071</v>
      </c>
      <c r="K1775" s="2">
        <v>1010</v>
      </c>
      <c r="L1775" s="2">
        <v>5</v>
      </c>
      <c r="M1775" s="7">
        <f t="shared" si="108"/>
        <v>5050</v>
      </c>
      <c r="N1775" s="7">
        <f t="shared" si="109"/>
        <v>5355</v>
      </c>
      <c r="O1775" s="2">
        <v>75</v>
      </c>
      <c r="P1775" s="8">
        <f t="shared" si="110"/>
        <v>5430</v>
      </c>
      <c r="Q1775" s="8">
        <f t="shared" si="111"/>
        <v>5280</v>
      </c>
      <c r="R1775" s="2" t="s">
        <v>28</v>
      </c>
      <c r="S1775" s="9">
        <f>VLOOKUP(P1775,$T$2:U1772,2,1)</f>
        <v>0.05</v>
      </c>
    </row>
    <row r="1776" spans="1:19" x14ac:dyDescent="0.25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e">
        <f>VLOOKUP(F1776,'Customer Info'!A1768:I2267,2,0)</f>
        <v>#N/A</v>
      </c>
      <c r="H1776" s="6" t="e">
        <f>VLOOKUP(F1776,'Customer Info'!A1768:I2267,3,0)</f>
        <v>#N/A</v>
      </c>
      <c r="I1776" s="6" t="e">
        <f>VLOOKUP(F1776,'Customer Info'!A1768:I2267,5,0)</f>
        <v>#N/A</v>
      </c>
      <c r="J1776" s="2">
        <v>125</v>
      </c>
      <c r="K1776" s="2">
        <v>113</v>
      </c>
      <c r="L1776" s="2">
        <v>7</v>
      </c>
      <c r="M1776" s="7">
        <f t="shared" si="108"/>
        <v>791</v>
      </c>
      <c r="N1776" s="7">
        <f t="shared" si="109"/>
        <v>875</v>
      </c>
      <c r="O1776" s="2">
        <v>30</v>
      </c>
      <c r="P1776" s="8">
        <f t="shared" si="110"/>
        <v>905</v>
      </c>
      <c r="Q1776" s="8">
        <f t="shared" si="111"/>
        <v>845</v>
      </c>
      <c r="R1776" s="2" t="s">
        <v>28</v>
      </c>
      <c r="S1776" s="9">
        <f>VLOOKUP(P1776,$T$2:U1773,2,1)</f>
        <v>0.02</v>
      </c>
    </row>
    <row r="1777" spans="1:19" x14ac:dyDescent="0.25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e">
        <f>VLOOKUP(F1777,'Customer Info'!A1769:I2268,2,0)</f>
        <v>#N/A</v>
      </c>
      <c r="H1777" s="6" t="e">
        <f>VLOOKUP(F1777,'Customer Info'!A1769:I2268,3,0)</f>
        <v>#N/A</v>
      </c>
      <c r="I1777" s="6" t="e">
        <f>VLOOKUP(F1777,'Customer Info'!A1769:I2268,5,0)</f>
        <v>#N/A</v>
      </c>
      <c r="J1777" s="2">
        <v>2418</v>
      </c>
      <c r="K1777" s="2">
        <v>2282</v>
      </c>
      <c r="L1777" s="2">
        <v>5</v>
      </c>
      <c r="M1777" s="7">
        <f t="shared" si="108"/>
        <v>11410</v>
      </c>
      <c r="N1777" s="7">
        <f t="shared" si="109"/>
        <v>12090</v>
      </c>
      <c r="O1777" s="2">
        <v>28</v>
      </c>
      <c r="P1777" s="8">
        <f t="shared" si="110"/>
        <v>12118</v>
      </c>
      <c r="Q1777" s="8">
        <f t="shared" si="111"/>
        <v>12062</v>
      </c>
      <c r="R1777" s="2" t="s">
        <v>28</v>
      </c>
      <c r="S1777" s="9">
        <f>VLOOKUP(P1777,$T$2:U1774,2,1)</f>
        <v>0.05</v>
      </c>
    </row>
    <row r="1778" spans="1:19" x14ac:dyDescent="0.25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e">
        <f>VLOOKUP(F1778,'Customer Info'!A1770:I2269,2,0)</f>
        <v>#N/A</v>
      </c>
      <c r="H1778" s="6" t="e">
        <f>VLOOKUP(F1778,'Customer Info'!A1770:I2269,3,0)</f>
        <v>#N/A</v>
      </c>
      <c r="I1778" s="6" t="e">
        <f>VLOOKUP(F1778,'Customer Info'!A1770:I2269,5,0)</f>
        <v>#N/A</v>
      </c>
      <c r="J1778" s="2">
        <v>1601</v>
      </c>
      <c r="K1778" s="2">
        <v>1510</v>
      </c>
      <c r="L1778" s="2">
        <v>6</v>
      </c>
      <c r="M1778" s="7">
        <f t="shared" si="108"/>
        <v>9060</v>
      </c>
      <c r="N1778" s="7">
        <f t="shared" si="109"/>
        <v>9606</v>
      </c>
      <c r="O1778" s="2">
        <v>87</v>
      </c>
      <c r="P1778" s="8">
        <f t="shared" si="110"/>
        <v>9693</v>
      </c>
      <c r="Q1778" s="8">
        <f t="shared" si="111"/>
        <v>9519</v>
      </c>
      <c r="R1778" s="2" t="s">
        <v>28</v>
      </c>
      <c r="S1778" s="9">
        <f>VLOOKUP(P1778,$T$2:U1775,2,1)</f>
        <v>0.05</v>
      </c>
    </row>
    <row r="1779" spans="1:19" x14ac:dyDescent="0.25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e">
        <f>VLOOKUP(F1779,'Customer Info'!A1771:I2270,2,0)</f>
        <v>#N/A</v>
      </c>
      <c r="H1779" s="6" t="e">
        <f>VLOOKUP(F1779,'Customer Info'!A1771:I2270,3,0)</f>
        <v>#N/A</v>
      </c>
      <c r="I1779" s="6" t="e">
        <f>VLOOKUP(F1779,'Customer Info'!A1771:I2270,5,0)</f>
        <v>#N/A</v>
      </c>
      <c r="J1779" s="2">
        <v>167</v>
      </c>
      <c r="K1779" s="2">
        <v>152</v>
      </c>
      <c r="L1779" s="2">
        <v>4</v>
      </c>
      <c r="M1779" s="7">
        <f t="shared" si="108"/>
        <v>608</v>
      </c>
      <c r="N1779" s="7">
        <f t="shared" si="109"/>
        <v>668</v>
      </c>
      <c r="O1779" s="2">
        <v>30</v>
      </c>
      <c r="P1779" s="8">
        <f t="shared" si="110"/>
        <v>698</v>
      </c>
      <c r="Q1779" s="8">
        <f t="shared" si="111"/>
        <v>638</v>
      </c>
      <c r="R1779" s="2" t="s">
        <v>28</v>
      </c>
      <c r="S1779" s="9">
        <f>VLOOKUP(P1779,$T$2:U1776,2,1)</f>
        <v>0.02</v>
      </c>
    </row>
    <row r="1780" spans="1:19" x14ac:dyDescent="0.25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e">
        <f>VLOOKUP(F1780,'Customer Info'!A1772:I2271,2,0)</f>
        <v>#N/A</v>
      </c>
      <c r="H1780" s="6" t="e">
        <f>VLOOKUP(F1780,'Customer Info'!A1772:I2271,3,0)</f>
        <v>#N/A</v>
      </c>
      <c r="I1780" s="6" t="e">
        <f>VLOOKUP(F1780,'Customer Info'!A1772:I2271,5,0)</f>
        <v>#N/A</v>
      </c>
      <c r="J1780" s="2">
        <v>1997</v>
      </c>
      <c r="K1780" s="2">
        <v>1816</v>
      </c>
      <c r="L1780" s="2">
        <v>3</v>
      </c>
      <c r="M1780" s="7">
        <f t="shared" si="108"/>
        <v>5448</v>
      </c>
      <c r="N1780" s="7">
        <f t="shared" si="109"/>
        <v>5991</v>
      </c>
      <c r="O1780" s="2">
        <v>34</v>
      </c>
      <c r="P1780" s="8">
        <f t="shared" si="110"/>
        <v>6025</v>
      </c>
      <c r="Q1780" s="8">
        <f t="shared" si="111"/>
        <v>5957</v>
      </c>
      <c r="R1780" s="2" t="s">
        <v>28</v>
      </c>
      <c r="S1780" s="9">
        <f>VLOOKUP(P1780,$T$2:U1777,2,1)</f>
        <v>0.05</v>
      </c>
    </row>
    <row r="1781" spans="1:19" x14ac:dyDescent="0.25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e">
        <f>VLOOKUP(F1781,'Customer Info'!A1773:I2272,2,0)</f>
        <v>#N/A</v>
      </c>
      <c r="H1781" s="6" t="e">
        <f>VLOOKUP(F1781,'Customer Info'!A1773:I2272,3,0)</f>
        <v>#N/A</v>
      </c>
      <c r="I1781" s="6" t="e">
        <f>VLOOKUP(F1781,'Customer Info'!A1773:I2272,5,0)</f>
        <v>#N/A</v>
      </c>
      <c r="J1781" s="2">
        <v>2965</v>
      </c>
      <c r="K1781" s="2">
        <v>2694</v>
      </c>
      <c r="L1781" s="2">
        <v>3</v>
      </c>
      <c r="M1781" s="7">
        <f t="shared" si="108"/>
        <v>8082</v>
      </c>
      <c r="N1781" s="7">
        <f t="shared" si="109"/>
        <v>8895</v>
      </c>
      <c r="O1781" s="2">
        <v>50</v>
      </c>
      <c r="P1781" s="8">
        <f t="shared" si="110"/>
        <v>8945</v>
      </c>
      <c r="Q1781" s="8">
        <f t="shared" si="111"/>
        <v>8845</v>
      </c>
      <c r="R1781" s="2" t="s">
        <v>28</v>
      </c>
      <c r="S1781" s="9">
        <f>VLOOKUP(P1781,$T$2:U1778,2,1)</f>
        <v>0.05</v>
      </c>
    </row>
    <row r="1782" spans="1:19" x14ac:dyDescent="0.25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e">
        <f>VLOOKUP(F1782,'Customer Info'!A1774:I2273,2,0)</f>
        <v>#N/A</v>
      </c>
      <c r="H1782" s="6" t="e">
        <f>VLOOKUP(F1782,'Customer Info'!A1774:I2273,3,0)</f>
        <v>#N/A</v>
      </c>
      <c r="I1782" s="6" t="e">
        <f>VLOOKUP(F1782,'Customer Info'!A1774:I2273,5,0)</f>
        <v>#N/A</v>
      </c>
      <c r="J1782" s="2">
        <v>8026</v>
      </c>
      <c r="K1782" s="2">
        <v>7572</v>
      </c>
      <c r="L1782" s="2">
        <v>13</v>
      </c>
      <c r="M1782" s="7">
        <f t="shared" si="108"/>
        <v>98436</v>
      </c>
      <c r="N1782" s="7">
        <f t="shared" si="109"/>
        <v>104338</v>
      </c>
      <c r="O1782" s="2">
        <v>56</v>
      </c>
      <c r="P1782" s="8">
        <f t="shared" si="110"/>
        <v>104394</v>
      </c>
      <c r="Q1782" s="8">
        <f t="shared" si="111"/>
        <v>104282</v>
      </c>
      <c r="R1782" s="2" t="s">
        <v>28</v>
      </c>
      <c r="S1782" s="9">
        <f>VLOOKUP(P1782,$T$2:U1779,2,1)</f>
        <v>0.12</v>
      </c>
    </row>
    <row r="1783" spans="1:19" x14ac:dyDescent="0.25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e">
        <f>VLOOKUP(F1783,'Customer Info'!A1775:I2274,2,0)</f>
        <v>#N/A</v>
      </c>
      <c r="H1783" s="6" t="e">
        <f>VLOOKUP(F1783,'Customer Info'!A1775:I2274,3,0)</f>
        <v>#N/A</v>
      </c>
      <c r="I1783" s="6" t="e">
        <f>VLOOKUP(F1783,'Customer Info'!A1775:I2274,5,0)</f>
        <v>#N/A</v>
      </c>
      <c r="J1783" s="2">
        <v>3091</v>
      </c>
      <c r="K1783" s="2">
        <v>2889</v>
      </c>
      <c r="L1783" s="2">
        <v>2</v>
      </c>
      <c r="M1783" s="7">
        <f t="shared" si="108"/>
        <v>5778</v>
      </c>
      <c r="N1783" s="7">
        <f t="shared" si="109"/>
        <v>6182</v>
      </c>
      <c r="O1783" s="2">
        <v>94</v>
      </c>
      <c r="P1783" s="8">
        <f t="shared" si="110"/>
        <v>6276</v>
      </c>
      <c r="Q1783" s="8">
        <f t="shared" si="111"/>
        <v>6088</v>
      </c>
      <c r="R1783" s="2" t="s">
        <v>56</v>
      </c>
      <c r="S1783" s="9">
        <f>VLOOKUP(P1783,$T$2:U1780,2,1)</f>
        <v>0.05</v>
      </c>
    </row>
    <row r="1784" spans="1:19" x14ac:dyDescent="0.25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e">
        <f>VLOOKUP(F1784,'Customer Info'!A1776:I2275,2,0)</f>
        <v>#N/A</v>
      </c>
      <c r="H1784" s="6" t="e">
        <f>VLOOKUP(F1784,'Customer Info'!A1776:I2275,3,0)</f>
        <v>#N/A</v>
      </c>
      <c r="I1784" s="6" t="e">
        <f>VLOOKUP(F1784,'Customer Info'!A1776:I2275,5,0)</f>
        <v>#N/A</v>
      </c>
      <c r="J1784" s="2">
        <v>7658</v>
      </c>
      <c r="K1784" s="2">
        <v>7026</v>
      </c>
      <c r="L1784" s="2">
        <v>6</v>
      </c>
      <c r="M1784" s="7">
        <f t="shared" si="108"/>
        <v>42156</v>
      </c>
      <c r="N1784" s="7">
        <f t="shared" si="109"/>
        <v>45948</v>
      </c>
      <c r="O1784" s="2">
        <v>32</v>
      </c>
      <c r="P1784" s="8">
        <f t="shared" si="110"/>
        <v>45980</v>
      </c>
      <c r="Q1784" s="8">
        <f t="shared" si="111"/>
        <v>45916</v>
      </c>
      <c r="R1784" s="2" t="s">
        <v>28</v>
      </c>
      <c r="S1784" s="9">
        <f>VLOOKUP(P1784,$T$2:U1781,2,1)</f>
        <v>7.0000000000000007E-2</v>
      </c>
    </row>
    <row r="1785" spans="1:19" x14ac:dyDescent="0.25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e">
        <f>VLOOKUP(F1785,'Customer Info'!A1777:I2276,2,0)</f>
        <v>#N/A</v>
      </c>
      <c r="H1785" s="6" t="e">
        <f>VLOOKUP(F1785,'Customer Info'!A1777:I2276,3,0)</f>
        <v>#N/A</v>
      </c>
      <c r="I1785" s="6" t="e">
        <f>VLOOKUP(F1785,'Customer Info'!A1777:I2276,5,0)</f>
        <v>#N/A</v>
      </c>
      <c r="J1785" s="2">
        <v>63</v>
      </c>
      <c r="K1785" s="2">
        <v>59</v>
      </c>
      <c r="L1785" s="2">
        <v>6</v>
      </c>
      <c r="M1785" s="7">
        <f t="shared" si="108"/>
        <v>354</v>
      </c>
      <c r="N1785" s="7">
        <f t="shared" si="109"/>
        <v>378</v>
      </c>
      <c r="O1785" s="2">
        <v>10</v>
      </c>
      <c r="P1785" s="8">
        <f t="shared" si="110"/>
        <v>388</v>
      </c>
      <c r="Q1785" s="8">
        <f t="shared" si="111"/>
        <v>368</v>
      </c>
      <c r="R1785" s="2" t="s">
        <v>50</v>
      </c>
      <c r="S1785" s="9">
        <f>VLOOKUP(P1785,$T$2:U1782,2,1)</f>
        <v>0.02</v>
      </c>
    </row>
    <row r="1786" spans="1:19" x14ac:dyDescent="0.25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e">
        <f>VLOOKUP(F1786,'Customer Info'!A1778:I2277,2,0)</f>
        <v>#N/A</v>
      </c>
      <c r="H1786" s="6" t="e">
        <f>VLOOKUP(F1786,'Customer Info'!A1778:I2277,3,0)</f>
        <v>#N/A</v>
      </c>
      <c r="I1786" s="6" t="e">
        <f>VLOOKUP(F1786,'Customer Info'!A1778:I2277,5,0)</f>
        <v>#N/A</v>
      </c>
      <c r="J1786" s="2">
        <v>9033</v>
      </c>
      <c r="K1786" s="2">
        <v>8132</v>
      </c>
      <c r="L1786" s="2">
        <v>6</v>
      </c>
      <c r="M1786" s="7">
        <f t="shared" si="108"/>
        <v>48792</v>
      </c>
      <c r="N1786" s="7">
        <f t="shared" si="109"/>
        <v>54198</v>
      </c>
      <c r="O1786" s="2">
        <v>93</v>
      </c>
      <c r="P1786" s="8">
        <f t="shared" si="110"/>
        <v>54291</v>
      </c>
      <c r="Q1786" s="8">
        <f t="shared" si="111"/>
        <v>54105</v>
      </c>
      <c r="R1786" s="2" t="s">
        <v>50</v>
      </c>
      <c r="S1786" s="9">
        <f>VLOOKUP(P1786,$T$2:U1783,2,1)</f>
        <v>0.09</v>
      </c>
    </row>
    <row r="1787" spans="1:19" x14ac:dyDescent="0.25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e">
        <f>VLOOKUP(F1787,'Customer Info'!A1779:I2278,2,0)</f>
        <v>#N/A</v>
      </c>
      <c r="H1787" s="6" t="e">
        <f>VLOOKUP(F1787,'Customer Info'!A1779:I2278,3,0)</f>
        <v>#N/A</v>
      </c>
      <c r="I1787" s="6" t="e">
        <f>VLOOKUP(F1787,'Customer Info'!A1779:I2278,5,0)</f>
        <v>#N/A</v>
      </c>
      <c r="J1787" s="2">
        <v>36057</v>
      </c>
      <c r="K1787" s="2">
        <v>34028</v>
      </c>
      <c r="L1787" s="2">
        <v>2</v>
      </c>
      <c r="M1787" s="7">
        <f t="shared" si="108"/>
        <v>68056</v>
      </c>
      <c r="N1787" s="7">
        <f t="shared" si="109"/>
        <v>72114</v>
      </c>
      <c r="O1787" s="2">
        <v>37</v>
      </c>
      <c r="P1787" s="8">
        <f t="shared" si="110"/>
        <v>72151</v>
      </c>
      <c r="Q1787" s="8">
        <f t="shared" si="111"/>
        <v>72077</v>
      </c>
      <c r="R1787" s="2" t="s">
        <v>28</v>
      </c>
      <c r="S1787" s="9">
        <f>VLOOKUP(P1787,$T$2:U1784,2,1)</f>
        <v>0.09</v>
      </c>
    </row>
    <row r="1788" spans="1:19" x14ac:dyDescent="0.25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e">
        <f>VLOOKUP(F1788,'Customer Info'!A1780:I2279,2,0)</f>
        <v>#N/A</v>
      </c>
      <c r="H1788" s="6" t="e">
        <f>VLOOKUP(F1788,'Customer Info'!A1780:I2279,3,0)</f>
        <v>#N/A</v>
      </c>
      <c r="I1788" s="6" t="e">
        <f>VLOOKUP(F1788,'Customer Info'!A1780:I2279,5,0)</f>
        <v>#N/A</v>
      </c>
      <c r="J1788" s="2">
        <v>3321</v>
      </c>
      <c r="K1788" s="2">
        <v>2989</v>
      </c>
      <c r="L1788" s="2">
        <v>2</v>
      </c>
      <c r="M1788" s="7">
        <f t="shared" si="108"/>
        <v>5978</v>
      </c>
      <c r="N1788" s="7">
        <f t="shared" si="109"/>
        <v>6642</v>
      </c>
      <c r="O1788" s="2">
        <v>91</v>
      </c>
      <c r="P1788" s="8">
        <f t="shared" si="110"/>
        <v>6733</v>
      </c>
      <c r="Q1788" s="8">
        <f t="shared" si="111"/>
        <v>6551</v>
      </c>
      <c r="R1788" s="2" t="s">
        <v>50</v>
      </c>
      <c r="S1788" s="9">
        <f>VLOOKUP(P1788,$T$2:U1785,2,1)</f>
        <v>0.05</v>
      </c>
    </row>
    <row r="1789" spans="1:19" x14ac:dyDescent="0.25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e">
        <f>VLOOKUP(F1789,'Customer Info'!A1781:I2280,2,0)</f>
        <v>#N/A</v>
      </c>
      <c r="H1789" s="6" t="e">
        <f>VLOOKUP(F1789,'Customer Info'!A1781:I2280,3,0)</f>
        <v>#N/A</v>
      </c>
      <c r="I1789" s="6" t="e">
        <f>VLOOKUP(F1789,'Customer Info'!A1781:I2280,5,0)</f>
        <v>#N/A</v>
      </c>
      <c r="J1789" s="2">
        <v>7065</v>
      </c>
      <c r="K1789" s="2">
        <v>6545</v>
      </c>
      <c r="L1789" s="2">
        <v>2</v>
      </c>
      <c r="M1789" s="7">
        <f t="shared" si="108"/>
        <v>13090</v>
      </c>
      <c r="N1789" s="7">
        <f t="shared" si="109"/>
        <v>14130</v>
      </c>
      <c r="O1789" s="2">
        <v>46</v>
      </c>
      <c r="P1789" s="8">
        <f t="shared" si="110"/>
        <v>14176</v>
      </c>
      <c r="Q1789" s="8">
        <f t="shared" si="111"/>
        <v>14084</v>
      </c>
      <c r="R1789" s="2" t="s">
        <v>28</v>
      </c>
      <c r="S1789" s="9">
        <f>VLOOKUP(P1789,$T$2:U1786,2,1)</f>
        <v>0.05</v>
      </c>
    </row>
    <row r="1790" spans="1:19" x14ac:dyDescent="0.25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e">
        <f>VLOOKUP(F1790,'Customer Info'!A1782:I2281,2,0)</f>
        <v>#N/A</v>
      </c>
      <c r="H1790" s="6" t="e">
        <f>VLOOKUP(F1790,'Customer Info'!A1782:I2281,3,0)</f>
        <v>#N/A</v>
      </c>
      <c r="I1790" s="6" t="e">
        <f>VLOOKUP(F1790,'Customer Info'!A1782:I2281,5,0)</f>
        <v>#N/A</v>
      </c>
      <c r="J1790" s="2">
        <v>27691</v>
      </c>
      <c r="K1790" s="2">
        <v>25616</v>
      </c>
      <c r="L1790" s="2">
        <v>6</v>
      </c>
      <c r="M1790" s="7">
        <f t="shared" si="108"/>
        <v>153696</v>
      </c>
      <c r="N1790" s="7">
        <f t="shared" si="109"/>
        <v>166146</v>
      </c>
      <c r="O1790" s="2">
        <v>57</v>
      </c>
      <c r="P1790" s="8">
        <f t="shared" si="110"/>
        <v>166203</v>
      </c>
      <c r="Q1790" s="8">
        <f t="shared" si="111"/>
        <v>166089</v>
      </c>
      <c r="R1790" s="2" t="s">
        <v>50</v>
      </c>
      <c r="S1790" s="9">
        <f>VLOOKUP(P1790,$T$2:U1787,2,1)</f>
        <v>0.12</v>
      </c>
    </row>
    <row r="1791" spans="1:19" x14ac:dyDescent="0.25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e">
        <f>VLOOKUP(F1791,'Customer Info'!A1783:I2282,2,0)</f>
        <v>#N/A</v>
      </c>
      <c r="H1791" s="6" t="e">
        <f>VLOOKUP(F1791,'Customer Info'!A1783:I2282,3,0)</f>
        <v>#N/A</v>
      </c>
      <c r="I1791" s="6" t="e">
        <f>VLOOKUP(F1791,'Customer Info'!A1783:I2282,5,0)</f>
        <v>#N/A</v>
      </c>
      <c r="J1791" s="2">
        <v>147</v>
      </c>
      <c r="K1791" s="2">
        <v>138</v>
      </c>
      <c r="L1791" s="2">
        <v>1</v>
      </c>
      <c r="M1791" s="7">
        <f t="shared" si="108"/>
        <v>138</v>
      </c>
      <c r="N1791" s="7">
        <f t="shared" si="109"/>
        <v>147</v>
      </c>
      <c r="O1791" s="2">
        <v>30</v>
      </c>
      <c r="P1791" s="8">
        <f t="shared" si="110"/>
        <v>177</v>
      </c>
      <c r="Q1791" s="8">
        <f t="shared" si="111"/>
        <v>117</v>
      </c>
      <c r="R1791" s="2" t="s">
        <v>26</v>
      </c>
      <c r="S1791" s="9">
        <f>VLOOKUP(P1791,$T$2:U1788,2,1)</f>
        <v>0.02</v>
      </c>
    </row>
    <row r="1792" spans="1:19" x14ac:dyDescent="0.25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e">
        <f>VLOOKUP(F1792,'Customer Info'!A1784:I2283,2,0)</f>
        <v>#N/A</v>
      </c>
      <c r="H1792" s="6" t="e">
        <f>VLOOKUP(F1792,'Customer Info'!A1784:I2283,3,0)</f>
        <v>#N/A</v>
      </c>
      <c r="I1792" s="6" t="e">
        <f>VLOOKUP(F1792,'Customer Info'!A1784:I2283,5,0)</f>
        <v>#N/A</v>
      </c>
      <c r="J1792" s="2">
        <v>851</v>
      </c>
      <c r="K1792" s="2">
        <v>773</v>
      </c>
      <c r="L1792" s="2">
        <v>9</v>
      </c>
      <c r="M1792" s="7">
        <f t="shared" si="108"/>
        <v>6957</v>
      </c>
      <c r="N1792" s="7">
        <f t="shared" si="109"/>
        <v>7659</v>
      </c>
      <c r="O1792" s="2">
        <v>89</v>
      </c>
      <c r="P1792" s="8">
        <f t="shared" si="110"/>
        <v>7748</v>
      </c>
      <c r="Q1792" s="8">
        <f t="shared" si="111"/>
        <v>7570</v>
      </c>
      <c r="R1792" s="2" t="s">
        <v>50</v>
      </c>
      <c r="S1792" s="9">
        <f>VLOOKUP(P1792,$T$2:U1789,2,1)</f>
        <v>0.05</v>
      </c>
    </row>
    <row r="1793" spans="1:19" x14ac:dyDescent="0.25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e">
        <f>VLOOKUP(F1793,'Customer Info'!A1785:I2284,2,0)</f>
        <v>#N/A</v>
      </c>
      <c r="H1793" s="6" t="e">
        <f>VLOOKUP(F1793,'Customer Info'!A1785:I2284,3,0)</f>
        <v>#N/A</v>
      </c>
      <c r="I1793" s="6" t="e">
        <f>VLOOKUP(F1793,'Customer Info'!A1785:I2284,5,0)</f>
        <v>#N/A</v>
      </c>
      <c r="J1793" s="2">
        <v>69</v>
      </c>
      <c r="K1793" s="2">
        <v>63</v>
      </c>
      <c r="L1793" s="2">
        <v>2</v>
      </c>
      <c r="M1793" s="7">
        <f t="shared" si="108"/>
        <v>126</v>
      </c>
      <c r="N1793" s="7">
        <f t="shared" si="109"/>
        <v>138</v>
      </c>
      <c r="O1793" s="2">
        <v>10</v>
      </c>
      <c r="P1793" s="8">
        <f t="shared" si="110"/>
        <v>148</v>
      </c>
      <c r="Q1793" s="8">
        <f t="shared" si="111"/>
        <v>128</v>
      </c>
      <c r="R1793" s="2" t="s">
        <v>28</v>
      </c>
      <c r="S1793" s="9">
        <f>VLOOKUP(P1793,$T$2:U1790,2,1)</f>
        <v>0.02</v>
      </c>
    </row>
    <row r="1794" spans="1:19" x14ac:dyDescent="0.25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e">
        <f>VLOOKUP(F1794,'Customer Info'!A1786:I2285,2,0)</f>
        <v>#N/A</v>
      </c>
      <c r="H1794" s="6" t="e">
        <f>VLOOKUP(F1794,'Customer Info'!A1786:I2285,3,0)</f>
        <v>#N/A</v>
      </c>
      <c r="I1794" s="6" t="e">
        <f>VLOOKUP(F1794,'Customer Info'!A1786:I2285,5,0)</f>
        <v>#N/A</v>
      </c>
      <c r="J1794" s="2">
        <v>2960</v>
      </c>
      <c r="K1794" s="2">
        <v>2635</v>
      </c>
      <c r="L1794" s="2">
        <v>6</v>
      </c>
      <c r="M1794" s="7">
        <f t="shared" si="108"/>
        <v>15810</v>
      </c>
      <c r="N1794" s="7">
        <f t="shared" si="109"/>
        <v>17760</v>
      </c>
      <c r="O1794" s="2">
        <v>39</v>
      </c>
      <c r="P1794" s="8">
        <f t="shared" si="110"/>
        <v>17799</v>
      </c>
      <c r="Q1794" s="8">
        <f t="shared" si="111"/>
        <v>17721</v>
      </c>
      <c r="R1794" s="2" t="s">
        <v>28</v>
      </c>
      <c r="S1794" s="9">
        <f>VLOOKUP(P1794,$T$2:U1791,2,1)</f>
        <v>0.05</v>
      </c>
    </row>
    <row r="1795" spans="1:19" x14ac:dyDescent="0.25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e">
        <f>VLOOKUP(F1795,'Customer Info'!A1787:I2286,2,0)</f>
        <v>#N/A</v>
      </c>
      <c r="H1795" s="6" t="e">
        <f>VLOOKUP(F1795,'Customer Info'!A1787:I2286,3,0)</f>
        <v>#N/A</v>
      </c>
      <c r="I1795" s="6" t="e">
        <f>VLOOKUP(F1795,'Customer Info'!A1787:I2286,5,0)</f>
        <v>#N/A</v>
      </c>
      <c r="J1795" s="2">
        <v>3091</v>
      </c>
      <c r="K1795" s="2">
        <v>2889</v>
      </c>
      <c r="L1795" s="2">
        <v>9</v>
      </c>
      <c r="M1795" s="7">
        <f t="shared" si="108"/>
        <v>26001</v>
      </c>
      <c r="N1795" s="7">
        <f t="shared" si="109"/>
        <v>27819</v>
      </c>
      <c r="O1795" s="2">
        <v>85</v>
      </c>
      <c r="P1795" s="8">
        <f t="shared" si="110"/>
        <v>27904</v>
      </c>
      <c r="Q1795" s="8">
        <f t="shared" si="111"/>
        <v>27734</v>
      </c>
      <c r="R1795" s="2" t="s">
        <v>28</v>
      </c>
      <c r="S1795" s="9">
        <f>VLOOKUP(P1795,$T$2:U1792,2,1)</f>
        <v>7.0000000000000007E-2</v>
      </c>
    </row>
    <row r="1796" spans="1:19" x14ac:dyDescent="0.25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e">
        <f>VLOOKUP(F1796,'Customer Info'!A1788:I2287,2,0)</f>
        <v>#N/A</v>
      </c>
      <c r="H1796" s="6" t="e">
        <f>VLOOKUP(F1796,'Customer Info'!A1788:I2287,3,0)</f>
        <v>#N/A</v>
      </c>
      <c r="I1796" s="6" t="e">
        <f>VLOOKUP(F1796,'Customer Info'!A1788:I2287,5,0)</f>
        <v>#N/A</v>
      </c>
      <c r="J1796" s="2">
        <v>60</v>
      </c>
      <c r="K1796" s="2">
        <v>55</v>
      </c>
      <c r="L1796" s="2">
        <v>2</v>
      </c>
      <c r="M1796" s="7">
        <f t="shared" si="108"/>
        <v>110</v>
      </c>
      <c r="N1796" s="7">
        <f t="shared" si="109"/>
        <v>120</v>
      </c>
      <c r="O1796" s="2">
        <v>10</v>
      </c>
      <c r="P1796" s="8">
        <f t="shared" si="110"/>
        <v>130</v>
      </c>
      <c r="Q1796" s="8">
        <f t="shared" si="111"/>
        <v>110</v>
      </c>
      <c r="R1796" s="2" t="s">
        <v>28</v>
      </c>
      <c r="S1796" s="9">
        <f>VLOOKUP(P1796,$T$2:U1793,2,1)</f>
        <v>0.02</v>
      </c>
    </row>
    <row r="1797" spans="1:19" x14ac:dyDescent="0.25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e">
        <f>VLOOKUP(F1797,'Customer Info'!A1789:I2288,2,0)</f>
        <v>#N/A</v>
      </c>
      <c r="H1797" s="6" t="e">
        <f>VLOOKUP(F1797,'Customer Info'!A1789:I2288,3,0)</f>
        <v>#N/A</v>
      </c>
      <c r="I1797" s="6" t="e">
        <f>VLOOKUP(F1797,'Customer Info'!A1789:I2288,5,0)</f>
        <v>#N/A</v>
      </c>
      <c r="J1797" s="2">
        <v>4577</v>
      </c>
      <c r="K1797" s="2">
        <v>4280</v>
      </c>
      <c r="L1797" s="2">
        <v>2</v>
      </c>
      <c r="M1797" s="7">
        <f t="shared" si="108"/>
        <v>8560</v>
      </c>
      <c r="N1797" s="7">
        <f t="shared" si="109"/>
        <v>9154</v>
      </c>
      <c r="O1797" s="2">
        <v>76</v>
      </c>
      <c r="P1797" s="8">
        <f t="shared" si="110"/>
        <v>9230</v>
      </c>
      <c r="Q1797" s="8">
        <f t="shared" si="111"/>
        <v>9078</v>
      </c>
      <c r="R1797" s="2" t="s">
        <v>56</v>
      </c>
      <c r="S1797" s="9">
        <f>VLOOKUP(P1797,$T$2:U1794,2,1)</f>
        <v>0.05</v>
      </c>
    </row>
    <row r="1798" spans="1:19" x14ac:dyDescent="0.25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e">
        <f>VLOOKUP(F1798,'Customer Info'!A1790:I2289,2,0)</f>
        <v>#N/A</v>
      </c>
      <c r="H1798" s="6" t="e">
        <f>VLOOKUP(F1798,'Customer Info'!A1790:I2289,3,0)</f>
        <v>#N/A</v>
      </c>
      <c r="I1798" s="6" t="e">
        <f>VLOOKUP(F1798,'Customer Info'!A1790:I2289,5,0)</f>
        <v>#N/A</v>
      </c>
      <c r="J1798" s="2">
        <v>6864</v>
      </c>
      <c r="K1798" s="2">
        <v>6667</v>
      </c>
      <c r="L1798" s="2">
        <v>3</v>
      </c>
      <c r="M1798" s="7">
        <f t="shared" si="108"/>
        <v>20001</v>
      </c>
      <c r="N1798" s="7">
        <f t="shared" si="109"/>
        <v>20592</v>
      </c>
      <c r="O1798" s="2">
        <v>23</v>
      </c>
      <c r="P1798" s="8">
        <f t="shared" si="110"/>
        <v>20615</v>
      </c>
      <c r="Q1798" s="8">
        <f t="shared" si="111"/>
        <v>20569</v>
      </c>
      <c r="R1798" s="2" t="s">
        <v>28</v>
      </c>
      <c r="S1798" s="9">
        <f>VLOOKUP(P1798,$T$2:U1795,2,1)</f>
        <v>0.05</v>
      </c>
    </row>
    <row r="1799" spans="1:19" x14ac:dyDescent="0.25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e">
        <f>VLOOKUP(F1799,'Customer Info'!A1791:I2290,2,0)</f>
        <v>#N/A</v>
      </c>
      <c r="H1799" s="6" t="e">
        <f>VLOOKUP(F1799,'Customer Info'!A1791:I2290,3,0)</f>
        <v>#N/A</v>
      </c>
      <c r="I1799" s="6" t="e">
        <f>VLOOKUP(F1799,'Customer Info'!A1791:I2290,5,0)</f>
        <v>#N/A</v>
      </c>
      <c r="J1799" s="2">
        <v>119</v>
      </c>
      <c r="K1799" s="2">
        <v>112</v>
      </c>
      <c r="L1799" s="2">
        <v>2</v>
      </c>
      <c r="M1799" s="7">
        <f t="shared" si="108"/>
        <v>224</v>
      </c>
      <c r="N1799" s="7">
        <f t="shared" si="109"/>
        <v>238</v>
      </c>
      <c r="O1799" s="2">
        <v>30</v>
      </c>
      <c r="P1799" s="8">
        <f t="shared" si="110"/>
        <v>268</v>
      </c>
      <c r="Q1799" s="8">
        <f t="shared" si="111"/>
        <v>208</v>
      </c>
      <c r="R1799" s="2" t="s">
        <v>50</v>
      </c>
      <c r="S1799" s="9">
        <f>VLOOKUP(P1799,$T$2:U1796,2,1)</f>
        <v>0.02</v>
      </c>
    </row>
    <row r="1800" spans="1:19" x14ac:dyDescent="0.25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e">
        <f>VLOOKUP(F1800,'Customer Info'!A1792:I2291,2,0)</f>
        <v>#N/A</v>
      </c>
      <c r="H1800" s="6" t="e">
        <f>VLOOKUP(F1800,'Customer Info'!A1792:I2291,3,0)</f>
        <v>#N/A</v>
      </c>
      <c r="I1800" s="6" t="e">
        <f>VLOOKUP(F1800,'Customer Info'!A1792:I2291,5,0)</f>
        <v>#N/A</v>
      </c>
      <c r="J1800" s="2">
        <v>140</v>
      </c>
      <c r="K1800" s="2">
        <v>137</v>
      </c>
      <c r="L1800" s="2">
        <v>5</v>
      </c>
      <c r="M1800" s="7">
        <f t="shared" si="108"/>
        <v>685</v>
      </c>
      <c r="N1800" s="7">
        <f t="shared" si="109"/>
        <v>700</v>
      </c>
      <c r="O1800" s="2">
        <v>30</v>
      </c>
      <c r="P1800" s="8">
        <f t="shared" si="110"/>
        <v>730</v>
      </c>
      <c r="Q1800" s="8">
        <f t="shared" si="111"/>
        <v>670</v>
      </c>
      <c r="R1800" s="2" t="s">
        <v>50</v>
      </c>
      <c r="S1800" s="9">
        <f>VLOOKUP(P1800,$T$2:U1797,2,1)</f>
        <v>0.02</v>
      </c>
    </row>
    <row r="1801" spans="1:19" x14ac:dyDescent="0.25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e">
        <f>VLOOKUP(F1801,'Customer Info'!A1793:I2292,2,0)</f>
        <v>#N/A</v>
      </c>
      <c r="H1801" s="6" t="e">
        <f>VLOOKUP(F1801,'Customer Info'!A1793:I2292,3,0)</f>
        <v>#N/A</v>
      </c>
      <c r="I1801" s="6" t="e">
        <f>VLOOKUP(F1801,'Customer Info'!A1793:I2292,5,0)</f>
        <v>#N/A</v>
      </c>
      <c r="J1801" s="2">
        <v>2681</v>
      </c>
      <c r="K1801" s="2">
        <v>2458</v>
      </c>
      <c r="L1801" s="2">
        <v>1</v>
      </c>
      <c r="M1801" s="7">
        <f t="shared" si="108"/>
        <v>2458</v>
      </c>
      <c r="N1801" s="7">
        <f t="shared" si="109"/>
        <v>2681</v>
      </c>
      <c r="O1801" s="2">
        <v>52</v>
      </c>
      <c r="P1801" s="8">
        <f t="shared" si="110"/>
        <v>2733</v>
      </c>
      <c r="Q1801" s="8">
        <f t="shared" si="111"/>
        <v>2629</v>
      </c>
      <c r="R1801" s="2" t="s">
        <v>28</v>
      </c>
      <c r="S1801" s="9">
        <f>VLOOKUP(P1801,$T$2:U1798,2,1)</f>
        <v>0.02</v>
      </c>
    </row>
    <row r="1802" spans="1:19" x14ac:dyDescent="0.25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e">
        <f>VLOOKUP(F1802,'Customer Info'!A1794:I2293,2,0)</f>
        <v>#N/A</v>
      </c>
      <c r="H1802" s="6" t="e">
        <f>VLOOKUP(F1802,'Customer Info'!A1794:I2293,3,0)</f>
        <v>#N/A</v>
      </c>
      <c r="I1802" s="6" t="e">
        <f>VLOOKUP(F1802,'Customer Info'!A1794:I2293,5,0)</f>
        <v>#N/A</v>
      </c>
      <c r="J1802" s="2">
        <v>1292</v>
      </c>
      <c r="K1802" s="2">
        <v>1185</v>
      </c>
      <c r="L1802" s="2">
        <v>2</v>
      </c>
      <c r="M1802" s="7">
        <f t="shared" si="108"/>
        <v>2370</v>
      </c>
      <c r="N1802" s="7">
        <f t="shared" si="109"/>
        <v>2584</v>
      </c>
      <c r="O1802" s="2">
        <v>98</v>
      </c>
      <c r="P1802" s="8">
        <f t="shared" si="110"/>
        <v>2682</v>
      </c>
      <c r="Q1802" s="8">
        <f t="shared" si="111"/>
        <v>2486</v>
      </c>
      <c r="R1802" s="2" t="s">
        <v>28</v>
      </c>
      <c r="S1802" s="9">
        <f>VLOOKUP(P1802,$T$2:U1799,2,1)</f>
        <v>0.02</v>
      </c>
    </row>
    <row r="1803" spans="1:19" x14ac:dyDescent="0.25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e">
        <f>VLOOKUP(F1803,'Customer Info'!A1795:I2294,2,0)</f>
        <v>#N/A</v>
      </c>
      <c r="H1803" s="6" t="e">
        <f>VLOOKUP(F1803,'Customer Info'!A1795:I2294,3,0)</f>
        <v>#N/A</v>
      </c>
      <c r="I1803" s="6" t="e">
        <f>VLOOKUP(F1803,'Customer Info'!A1795:I2294,5,0)</f>
        <v>#N/A</v>
      </c>
      <c r="J1803" s="2">
        <v>2200</v>
      </c>
      <c r="K1803" s="2">
        <v>2020</v>
      </c>
      <c r="L1803" s="2">
        <v>3</v>
      </c>
      <c r="M1803" s="7">
        <f t="shared" ref="M1803:M1866" si="112">K1803*L1803</f>
        <v>6060</v>
      </c>
      <c r="N1803" s="7">
        <f t="shared" ref="N1803:N1866" si="113">J1803*L1803</f>
        <v>6600</v>
      </c>
      <c r="O1803" s="2">
        <v>65</v>
      </c>
      <c r="P1803" s="8">
        <f t="shared" ref="P1803:P1866" si="114">SUM(N1803,O1803)</f>
        <v>6665</v>
      </c>
      <c r="Q1803" s="8">
        <f t="shared" ref="Q1803:Q1866" si="115">N1803-O1803</f>
        <v>6535</v>
      </c>
      <c r="R1803" s="2" t="s">
        <v>50</v>
      </c>
      <c r="S1803" s="9">
        <f>VLOOKUP(P1803,$T$2:U1800,2,1)</f>
        <v>0.05</v>
      </c>
    </row>
    <row r="1804" spans="1:19" x14ac:dyDescent="0.25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e">
        <f>VLOOKUP(F1804,'Customer Info'!A1796:I2295,2,0)</f>
        <v>#N/A</v>
      </c>
      <c r="H1804" s="6" t="e">
        <f>VLOOKUP(F1804,'Customer Info'!A1796:I2295,3,0)</f>
        <v>#N/A</v>
      </c>
      <c r="I1804" s="6" t="e">
        <f>VLOOKUP(F1804,'Customer Info'!A1796:I2295,5,0)</f>
        <v>#N/A</v>
      </c>
      <c r="J1804" s="2">
        <v>193</v>
      </c>
      <c r="K1804" s="2">
        <v>173</v>
      </c>
      <c r="L1804" s="2">
        <v>3</v>
      </c>
      <c r="M1804" s="7">
        <f t="shared" si="112"/>
        <v>519</v>
      </c>
      <c r="N1804" s="7">
        <f t="shared" si="113"/>
        <v>579</v>
      </c>
      <c r="O1804" s="2">
        <v>30</v>
      </c>
      <c r="P1804" s="8">
        <f t="shared" si="114"/>
        <v>609</v>
      </c>
      <c r="Q1804" s="8">
        <f t="shared" si="115"/>
        <v>549</v>
      </c>
      <c r="R1804" s="2" t="s">
        <v>28</v>
      </c>
      <c r="S1804" s="9">
        <f>VLOOKUP(P1804,$T$2:U1801,2,1)</f>
        <v>0.02</v>
      </c>
    </row>
    <row r="1805" spans="1:19" x14ac:dyDescent="0.25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e">
        <f>VLOOKUP(F1805,'Customer Info'!A1797:I2296,2,0)</f>
        <v>#N/A</v>
      </c>
      <c r="H1805" s="6" t="e">
        <f>VLOOKUP(F1805,'Customer Info'!A1797:I2296,3,0)</f>
        <v>#N/A</v>
      </c>
      <c r="I1805" s="6" t="e">
        <f>VLOOKUP(F1805,'Customer Info'!A1797:I2296,5,0)</f>
        <v>#N/A</v>
      </c>
      <c r="J1805" s="2">
        <v>2228</v>
      </c>
      <c r="K1805" s="2">
        <v>2143</v>
      </c>
      <c r="L1805" s="2">
        <v>3</v>
      </c>
      <c r="M1805" s="7">
        <f t="shared" si="112"/>
        <v>6429</v>
      </c>
      <c r="N1805" s="7">
        <f t="shared" si="113"/>
        <v>6684</v>
      </c>
      <c r="O1805" s="2">
        <v>24</v>
      </c>
      <c r="P1805" s="8">
        <f t="shared" si="114"/>
        <v>6708</v>
      </c>
      <c r="Q1805" s="8">
        <f t="shared" si="115"/>
        <v>6660</v>
      </c>
      <c r="R1805" s="2" t="s">
        <v>28</v>
      </c>
      <c r="S1805" s="9">
        <f>VLOOKUP(P1805,$T$2:U1802,2,1)</f>
        <v>0.05</v>
      </c>
    </row>
    <row r="1806" spans="1:19" x14ac:dyDescent="0.25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e">
        <f>VLOOKUP(F1806,'Customer Info'!A1798:I2297,2,0)</f>
        <v>#N/A</v>
      </c>
      <c r="H1806" s="6" t="e">
        <f>VLOOKUP(F1806,'Customer Info'!A1798:I2297,3,0)</f>
        <v>#N/A</v>
      </c>
      <c r="I1806" s="6" t="e">
        <f>VLOOKUP(F1806,'Customer Info'!A1798:I2297,5,0)</f>
        <v>#N/A</v>
      </c>
      <c r="J1806" s="2">
        <v>2271</v>
      </c>
      <c r="K1806" s="2">
        <v>2144</v>
      </c>
      <c r="L1806" s="2">
        <v>2</v>
      </c>
      <c r="M1806" s="7">
        <f t="shared" si="112"/>
        <v>4288</v>
      </c>
      <c r="N1806" s="7">
        <f t="shared" si="113"/>
        <v>4542</v>
      </c>
      <c r="O1806" s="2">
        <v>78</v>
      </c>
      <c r="P1806" s="8">
        <f t="shared" si="114"/>
        <v>4620</v>
      </c>
      <c r="Q1806" s="8">
        <f t="shared" si="115"/>
        <v>4464</v>
      </c>
      <c r="R1806" s="2" t="s">
        <v>50</v>
      </c>
      <c r="S1806" s="9">
        <f>VLOOKUP(P1806,$T$2:U1803,2,1)</f>
        <v>0.02</v>
      </c>
    </row>
    <row r="1807" spans="1:19" x14ac:dyDescent="0.25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e">
        <f>VLOOKUP(F1807,'Customer Info'!A1799:I2298,2,0)</f>
        <v>#N/A</v>
      </c>
      <c r="H1807" s="6" t="e">
        <f>VLOOKUP(F1807,'Customer Info'!A1799:I2298,3,0)</f>
        <v>#N/A</v>
      </c>
      <c r="I1807" s="6" t="e">
        <f>VLOOKUP(F1807,'Customer Info'!A1799:I2298,5,0)</f>
        <v>#N/A</v>
      </c>
      <c r="J1807" s="2">
        <v>1306</v>
      </c>
      <c r="K1807" s="2">
        <v>1197</v>
      </c>
      <c r="L1807" s="2">
        <v>2</v>
      </c>
      <c r="M1807" s="7">
        <f t="shared" si="112"/>
        <v>2394</v>
      </c>
      <c r="N1807" s="7">
        <f t="shared" si="113"/>
        <v>2612</v>
      </c>
      <c r="O1807" s="2">
        <v>100</v>
      </c>
      <c r="P1807" s="8">
        <f t="shared" si="114"/>
        <v>2712</v>
      </c>
      <c r="Q1807" s="8">
        <f t="shared" si="115"/>
        <v>2512</v>
      </c>
      <c r="R1807" s="2" t="s">
        <v>28</v>
      </c>
      <c r="S1807" s="9">
        <f>VLOOKUP(P1807,$T$2:U1804,2,1)</f>
        <v>0.02</v>
      </c>
    </row>
    <row r="1808" spans="1:19" x14ac:dyDescent="0.25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e">
        <f>VLOOKUP(F1808,'Customer Info'!A1800:I2299,2,0)</f>
        <v>#N/A</v>
      </c>
      <c r="H1808" s="6" t="e">
        <f>VLOOKUP(F1808,'Customer Info'!A1800:I2299,3,0)</f>
        <v>#N/A</v>
      </c>
      <c r="I1808" s="6" t="e">
        <f>VLOOKUP(F1808,'Customer Info'!A1800:I2299,5,0)</f>
        <v>#N/A</v>
      </c>
      <c r="J1808" s="2">
        <v>851</v>
      </c>
      <c r="K1808" s="2">
        <v>773</v>
      </c>
      <c r="L1808" s="2">
        <v>2</v>
      </c>
      <c r="M1808" s="7">
        <f t="shared" si="112"/>
        <v>1546</v>
      </c>
      <c r="N1808" s="7">
        <f t="shared" si="113"/>
        <v>1702</v>
      </c>
      <c r="O1808" s="2">
        <v>90</v>
      </c>
      <c r="P1808" s="8">
        <f t="shared" si="114"/>
        <v>1792</v>
      </c>
      <c r="Q1808" s="8">
        <f t="shared" si="115"/>
        <v>1612</v>
      </c>
      <c r="R1808" s="2" t="s">
        <v>28</v>
      </c>
      <c r="S1808" s="9">
        <f>VLOOKUP(P1808,$T$2:U1805,2,1)</f>
        <v>0.02</v>
      </c>
    </row>
    <row r="1809" spans="1:19" x14ac:dyDescent="0.25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e">
        <f>VLOOKUP(F1809,'Customer Info'!A1801:I2300,2,0)</f>
        <v>#N/A</v>
      </c>
      <c r="H1809" s="6" t="e">
        <f>VLOOKUP(F1809,'Customer Info'!A1801:I2300,3,0)</f>
        <v>#N/A</v>
      </c>
      <c r="I1809" s="6" t="e">
        <f>VLOOKUP(F1809,'Customer Info'!A1801:I2300,5,0)</f>
        <v>#N/A</v>
      </c>
      <c r="J1809" s="2">
        <v>4904</v>
      </c>
      <c r="K1809" s="2">
        <v>4499</v>
      </c>
      <c r="L1809" s="2">
        <v>1</v>
      </c>
      <c r="M1809" s="7">
        <f t="shared" si="112"/>
        <v>4499</v>
      </c>
      <c r="N1809" s="7">
        <f t="shared" si="113"/>
        <v>4904</v>
      </c>
      <c r="O1809" s="2">
        <v>40</v>
      </c>
      <c r="P1809" s="8">
        <f t="shared" si="114"/>
        <v>4944</v>
      </c>
      <c r="Q1809" s="8">
        <f t="shared" si="115"/>
        <v>4864</v>
      </c>
      <c r="R1809" s="2" t="s">
        <v>28</v>
      </c>
      <c r="S1809" s="9">
        <f>VLOOKUP(P1809,$T$2:U1806,2,1)</f>
        <v>0.02</v>
      </c>
    </row>
    <row r="1810" spans="1:19" x14ac:dyDescent="0.25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e">
        <f>VLOOKUP(F1810,'Customer Info'!A1802:I2301,2,0)</f>
        <v>#N/A</v>
      </c>
      <c r="H1810" s="6" t="e">
        <f>VLOOKUP(F1810,'Customer Info'!A1802:I2301,3,0)</f>
        <v>#N/A</v>
      </c>
      <c r="I1810" s="6" t="e">
        <f>VLOOKUP(F1810,'Customer Info'!A1802:I2301,5,0)</f>
        <v>#N/A</v>
      </c>
      <c r="J1810" s="2">
        <v>61</v>
      </c>
      <c r="K1810" s="2">
        <v>56</v>
      </c>
      <c r="L1810" s="2">
        <v>8</v>
      </c>
      <c r="M1810" s="7">
        <f t="shared" si="112"/>
        <v>448</v>
      </c>
      <c r="N1810" s="7">
        <f t="shared" si="113"/>
        <v>488</v>
      </c>
      <c r="O1810" s="2">
        <v>10</v>
      </c>
      <c r="P1810" s="8">
        <f t="shared" si="114"/>
        <v>498</v>
      </c>
      <c r="Q1810" s="8">
        <f t="shared" si="115"/>
        <v>478</v>
      </c>
      <c r="R1810" s="2" t="s">
        <v>28</v>
      </c>
      <c r="S1810" s="9">
        <f>VLOOKUP(P1810,$T$2:U1807,2,1)</f>
        <v>0.02</v>
      </c>
    </row>
    <row r="1811" spans="1:19" x14ac:dyDescent="0.25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e">
        <f>VLOOKUP(F1811,'Customer Info'!A1803:I2302,2,0)</f>
        <v>#N/A</v>
      </c>
      <c r="H1811" s="6" t="e">
        <f>VLOOKUP(F1811,'Customer Info'!A1803:I2302,3,0)</f>
        <v>#N/A</v>
      </c>
      <c r="I1811" s="6" t="e">
        <f>VLOOKUP(F1811,'Customer Info'!A1803:I2302,5,0)</f>
        <v>#N/A</v>
      </c>
      <c r="J1811" s="2">
        <v>932</v>
      </c>
      <c r="K1811" s="2">
        <v>838</v>
      </c>
      <c r="L1811" s="2">
        <v>5</v>
      </c>
      <c r="M1811" s="7">
        <f t="shared" si="112"/>
        <v>4190</v>
      </c>
      <c r="N1811" s="7">
        <f t="shared" si="113"/>
        <v>4660</v>
      </c>
      <c r="O1811" s="2">
        <v>81</v>
      </c>
      <c r="P1811" s="8">
        <f t="shared" si="114"/>
        <v>4741</v>
      </c>
      <c r="Q1811" s="8">
        <f t="shared" si="115"/>
        <v>4579</v>
      </c>
      <c r="R1811" s="2" t="s">
        <v>28</v>
      </c>
      <c r="S1811" s="9">
        <f>VLOOKUP(P1811,$T$2:U1808,2,1)</f>
        <v>0.02</v>
      </c>
    </row>
    <row r="1812" spans="1:19" x14ac:dyDescent="0.25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e">
        <f>VLOOKUP(F1812,'Customer Info'!A1804:I2303,2,0)</f>
        <v>#N/A</v>
      </c>
      <c r="H1812" s="6" t="e">
        <f>VLOOKUP(F1812,'Customer Info'!A1804:I2303,3,0)</f>
        <v>#N/A</v>
      </c>
      <c r="I1812" s="6" t="e">
        <f>VLOOKUP(F1812,'Customer Info'!A1804:I2303,5,0)</f>
        <v>#N/A</v>
      </c>
      <c r="J1812" s="2">
        <v>1205</v>
      </c>
      <c r="K1812" s="2">
        <v>1159</v>
      </c>
      <c r="L1812" s="2">
        <v>1</v>
      </c>
      <c r="M1812" s="7">
        <f t="shared" si="112"/>
        <v>1159</v>
      </c>
      <c r="N1812" s="7">
        <f t="shared" si="113"/>
        <v>1205</v>
      </c>
      <c r="O1812" s="2">
        <v>86</v>
      </c>
      <c r="P1812" s="8">
        <f t="shared" si="114"/>
        <v>1291</v>
      </c>
      <c r="Q1812" s="8">
        <f t="shared" si="115"/>
        <v>1119</v>
      </c>
      <c r="R1812" s="2" t="s">
        <v>28</v>
      </c>
      <c r="S1812" s="9">
        <f>VLOOKUP(P1812,$T$2:U1809,2,1)</f>
        <v>0.02</v>
      </c>
    </row>
    <row r="1813" spans="1:19" x14ac:dyDescent="0.25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e">
        <f>VLOOKUP(F1813,'Customer Info'!A1805:I2304,2,0)</f>
        <v>#N/A</v>
      </c>
      <c r="H1813" s="6" t="e">
        <f>VLOOKUP(F1813,'Customer Info'!A1805:I2304,3,0)</f>
        <v>#N/A</v>
      </c>
      <c r="I1813" s="6" t="e">
        <f>VLOOKUP(F1813,'Customer Info'!A1805:I2304,5,0)</f>
        <v>#N/A</v>
      </c>
      <c r="J1813" s="2">
        <v>2222</v>
      </c>
      <c r="K1813" s="2">
        <v>2081</v>
      </c>
      <c r="L1813" s="2">
        <v>5</v>
      </c>
      <c r="M1813" s="7">
        <f t="shared" si="112"/>
        <v>10405</v>
      </c>
      <c r="N1813" s="7">
        <f t="shared" si="113"/>
        <v>11110</v>
      </c>
      <c r="O1813" s="2">
        <v>68</v>
      </c>
      <c r="P1813" s="8">
        <f t="shared" si="114"/>
        <v>11178</v>
      </c>
      <c r="Q1813" s="8">
        <f t="shared" si="115"/>
        <v>11042</v>
      </c>
      <c r="R1813" s="2" t="s">
        <v>50</v>
      </c>
      <c r="S1813" s="9">
        <f>VLOOKUP(P1813,$T$2:U1810,2,1)</f>
        <v>0.05</v>
      </c>
    </row>
    <row r="1814" spans="1:19" x14ac:dyDescent="0.25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e">
        <f>VLOOKUP(F1814,'Customer Info'!A1806:I2305,2,0)</f>
        <v>#N/A</v>
      </c>
      <c r="H1814" s="6" t="e">
        <f>VLOOKUP(F1814,'Customer Info'!A1806:I2305,3,0)</f>
        <v>#N/A</v>
      </c>
      <c r="I1814" s="6" t="e">
        <f>VLOOKUP(F1814,'Customer Info'!A1806:I2305,5,0)</f>
        <v>#N/A</v>
      </c>
      <c r="J1814" s="2">
        <v>2864</v>
      </c>
      <c r="K1814" s="2">
        <v>2754</v>
      </c>
      <c r="L1814" s="2">
        <v>5</v>
      </c>
      <c r="M1814" s="7">
        <f t="shared" si="112"/>
        <v>13770</v>
      </c>
      <c r="N1814" s="7">
        <f t="shared" si="113"/>
        <v>14320</v>
      </c>
      <c r="O1814" s="2">
        <v>29</v>
      </c>
      <c r="P1814" s="8">
        <f t="shared" si="114"/>
        <v>14349</v>
      </c>
      <c r="Q1814" s="8">
        <f t="shared" si="115"/>
        <v>14291</v>
      </c>
      <c r="R1814" s="2" t="s">
        <v>28</v>
      </c>
      <c r="S1814" s="9">
        <f>VLOOKUP(P1814,$T$2:U1811,2,1)</f>
        <v>0.05</v>
      </c>
    </row>
    <row r="1815" spans="1:19" x14ac:dyDescent="0.25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e">
        <f>VLOOKUP(F1815,'Customer Info'!A1807:I2306,2,0)</f>
        <v>#N/A</v>
      </c>
      <c r="H1815" s="6" t="e">
        <f>VLOOKUP(F1815,'Customer Info'!A1807:I2306,3,0)</f>
        <v>#N/A</v>
      </c>
      <c r="I1815" s="6" t="e">
        <f>VLOOKUP(F1815,'Customer Info'!A1807:I2306,5,0)</f>
        <v>#N/A</v>
      </c>
      <c r="J1815" s="2">
        <v>2829</v>
      </c>
      <c r="K1815" s="2">
        <v>2596</v>
      </c>
      <c r="L1815" s="2">
        <v>3</v>
      </c>
      <c r="M1815" s="7">
        <f t="shared" si="112"/>
        <v>7788</v>
      </c>
      <c r="N1815" s="7">
        <f t="shared" si="113"/>
        <v>8487</v>
      </c>
      <c r="O1815" s="2">
        <v>95</v>
      </c>
      <c r="P1815" s="8">
        <f t="shared" si="114"/>
        <v>8582</v>
      </c>
      <c r="Q1815" s="8">
        <f t="shared" si="115"/>
        <v>8392</v>
      </c>
      <c r="R1815" s="2" t="s">
        <v>28</v>
      </c>
      <c r="S1815" s="9">
        <f>VLOOKUP(P1815,$T$2:U1812,2,1)</f>
        <v>0.05</v>
      </c>
    </row>
    <row r="1816" spans="1:19" x14ac:dyDescent="0.25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e">
        <f>VLOOKUP(F1816,'Customer Info'!A1808:I2307,2,0)</f>
        <v>#N/A</v>
      </c>
      <c r="H1816" s="6" t="e">
        <f>VLOOKUP(F1816,'Customer Info'!A1808:I2307,3,0)</f>
        <v>#N/A</v>
      </c>
      <c r="I1816" s="6" t="e">
        <f>VLOOKUP(F1816,'Customer Info'!A1808:I2307,5,0)</f>
        <v>#N/A</v>
      </c>
      <c r="J1816" s="2">
        <v>404</v>
      </c>
      <c r="K1816" s="2">
        <v>371</v>
      </c>
      <c r="L1816" s="2">
        <v>2</v>
      </c>
      <c r="M1816" s="7">
        <f t="shared" si="112"/>
        <v>742</v>
      </c>
      <c r="N1816" s="7">
        <f t="shared" si="113"/>
        <v>808</v>
      </c>
      <c r="O1816" s="2">
        <v>90</v>
      </c>
      <c r="P1816" s="8">
        <f t="shared" si="114"/>
        <v>898</v>
      </c>
      <c r="Q1816" s="8">
        <f t="shared" si="115"/>
        <v>718</v>
      </c>
      <c r="R1816" s="2" t="s">
        <v>28</v>
      </c>
      <c r="S1816" s="9">
        <f>VLOOKUP(P1816,$T$2:U1813,2,1)</f>
        <v>0.02</v>
      </c>
    </row>
    <row r="1817" spans="1:19" x14ac:dyDescent="0.25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e">
        <f>VLOOKUP(F1817,'Customer Info'!A1809:I2308,2,0)</f>
        <v>#N/A</v>
      </c>
      <c r="H1817" s="6" t="e">
        <f>VLOOKUP(F1817,'Customer Info'!A1809:I2308,3,0)</f>
        <v>#N/A</v>
      </c>
      <c r="I1817" s="6" t="e">
        <f>VLOOKUP(F1817,'Customer Info'!A1809:I2308,5,0)</f>
        <v>#N/A</v>
      </c>
      <c r="J1817" s="2">
        <v>4808</v>
      </c>
      <c r="K1817" s="2">
        <v>4453</v>
      </c>
      <c r="L1817" s="2">
        <v>2</v>
      </c>
      <c r="M1817" s="7">
        <f t="shared" si="112"/>
        <v>8906</v>
      </c>
      <c r="N1817" s="7">
        <f t="shared" si="113"/>
        <v>9616</v>
      </c>
      <c r="O1817" s="2">
        <v>38</v>
      </c>
      <c r="P1817" s="8">
        <f t="shared" si="114"/>
        <v>9654</v>
      </c>
      <c r="Q1817" s="8">
        <f t="shared" si="115"/>
        <v>9578</v>
      </c>
      <c r="R1817" s="2" t="s">
        <v>50</v>
      </c>
      <c r="S1817" s="9">
        <f>VLOOKUP(P1817,$T$2:U1814,2,1)</f>
        <v>0.05</v>
      </c>
    </row>
    <row r="1818" spans="1:19" x14ac:dyDescent="0.25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e">
        <f>VLOOKUP(F1818,'Customer Info'!A1810:I2309,2,0)</f>
        <v>#N/A</v>
      </c>
      <c r="H1818" s="6" t="e">
        <f>VLOOKUP(F1818,'Customer Info'!A1810:I2309,3,0)</f>
        <v>#N/A</v>
      </c>
      <c r="I1818" s="6" t="e">
        <f>VLOOKUP(F1818,'Customer Info'!A1810:I2309,5,0)</f>
        <v>#N/A</v>
      </c>
      <c r="J1818" s="2">
        <v>1906</v>
      </c>
      <c r="K1818" s="2">
        <v>1798</v>
      </c>
      <c r="L1818" s="2">
        <v>2</v>
      </c>
      <c r="M1818" s="7">
        <f t="shared" si="112"/>
        <v>3596</v>
      </c>
      <c r="N1818" s="7">
        <f t="shared" si="113"/>
        <v>3812</v>
      </c>
      <c r="O1818" s="2">
        <v>29</v>
      </c>
      <c r="P1818" s="8">
        <f t="shared" si="114"/>
        <v>3841</v>
      </c>
      <c r="Q1818" s="8">
        <f t="shared" si="115"/>
        <v>3783</v>
      </c>
      <c r="R1818" s="2" t="s">
        <v>50</v>
      </c>
      <c r="S1818" s="9">
        <f>VLOOKUP(P1818,$T$2:U1815,2,1)</f>
        <v>0.02</v>
      </c>
    </row>
    <row r="1819" spans="1:19" x14ac:dyDescent="0.25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e">
        <f>VLOOKUP(F1819,'Customer Info'!A1811:I2310,2,0)</f>
        <v>#N/A</v>
      </c>
      <c r="H1819" s="6" t="e">
        <f>VLOOKUP(F1819,'Customer Info'!A1811:I2310,3,0)</f>
        <v>#N/A</v>
      </c>
      <c r="I1819" s="6" t="e">
        <f>VLOOKUP(F1819,'Customer Info'!A1811:I2310,5,0)</f>
        <v>#N/A</v>
      </c>
      <c r="J1819" s="2">
        <v>458</v>
      </c>
      <c r="K1819" s="2">
        <v>419</v>
      </c>
      <c r="L1819" s="2">
        <v>2</v>
      </c>
      <c r="M1819" s="7">
        <f t="shared" si="112"/>
        <v>838</v>
      </c>
      <c r="N1819" s="7">
        <f t="shared" si="113"/>
        <v>916</v>
      </c>
      <c r="O1819" s="2">
        <v>72</v>
      </c>
      <c r="P1819" s="8">
        <f t="shared" si="114"/>
        <v>988</v>
      </c>
      <c r="Q1819" s="8">
        <f t="shared" si="115"/>
        <v>844</v>
      </c>
      <c r="R1819" s="2" t="s">
        <v>28</v>
      </c>
      <c r="S1819" s="9">
        <f>VLOOKUP(P1819,$T$2:U1816,2,1)</f>
        <v>0.02</v>
      </c>
    </row>
    <row r="1820" spans="1:19" x14ac:dyDescent="0.25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e">
        <f>VLOOKUP(F1820,'Customer Info'!A1812:I2311,2,0)</f>
        <v>#N/A</v>
      </c>
      <c r="H1820" s="6" t="e">
        <f>VLOOKUP(F1820,'Customer Info'!A1812:I2311,3,0)</f>
        <v>#N/A</v>
      </c>
      <c r="I1820" s="6" t="e">
        <f>VLOOKUP(F1820,'Customer Info'!A1812:I2311,5,0)</f>
        <v>#N/A</v>
      </c>
      <c r="J1820" s="2">
        <v>175</v>
      </c>
      <c r="K1820" s="2">
        <v>158</v>
      </c>
      <c r="L1820" s="2">
        <v>2</v>
      </c>
      <c r="M1820" s="7">
        <f t="shared" si="112"/>
        <v>316</v>
      </c>
      <c r="N1820" s="7">
        <f t="shared" si="113"/>
        <v>350</v>
      </c>
      <c r="O1820" s="2">
        <v>30</v>
      </c>
      <c r="P1820" s="8">
        <f t="shared" si="114"/>
        <v>380</v>
      </c>
      <c r="Q1820" s="8">
        <f t="shared" si="115"/>
        <v>320</v>
      </c>
      <c r="R1820" s="2" t="s">
        <v>28</v>
      </c>
      <c r="S1820" s="9">
        <f>VLOOKUP(P1820,$T$2:U1817,2,1)</f>
        <v>0.02</v>
      </c>
    </row>
    <row r="1821" spans="1:19" x14ac:dyDescent="0.25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e">
        <f>VLOOKUP(F1821,'Customer Info'!A1813:I2312,2,0)</f>
        <v>#N/A</v>
      </c>
      <c r="H1821" s="6" t="e">
        <f>VLOOKUP(F1821,'Customer Info'!A1813:I2312,3,0)</f>
        <v>#N/A</v>
      </c>
      <c r="I1821" s="6" t="e">
        <f>VLOOKUP(F1821,'Customer Info'!A1813:I2312,5,0)</f>
        <v>#N/A</v>
      </c>
      <c r="J1821" s="2">
        <v>6598</v>
      </c>
      <c r="K1821" s="2">
        <v>6346</v>
      </c>
      <c r="L1821" s="2">
        <v>3</v>
      </c>
      <c r="M1821" s="7">
        <f t="shared" si="112"/>
        <v>19038</v>
      </c>
      <c r="N1821" s="7">
        <f t="shared" si="113"/>
        <v>19794</v>
      </c>
      <c r="O1821" s="2">
        <v>45</v>
      </c>
      <c r="P1821" s="8">
        <f t="shared" si="114"/>
        <v>19839</v>
      </c>
      <c r="Q1821" s="8">
        <f t="shared" si="115"/>
        <v>19749</v>
      </c>
      <c r="R1821" s="2" t="s">
        <v>50</v>
      </c>
      <c r="S1821" s="9">
        <f>VLOOKUP(P1821,$T$2:U1818,2,1)</f>
        <v>0.05</v>
      </c>
    </row>
    <row r="1822" spans="1:19" x14ac:dyDescent="0.25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e">
        <f>VLOOKUP(F1822,'Customer Info'!A1814:I2313,2,0)</f>
        <v>#N/A</v>
      </c>
      <c r="H1822" s="6" t="e">
        <f>VLOOKUP(F1822,'Customer Info'!A1814:I2313,3,0)</f>
        <v>#N/A</v>
      </c>
      <c r="I1822" s="6" t="e">
        <f>VLOOKUP(F1822,'Customer Info'!A1814:I2313,5,0)</f>
        <v>#N/A</v>
      </c>
      <c r="J1822" s="2">
        <v>2644</v>
      </c>
      <c r="K1822" s="2">
        <v>2425</v>
      </c>
      <c r="L1822" s="2">
        <v>3</v>
      </c>
      <c r="M1822" s="7">
        <f t="shared" si="112"/>
        <v>7275</v>
      </c>
      <c r="N1822" s="7">
        <f t="shared" si="113"/>
        <v>7932</v>
      </c>
      <c r="O1822" s="2">
        <v>57</v>
      </c>
      <c r="P1822" s="8">
        <f t="shared" si="114"/>
        <v>7989</v>
      </c>
      <c r="Q1822" s="8">
        <f t="shared" si="115"/>
        <v>7875</v>
      </c>
      <c r="R1822" s="2" t="s">
        <v>28</v>
      </c>
      <c r="S1822" s="9">
        <f>VLOOKUP(P1822,$T$2:U1819,2,1)</f>
        <v>0.05</v>
      </c>
    </row>
    <row r="1823" spans="1:19" x14ac:dyDescent="0.25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e">
        <f>VLOOKUP(F1823,'Customer Info'!A1815:I2314,2,0)</f>
        <v>#N/A</v>
      </c>
      <c r="H1823" s="6" t="e">
        <f>VLOOKUP(F1823,'Customer Info'!A1815:I2314,3,0)</f>
        <v>#N/A</v>
      </c>
      <c r="I1823" s="6" t="e">
        <f>VLOOKUP(F1823,'Customer Info'!A1815:I2314,5,0)</f>
        <v>#N/A</v>
      </c>
      <c r="J1823" s="2">
        <v>1809</v>
      </c>
      <c r="K1823" s="2">
        <v>1691</v>
      </c>
      <c r="L1823" s="2">
        <v>7</v>
      </c>
      <c r="M1823" s="7">
        <f t="shared" si="112"/>
        <v>11837</v>
      </c>
      <c r="N1823" s="7">
        <f t="shared" si="113"/>
        <v>12663</v>
      </c>
      <c r="O1823" s="2">
        <v>51</v>
      </c>
      <c r="P1823" s="8">
        <f t="shared" si="114"/>
        <v>12714</v>
      </c>
      <c r="Q1823" s="8">
        <f t="shared" si="115"/>
        <v>12612</v>
      </c>
      <c r="R1823" s="2" t="s">
        <v>28</v>
      </c>
      <c r="S1823" s="9">
        <f>VLOOKUP(P1823,$T$2:U1820,2,1)</f>
        <v>0.05</v>
      </c>
    </row>
    <row r="1824" spans="1:19" x14ac:dyDescent="0.25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e">
        <f>VLOOKUP(F1824,'Customer Info'!A1816:I2315,2,0)</f>
        <v>#N/A</v>
      </c>
      <c r="H1824" s="6" t="e">
        <f>VLOOKUP(F1824,'Customer Info'!A1816:I2315,3,0)</f>
        <v>#N/A</v>
      </c>
      <c r="I1824" s="6" t="e">
        <f>VLOOKUP(F1824,'Customer Info'!A1816:I2315,5,0)</f>
        <v>#N/A</v>
      </c>
      <c r="J1824" s="2">
        <v>941</v>
      </c>
      <c r="K1824" s="2">
        <v>905</v>
      </c>
      <c r="L1824" s="2">
        <v>5</v>
      </c>
      <c r="M1824" s="7">
        <f t="shared" si="112"/>
        <v>4525</v>
      </c>
      <c r="N1824" s="7">
        <f t="shared" si="113"/>
        <v>4705</v>
      </c>
      <c r="O1824" s="2">
        <v>92</v>
      </c>
      <c r="P1824" s="8">
        <f t="shared" si="114"/>
        <v>4797</v>
      </c>
      <c r="Q1824" s="8">
        <f t="shared" si="115"/>
        <v>4613</v>
      </c>
      <c r="R1824" s="2" t="s">
        <v>28</v>
      </c>
      <c r="S1824" s="9">
        <f>VLOOKUP(P1824,$T$2:U1821,2,1)</f>
        <v>0.02</v>
      </c>
    </row>
    <row r="1825" spans="1:19" x14ac:dyDescent="0.25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e">
        <f>VLOOKUP(F1825,'Customer Info'!A1817:I2316,2,0)</f>
        <v>#N/A</v>
      </c>
      <c r="H1825" s="6" t="e">
        <f>VLOOKUP(F1825,'Customer Info'!A1817:I2316,3,0)</f>
        <v>#N/A</v>
      </c>
      <c r="I1825" s="6" t="e">
        <f>VLOOKUP(F1825,'Customer Info'!A1817:I2316,5,0)</f>
        <v>#N/A</v>
      </c>
      <c r="J1825" s="2">
        <v>6951</v>
      </c>
      <c r="K1825" s="2">
        <v>6620</v>
      </c>
      <c r="L1825" s="2">
        <v>4</v>
      </c>
      <c r="M1825" s="7">
        <f t="shared" si="112"/>
        <v>26480</v>
      </c>
      <c r="N1825" s="7">
        <f t="shared" si="113"/>
        <v>27804</v>
      </c>
      <c r="O1825" s="2">
        <v>26</v>
      </c>
      <c r="P1825" s="8">
        <f t="shared" si="114"/>
        <v>27830</v>
      </c>
      <c r="Q1825" s="8">
        <f t="shared" si="115"/>
        <v>27778</v>
      </c>
      <c r="R1825" s="2" t="s">
        <v>28</v>
      </c>
      <c r="S1825" s="9">
        <f>VLOOKUP(P1825,$T$2:U1822,2,1)</f>
        <v>7.0000000000000007E-2</v>
      </c>
    </row>
    <row r="1826" spans="1:19" x14ac:dyDescent="0.25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e">
        <f>VLOOKUP(F1826,'Customer Info'!A1818:I2317,2,0)</f>
        <v>#N/A</v>
      </c>
      <c r="H1826" s="6" t="e">
        <f>VLOOKUP(F1826,'Customer Info'!A1818:I2317,3,0)</f>
        <v>#N/A</v>
      </c>
      <c r="I1826" s="6" t="e">
        <f>VLOOKUP(F1826,'Customer Info'!A1818:I2317,5,0)</f>
        <v>#N/A</v>
      </c>
      <c r="J1826" s="2">
        <v>1210</v>
      </c>
      <c r="K1826" s="2">
        <v>1164</v>
      </c>
      <c r="L1826" s="2">
        <v>1</v>
      </c>
      <c r="M1826" s="7">
        <f t="shared" si="112"/>
        <v>1164</v>
      </c>
      <c r="N1826" s="7">
        <f t="shared" si="113"/>
        <v>1210</v>
      </c>
      <c r="O1826" s="2">
        <v>36</v>
      </c>
      <c r="P1826" s="8">
        <f t="shared" si="114"/>
        <v>1246</v>
      </c>
      <c r="Q1826" s="8">
        <f t="shared" si="115"/>
        <v>1174</v>
      </c>
      <c r="R1826" s="2" t="s">
        <v>50</v>
      </c>
      <c r="S1826" s="9">
        <f>VLOOKUP(P1826,$T$2:U1823,2,1)</f>
        <v>0.02</v>
      </c>
    </row>
    <row r="1827" spans="1:19" x14ac:dyDescent="0.25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e">
        <f>VLOOKUP(F1827,'Customer Info'!A1819:I2318,2,0)</f>
        <v>#N/A</v>
      </c>
      <c r="H1827" s="6" t="e">
        <f>VLOOKUP(F1827,'Customer Info'!A1819:I2318,3,0)</f>
        <v>#N/A</v>
      </c>
      <c r="I1827" s="6" t="e">
        <f>VLOOKUP(F1827,'Customer Info'!A1819:I2318,5,0)</f>
        <v>#N/A</v>
      </c>
      <c r="J1827" s="2">
        <v>1498</v>
      </c>
      <c r="K1827" s="2">
        <v>1335</v>
      </c>
      <c r="L1827" s="2">
        <v>2</v>
      </c>
      <c r="M1827" s="7">
        <f t="shared" si="112"/>
        <v>2670</v>
      </c>
      <c r="N1827" s="7">
        <f t="shared" si="113"/>
        <v>2996</v>
      </c>
      <c r="O1827" s="2">
        <v>71</v>
      </c>
      <c r="P1827" s="8">
        <f t="shared" si="114"/>
        <v>3067</v>
      </c>
      <c r="Q1827" s="8">
        <f t="shared" si="115"/>
        <v>2925</v>
      </c>
      <c r="R1827" s="2" t="s">
        <v>28</v>
      </c>
      <c r="S1827" s="9">
        <f>VLOOKUP(P1827,$T$2:U1824,2,1)</f>
        <v>0.02</v>
      </c>
    </row>
    <row r="1828" spans="1:19" x14ac:dyDescent="0.25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e">
        <f>VLOOKUP(F1828,'Customer Info'!A1820:I2319,2,0)</f>
        <v>#N/A</v>
      </c>
      <c r="H1828" s="6" t="e">
        <f>VLOOKUP(F1828,'Customer Info'!A1820:I2319,3,0)</f>
        <v>#N/A</v>
      </c>
      <c r="I1828" s="6" t="e">
        <f>VLOOKUP(F1828,'Customer Info'!A1820:I2319,5,0)</f>
        <v>#N/A</v>
      </c>
      <c r="J1828" s="2">
        <v>1763</v>
      </c>
      <c r="K1828" s="2">
        <v>1602</v>
      </c>
      <c r="L1828" s="2">
        <v>3</v>
      </c>
      <c r="M1828" s="7">
        <f t="shared" si="112"/>
        <v>4806</v>
      </c>
      <c r="N1828" s="7">
        <f t="shared" si="113"/>
        <v>5289</v>
      </c>
      <c r="O1828" s="2">
        <v>37</v>
      </c>
      <c r="P1828" s="8">
        <f t="shared" si="114"/>
        <v>5326</v>
      </c>
      <c r="Q1828" s="8">
        <f t="shared" si="115"/>
        <v>5252</v>
      </c>
      <c r="R1828" s="2" t="s">
        <v>50</v>
      </c>
      <c r="S1828" s="9">
        <f>VLOOKUP(P1828,$T$2:U1825,2,1)</f>
        <v>0.05</v>
      </c>
    </row>
    <row r="1829" spans="1:19" x14ac:dyDescent="0.25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e">
        <f>VLOOKUP(F1829,'Customer Info'!A1821:I2320,2,0)</f>
        <v>#N/A</v>
      </c>
      <c r="H1829" s="6" t="e">
        <f>VLOOKUP(F1829,'Customer Info'!A1821:I2320,3,0)</f>
        <v>#N/A</v>
      </c>
      <c r="I1829" s="6" t="e">
        <f>VLOOKUP(F1829,'Customer Info'!A1821:I2320,5,0)</f>
        <v>#N/A</v>
      </c>
      <c r="J1829" s="2">
        <v>6087</v>
      </c>
      <c r="K1829" s="2">
        <v>5808</v>
      </c>
      <c r="L1829" s="2">
        <v>3</v>
      </c>
      <c r="M1829" s="7">
        <f t="shared" si="112"/>
        <v>17424</v>
      </c>
      <c r="N1829" s="7">
        <f t="shared" si="113"/>
        <v>18261</v>
      </c>
      <c r="O1829" s="2">
        <v>100</v>
      </c>
      <c r="P1829" s="8">
        <f t="shared" si="114"/>
        <v>18361</v>
      </c>
      <c r="Q1829" s="8">
        <f t="shared" si="115"/>
        <v>18161</v>
      </c>
      <c r="R1829" s="2" t="s">
        <v>28</v>
      </c>
      <c r="S1829" s="9">
        <f>VLOOKUP(P1829,$T$2:U1826,2,1)</f>
        <v>0.05</v>
      </c>
    </row>
    <row r="1830" spans="1:19" x14ac:dyDescent="0.25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e">
        <f>VLOOKUP(F1830,'Customer Info'!A1822:I2321,2,0)</f>
        <v>#N/A</v>
      </c>
      <c r="H1830" s="6" t="e">
        <f>VLOOKUP(F1830,'Customer Info'!A1822:I2321,3,0)</f>
        <v>#N/A</v>
      </c>
      <c r="I1830" s="6" t="e">
        <f>VLOOKUP(F1830,'Customer Info'!A1822:I2321,5,0)</f>
        <v>#N/A</v>
      </c>
      <c r="J1830" s="2">
        <v>1605</v>
      </c>
      <c r="K1830" s="2">
        <v>1530</v>
      </c>
      <c r="L1830" s="2">
        <v>5</v>
      </c>
      <c r="M1830" s="7">
        <f t="shared" si="112"/>
        <v>7650</v>
      </c>
      <c r="N1830" s="7">
        <f t="shared" si="113"/>
        <v>8025</v>
      </c>
      <c r="O1830" s="2">
        <v>98</v>
      </c>
      <c r="P1830" s="8">
        <f t="shared" si="114"/>
        <v>8123</v>
      </c>
      <c r="Q1830" s="8">
        <f t="shared" si="115"/>
        <v>7927</v>
      </c>
      <c r="R1830" s="2" t="s">
        <v>28</v>
      </c>
      <c r="S1830" s="9">
        <f>VLOOKUP(P1830,$T$2:U1827,2,1)</f>
        <v>0.05</v>
      </c>
    </row>
    <row r="1831" spans="1:19" x14ac:dyDescent="0.25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e">
        <f>VLOOKUP(F1831,'Customer Info'!A1823:I2322,2,0)</f>
        <v>#N/A</v>
      </c>
      <c r="H1831" s="6" t="e">
        <f>VLOOKUP(F1831,'Customer Info'!A1823:I2322,3,0)</f>
        <v>#N/A</v>
      </c>
      <c r="I1831" s="6" t="e">
        <f>VLOOKUP(F1831,'Customer Info'!A1823:I2322,5,0)</f>
        <v>#N/A</v>
      </c>
      <c r="J1831" s="2">
        <v>674</v>
      </c>
      <c r="K1831" s="2">
        <v>629</v>
      </c>
      <c r="L1831" s="2">
        <v>4</v>
      </c>
      <c r="M1831" s="7">
        <f t="shared" si="112"/>
        <v>2516</v>
      </c>
      <c r="N1831" s="7">
        <f t="shared" si="113"/>
        <v>2696</v>
      </c>
      <c r="O1831" s="2">
        <v>56</v>
      </c>
      <c r="P1831" s="8">
        <f t="shared" si="114"/>
        <v>2752</v>
      </c>
      <c r="Q1831" s="8">
        <f t="shared" si="115"/>
        <v>2640</v>
      </c>
      <c r="R1831" s="2" t="s">
        <v>28</v>
      </c>
      <c r="S1831" s="9">
        <f>VLOOKUP(P1831,$T$2:U1828,2,1)</f>
        <v>0.02</v>
      </c>
    </row>
    <row r="1832" spans="1:19" x14ac:dyDescent="0.25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e">
        <f>VLOOKUP(F1832,'Customer Info'!A1824:I2323,2,0)</f>
        <v>#N/A</v>
      </c>
      <c r="H1832" s="6" t="e">
        <f>VLOOKUP(F1832,'Customer Info'!A1824:I2323,3,0)</f>
        <v>#N/A</v>
      </c>
      <c r="I1832" s="6" t="e">
        <f>VLOOKUP(F1832,'Customer Info'!A1824:I2323,5,0)</f>
        <v>#N/A</v>
      </c>
      <c r="J1832" s="2">
        <v>743</v>
      </c>
      <c r="K1832" s="2">
        <v>694</v>
      </c>
      <c r="L1832" s="2">
        <v>1</v>
      </c>
      <c r="M1832" s="7">
        <f t="shared" si="112"/>
        <v>694</v>
      </c>
      <c r="N1832" s="7">
        <f t="shared" si="113"/>
        <v>743</v>
      </c>
      <c r="O1832" s="2">
        <v>32</v>
      </c>
      <c r="P1832" s="8">
        <f t="shared" si="114"/>
        <v>775</v>
      </c>
      <c r="Q1832" s="8">
        <f t="shared" si="115"/>
        <v>711</v>
      </c>
      <c r="R1832" s="2" t="s">
        <v>26</v>
      </c>
      <c r="S1832" s="9">
        <f>VLOOKUP(P1832,$T$2:U1829,2,1)</f>
        <v>0.02</v>
      </c>
    </row>
    <row r="1833" spans="1:19" x14ac:dyDescent="0.25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e">
        <f>VLOOKUP(F1833,'Customer Info'!A1825:I2324,2,0)</f>
        <v>#N/A</v>
      </c>
      <c r="H1833" s="6" t="e">
        <f>VLOOKUP(F1833,'Customer Info'!A1825:I2324,3,0)</f>
        <v>#N/A</v>
      </c>
      <c r="I1833" s="6" t="e">
        <f>VLOOKUP(F1833,'Customer Info'!A1825:I2324,5,0)</f>
        <v>#N/A</v>
      </c>
      <c r="J1833" s="2">
        <v>60</v>
      </c>
      <c r="K1833" s="2">
        <v>57</v>
      </c>
      <c r="L1833" s="2">
        <v>2</v>
      </c>
      <c r="M1833" s="7">
        <f t="shared" si="112"/>
        <v>114</v>
      </c>
      <c r="N1833" s="7">
        <f t="shared" si="113"/>
        <v>120</v>
      </c>
      <c r="O1833" s="2">
        <v>10</v>
      </c>
      <c r="P1833" s="8">
        <f t="shared" si="114"/>
        <v>130</v>
      </c>
      <c r="Q1833" s="8">
        <f t="shared" si="115"/>
        <v>110</v>
      </c>
      <c r="R1833" s="2" t="s">
        <v>56</v>
      </c>
      <c r="S1833" s="9">
        <f>VLOOKUP(P1833,$T$2:U1830,2,1)</f>
        <v>0.02</v>
      </c>
    </row>
    <row r="1834" spans="1:19" x14ac:dyDescent="0.25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e">
        <f>VLOOKUP(F1834,'Customer Info'!A1826:I2325,2,0)</f>
        <v>#N/A</v>
      </c>
      <c r="H1834" s="6" t="e">
        <f>VLOOKUP(F1834,'Customer Info'!A1826:I2325,3,0)</f>
        <v>#N/A</v>
      </c>
      <c r="I1834" s="6" t="e">
        <f>VLOOKUP(F1834,'Customer Info'!A1826:I2325,5,0)</f>
        <v>#N/A</v>
      </c>
      <c r="J1834" s="2">
        <v>175</v>
      </c>
      <c r="K1834" s="2">
        <v>162</v>
      </c>
      <c r="L1834" s="2">
        <v>4</v>
      </c>
      <c r="M1834" s="7">
        <f t="shared" si="112"/>
        <v>648</v>
      </c>
      <c r="N1834" s="7">
        <f t="shared" si="113"/>
        <v>700</v>
      </c>
      <c r="O1834" s="2">
        <v>30</v>
      </c>
      <c r="P1834" s="8">
        <f t="shared" si="114"/>
        <v>730</v>
      </c>
      <c r="Q1834" s="8">
        <f t="shared" si="115"/>
        <v>670</v>
      </c>
      <c r="R1834" s="2" t="s">
        <v>50</v>
      </c>
      <c r="S1834" s="9">
        <f>VLOOKUP(P1834,$T$2:U1831,2,1)</f>
        <v>0.02</v>
      </c>
    </row>
    <row r="1835" spans="1:19" x14ac:dyDescent="0.25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e">
        <f>VLOOKUP(F1835,'Customer Info'!A1827:I2326,2,0)</f>
        <v>#N/A</v>
      </c>
      <c r="H1835" s="6" t="e">
        <f>VLOOKUP(F1835,'Customer Info'!A1827:I2326,3,0)</f>
        <v>#N/A</v>
      </c>
      <c r="I1835" s="6" t="e">
        <f>VLOOKUP(F1835,'Customer Info'!A1827:I2326,5,0)</f>
        <v>#N/A</v>
      </c>
      <c r="J1835" s="2">
        <v>214</v>
      </c>
      <c r="K1835" s="2">
        <v>200</v>
      </c>
      <c r="L1835" s="2">
        <v>1</v>
      </c>
      <c r="M1835" s="7">
        <f t="shared" si="112"/>
        <v>200</v>
      </c>
      <c r="N1835" s="7">
        <f t="shared" si="113"/>
        <v>214</v>
      </c>
      <c r="O1835" s="2">
        <v>88</v>
      </c>
      <c r="P1835" s="8">
        <f t="shared" si="114"/>
        <v>302</v>
      </c>
      <c r="Q1835" s="8">
        <f t="shared" si="115"/>
        <v>126</v>
      </c>
      <c r="R1835" s="2" t="s">
        <v>28</v>
      </c>
      <c r="S1835" s="9">
        <f>VLOOKUP(P1835,$T$2:U1832,2,1)</f>
        <v>0.02</v>
      </c>
    </row>
    <row r="1836" spans="1:19" x14ac:dyDescent="0.25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e">
        <f>VLOOKUP(F1836,'Customer Info'!A1828:I2327,2,0)</f>
        <v>#N/A</v>
      </c>
      <c r="H1836" s="6" t="e">
        <f>VLOOKUP(F1836,'Customer Info'!A1828:I2327,3,0)</f>
        <v>#N/A</v>
      </c>
      <c r="I1836" s="6" t="e">
        <f>VLOOKUP(F1836,'Customer Info'!A1828:I2327,5,0)</f>
        <v>#N/A</v>
      </c>
      <c r="J1836" s="2">
        <v>3256</v>
      </c>
      <c r="K1836" s="2">
        <v>3044</v>
      </c>
      <c r="L1836" s="2">
        <v>3</v>
      </c>
      <c r="M1836" s="7">
        <f t="shared" si="112"/>
        <v>9132</v>
      </c>
      <c r="N1836" s="7">
        <f t="shared" si="113"/>
        <v>9768</v>
      </c>
      <c r="O1836" s="2">
        <v>34</v>
      </c>
      <c r="P1836" s="8">
        <f t="shared" si="114"/>
        <v>9802</v>
      </c>
      <c r="Q1836" s="8">
        <f t="shared" si="115"/>
        <v>9734</v>
      </c>
      <c r="R1836" s="2" t="s">
        <v>50</v>
      </c>
      <c r="S1836" s="9">
        <f>VLOOKUP(P1836,$T$2:U1833,2,1)</f>
        <v>0.05</v>
      </c>
    </row>
    <row r="1837" spans="1:19" x14ac:dyDescent="0.25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e">
        <f>VLOOKUP(F1837,'Customer Info'!A1829:I2328,2,0)</f>
        <v>#N/A</v>
      </c>
      <c r="H1837" s="6" t="e">
        <f>VLOOKUP(F1837,'Customer Info'!A1829:I2328,3,0)</f>
        <v>#N/A</v>
      </c>
      <c r="I1837" s="6" t="e">
        <f>VLOOKUP(F1837,'Customer Info'!A1829:I2328,5,0)</f>
        <v>#N/A</v>
      </c>
      <c r="J1837" s="2">
        <v>691</v>
      </c>
      <c r="K1837" s="2">
        <v>627</v>
      </c>
      <c r="L1837" s="2">
        <v>5</v>
      </c>
      <c r="M1837" s="7">
        <f t="shared" si="112"/>
        <v>3135</v>
      </c>
      <c r="N1837" s="7">
        <f t="shared" si="113"/>
        <v>3455</v>
      </c>
      <c r="O1837" s="2">
        <v>33</v>
      </c>
      <c r="P1837" s="8">
        <f t="shared" si="114"/>
        <v>3488</v>
      </c>
      <c r="Q1837" s="8">
        <f t="shared" si="115"/>
        <v>3422</v>
      </c>
      <c r="R1837" s="2" t="s">
        <v>50</v>
      </c>
      <c r="S1837" s="9">
        <f>VLOOKUP(P1837,$T$2:U1834,2,1)</f>
        <v>0.02</v>
      </c>
    </row>
    <row r="1838" spans="1:19" x14ac:dyDescent="0.25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e">
        <f>VLOOKUP(F1838,'Customer Info'!A1830:I2329,2,0)</f>
        <v>#N/A</v>
      </c>
      <c r="H1838" s="6" t="e">
        <f>VLOOKUP(F1838,'Customer Info'!A1830:I2329,3,0)</f>
        <v>#N/A</v>
      </c>
      <c r="I1838" s="6" t="e">
        <f>VLOOKUP(F1838,'Customer Info'!A1830:I2329,5,0)</f>
        <v>#N/A</v>
      </c>
      <c r="J1838" s="2">
        <v>36778</v>
      </c>
      <c r="K1838" s="2">
        <v>34709</v>
      </c>
      <c r="L1838" s="2">
        <v>7</v>
      </c>
      <c r="M1838" s="7">
        <f t="shared" si="112"/>
        <v>242963</v>
      </c>
      <c r="N1838" s="7">
        <f t="shared" si="113"/>
        <v>257446</v>
      </c>
      <c r="O1838" s="2">
        <v>73</v>
      </c>
      <c r="P1838" s="8">
        <f t="shared" si="114"/>
        <v>257519</v>
      </c>
      <c r="Q1838" s="8">
        <f t="shared" si="115"/>
        <v>257373</v>
      </c>
      <c r="R1838" s="2" t="s">
        <v>28</v>
      </c>
      <c r="S1838" s="9">
        <f>VLOOKUP(P1838,$T$2:U1835,2,1)</f>
        <v>0.15</v>
      </c>
    </row>
    <row r="1839" spans="1:19" x14ac:dyDescent="0.25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e">
        <f>VLOOKUP(F1839,'Customer Info'!A1831:I2330,2,0)</f>
        <v>#N/A</v>
      </c>
      <c r="H1839" s="6" t="e">
        <f>VLOOKUP(F1839,'Customer Info'!A1831:I2330,3,0)</f>
        <v>#N/A</v>
      </c>
      <c r="I1839" s="6" t="e">
        <f>VLOOKUP(F1839,'Customer Info'!A1831:I2330,5,0)</f>
        <v>#N/A</v>
      </c>
      <c r="J1839" s="2">
        <v>59</v>
      </c>
      <c r="K1839" s="2">
        <v>55</v>
      </c>
      <c r="L1839" s="2">
        <v>5</v>
      </c>
      <c r="M1839" s="7">
        <f t="shared" si="112"/>
        <v>275</v>
      </c>
      <c r="N1839" s="7">
        <f t="shared" si="113"/>
        <v>295</v>
      </c>
      <c r="O1839" s="2">
        <v>10</v>
      </c>
      <c r="P1839" s="8">
        <f t="shared" si="114"/>
        <v>305</v>
      </c>
      <c r="Q1839" s="8">
        <f t="shared" si="115"/>
        <v>285</v>
      </c>
      <c r="R1839" s="2" t="s">
        <v>28</v>
      </c>
      <c r="S1839" s="9">
        <f>VLOOKUP(P1839,$T$2:U1836,2,1)</f>
        <v>0.02</v>
      </c>
    </row>
    <row r="1840" spans="1:19" x14ac:dyDescent="0.25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e">
        <f>VLOOKUP(F1840,'Customer Info'!A1832:I2331,2,0)</f>
        <v>#N/A</v>
      </c>
      <c r="H1840" s="6" t="e">
        <f>VLOOKUP(F1840,'Customer Info'!A1832:I2331,3,0)</f>
        <v>#N/A</v>
      </c>
      <c r="I1840" s="6" t="e">
        <f>VLOOKUP(F1840,'Customer Info'!A1832:I2331,5,0)</f>
        <v>#N/A</v>
      </c>
      <c r="J1840" s="2">
        <v>2951</v>
      </c>
      <c r="K1840" s="2">
        <v>2786</v>
      </c>
      <c r="L1840" s="2">
        <v>5</v>
      </c>
      <c r="M1840" s="7">
        <f t="shared" si="112"/>
        <v>13930</v>
      </c>
      <c r="N1840" s="7">
        <f t="shared" si="113"/>
        <v>14755</v>
      </c>
      <c r="O1840" s="2">
        <v>88</v>
      </c>
      <c r="P1840" s="8">
        <f t="shared" si="114"/>
        <v>14843</v>
      </c>
      <c r="Q1840" s="8">
        <f t="shared" si="115"/>
        <v>14667</v>
      </c>
      <c r="R1840" s="2" t="s">
        <v>28</v>
      </c>
      <c r="S1840" s="9">
        <f>VLOOKUP(P1840,$T$2:U1837,2,1)</f>
        <v>0.05</v>
      </c>
    </row>
    <row r="1841" spans="1:19" x14ac:dyDescent="0.25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e">
        <f>VLOOKUP(F1841,'Customer Info'!A1833:I2332,2,0)</f>
        <v>#N/A</v>
      </c>
      <c r="H1841" s="6" t="e">
        <f>VLOOKUP(F1841,'Customer Info'!A1833:I2332,3,0)</f>
        <v>#N/A</v>
      </c>
      <c r="I1841" s="6" t="e">
        <f>VLOOKUP(F1841,'Customer Info'!A1833:I2332,5,0)</f>
        <v>#N/A</v>
      </c>
      <c r="J1841" s="2">
        <v>4443</v>
      </c>
      <c r="K1841" s="2">
        <v>4079</v>
      </c>
      <c r="L1841" s="2">
        <v>1</v>
      </c>
      <c r="M1841" s="7">
        <f t="shared" si="112"/>
        <v>4079</v>
      </c>
      <c r="N1841" s="7">
        <f t="shared" si="113"/>
        <v>4443</v>
      </c>
      <c r="O1841" s="2">
        <v>37</v>
      </c>
      <c r="P1841" s="8">
        <f t="shared" si="114"/>
        <v>4480</v>
      </c>
      <c r="Q1841" s="8">
        <f t="shared" si="115"/>
        <v>4406</v>
      </c>
      <c r="R1841" s="2" t="s">
        <v>28</v>
      </c>
      <c r="S1841" s="9">
        <f>VLOOKUP(P1841,$T$2:U1838,2,1)</f>
        <v>0.02</v>
      </c>
    </row>
    <row r="1842" spans="1:19" x14ac:dyDescent="0.25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e">
        <f>VLOOKUP(F1842,'Customer Info'!A1834:I2333,2,0)</f>
        <v>#N/A</v>
      </c>
      <c r="H1842" s="6" t="e">
        <f>VLOOKUP(F1842,'Customer Info'!A1834:I2333,3,0)</f>
        <v>#N/A</v>
      </c>
      <c r="I1842" s="6" t="e">
        <f>VLOOKUP(F1842,'Customer Info'!A1834:I2333,5,0)</f>
        <v>#N/A</v>
      </c>
      <c r="J1842" s="2">
        <v>2787</v>
      </c>
      <c r="K1842" s="2">
        <v>2681</v>
      </c>
      <c r="L1842" s="2">
        <v>1</v>
      </c>
      <c r="M1842" s="7">
        <f t="shared" si="112"/>
        <v>2681</v>
      </c>
      <c r="N1842" s="7">
        <f t="shared" si="113"/>
        <v>2787</v>
      </c>
      <c r="O1842" s="2">
        <v>53</v>
      </c>
      <c r="P1842" s="8">
        <f t="shared" si="114"/>
        <v>2840</v>
      </c>
      <c r="Q1842" s="8">
        <f t="shared" si="115"/>
        <v>2734</v>
      </c>
      <c r="R1842" s="2" t="s">
        <v>28</v>
      </c>
      <c r="S1842" s="9">
        <f>VLOOKUP(P1842,$T$2:U1839,2,1)</f>
        <v>0.02</v>
      </c>
    </row>
    <row r="1843" spans="1:19" x14ac:dyDescent="0.25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e">
        <f>VLOOKUP(F1843,'Customer Info'!A1835:I2334,2,0)</f>
        <v>#N/A</v>
      </c>
      <c r="H1843" s="6" t="e">
        <f>VLOOKUP(F1843,'Customer Info'!A1835:I2334,3,0)</f>
        <v>#N/A</v>
      </c>
      <c r="I1843" s="6" t="e">
        <f>VLOOKUP(F1843,'Customer Info'!A1835:I2334,5,0)</f>
        <v>#N/A</v>
      </c>
      <c r="J1843" s="2">
        <v>224</v>
      </c>
      <c r="K1843" s="2">
        <v>210</v>
      </c>
      <c r="L1843" s="2">
        <v>2</v>
      </c>
      <c r="M1843" s="7">
        <f t="shared" si="112"/>
        <v>420</v>
      </c>
      <c r="N1843" s="7">
        <f t="shared" si="113"/>
        <v>448</v>
      </c>
      <c r="O1843" s="2">
        <v>37</v>
      </c>
      <c r="P1843" s="8">
        <f t="shared" si="114"/>
        <v>485</v>
      </c>
      <c r="Q1843" s="8">
        <f t="shared" si="115"/>
        <v>411</v>
      </c>
      <c r="R1843" s="2" t="s">
        <v>50</v>
      </c>
      <c r="S1843" s="9">
        <f>VLOOKUP(P1843,$T$2:U1840,2,1)</f>
        <v>0.02</v>
      </c>
    </row>
    <row r="1844" spans="1:19" x14ac:dyDescent="0.25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e">
        <f>VLOOKUP(F1844,'Customer Info'!A1836:I2335,2,0)</f>
        <v>#N/A</v>
      </c>
      <c r="H1844" s="6" t="e">
        <f>VLOOKUP(F1844,'Customer Info'!A1836:I2335,3,0)</f>
        <v>#N/A</v>
      </c>
      <c r="I1844" s="6" t="e">
        <f>VLOOKUP(F1844,'Customer Info'!A1836:I2335,5,0)</f>
        <v>#N/A</v>
      </c>
      <c r="J1844" s="2">
        <v>2503</v>
      </c>
      <c r="K1844" s="2">
        <v>2454</v>
      </c>
      <c r="L1844" s="2">
        <v>1</v>
      </c>
      <c r="M1844" s="7">
        <f t="shared" si="112"/>
        <v>2454</v>
      </c>
      <c r="N1844" s="7">
        <f t="shared" si="113"/>
        <v>2503</v>
      </c>
      <c r="O1844" s="2">
        <v>70</v>
      </c>
      <c r="P1844" s="8">
        <f t="shared" si="114"/>
        <v>2573</v>
      </c>
      <c r="Q1844" s="8">
        <f t="shared" si="115"/>
        <v>2433</v>
      </c>
      <c r="R1844" s="2" t="s">
        <v>50</v>
      </c>
      <c r="S1844" s="9">
        <f>VLOOKUP(P1844,$T$2:U1841,2,1)</f>
        <v>0.02</v>
      </c>
    </row>
    <row r="1845" spans="1:19" x14ac:dyDescent="0.25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e">
        <f>VLOOKUP(F1845,'Customer Info'!A1837:I2336,2,0)</f>
        <v>#N/A</v>
      </c>
      <c r="H1845" s="6" t="e">
        <f>VLOOKUP(F1845,'Customer Info'!A1837:I2336,3,0)</f>
        <v>#N/A</v>
      </c>
      <c r="I1845" s="6" t="e">
        <f>VLOOKUP(F1845,'Customer Info'!A1837:I2336,5,0)</f>
        <v>#N/A</v>
      </c>
      <c r="J1845" s="2">
        <v>141</v>
      </c>
      <c r="K1845" s="2">
        <v>131</v>
      </c>
      <c r="L1845" s="2">
        <v>2</v>
      </c>
      <c r="M1845" s="7">
        <f t="shared" si="112"/>
        <v>262</v>
      </c>
      <c r="N1845" s="7">
        <f t="shared" si="113"/>
        <v>282</v>
      </c>
      <c r="O1845" s="2">
        <v>30</v>
      </c>
      <c r="P1845" s="8">
        <f t="shared" si="114"/>
        <v>312</v>
      </c>
      <c r="Q1845" s="8">
        <f t="shared" si="115"/>
        <v>252</v>
      </c>
      <c r="R1845" s="2" t="s">
        <v>26</v>
      </c>
      <c r="S1845" s="9">
        <f>VLOOKUP(P1845,$T$2:U1842,2,1)</f>
        <v>0.02</v>
      </c>
    </row>
    <row r="1846" spans="1:19" x14ac:dyDescent="0.25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e">
        <f>VLOOKUP(F1846,'Customer Info'!A1838:I2337,2,0)</f>
        <v>#N/A</v>
      </c>
      <c r="H1846" s="6" t="e">
        <f>VLOOKUP(F1846,'Customer Info'!A1838:I2337,3,0)</f>
        <v>#N/A</v>
      </c>
      <c r="I1846" s="6" t="e">
        <f>VLOOKUP(F1846,'Customer Info'!A1838:I2337,5,0)</f>
        <v>#N/A</v>
      </c>
      <c r="J1846" s="2">
        <v>1983</v>
      </c>
      <c r="K1846" s="2">
        <v>1908</v>
      </c>
      <c r="L1846" s="2">
        <v>3</v>
      </c>
      <c r="M1846" s="7">
        <f t="shared" si="112"/>
        <v>5724</v>
      </c>
      <c r="N1846" s="7">
        <f t="shared" si="113"/>
        <v>5949</v>
      </c>
      <c r="O1846" s="2">
        <v>50</v>
      </c>
      <c r="P1846" s="8">
        <f t="shared" si="114"/>
        <v>5999</v>
      </c>
      <c r="Q1846" s="8">
        <f t="shared" si="115"/>
        <v>5899</v>
      </c>
      <c r="R1846" s="2" t="s">
        <v>28</v>
      </c>
      <c r="S1846" s="9">
        <f>VLOOKUP(P1846,$T$2:U1843,2,1)</f>
        <v>0.05</v>
      </c>
    </row>
    <row r="1847" spans="1:19" x14ac:dyDescent="0.25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e">
        <f>VLOOKUP(F1847,'Customer Info'!A1839:I2338,2,0)</f>
        <v>#N/A</v>
      </c>
      <c r="H1847" s="6" t="e">
        <f>VLOOKUP(F1847,'Customer Info'!A1839:I2338,3,0)</f>
        <v>#N/A</v>
      </c>
      <c r="I1847" s="6" t="e">
        <f>VLOOKUP(F1847,'Customer Info'!A1839:I2338,5,0)</f>
        <v>#N/A</v>
      </c>
      <c r="J1847" s="2">
        <v>1882</v>
      </c>
      <c r="K1847" s="2">
        <v>1792</v>
      </c>
      <c r="L1847" s="2">
        <v>1</v>
      </c>
      <c r="M1847" s="7">
        <f t="shared" si="112"/>
        <v>1792</v>
      </c>
      <c r="N1847" s="7">
        <f t="shared" si="113"/>
        <v>1882</v>
      </c>
      <c r="O1847" s="2">
        <v>76</v>
      </c>
      <c r="P1847" s="8">
        <f t="shared" si="114"/>
        <v>1958</v>
      </c>
      <c r="Q1847" s="8">
        <f t="shared" si="115"/>
        <v>1806</v>
      </c>
      <c r="R1847" s="2" t="s">
        <v>28</v>
      </c>
      <c r="S1847" s="9">
        <f>VLOOKUP(P1847,$T$2:U1844,2,1)</f>
        <v>0.02</v>
      </c>
    </row>
    <row r="1848" spans="1:19" x14ac:dyDescent="0.25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e">
        <f>VLOOKUP(F1848,'Customer Info'!A1840:I2339,2,0)</f>
        <v>#N/A</v>
      </c>
      <c r="H1848" s="6" t="e">
        <f>VLOOKUP(F1848,'Customer Info'!A1840:I2339,3,0)</f>
        <v>#N/A</v>
      </c>
      <c r="I1848" s="6" t="e">
        <f>VLOOKUP(F1848,'Customer Info'!A1840:I2339,5,0)</f>
        <v>#N/A</v>
      </c>
      <c r="J1848" s="2">
        <v>224</v>
      </c>
      <c r="K1848" s="2">
        <v>210</v>
      </c>
      <c r="L1848" s="2">
        <v>1</v>
      </c>
      <c r="M1848" s="7">
        <f t="shared" si="112"/>
        <v>210</v>
      </c>
      <c r="N1848" s="7">
        <f t="shared" si="113"/>
        <v>224</v>
      </c>
      <c r="O1848" s="2">
        <v>27</v>
      </c>
      <c r="P1848" s="8">
        <f t="shared" si="114"/>
        <v>251</v>
      </c>
      <c r="Q1848" s="8">
        <f t="shared" si="115"/>
        <v>197</v>
      </c>
      <c r="R1848" s="2" t="s">
        <v>28</v>
      </c>
      <c r="S1848" s="9">
        <f>VLOOKUP(P1848,$T$2:U1845,2,1)</f>
        <v>0.02</v>
      </c>
    </row>
    <row r="1849" spans="1:19" x14ac:dyDescent="0.25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e">
        <f>VLOOKUP(F1849,'Customer Info'!A1841:I2340,2,0)</f>
        <v>#N/A</v>
      </c>
      <c r="H1849" s="6" t="e">
        <f>VLOOKUP(F1849,'Customer Info'!A1841:I2340,3,0)</f>
        <v>#N/A</v>
      </c>
      <c r="I1849" s="6" t="e">
        <f>VLOOKUP(F1849,'Customer Info'!A1841:I2340,5,0)</f>
        <v>#N/A</v>
      </c>
      <c r="J1849" s="2">
        <v>1441</v>
      </c>
      <c r="K1849" s="2">
        <v>1360</v>
      </c>
      <c r="L1849" s="2">
        <v>2</v>
      </c>
      <c r="M1849" s="7">
        <f t="shared" si="112"/>
        <v>2720</v>
      </c>
      <c r="N1849" s="7">
        <f t="shared" si="113"/>
        <v>2882</v>
      </c>
      <c r="O1849" s="2">
        <v>92</v>
      </c>
      <c r="P1849" s="8">
        <f t="shared" si="114"/>
        <v>2974</v>
      </c>
      <c r="Q1849" s="8">
        <f t="shared" si="115"/>
        <v>2790</v>
      </c>
      <c r="R1849" s="2" t="s">
        <v>50</v>
      </c>
      <c r="S1849" s="9">
        <f>VLOOKUP(P1849,$T$2:U1846,2,1)</f>
        <v>0.02</v>
      </c>
    </row>
    <row r="1850" spans="1:19" x14ac:dyDescent="0.25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e">
        <f>VLOOKUP(F1850,'Customer Info'!A1842:I2341,2,0)</f>
        <v>#N/A</v>
      </c>
      <c r="H1850" s="6" t="e">
        <f>VLOOKUP(F1850,'Customer Info'!A1842:I2341,3,0)</f>
        <v>#N/A</v>
      </c>
      <c r="I1850" s="6" t="e">
        <f>VLOOKUP(F1850,'Customer Info'!A1842:I2341,5,0)</f>
        <v>#N/A</v>
      </c>
      <c r="J1850" s="2">
        <v>1983</v>
      </c>
      <c r="K1850" s="2">
        <v>1908</v>
      </c>
      <c r="L1850" s="2">
        <v>4</v>
      </c>
      <c r="M1850" s="7">
        <f t="shared" si="112"/>
        <v>7632</v>
      </c>
      <c r="N1850" s="7">
        <f t="shared" si="113"/>
        <v>7932</v>
      </c>
      <c r="O1850" s="2">
        <v>41</v>
      </c>
      <c r="P1850" s="8">
        <f t="shared" si="114"/>
        <v>7973</v>
      </c>
      <c r="Q1850" s="8">
        <f t="shared" si="115"/>
        <v>7891</v>
      </c>
      <c r="R1850" s="2" t="s">
        <v>50</v>
      </c>
      <c r="S1850" s="9">
        <f>VLOOKUP(P1850,$T$2:U1847,2,1)</f>
        <v>0.05</v>
      </c>
    </row>
    <row r="1851" spans="1:19" x14ac:dyDescent="0.25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e">
        <f>VLOOKUP(F1851,'Customer Info'!A1843:I2342,2,0)</f>
        <v>#N/A</v>
      </c>
      <c r="H1851" s="6" t="e">
        <f>VLOOKUP(F1851,'Customer Info'!A1843:I2342,3,0)</f>
        <v>#N/A</v>
      </c>
      <c r="I1851" s="6" t="e">
        <f>VLOOKUP(F1851,'Customer Info'!A1843:I2342,5,0)</f>
        <v>#N/A</v>
      </c>
      <c r="J1851" s="2">
        <v>2200</v>
      </c>
      <c r="K1851" s="2">
        <v>2020</v>
      </c>
      <c r="L1851" s="2">
        <v>2</v>
      </c>
      <c r="M1851" s="7">
        <f t="shared" si="112"/>
        <v>4040</v>
      </c>
      <c r="N1851" s="7">
        <f t="shared" si="113"/>
        <v>4400</v>
      </c>
      <c r="O1851" s="2">
        <v>67</v>
      </c>
      <c r="P1851" s="8">
        <f t="shared" si="114"/>
        <v>4467</v>
      </c>
      <c r="Q1851" s="8">
        <f t="shared" si="115"/>
        <v>4333</v>
      </c>
      <c r="R1851" s="2" t="s">
        <v>28</v>
      </c>
      <c r="S1851" s="9">
        <f>VLOOKUP(P1851,$T$2:U1848,2,1)</f>
        <v>0.02</v>
      </c>
    </row>
    <row r="1852" spans="1:19" x14ac:dyDescent="0.25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e">
        <f>VLOOKUP(F1852,'Customer Info'!A1844:I2343,2,0)</f>
        <v>#N/A</v>
      </c>
      <c r="H1852" s="6" t="e">
        <f>VLOOKUP(F1852,'Customer Info'!A1844:I2343,3,0)</f>
        <v>#N/A</v>
      </c>
      <c r="I1852" s="6" t="e">
        <f>VLOOKUP(F1852,'Customer Info'!A1844:I2343,5,0)</f>
        <v>#N/A</v>
      </c>
      <c r="J1852" s="2">
        <v>1222</v>
      </c>
      <c r="K1852" s="2">
        <v>1187</v>
      </c>
      <c r="L1852" s="2">
        <v>2</v>
      </c>
      <c r="M1852" s="7">
        <f t="shared" si="112"/>
        <v>2374</v>
      </c>
      <c r="N1852" s="7">
        <f t="shared" si="113"/>
        <v>2444</v>
      </c>
      <c r="O1852" s="2">
        <v>20</v>
      </c>
      <c r="P1852" s="8">
        <f t="shared" si="114"/>
        <v>2464</v>
      </c>
      <c r="Q1852" s="8">
        <f t="shared" si="115"/>
        <v>2424</v>
      </c>
      <c r="R1852" s="2" t="s">
        <v>28</v>
      </c>
      <c r="S1852" s="9">
        <f>VLOOKUP(P1852,$T$2:U1849,2,1)</f>
        <v>0.02</v>
      </c>
    </row>
    <row r="1853" spans="1:19" x14ac:dyDescent="0.25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e">
        <f>VLOOKUP(F1853,'Customer Info'!A1845:I2344,2,0)</f>
        <v>#N/A</v>
      </c>
      <c r="H1853" s="6" t="e">
        <f>VLOOKUP(F1853,'Customer Info'!A1845:I2344,3,0)</f>
        <v>#N/A</v>
      </c>
      <c r="I1853" s="6" t="e">
        <f>VLOOKUP(F1853,'Customer Info'!A1845:I2344,5,0)</f>
        <v>#N/A</v>
      </c>
      <c r="J1853" s="2">
        <v>2205</v>
      </c>
      <c r="K1853" s="2">
        <v>2061</v>
      </c>
      <c r="L1853" s="2">
        <v>4</v>
      </c>
      <c r="M1853" s="7">
        <f t="shared" si="112"/>
        <v>8244</v>
      </c>
      <c r="N1853" s="7">
        <f t="shared" si="113"/>
        <v>8820</v>
      </c>
      <c r="O1853" s="2">
        <v>85</v>
      </c>
      <c r="P1853" s="8">
        <f t="shared" si="114"/>
        <v>8905</v>
      </c>
      <c r="Q1853" s="8">
        <f t="shared" si="115"/>
        <v>8735</v>
      </c>
      <c r="R1853" s="2" t="s">
        <v>50</v>
      </c>
      <c r="S1853" s="9">
        <f>VLOOKUP(P1853,$T$2:U1850,2,1)</f>
        <v>0.05</v>
      </c>
    </row>
    <row r="1854" spans="1:19" x14ac:dyDescent="0.25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e">
        <f>VLOOKUP(F1854,'Customer Info'!A1846:I2345,2,0)</f>
        <v>#N/A</v>
      </c>
      <c r="H1854" s="6" t="e">
        <f>VLOOKUP(F1854,'Customer Info'!A1846:I2345,3,0)</f>
        <v>#N/A</v>
      </c>
      <c r="I1854" s="6" t="e">
        <f>VLOOKUP(F1854,'Customer Info'!A1846:I2345,5,0)</f>
        <v>#N/A</v>
      </c>
      <c r="J1854" s="2">
        <v>6012</v>
      </c>
      <c r="K1854" s="2">
        <v>5677</v>
      </c>
      <c r="L1854" s="2">
        <v>3</v>
      </c>
      <c r="M1854" s="7">
        <f t="shared" si="112"/>
        <v>17031</v>
      </c>
      <c r="N1854" s="7">
        <f t="shared" si="113"/>
        <v>18036</v>
      </c>
      <c r="O1854" s="2">
        <v>32</v>
      </c>
      <c r="P1854" s="8">
        <f t="shared" si="114"/>
        <v>18068</v>
      </c>
      <c r="Q1854" s="8">
        <f t="shared" si="115"/>
        <v>18004</v>
      </c>
      <c r="R1854" s="2" t="s">
        <v>28</v>
      </c>
      <c r="S1854" s="9">
        <f>VLOOKUP(P1854,$T$2:U1851,2,1)</f>
        <v>0.05</v>
      </c>
    </row>
    <row r="1855" spans="1:19" x14ac:dyDescent="0.25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e">
        <f>VLOOKUP(F1855,'Customer Info'!A1847:I2346,2,0)</f>
        <v>#N/A</v>
      </c>
      <c r="H1855" s="6" t="e">
        <f>VLOOKUP(F1855,'Customer Info'!A1847:I2346,3,0)</f>
        <v>#N/A</v>
      </c>
      <c r="I1855" s="6" t="e">
        <f>VLOOKUP(F1855,'Customer Info'!A1847:I2346,5,0)</f>
        <v>#N/A</v>
      </c>
      <c r="J1855" s="2">
        <v>4577</v>
      </c>
      <c r="K1855" s="2">
        <v>4280</v>
      </c>
      <c r="L1855" s="2">
        <v>2</v>
      </c>
      <c r="M1855" s="7">
        <f t="shared" si="112"/>
        <v>8560</v>
      </c>
      <c r="N1855" s="7">
        <f t="shared" si="113"/>
        <v>9154</v>
      </c>
      <c r="O1855" s="2">
        <v>99</v>
      </c>
      <c r="P1855" s="8">
        <f t="shared" si="114"/>
        <v>9253</v>
      </c>
      <c r="Q1855" s="8">
        <f t="shared" si="115"/>
        <v>9055</v>
      </c>
      <c r="R1855" s="2" t="s">
        <v>28</v>
      </c>
      <c r="S1855" s="9">
        <f>VLOOKUP(P1855,$T$2:U1852,2,1)</f>
        <v>0.05</v>
      </c>
    </row>
    <row r="1856" spans="1:19" x14ac:dyDescent="0.25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e">
        <f>VLOOKUP(F1856,'Customer Info'!A1848:I2347,2,0)</f>
        <v>#N/A</v>
      </c>
      <c r="H1856" s="6" t="e">
        <f>VLOOKUP(F1856,'Customer Info'!A1848:I2347,3,0)</f>
        <v>#N/A</v>
      </c>
      <c r="I1856" s="6" t="e">
        <f>VLOOKUP(F1856,'Customer Info'!A1848:I2347,5,0)</f>
        <v>#N/A</v>
      </c>
      <c r="J1856" s="2">
        <v>101</v>
      </c>
      <c r="K1856" s="2">
        <v>98</v>
      </c>
      <c r="L1856" s="2">
        <v>2</v>
      </c>
      <c r="M1856" s="7">
        <f t="shared" si="112"/>
        <v>196</v>
      </c>
      <c r="N1856" s="7">
        <f t="shared" si="113"/>
        <v>202</v>
      </c>
      <c r="O1856" s="2">
        <v>10</v>
      </c>
      <c r="P1856" s="8">
        <f t="shared" si="114"/>
        <v>212</v>
      </c>
      <c r="Q1856" s="8">
        <f t="shared" si="115"/>
        <v>192</v>
      </c>
      <c r="R1856" s="2" t="s">
        <v>28</v>
      </c>
      <c r="S1856" s="9">
        <f>VLOOKUP(P1856,$T$2:U1853,2,1)</f>
        <v>0.02</v>
      </c>
    </row>
    <row r="1857" spans="1:19" x14ac:dyDescent="0.25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e">
        <f>VLOOKUP(F1857,'Customer Info'!A1849:I2348,2,0)</f>
        <v>#N/A</v>
      </c>
      <c r="H1857" s="6" t="e">
        <f>VLOOKUP(F1857,'Customer Info'!A1849:I2348,3,0)</f>
        <v>#N/A</v>
      </c>
      <c r="I1857" s="6" t="e">
        <f>VLOOKUP(F1857,'Customer Info'!A1849:I2348,5,0)</f>
        <v>#N/A</v>
      </c>
      <c r="J1857" s="2">
        <v>5882</v>
      </c>
      <c r="K1857" s="2">
        <v>5713</v>
      </c>
      <c r="L1857" s="2">
        <v>1</v>
      </c>
      <c r="M1857" s="7">
        <f t="shared" si="112"/>
        <v>5713</v>
      </c>
      <c r="N1857" s="7">
        <f t="shared" si="113"/>
        <v>5882</v>
      </c>
      <c r="O1857" s="2">
        <v>97</v>
      </c>
      <c r="P1857" s="8">
        <f t="shared" si="114"/>
        <v>5979</v>
      </c>
      <c r="Q1857" s="8">
        <f t="shared" si="115"/>
        <v>5785</v>
      </c>
      <c r="R1857" s="2" t="s">
        <v>28</v>
      </c>
      <c r="S1857" s="9">
        <f>VLOOKUP(P1857,$T$2:U1854,2,1)</f>
        <v>0.05</v>
      </c>
    </row>
    <row r="1858" spans="1:19" x14ac:dyDescent="0.25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e">
        <f>VLOOKUP(F1858,'Customer Info'!A1850:I2349,2,0)</f>
        <v>#N/A</v>
      </c>
      <c r="H1858" s="6" t="e">
        <f>VLOOKUP(F1858,'Customer Info'!A1850:I2349,3,0)</f>
        <v>#N/A</v>
      </c>
      <c r="I1858" s="6" t="e">
        <f>VLOOKUP(F1858,'Customer Info'!A1850:I2349,5,0)</f>
        <v>#N/A</v>
      </c>
      <c r="J1858" s="2">
        <v>1623</v>
      </c>
      <c r="K1858" s="2">
        <v>1546</v>
      </c>
      <c r="L1858" s="2">
        <v>7</v>
      </c>
      <c r="M1858" s="7">
        <f t="shared" si="112"/>
        <v>10822</v>
      </c>
      <c r="N1858" s="7">
        <f t="shared" si="113"/>
        <v>11361</v>
      </c>
      <c r="O1858" s="2">
        <v>88</v>
      </c>
      <c r="P1858" s="8">
        <f t="shared" si="114"/>
        <v>11449</v>
      </c>
      <c r="Q1858" s="8">
        <f t="shared" si="115"/>
        <v>11273</v>
      </c>
      <c r="R1858" s="2" t="s">
        <v>28</v>
      </c>
      <c r="S1858" s="9">
        <f>VLOOKUP(P1858,$T$2:U1855,2,1)</f>
        <v>0.05</v>
      </c>
    </row>
    <row r="1859" spans="1:19" x14ac:dyDescent="0.25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e">
        <f>VLOOKUP(F1859,'Customer Info'!A1851:I2350,2,0)</f>
        <v>#N/A</v>
      </c>
      <c r="H1859" s="6" t="e">
        <f>VLOOKUP(F1859,'Customer Info'!A1851:I2350,3,0)</f>
        <v>#N/A</v>
      </c>
      <c r="I1859" s="6" t="e">
        <f>VLOOKUP(F1859,'Customer Info'!A1851:I2350,5,0)</f>
        <v>#N/A</v>
      </c>
      <c r="J1859" s="2">
        <v>173</v>
      </c>
      <c r="K1859" s="2">
        <v>155</v>
      </c>
      <c r="L1859" s="2">
        <v>1</v>
      </c>
      <c r="M1859" s="7">
        <f t="shared" si="112"/>
        <v>155</v>
      </c>
      <c r="N1859" s="7">
        <f t="shared" si="113"/>
        <v>173</v>
      </c>
      <c r="O1859" s="2">
        <v>30</v>
      </c>
      <c r="P1859" s="8">
        <f t="shared" si="114"/>
        <v>203</v>
      </c>
      <c r="Q1859" s="8">
        <f t="shared" si="115"/>
        <v>143</v>
      </c>
      <c r="R1859" s="2" t="s">
        <v>28</v>
      </c>
      <c r="S1859" s="9">
        <f>VLOOKUP(P1859,$T$2:U1856,2,1)</f>
        <v>0.02</v>
      </c>
    </row>
    <row r="1860" spans="1:19" x14ac:dyDescent="0.25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e">
        <f>VLOOKUP(F1860,'Customer Info'!A1852:I2351,2,0)</f>
        <v>#N/A</v>
      </c>
      <c r="H1860" s="6" t="e">
        <f>VLOOKUP(F1860,'Customer Info'!A1852:I2351,3,0)</f>
        <v>#N/A</v>
      </c>
      <c r="I1860" s="6" t="e">
        <f>VLOOKUP(F1860,'Customer Info'!A1852:I2351,5,0)</f>
        <v>#N/A</v>
      </c>
      <c r="J1860" s="2">
        <v>142</v>
      </c>
      <c r="K1860" s="2">
        <v>134</v>
      </c>
      <c r="L1860" s="2">
        <v>1</v>
      </c>
      <c r="M1860" s="7">
        <f t="shared" si="112"/>
        <v>134</v>
      </c>
      <c r="N1860" s="7">
        <f t="shared" si="113"/>
        <v>142</v>
      </c>
      <c r="O1860" s="2">
        <v>30</v>
      </c>
      <c r="P1860" s="8">
        <f t="shared" si="114"/>
        <v>172</v>
      </c>
      <c r="Q1860" s="8">
        <f t="shared" si="115"/>
        <v>112</v>
      </c>
      <c r="R1860" s="2" t="s">
        <v>28</v>
      </c>
      <c r="S1860" s="9">
        <f>VLOOKUP(P1860,$T$2:U1857,2,1)</f>
        <v>0.02</v>
      </c>
    </row>
    <row r="1861" spans="1:19" x14ac:dyDescent="0.25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e">
        <f>VLOOKUP(F1861,'Customer Info'!A1853:I2352,2,0)</f>
        <v>#N/A</v>
      </c>
      <c r="H1861" s="6" t="e">
        <f>VLOOKUP(F1861,'Customer Info'!A1853:I2352,3,0)</f>
        <v>#N/A</v>
      </c>
      <c r="I1861" s="6" t="e">
        <f>VLOOKUP(F1861,'Customer Info'!A1853:I2352,5,0)</f>
        <v>#N/A</v>
      </c>
      <c r="J1861" s="2">
        <v>1601</v>
      </c>
      <c r="K1861" s="2">
        <v>1510</v>
      </c>
      <c r="L1861" s="2">
        <v>7</v>
      </c>
      <c r="M1861" s="7">
        <f t="shared" si="112"/>
        <v>10570</v>
      </c>
      <c r="N1861" s="7">
        <f t="shared" si="113"/>
        <v>11207</v>
      </c>
      <c r="O1861" s="2">
        <v>77</v>
      </c>
      <c r="P1861" s="8">
        <f t="shared" si="114"/>
        <v>11284</v>
      </c>
      <c r="Q1861" s="8">
        <f t="shared" si="115"/>
        <v>11130</v>
      </c>
      <c r="R1861" s="2" t="s">
        <v>28</v>
      </c>
      <c r="S1861" s="9">
        <f>VLOOKUP(P1861,$T$2:U1858,2,1)</f>
        <v>0.05</v>
      </c>
    </row>
    <row r="1862" spans="1:19" x14ac:dyDescent="0.25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e">
        <f>VLOOKUP(F1862,'Customer Info'!A1854:I2353,2,0)</f>
        <v>#N/A</v>
      </c>
      <c r="H1862" s="6" t="e">
        <f>VLOOKUP(F1862,'Customer Info'!A1854:I2353,3,0)</f>
        <v>#N/A</v>
      </c>
      <c r="I1862" s="6" t="e">
        <f>VLOOKUP(F1862,'Customer Info'!A1854:I2353,5,0)</f>
        <v>#N/A</v>
      </c>
      <c r="J1862" s="2">
        <v>6027</v>
      </c>
      <c r="K1862" s="2">
        <v>5694</v>
      </c>
      <c r="L1862" s="2">
        <v>2</v>
      </c>
      <c r="M1862" s="7">
        <f t="shared" si="112"/>
        <v>11388</v>
      </c>
      <c r="N1862" s="7">
        <f t="shared" si="113"/>
        <v>12054</v>
      </c>
      <c r="O1862" s="2">
        <v>95</v>
      </c>
      <c r="P1862" s="8">
        <f t="shared" si="114"/>
        <v>12149</v>
      </c>
      <c r="Q1862" s="8">
        <f t="shared" si="115"/>
        <v>11959</v>
      </c>
      <c r="R1862" s="2" t="s">
        <v>28</v>
      </c>
      <c r="S1862" s="9">
        <f>VLOOKUP(P1862,$T$2:U1859,2,1)</f>
        <v>0.05</v>
      </c>
    </row>
    <row r="1863" spans="1:19" x14ac:dyDescent="0.25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e">
        <f>VLOOKUP(F1863,'Customer Info'!A1855:I2354,2,0)</f>
        <v>#N/A</v>
      </c>
      <c r="H1863" s="6" t="e">
        <f>VLOOKUP(F1863,'Customer Info'!A1855:I2354,3,0)</f>
        <v>#N/A</v>
      </c>
      <c r="I1863" s="6" t="e">
        <f>VLOOKUP(F1863,'Customer Info'!A1855:I2354,5,0)</f>
        <v>#N/A</v>
      </c>
      <c r="J1863" s="2">
        <v>8026</v>
      </c>
      <c r="K1863" s="2">
        <v>7572</v>
      </c>
      <c r="L1863" s="2">
        <v>1</v>
      </c>
      <c r="M1863" s="7">
        <f t="shared" si="112"/>
        <v>7572</v>
      </c>
      <c r="N1863" s="7">
        <f t="shared" si="113"/>
        <v>8026</v>
      </c>
      <c r="O1863" s="2">
        <v>47</v>
      </c>
      <c r="P1863" s="8">
        <f t="shared" si="114"/>
        <v>8073</v>
      </c>
      <c r="Q1863" s="8">
        <f t="shared" si="115"/>
        <v>7979</v>
      </c>
      <c r="R1863" s="2" t="s">
        <v>50</v>
      </c>
      <c r="S1863" s="9">
        <f>VLOOKUP(P1863,$T$2:U1860,2,1)</f>
        <v>0.05</v>
      </c>
    </row>
    <row r="1864" spans="1:19" x14ac:dyDescent="0.25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e">
        <f>VLOOKUP(F1864,'Customer Info'!A1856:I2355,2,0)</f>
        <v>#N/A</v>
      </c>
      <c r="H1864" s="6" t="e">
        <f>VLOOKUP(F1864,'Customer Info'!A1856:I2355,3,0)</f>
        <v>#N/A</v>
      </c>
      <c r="I1864" s="6" t="e">
        <f>VLOOKUP(F1864,'Customer Info'!A1856:I2355,5,0)</f>
        <v>#N/A</v>
      </c>
      <c r="J1864" s="2">
        <v>92</v>
      </c>
      <c r="K1864" s="2">
        <v>85</v>
      </c>
      <c r="L1864" s="2">
        <v>3</v>
      </c>
      <c r="M1864" s="7">
        <f t="shared" si="112"/>
        <v>255</v>
      </c>
      <c r="N1864" s="7">
        <f t="shared" si="113"/>
        <v>276</v>
      </c>
      <c r="O1864" s="2">
        <v>10</v>
      </c>
      <c r="P1864" s="8">
        <f t="shared" si="114"/>
        <v>286</v>
      </c>
      <c r="Q1864" s="8">
        <f t="shared" si="115"/>
        <v>266</v>
      </c>
      <c r="R1864" s="2" t="s">
        <v>28</v>
      </c>
      <c r="S1864" s="9">
        <f>VLOOKUP(P1864,$T$2:U1861,2,1)</f>
        <v>0.02</v>
      </c>
    </row>
    <row r="1865" spans="1:19" x14ac:dyDescent="0.25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e">
        <f>VLOOKUP(F1865,'Customer Info'!A1857:I2356,2,0)</f>
        <v>#N/A</v>
      </c>
      <c r="H1865" s="6" t="e">
        <f>VLOOKUP(F1865,'Customer Info'!A1857:I2356,3,0)</f>
        <v>#N/A</v>
      </c>
      <c r="I1865" s="6" t="e">
        <f>VLOOKUP(F1865,'Customer Info'!A1857:I2356,5,0)</f>
        <v>#N/A</v>
      </c>
      <c r="J1865" s="2">
        <v>1637</v>
      </c>
      <c r="K1865" s="2">
        <v>1591</v>
      </c>
      <c r="L1865" s="2">
        <v>4</v>
      </c>
      <c r="M1865" s="7">
        <f t="shared" si="112"/>
        <v>6364</v>
      </c>
      <c r="N1865" s="7">
        <f t="shared" si="113"/>
        <v>6548</v>
      </c>
      <c r="O1865" s="2">
        <v>79</v>
      </c>
      <c r="P1865" s="8">
        <f t="shared" si="114"/>
        <v>6627</v>
      </c>
      <c r="Q1865" s="8">
        <f t="shared" si="115"/>
        <v>6469</v>
      </c>
      <c r="R1865" s="2" t="s">
        <v>28</v>
      </c>
      <c r="S1865" s="9">
        <f>VLOOKUP(P1865,$T$2:U1862,2,1)</f>
        <v>0.05</v>
      </c>
    </row>
    <row r="1866" spans="1:19" x14ac:dyDescent="0.25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e">
        <f>VLOOKUP(F1866,'Customer Info'!A1858:I2357,2,0)</f>
        <v>#N/A</v>
      </c>
      <c r="H1866" s="6" t="e">
        <f>VLOOKUP(F1866,'Customer Info'!A1858:I2357,3,0)</f>
        <v>#N/A</v>
      </c>
      <c r="I1866" s="6" t="e">
        <f>VLOOKUP(F1866,'Customer Info'!A1858:I2357,5,0)</f>
        <v>#N/A</v>
      </c>
      <c r="J1866" s="2">
        <v>691</v>
      </c>
      <c r="K1866" s="2">
        <v>627</v>
      </c>
      <c r="L1866" s="2">
        <v>7</v>
      </c>
      <c r="M1866" s="7">
        <f t="shared" si="112"/>
        <v>4389</v>
      </c>
      <c r="N1866" s="7">
        <f t="shared" si="113"/>
        <v>4837</v>
      </c>
      <c r="O1866" s="2">
        <v>77</v>
      </c>
      <c r="P1866" s="8">
        <f t="shared" si="114"/>
        <v>4914</v>
      </c>
      <c r="Q1866" s="8">
        <f t="shared" si="115"/>
        <v>4760</v>
      </c>
      <c r="R1866" s="2" t="s">
        <v>28</v>
      </c>
      <c r="S1866" s="9">
        <f>VLOOKUP(P1866,$T$2:U1863,2,1)</f>
        <v>0.02</v>
      </c>
    </row>
    <row r="1867" spans="1:19" x14ac:dyDescent="0.25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e">
        <f>VLOOKUP(F1867,'Customer Info'!A1859:I2358,2,0)</f>
        <v>#N/A</v>
      </c>
      <c r="H1867" s="6" t="e">
        <f>VLOOKUP(F1867,'Customer Info'!A1859:I2358,3,0)</f>
        <v>#N/A</v>
      </c>
      <c r="I1867" s="6" t="e">
        <f>VLOOKUP(F1867,'Customer Info'!A1859:I2358,5,0)</f>
        <v>#N/A</v>
      </c>
      <c r="J1867" s="2">
        <v>25155</v>
      </c>
      <c r="K1867" s="2">
        <v>23753</v>
      </c>
      <c r="L1867" s="2">
        <v>3</v>
      </c>
      <c r="M1867" s="7">
        <f t="shared" ref="M1867:M1930" si="116">K1867*L1867</f>
        <v>71259</v>
      </c>
      <c r="N1867" s="7">
        <f t="shared" ref="N1867:N1930" si="117">J1867*L1867</f>
        <v>75465</v>
      </c>
      <c r="O1867" s="2">
        <v>36</v>
      </c>
      <c r="P1867" s="8">
        <f t="shared" ref="P1867:P1930" si="118">SUM(N1867,O1867)</f>
        <v>75501</v>
      </c>
      <c r="Q1867" s="8">
        <f t="shared" ref="Q1867:Q1930" si="119">N1867-O1867</f>
        <v>75429</v>
      </c>
      <c r="R1867" s="2" t="s">
        <v>28</v>
      </c>
      <c r="S1867" s="9">
        <f>VLOOKUP(P1867,$T$2:U1864,2,1)</f>
        <v>0.09</v>
      </c>
    </row>
    <row r="1868" spans="1:19" x14ac:dyDescent="0.25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e">
        <f>VLOOKUP(F1868,'Customer Info'!A1860:I2359,2,0)</f>
        <v>#N/A</v>
      </c>
      <c r="H1868" s="6" t="e">
        <f>VLOOKUP(F1868,'Customer Info'!A1860:I2359,3,0)</f>
        <v>#N/A</v>
      </c>
      <c r="I1868" s="6" t="e">
        <f>VLOOKUP(F1868,'Customer Info'!A1860:I2359,5,0)</f>
        <v>#N/A</v>
      </c>
      <c r="J1868" s="2">
        <v>6027</v>
      </c>
      <c r="K1868" s="2">
        <v>5694</v>
      </c>
      <c r="L1868" s="2">
        <v>1</v>
      </c>
      <c r="M1868" s="7">
        <f t="shared" si="116"/>
        <v>5694</v>
      </c>
      <c r="N1868" s="7">
        <f t="shared" si="117"/>
        <v>6027</v>
      </c>
      <c r="O1868" s="2">
        <v>44</v>
      </c>
      <c r="P1868" s="8">
        <f t="shared" si="118"/>
        <v>6071</v>
      </c>
      <c r="Q1868" s="8">
        <f t="shared" si="119"/>
        <v>5983</v>
      </c>
      <c r="R1868" s="2" t="s">
        <v>56</v>
      </c>
      <c r="S1868" s="9">
        <f>VLOOKUP(P1868,$T$2:U1865,2,1)</f>
        <v>0.05</v>
      </c>
    </row>
    <row r="1869" spans="1:19" x14ac:dyDescent="0.25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e">
        <f>VLOOKUP(F1869,'Customer Info'!A1861:I2360,2,0)</f>
        <v>#N/A</v>
      </c>
      <c r="H1869" s="6" t="e">
        <f>VLOOKUP(F1869,'Customer Info'!A1861:I2360,3,0)</f>
        <v>#N/A</v>
      </c>
      <c r="I1869" s="6" t="e">
        <f>VLOOKUP(F1869,'Customer Info'!A1861:I2360,5,0)</f>
        <v>#N/A</v>
      </c>
      <c r="J1869" s="2">
        <v>206</v>
      </c>
      <c r="K1869" s="2">
        <v>189</v>
      </c>
      <c r="L1869" s="2">
        <v>1</v>
      </c>
      <c r="M1869" s="7">
        <f t="shared" si="116"/>
        <v>189</v>
      </c>
      <c r="N1869" s="7">
        <f t="shared" si="117"/>
        <v>206</v>
      </c>
      <c r="O1869" s="2">
        <v>30</v>
      </c>
      <c r="P1869" s="8">
        <f t="shared" si="118"/>
        <v>236</v>
      </c>
      <c r="Q1869" s="8">
        <f t="shared" si="119"/>
        <v>176</v>
      </c>
      <c r="R1869" s="2" t="s">
        <v>28</v>
      </c>
      <c r="S1869" s="9">
        <f>VLOOKUP(P1869,$T$2:U1866,2,1)</f>
        <v>0.02</v>
      </c>
    </row>
    <row r="1870" spans="1:19" x14ac:dyDescent="0.25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e">
        <f>VLOOKUP(F1870,'Customer Info'!A1862:I2361,2,0)</f>
        <v>#N/A</v>
      </c>
      <c r="H1870" s="6" t="e">
        <f>VLOOKUP(F1870,'Customer Info'!A1862:I2361,3,0)</f>
        <v>#N/A</v>
      </c>
      <c r="I1870" s="6" t="e">
        <f>VLOOKUP(F1870,'Customer Info'!A1862:I2361,5,0)</f>
        <v>#N/A</v>
      </c>
      <c r="J1870" s="2">
        <v>8617</v>
      </c>
      <c r="K1870" s="2">
        <v>7900</v>
      </c>
      <c r="L1870" s="2">
        <v>2</v>
      </c>
      <c r="M1870" s="7">
        <f t="shared" si="116"/>
        <v>15800</v>
      </c>
      <c r="N1870" s="7">
        <f t="shared" si="117"/>
        <v>17234</v>
      </c>
      <c r="O1870" s="2">
        <v>64</v>
      </c>
      <c r="P1870" s="8">
        <f t="shared" si="118"/>
        <v>17298</v>
      </c>
      <c r="Q1870" s="8">
        <f t="shared" si="119"/>
        <v>17170</v>
      </c>
      <c r="R1870" s="2" t="s">
        <v>26</v>
      </c>
      <c r="S1870" s="9">
        <f>VLOOKUP(P1870,$T$2:U1867,2,1)</f>
        <v>0.05</v>
      </c>
    </row>
    <row r="1871" spans="1:19" x14ac:dyDescent="0.25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e">
        <f>VLOOKUP(F1871,'Customer Info'!A1863:I2362,2,0)</f>
        <v>#N/A</v>
      </c>
      <c r="H1871" s="6" t="e">
        <f>VLOOKUP(F1871,'Customer Info'!A1863:I2362,3,0)</f>
        <v>#N/A</v>
      </c>
      <c r="I1871" s="6" t="e">
        <f>VLOOKUP(F1871,'Customer Info'!A1863:I2362,5,0)</f>
        <v>#N/A</v>
      </c>
      <c r="J1871" s="2">
        <v>827</v>
      </c>
      <c r="K1871" s="2">
        <v>788</v>
      </c>
      <c r="L1871" s="2">
        <v>3</v>
      </c>
      <c r="M1871" s="7">
        <f t="shared" si="116"/>
        <v>2364</v>
      </c>
      <c r="N1871" s="7">
        <f t="shared" si="117"/>
        <v>2481</v>
      </c>
      <c r="O1871" s="2">
        <v>91</v>
      </c>
      <c r="P1871" s="8">
        <f t="shared" si="118"/>
        <v>2572</v>
      </c>
      <c r="Q1871" s="8">
        <f t="shared" si="119"/>
        <v>2390</v>
      </c>
      <c r="R1871" s="2" t="s">
        <v>28</v>
      </c>
      <c r="S1871" s="9">
        <f>VLOOKUP(P1871,$T$2:U1868,2,1)</f>
        <v>0.02</v>
      </c>
    </row>
    <row r="1872" spans="1:19" x14ac:dyDescent="0.25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e">
        <f>VLOOKUP(F1872,'Customer Info'!A1864:I2363,2,0)</f>
        <v>#N/A</v>
      </c>
      <c r="H1872" s="6" t="e">
        <f>VLOOKUP(F1872,'Customer Info'!A1864:I2363,3,0)</f>
        <v>#N/A</v>
      </c>
      <c r="I1872" s="6" t="e">
        <f>VLOOKUP(F1872,'Customer Info'!A1864:I2363,5,0)</f>
        <v>#N/A</v>
      </c>
      <c r="J1872" s="2">
        <v>465</v>
      </c>
      <c r="K1872" s="2">
        <v>439</v>
      </c>
      <c r="L1872" s="2">
        <v>9</v>
      </c>
      <c r="M1872" s="7">
        <f t="shared" si="116"/>
        <v>3951</v>
      </c>
      <c r="N1872" s="7">
        <f t="shared" si="117"/>
        <v>4185</v>
      </c>
      <c r="O1872" s="2">
        <v>80</v>
      </c>
      <c r="P1872" s="8">
        <f t="shared" si="118"/>
        <v>4265</v>
      </c>
      <c r="Q1872" s="8">
        <f t="shared" si="119"/>
        <v>4105</v>
      </c>
      <c r="R1872" s="2" t="s">
        <v>50</v>
      </c>
      <c r="S1872" s="9">
        <f>VLOOKUP(P1872,$T$2:U1869,2,1)</f>
        <v>0.02</v>
      </c>
    </row>
    <row r="1873" spans="1:19" x14ac:dyDescent="0.25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e">
        <f>VLOOKUP(F1873,'Customer Info'!A1865:I2364,2,0)</f>
        <v>#N/A</v>
      </c>
      <c r="H1873" s="6" t="e">
        <f>VLOOKUP(F1873,'Customer Info'!A1865:I2364,3,0)</f>
        <v>#N/A</v>
      </c>
      <c r="I1873" s="6" t="e">
        <f>VLOOKUP(F1873,'Customer Info'!A1865:I2364,5,0)</f>
        <v>#N/A</v>
      </c>
      <c r="J1873" s="2">
        <v>2808</v>
      </c>
      <c r="K1873" s="2">
        <v>2674</v>
      </c>
      <c r="L1873" s="2">
        <v>3</v>
      </c>
      <c r="M1873" s="7">
        <f t="shared" si="116"/>
        <v>8022</v>
      </c>
      <c r="N1873" s="7">
        <f t="shared" si="117"/>
        <v>8424</v>
      </c>
      <c r="O1873" s="2">
        <v>86</v>
      </c>
      <c r="P1873" s="8">
        <f t="shared" si="118"/>
        <v>8510</v>
      </c>
      <c r="Q1873" s="8">
        <f t="shared" si="119"/>
        <v>8338</v>
      </c>
      <c r="R1873" s="2" t="s">
        <v>26</v>
      </c>
      <c r="S1873" s="9">
        <f>VLOOKUP(P1873,$T$2:U1870,2,1)</f>
        <v>0.05</v>
      </c>
    </row>
    <row r="1874" spans="1:19" x14ac:dyDescent="0.25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e">
        <f>VLOOKUP(F1874,'Customer Info'!A1866:I2365,2,0)</f>
        <v>#N/A</v>
      </c>
      <c r="H1874" s="6" t="e">
        <f>VLOOKUP(F1874,'Customer Info'!A1866:I2365,3,0)</f>
        <v>#N/A</v>
      </c>
      <c r="I1874" s="6" t="e">
        <f>VLOOKUP(F1874,'Customer Info'!A1866:I2365,5,0)</f>
        <v>#N/A</v>
      </c>
      <c r="J1874" s="2">
        <v>1635</v>
      </c>
      <c r="K1874" s="2">
        <v>1573</v>
      </c>
      <c r="L1874" s="2">
        <v>5</v>
      </c>
      <c r="M1874" s="7">
        <f t="shared" si="116"/>
        <v>7865</v>
      </c>
      <c r="N1874" s="7">
        <f t="shared" si="117"/>
        <v>8175</v>
      </c>
      <c r="O1874" s="2">
        <v>89</v>
      </c>
      <c r="P1874" s="8">
        <f t="shared" si="118"/>
        <v>8264</v>
      </c>
      <c r="Q1874" s="8">
        <f t="shared" si="119"/>
        <v>8086</v>
      </c>
      <c r="R1874" s="2" t="s">
        <v>50</v>
      </c>
      <c r="S1874" s="9">
        <f>VLOOKUP(P1874,$T$2:U1871,2,1)</f>
        <v>0.05</v>
      </c>
    </row>
    <row r="1875" spans="1:19" x14ac:dyDescent="0.25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e">
        <f>VLOOKUP(F1875,'Customer Info'!A1867:I2366,2,0)</f>
        <v>#N/A</v>
      </c>
      <c r="H1875" s="6" t="e">
        <f>VLOOKUP(F1875,'Customer Info'!A1867:I2366,3,0)</f>
        <v>#N/A</v>
      </c>
      <c r="I1875" s="6" t="e">
        <f>VLOOKUP(F1875,'Customer Info'!A1867:I2366,5,0)</f>
        <v>#N/A</v>
      </c>
      <c r="J1875" s="2">
        <v>1901</v>
      </c>
      <c r="K1875" s="2">
        <v>1810</v>
      </c>
      <c r="L1875" s="2">
        <v>2</v>
      </c>
      <c r="M1875" s="7">
        <f t="shared" si="116"/>
        <v>3620</v>
      </c>
      <c r="N1875" s="7">
        <f t="shared" si="117"/>
        <v>3802</v>
      </c>
      <c r="O1875" s="2">
        <v>28</v>
      </c>
      <c r="P1875" s="8">
        <f t="shared" si="118"/>
        <v>3830</v>
      </c>
      <c r="Q1875" s="8">
        <f t="shared" si="119"/>
        <v>3774</v>
      </c>
      <c r="R1875" s="2" t="s">
        <v>28</v>
      </c>
      <c r="S1875" s="9">
        <f>VLOOKUP(P1875,$T$2:U1872,2,1)</f>
        <v>0.02</v>
      </c>
    </row>
    <row r="1876" spans="1:19" x14ac:dyDescent="0.25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e">
        <f>VLOOKUP(F1876,'Customer Info'!A1868:I2367,2,0)</f>
        <v>#N/A</v>
      </c>
      <c r="H1876" s="6" t="e">
        <f>VLOOKUP(F1876,'Customer Info'!A1868:I2367,3,0)</f>
        <v>#N/A</v>
      </c>
      <c r="I1876" s="6" t="e">
        <f>VLOOKUP(F1876,'Customer Info'!A1868:I2367,5,0)</f>
        <v>#N/A</v>
      </c>
      <c r="J1876" s="2">
        <v>28522</v>
      </c>
      <c r="K1876" s="2">
        <v>26384</v>
      </c>
      <c r="L1876" s="2">
        <v>2</v>
      </c>
      <c r="M1876" s="7">
        <f t="shared" si="116"/>
        <v>52768</v>
      </c>
      <c r="N1876" s="7">
        <f t="shared" si="117"/>
        <v>57044</v>
      </c>
      <c r="O1876" s="2">
        <v>99</v>
      </c>
      <c r="P1876" s="8">
        <f t="shared" si="118"/>
        <v>57143</v>
      </c>
      <c r="Q1876" s="8">
        <f t="shared" si="119"/>
        <v>56945</v>
      </c>
      <c r="R1876" s="2" t="s">
        <v>28</v>
      </c>
      <c r="S1876" s="9">
        <f>VLOOKUP(P1876,$T$2:U1873,2,1)</f>
        <v>0.09</v>
      </c>
    </row>
    <row r="1877" spans="1:19" x14ac:dyDescent="0.25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e">
        <f>VLOOKUP(F1877,'Customer Info'!A1869:I2368,2,0)</f>
        <v>#N/A</v>
      </c>
      <c r="H1877" s="6" t="e">
        <f>VLOOKUP(F1877,'Customer Info'!A1869:I2368,3,0)</f>
        <v>#N/A</v>
      </c>
      <c r="I1877" s="6" t="e">
        <f>VLOOKUP(F1877,'Customer Info'!A1869:I2368,5,0)</f>
        <v>#N/A</v>
      </c>
      <c r="J1877" s="2">
        <v>923</v>
      </c>
      <c r="K1877" s="2">
        <v>879</v>
      </c>
      <c r="L1877" s="2">
        <v>2</v>
      </c>
      <c r="M1877" s="7">
        <f t="shared" si="116"/>
        <v>1758</v>
      </c>
      <c r="N1877" s="7">
        <f t="shared" si="117"/>
        <v>1846</v>
      </c>
      <c r="O1877" s="2">
        <v>60</v>
      </c>
      <c r="P1877" s="8">
        <f t="shared" si="118"/>
        <v>1906</v>
      </c>
      <c r="Q1877" s="8">
        <f t="shared" si="119"/>
        <v>1786</v>
      </c>
      <c r="R1877" s="2" t="s">
        <v>50</v>
      </c>
      <c r="S1877" s="9">
        <f>VLOOKUP(P1877,$T$2:U1874,2,1)</f>
        <v>0.02</v>
      </c>
    </row>
    <row r="1878" spans="1:19" x14ac:dyDescent="0.25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e">
        <f>VLOOKUP(F1878,'Customer Info'!A1870:I2369,2,0)</f>
        <v>#N/A</v>
      </c>
      <c r="H1878" s="6" t="e">
        <f>VLOOKUP(F1878,'Customer Info'!A1870:I2369,3,0)</f>
        <v>#N/A</v>
      </c>
      <c r="I1878" s="6" t="e">
        <f>VLOOKUP(F1878,'Customer Info'!A1870:I2369,5,0)</f>
        <v>#N/A</v>
      </c>
      <c r="J1878" s="2">
        <v>4737</v>
      </c>
      <c r="K1878" s="2">
        <v>4473</v>
      </c>
      <c r="L1878" s="2">
        <v>1</v>
      </c>
      <c r="M1878" s="7">
        <f t="shared" si="116"/>
        <v>4473</v>
      </c>
      <c r="N1878" s="7">
        <f t="shared" si="117"/>
        <v>4737</v>
      </c>
      <c r="O1878" s="2">
        <v>63</v>
      </c>
      <c r="P1878" s="8">
        <f t="shared" si="118"/>
        <v>4800</v>
      </c>
      <c r="Q1878" s="8">
        <f t="shared" si="119"/>
        <v>4674</v>
      </c>
      <c r="R1878" s="2" t="s">
        <v>28</v>
      </c>
      <c r="S1878" s="9">
        <f>VLOOKUP(P1878,$T$2:U1875,2,1)</f>
        <v>0.02</v>
      </c>
    </row>
    <row r="1879" spans="1:19" x14ac:dyDescent="0.25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e">
        <f>VLOOKUP(F1879,'Customer Info'!A1871:I2370,2,0)</f>
        <v>#N/A</v>
      </c>
      <c r="H1879" s="6" t="e">
        <f>VLOOKUP(F1879,'Customer Info'!A1871:I2370,3,0)</f>
        <v>#N/A</v>
      </c>
      <c r="I1879" s="6" t="e">
        <f>VLOOKUP(F1879,'Customer Info'!A1871:I2370,5,0)</f>
        <v>#N/A</v>
      </c>
      <c r="J1879" s="2">
        <v>2342</v>
      </c>
      <c r="K1879" s="2">
        <v>2210</v>
      </c>
      <c r="L1879" s="2">
        <v>3</v>
      </c>
      <c r="M1879" s="7">
        <f t="shared" si="116"/>
        <v>6630</v>
      </c>
      <c r="N1879" s="7">
        <f t="shared" si="117"/>
        <v>7026</v>
      </c>
      <c r="O1879" s="2">
        <v>34</v>
      </c>
      <c r="P1879" s="8">
        <f t="shared" si="118"/>
        <v>7060</v>
      </c>
      <c r="Q1879" s="8">
        <f t="shared" si="119"/>
        <v>6992</v>
      </c>
      <c r="R1879" s="2" t="s">
        <v>50</v>
      </c>
      <c r="S1879" s="9">
        <f>VLOOKUP(P1879,$T$2:U1876,2,1)</f>
        <v>0.05</v>
      </c>
    </row>
    <row r="1880" spans="1:19" x14ac:dyDescent="0.25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e">
        <f>VLOOKUP(F1880,'Customer Info'!A1872:I2371,2,0)</f>
        <v>#N/A</v>
      </c>
      <c r="H1880" s="6" t="e">
        <f>VLOOKUP(F1880,'Customer Info'!A1872:I2371,3,0)</f>
        <v>#N/A</v>
      </c>
      <c r="I1880" s="6" t="e">
        <f>VLOOKUP(F1880,'Customer Info'!A1872:I2371,5,0)</f>
        <v>#N/A</v>
      </c>
      <c r="J1880" s="2">
        <v>2007</v>
      </c>
      <c r="K1880" s="2">
        <v>1839</v>
      </c>
      <c r="L1880" s="2">
        <v>3</v>
      </c>
      <c r="M1880" s="7">
        <f t="shared" si="116"/>
        <v>5517</v>
      </c>
      <c r="N1880" s="7">
        <f t="shared" si="117"/>
        <v>6021</v>
      </c>
      <c r="O1880" s="2">
        <v>41</v>
      </c>
      <c r="P1880" s="8">
        <f t="shared" si="118"/>
        <v>6062</v>
      </c>
      <c r="Q1880" s="8">
        <f t="shared" si="119"/>
        <v>5980</v>
      </c>
      <c r="R1880" s="2" t="s">
        <v>28</v>
      </c>
      <c r="S1880" s="9">
        <f>VLOOKUP(P1880,$T$2:U1877,2,1)</f>
        <v>0.05</v>
      </c>
    </row>
    <row r="1881" spans="1:19" x14ac:dyDescent="0.25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e">
        <f>VLOOKUP(F1881,'Customer Info'!A1873:I2372,2,0)</f>
        <v>#N/A</v>
      </c>
      <c r="H1881" s="6" t="e">
        <f>VLOOKUP(F1881,'Customer Info'!A1873:I2372,3,0)</f>
        <v>#N/A</v>
      </c>
      <c r="I1881" s="6" t="e">
        <f>VLOOKUP(F1881,'Customer Info'!A1873:I2372,5,0)</f>
        <v>#N/A</v>
      </c>
      <c r="J1881" s="2">
        <v>1210</v>
      </c>
      <c r="K1881" s="2">
        <v>1164</v>
      </c>
      <c r="L1881" s="2">
        <v>4</v>
      </c>
      <c r="M1881" s="7">
        <f t="shared" si="116"/>
        <v>4656</v>
      </c>
      <c r="N1881" s="7">
        <f t="shared" si="117"/>
        <v>4840</v>
      </c>
      <c r="O1881" s="2">
        <v>41</v>
      </c>
      <c r="P1881" s="8">
        <f t="shared" si="118"/>
        <v>4881</v>
      </c>
      <c r="Q1881" s="8">
        <f t="shared" si="119"/>
        <v>4799</v>
      </c>
      <c r="R1881" s="2" t="s">
        <v>28</v>
      </c>
      <c r="S1881" s="9">
        <f>VLOOKUP(P1881,$T$2:U1878,2,1)</f>
        <v>0.02</v>
      </c>
    </row>
    <row r="1882" spans="1:19" x14ac:dyDescent="0.25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e">
        <f>VLOOKUP(F1882,'Customer Info'!A1874:I2373,2,0)</f>
        <v>#N/A</v>
      </c>
      <c r="H1882" s="6" t="e">
        <f>VLOOKUP(F1882,'Customer Info'!A1874:I2373,3,0)</f>
        <v>#N/A</v>
      </c>
      <c r="I1882" s="6" t="e">
        <f>VLOOKUP(F1882,'Customer Info'!A1874:I2373,5,0)</f>
        <v>#N/A</v>
      </c>
      <c r="J1882" s="2">
        <v>666</v>
      </c>
      <c r="K1882" s="2">
        <v>641</v>
      </c>
      <c r="L1882" s="2">
        <v>7</v>
      </c>
      <c r="M1882" s="7">
        <f t="shared" si="116"/>
        <v>4487</v>
      </c>
      <c r="N1882" s="7">
        <f t="shared" si="117"/>
        <v>4662</v>
      </c>
      <c r="O1882" s="2">
        <v>35</v>
      </c>
      <c r="P1882" s="8">
        <f t="shared" si="118"/>
        <v>4697</v>
      </c>
      <c r="Q1882" s="8">
        <f t="shared" si="119"/>
        <v>4627</v>
      </c>
      <c r="R1882" s="2" t="s">
        <v>28</v>
      </c>
      <c r="S1882" s="9">
        <f>VLOOKUP(P1882,$T$2:U1879,2,1)</f>
        <v>0.02</v>
      </c>
    </row>
    <row r="1883" spans="1:19" x14ac:dyDescent="0.25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e">
        <f>VLOOKUP(F1883,'Customer Info'!A1875:I2374,2,0)</f>
        <v>#N/A</v>
      </c>
      <c r="H1883" s="6" t="e">
        <f>VLOOKUP(F1883,'Customer Info'!A1875:I2374,3,0)</f>
        <v>#N/A</v>
      </c>
      <c r="I1883" s="6" t="e">
        <f>VLOOKUP(F1883,'Customer Info'!A1875:I2374,5,0)</f>
        <v>#N/A</v>
      </c>
      <c r="J1883" s="2">
        <v>7623</v>
      </c>
      <c r="K1883" s="2">
        <v>7064</v>
      </c>
      <c r="L1883" s="2">
        <v>1</v>
      </c>
      <c r="M1883" s="7">
        <f t="shared" si="116"/>
        <v>7064</v>
      </c>
      <c r="N1883" s="7">
        <f t="shared" si="117"/>
        <v>7623</v>
      </c>
      <c r="O1883" s="2">
        <v>57</v>
      </c>
      <c r="P1883" s="8">
        <f t="shared" si="118"/>
        <v>7680</v>
      </c>
      <c r="Q1883" s="8">
        <f t="shared" si="119"/>
        <v>7566</v>
      </c>
      <c r="R1883" s="2" t="s">
        <v>28</v>
      </c>
      <c r="S1883" s="9">
        <f>VLOOKUP(P1883,$T$2:U1880,2,1)</f>
        <v>0.05</v>
      </c>
    </row>
    <row r="1884" spans="1:19" x14ac:dyDescent="0.25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e">
        <f>VLOOKUP(F1884,'Customer Info'!A1876:I2375,2,0)</f>
        <v>#N/A</v>
      </c>
      <c r="H1884" s="6" t="e">
        <f>VLOOKUP(F1884,'Customer Info'!A1876:I2375,3,0)</f>
        <v>#N/A</v>
      </c>
      <c r="I1884" s="6" t="e">
        <f>VLOOKUP(F1884,'Customer Info'!A1876:I2375,5,0)</f>
        <v>#N/A</v>
      </c>
      <c r="J1884" s="2">
        <v>7361</v>
      </c>
      <c r="K1884" s="2">
        <v>6887</v>
      </c>
      <c r="L1884" s="2">
        <v>2</v>
      </c>
      <c r="M1884" s="7">
        <f t="shared" si="116"/>
        <v>13774</v>
      </c>
      <c r="N1884" s="7">
        <f t="shared" si="117"/>
        <v>14722</v>
      </c>
      <c r="O1884" s="2">
        <v>98</v>
      </c>
      <c r="P1884" s="8">
        <f t="shared" si="118"/>
        <v>14820</v>
      </c>
      <c r="Q1884" s="8">
        <f t="shared" si="119"/>
        <v>14624</v>
      </c>
      <c r="R1884" s="2" t="s">
        <v>28</v>
      </c>
      <c r="S1884" s="9">
        <f>VLOOKUP(P1884,$T$2:U1881,2,1)</f>
        <v>0.05</v>
      </c>
    </row>
    <row r="1885" spans="1:19" x14ac:dyDescent="0.25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e">
        <f>VLOOKUP(F1885,'Customer Info'!A1877:I2376,2,0)</f>
        <v>#N/A</v>
      </c>
      <c r="H1885" s="6" t="e">
        <f>VLOOKUP(F1885,'Customer Info'!A1877:I2376,3,0)</f>
        <v>#N/A</v>
      </c>
      <c r="I1885" s="6" t="e">
        <f>VLOOKUP(F1885,'Customer Info'!A1877:I2376,5,0)</f>
        <v>#N/A</v>
      </c>
      <c r="J1885" s="2">
        <v>2960</v>
      </c>
      <c r="K1885" s="2">
        <v>2635</v>
      </c>
      <c r="L1885" s="2">
        <v>2</v>
      </c>
      <c r="M1885" s="7">
        <f t="shared" si="116"/>
        <v>5270</v>
      </c>
      <c r="N1885" s="7">
        <f t="shared" si="117"/>
        <v>5920</v>
      </c>
      <c r="O1885" s="2">
        <v>82</v>
      </c>
      <c r="P1885" s="8">
        <f t="shared" si="118"/>
        <v>6002</v>
      </c>
      <c r="Q1885" s="8">
        <f t="shared" si="119"/>
        <v>5838</v>
      </c>
      <c r="R1885" s="2" t="s">
        <v>28</v>
      </c>
      <c r="S1885" s="9">
        <f>VLOOKUP(P1885,$T$2:U1882,2,1)</f>
        <v>0.05</v>
      </c>
    </row>
    <row r="1886" spans="1:19" x14ac:dyDescent="0.25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e">
        <f>VLOOKUP(F1886,'Customer Info'!A1878:I2377,2,0)</f>
        <v>#N/A</v>
      </c>
      <c r="H1886" s="6" t="e">
        <f>VLOOKUP(F1886,'Customer Info'!A1878:I2377,3,0)</f>
        <v>#N/A</v>
      </c>
      <c r="I1886" s="6" t="e">
        <f>VLOOKUP(F1886,'Customer Info'!A1878:I2377,5,0)</f>
        <v>#N/A</v>
      </c>
      <c r="J1886" s="2">
        <v>2365</v>
      </c>
      <c r="K1886" s="2">
        <v>2232</v>
      </c>
      <c r="L1886" s="2">
        <v>5</v>
      </c>
      <c r="M1886" s="7">
        <f t="shared" si="116"/>
        <v>11160</v>
      </c>
      <c r="N1886" s="7">
        <f t="shared" si="117"/>
        <v>11825</v>
      </c>
      <c r="O1886" s="2">
        <v>35</v>
      </c>
      <c r="P1886" s="8">
        <f t="shared" si="118"/>
        <v>11860</v>
      </c>
      <c r="Q1886" s="8">
        <f t="shared" si="119"/>
        <v>11790</v>
      </c>
      <c r="R1886" s="2" t="s">
        <v>28</v>
      </c>
      <c r="S1886" s="9">
        <f>VLOOKUP(P1886,$T$2:U1883,2,1)</f>
        <v>0.05</v>
      </c>
    </row>
    <row r="1887" spans="1:19" x14ac:dyDescent="0.25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e">
        <f>VLOOKUP(F1887,'Customer Info'!A1879:I2378,2,0)</f>
        <v>#N/A</v>
      </c>
      <c r="H1887" s="6" t="e">
        <f>VLOOKUP(F1887,'Customer Info'!A1879:I2378,3,0)</f>
        <v>#N/A</v>
      </c>
      <c r="I1887" s="6" t="e">
        <f>VLOOKUP(F1887,'Customer Info'!A1879:I2378,5,0)</f>
        <v>#N/A</v>
      </c>
      <c r="J1887" s="2">
        <v>2250</v>
      </c>
      <c r="K1887" s="2">
        <v>2207</v>
      </c>
      <c r="L1887" s="2">
        <v>3</v>
      </c>
      <c r="M1887" s="7">
        <f t="shared" si="116"/>
        <v>6621</v>
      </c>
      <c r="N1887" s="7">
        <f t="shared" si="117"/>
        <v>6750</v>
      </c>
      <c r="O1887" s="2">
        <v>91</v>
      </c>
      <c r="P1887" s="8">
        <f t="shared" si="118"/>
        <v>6841</v>
      </c>
      <c r="Q1887" s="8">
        <f t="shared" si="119"/>
        <v>6659</v>
      </c>
      <c r="R1887" s="2" t="s">
        <v>28</v>
      </c>
      <c r="S1887" s="9">
        <f>VLOOKUP(P1887,$T$2:U1884,2,1)</f>
        <v>0.05</v>
      </c>
    </row>
    <row r="1888" spans="1:19" x14ac:dyDescent="0.25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e">
        <f>VLOOKUP(F1888,'Customer Info'!A1880:I2379,2,0)</f>
        <v>#N/A</v>
      </c>
      <c r="H1888" s="6" t="e">
        <f>VLOOKUP(F1888,'Customer Info'!A1880:I2379,3,0)</f>
        <v>#N/A</v>
      </c>
      <c r="I1888" s="6" t="e">
        <f>VLOOKUP(F1888,'Customer Info'!A1880:I2379,5,0)</f>
        <v>#N/A</v>
      </c>
      <c r="J1888" s="2">
        <v>1576</v>
      </c>
      <c r="K1888" s="2">
        <v>1531</v>
      </c>
      <c r="L1888" s="2">
        <v>2</v>
      </c>
      <c r="M1888" s="7">
        <f t="shared" si="116"/>
        <v>3062</v>
      </c>
      <c r="N1888" s="7">
        <f t="shared" si="117"/>
        <v>3152</v>
      </c>
      <c r="O1888" s="2">
        <v>63</v>
      </c>
      <c r="P1888" s="8">
        <f t="shared" si="118"/>
        <v>3215</v>
      </c>
      <c r="Q1888" s="8">
        <f t="shared" si="119"/>
        <v>3089</v>
      </c>
      <c r="R1888" s="2" t="s">
        <v>50</v>
      </c>
      <c r="S1888" s="9">
        <f>VLOOKUP(P1888,$T$2:U1885,2,1)</f>
        <v>0.02</v>
      </c>
    </row>
    <row r="1889" spans="1:19" x14ac:dyDescent="0.25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e">
        <f>VLOOKUP(F1889,'Customer Info'!A1881:I2380,2,0)</f>
        <v>#N/A</v>
      </c>
      <c r="H1889" s="6" t="e">
        <f>VLOOKUP(F1889,'Customer Info'!A1881:I2380,3,0)</f>
        <v>#N/A</v>
      </c>
      <c r="I1889" s="6" t="e">
        <f>VLOOKUP(F1889,'Customer Info'!A1881:I2380,5,0)</f>
        <v>#N/A</v>
      </c>
      <c r="J1889" s="2">
        <v>1364</v>
      </c>
      <c r="K1889" s="2">
        <v>1274</v>
      </c>
      <c r="L1889" s="2">
        <v>1</v>
      </c>
      <c r="M1889" s="7">
        <f t="shared" si="116"/>
        <v>1274</v>
      </c>
      <c r="N1889" s="7">
        <f t="shared" si="117"/>
        <v>1364</v>
      </c>
      <c r="O1889" s="2">
        <v>50</v>
      </c>
      <c r="P1889" s="8">
        <f t="shared" si="118"/>
        <v>1414</v>
      </c>
      <c r="Q1889" s="8">
        <f t="shared" si="119"/>
        <v>1314</v>
      </c>
      <c r="R1889" s="2" t="s">
        <v>28</v>
      </c>
      <c r="S1889" s="9">
        <f>VLOOKUP(P1889,$T$2:U1886,2,1)</f>
        <v>0.02</v>
      </c>
    </row>
    <row r="1890" spans="1:19" x14ac:dyDescent="0.25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e">
        <f>VLOOKUP(F1890,'Customer Info'!A1882:I2381,2,0)</f>
        <v>#N/A</v>
      </c>
      <c r="H1890" s="6" t="e">
        <f>VLOOKUP(F1890,'Customer Info'!A1882:I2381,3,0)</f>
        <v>#N/A</v>
      </c>
      <c r="I1890" s="6" t="e">
        <f>VLOOKUP(F1890,'Customer Info'!A1882:I2381,5,0)</f>
        <v>#N/A</v>
      </c>
      <c r="J1890" s="2">
        <v>2981</v>
      </c>
      <c r="K1890" s="2">
        <v>2870</v>
      </c>
      <c r="L1890" s="2">
        <v>4</v>
      </c>
      <c r="M1890" s="7">
        <f t="shared" si="116"/>
        <v>11480</v>
      </c>
      <c r="N1890" s="7">
        <f t="shared" si="117"/>
        <v>11924</v>
      </c>
      <c r="O1890" s="2">
        <v>85</v>
      </c>
      <c r="P1890" s="8">
        <f t="shared" si="118"/>
        <v>12009</v>
      </c>
      <c r="Q1890" s="8">
        <f t="shared" si="119"/>
        <v>11839</v>
      </c>
      <c r="R1890" s="2" t="s">
        <v>28</v>
      </c>
      <c r="S1890" s="9">
        <f>VLOOKUP(P1890,$T$2:U1887,2,1)</f>
        <v>0.05</v>
      </c>
    </row>
    <row r="1891" spans="1:19" x14ac:dyDescent="0.25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e">
        <f>VLOOKUP(F1891,'Customer Info'!A1883:I2382,2,0)</f>
        <v>#N/A</v>
      </c>
      <c r="H1891" s="6" t="e">
        <f>VLOOKUP(F1891,'Customer Info'!A1883:I2382,3,0)</f>
        <v>#N/A</v>
      </c>
      <c r="I1891" s="6" t="e">
        <f>VLOOKUP(F1891,'Customer Info'!A1883:I2382,5,0)</f>
        <v>#N/A</v>
      </c>
      <c r="J1891" s="2">
        <v>3256</v>
      </c>
      <c r="K1891" s="2">
        <v>3044</v>
      </c>
      <c r="L1891" s="2">
        <v>5</v>
      </c>
      <c r="M1891" s="7">
        <f t="shared" si="116"/>
        <v>15220</v>
      </c>
      <c r="N1891" s="7">
        <f t="shared" si="117"/>
        <v>16280</v>
      </c>
      <c r="O1891" s="2">
        <v>50</v>
      </c>
      <c r="P1891" s="8">
        <f t="shared" si="118"/>
        <v>16330</v>
      </c>
      <c r="Q1891" s="8">
        <f t="shared" si="119"/>
        <v>16230</v>
      </c>
      <c r="R1891" s="2" t="s">
        <v>50</v>
      </c>
      <c r="S1891" s="9">
        <f>VLOOKUP(P1891,$T$2:U1888,2,1)</f>
        <v>0.05</v>
      </c>
    </row>
    <row r="1892" spans="1:19" x14ac:dyDescent="0.25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e">
        <f>VLOOKUP(F1892,'Customer Info'!A1884:I2383,2,0)</f>
        <v>#N/A</v>
      </c>
      <c r="H1892" s="6" t="e">
        <f>VLOOKUP(F1892,'Customer Info'!A1884:I2383,3,0)</f>
        <v>#N/A</v>
      </c>
      <c r="I1892" s="6" t="e">
        <f>VLOOKUP(F1892,'Customer Info'!A1884:I2383,5,0)</f>
        <v>#N/A</v>
      </c>
      <c r="J1892" s="2">
        <v>1637</v>
      </c>
      <c r="K1892" s="2">
        <v>1591</v>
      </c>
      <c r="L1892" s="2">
        <v>2</v>
      </c>
      <c r="M1892" s="7">
        <f t="shared" si="116"/>
        <v>3182</v>
      </c>
      <c r="N1892" s="7">
        <f t="shared" si="117"/>
        <v>3274</v>
      </c>
      <c r="O1892" s="2">
        <v>37</v>
      </c>
      <c r="P1892" s="8">
        <f t="shared" si="118"/>
        <v>3311</v>
      </c>
      <c r="Q1892" s="8">
        <f t="shared" si="119"/>
        <v>3237</v>
      </c>
      <c r="R1892" s="2" t="s">
        <v>50</v>
      </c>
      <c r="S1892" s="9">
        <f>VLOOKUP(P1892,$T$2:U1889,2,1)</f>
        <v>0.02</v>
      </c>
    </row>
    <row r="1893" spans="1:19" x14ac:dyDescent="0.25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e">
        <f>VLOOKUP(F1893,'Customer Info'!A1885:I2384,2,0)</f>
        <v>#N/A</v>
      </c>
      <c r="H1893" s="6" t="e">
        <f>VLOOKUP(F1893,'Customer Info'!A1885:I2384,3,0)</f>
        <v>#N/A</v>
      </c>
      <c r="I1893" s="6" t="e">
        <f>VLOOKUP(F1893,'Customer Info'!A1885:I2384,5,0)</f>
        <v>#N/A</v>
      </c>
      <c r="J1893" s="2">
        <v>128</v>
      </c>
      <c r="K1893" s="2">
        <v>115</v>
      </c>
      <c r="L1893" s="2">
        <v>3</v>
      </c>
      <c r="M1893" s="7">
        <f t="shared" si="116"/>
        <v>345</v>
      </c>
      <c r="N1893" s="7">
        <f t="shared" si="117"/>
        <v>384</v>
      </c>
      <c r="O1893" s="2">
        <v>30</v>
      </c>
      <c r="P1893" s="8">
        <f t="shared" si="118"/>
        <v>414</v>
      </c>
      <c r="Q1893" s="8">
        <f t="shared" si="119"/>
        <v>354</v>
      </c>
      <c r="R1893" s="2" t="s">
        <v>28</v>
      </c>
      <c r="S1893" s="9">
        <f>VLOOKUP(P1893,$T$2:U1890,2,1)</f>
        <v>0.02</v>
      </c>
    </row>
    <row r="1894" spans="1:19" x14ac:dyDescent="0.25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e">
        <f>VLOOKUP(F1894,'Customer Info'!A1886:I2385,2,0)</f>
        <v>#N/A</v>
      </c>
      <c r="H1894" s="6" t="e">
        <f>VLOOKUP(F1894,'Customer Info'!A1886:I2385,3,0)</f>
        <v>#N/A</v>
      </c>
      <c r="I1894" s="6" t="e">
        <f>VLOOKUP(F1894,'Customer Info'!A1886:I2385,5,0)</f>
        <v>#N/A</v>
      </c>
      <c r="J1894" s="2">
        <v>177</v>
      </c>
      <c r="K1894" s="2">
        <v>169</v>
      </c>
      <c r="L1894" s="2">
        <v>5</v>
      </c>
      <c r="M1894" s="7">
        <f t="shared" si="116"/>
        <v>845</v>
      </c>
      <c r="N1894" s="7">
        <f t="shared" si="117"/>
        <v>885</v>
      </c>
      <c r="O1894" s="2">
        <v>30</v>
      </c>
      <c r="P1894" s="8">
        <f t="shared" si="118"/>
        <v>915</v>
      </c>
      <c r="Q1894" s="8">
        <f t="shared" si="119"/>
        <v>855</v>
      </c>
      <c r="R1894" s="2" t="s">
        <v>26</v>
      </c>
      <c r="S1894" s="9">
        <f>VLOOKUP(P1894,$T$2:U1891,2,1)</f>
        <v>0.02</v>
      </c>
    </row>
    <row r="1895" spans="1:19" x14ac:dyDescent="0.25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e">
        <f>VLOOKUP(F1895,'Customer Info'!A1887:I2386,2,0)</f>
        <v>#N/A</v>
      </c>
      <c r="H1895" s="6" t="e">
        <f>VLOOKUP(F1895,'Customer Info'!A1887:I2386,3,0)</f>
        <v>#N/A</v>
      </c>
      <c r="I1895" s="6" t="e">
        <f>VLOOKUP(F1895,'Customer Info'!A1887:I2386,5,0)</f>
        <v>#N/A</v>
      </c>
      <c r="J1895" s="2">
        <v>151</v>
      </c>
      <c r="K1895" s="2">
        <v>139</v>
      </c>
      <c r="L1895" s="2">
        <v>5</v>
      </c>
      <c r="M1895" s="7">
        <f t="shared" si="116"/>
        <v>695</v>
      </c>
      <c r="N1895" s="7">
        <f t="shared" si="117"/>
        <v>755</v>
      </c>
      <c r="O1895" s="2">
        <v>30</v>
      </c>
      <c r="P1895" s="8">
        <f t="shared" si="118"/>
        <v>785</v>
      </c>
      <c r="Q1895" s="8">
        <f t="shared" si="119"/>
        <v>725</v>
      </c>
      <c r="R1895" s="2" t="s">
        <v>28</v>
      </c>
      <c r="S1895" s="9">
        <f>VLOOKUP(P1895,$T$2:U1892,2,1)</f>
        <v>0.02</v>
      </c>
    </row>
    <row r="1896" spans="1:19" x14ac:dyDescent="0.25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e">
        <f>VLOOKUP(F1896,'Customer Info'!A1888:I2387,2,0)</f>
        <v>#N/A</v>
      </c>
      <c r="H1896" s="6" t="e">
        <f>VLOOKUP(F1896,'Customer Info'!A1888:I2387,3,0)</f>
        <v>#N/A</v>
      </c>
      <c r="I1896" s="6" t="e">
        <f>VLOOKUP(F1896,'Customer Info'!A1888:I2387,5,0)</f>
        <v>#N/A</v>
      </c>
      <c r="J1896" s="2">
        <v>135</v>
      </c>
      <c r="K1896" s="2">
        <v>129</v>
      </c>
      <c r="L1896" s="2">
        <v>2</v>
      </c>
      <c r="M1896" s="7">
        <f t="shared" si="116"/>
        <v>258</v>
      </c>
      <c r="N1896" s="7">
        <f t="shared" si="117"/>
        <v>270</v>
      </c>
      <c r="O1896" s="2">
        <v>30</v>
      </c>
      <c r="P1896" s="8">
        <f t="shared" si="118"/>
        <v>300</v>
      </c>
      <c r="Q1896" s="8">
        <f t="shared" si="119"/>
        <v>240</v>
      </c>
      <c r="R1896" s="2" t="s">
        <v>56</v>
      </c>
      <c r="S1896" s="9">
        <f>VLOOKUP(P1896,$T$2:U1893,2,1)</f>
        <v>0.02</v>
      </c>
    </row>
    <row r="1897" spans="1:19" x14ac:dyDescent="0.25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e">
        <f>VLOOKUP(F1897,'Customer Info'!A1889:I2388,2,0)</f>
        <v>#N/A</v>
      </c>
      <c r="H1897" s="6" t="e">
        <f>VLOOKUP(F1897,'Customer Info'!A1889:I2388,3,0)</f>
        <v>#N/A</v>
      </c>
      <c r="I1897" s="6" t="e">
        <f>VLOOKUP(F1897,'Customer Info'!A1889:I2388,5,0)</f>
        <v>#N/A</v>
      </c>
      <c r="J1897" s="2">
        <v>1700</v>
      </c>
      <c r="K1897" s="2">
        <v>1620</v>
      </c>
      <c r="L1897" s="2">
        <v>4</v>
      </c>
      <c r="M1897" s="7">
        <f t="shared" si="116"/>
        <v>6480</v>
      </c>
      <c r="N1897" s="7">
        <f t="shared" si="117"/>
        <v>6800</v>
      </c>
      <c r="O1897" s="2">
        <v>75</v>
      </c>
      <c r="P1897" s="8">
        <f t="shared" si="118"/>
        <v>6875</v>
      </c>
      <c r="Q1897" s="8">
        <f t="shared" si="119"/>
        <v>6725</v>
      </c>
      <c r="R1897" s="2" t="s">
        <v>28</v>
      </c>
      <c r="S1897" s="9">
        <f>VLOOKUP(P1897,$T$2:U1894,2,1)</f>
        <v>0.05</v>
      </c>
    </row>
    <row r="1898" spans="1:19" x14ac:dyDescent="0.25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e">
        <f>VLOOKUP(F1898,'Customer Info'!A1890:I2389,2,0)</f>
        <v>#N/A</v>
      </c>
      <c r="H1898" s="6" t="e">
        <f>VLOOKUP(F1898,'Customer Info'!A1890:I2389,3,0)</f>
        <v>#N/A</v>
      </c>
      <c r="I1898" s="6" t="e">
        <f>VLOOKUP(F1898,'Customer Info'!A1890:I2389,5,0)</f>
        <v>#N/A</v>
      </c>
      <c r="J1898" s="2">
        <v>63</v>
      </c>
      <c r="K1898" s="2">
        <v>58</v>
      </c>
      <c r="L1898" s="2">
        <v>3</v>
      </c>
      <c r="M1898" s="7">
        <f t="shared" si="116"/>
        <v>174</v>
      </c>
      <c r="N1898" s="7">
        <f t="shared" si="117"/>
        <v>189</v>
      </c>
      <c r="O1898" s="2">
        <v>10</v>
      </c>
      <c r="P1898" s="8">
        <f t="shared" si="118"/>
        <v>199</v>
      </c>
      <c r="Q1898" s="8">
        <f t="shared" si="119"/>
        <v>179</v>
      </c>
      <c r="R1898" s="2" t="s">
        <v>50</v>
      </c>
      <c r="S1898" s="9">
        <f>VLOOKUP(P1898,$T$2:U1895,2,1)</f>
        <v>0.02</v>
      </c>
    </row>
    <row r="1899" spans="1:19" x14ac:dyDescent="0.25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e">
        <f>VLOOKUP(F1899,'Customer Info'!A1891:I2390,2,0)</f>
        <v>#N/A</v>
      </c>
      <c r="H1899" s="6" t="e">
        <f>VLOOKUP(F1899,'Customer Info'!A1891:I2390,3,0)</f>
        <v>#N/A</v>
      </c>
      <c r="I1899" s="6" t="e">
        <f>VLOOKUP(F1899,'Customer Info'!A1891:I2390,5,0)</f>
        <v>#N/A</v>
      </c>
      <c r="J1899" s="2">
        <v>7534</v>
      </c>
      <c r="K1899" s="2">
        <v>7106</v>
      </c>
      <c r="L1899" s="2">
        <v>1</v>
      </c>
      <c r="M1899" s="7">
        <f t="shared" si="116"/>
        <v>7106</v>
      </c>
      <c r="N1899" s="7">
        <f t="shared" si="117"/>
        <v>7534</v>
      </c>
      <c r="O1899" s="2">
        <v>34</v>
      </c>
      <c r="P1899" s="8">
        <f t="shared" si="118"/>
        <v>7568</v>
      </c>
      <c r="Q1899" s="8">
        <f t="shared" si="119"/>
        <v>7500</v>
      </c>
      <c r="R1899" s="2" t="s">
        <v>28</v>
      </c>
      <c r="S1899" s="9">
        <f>VLOOKUP(P1899,$T$2:U1896,2,1)</f>
        <v>0.05</v>
      </c>
    </row>
    <row r="1900" spans="1:19" x14ac:dyDescent="0.25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e">
        <f>VLOOKUP(F1900,'Customer Info'!A1892:I2391,2,0)</f>
        <v>#N/A</v>
      </c>
      <c r="H1900" s="6" t="e">
        <f>VLOOKUP(F1900,'Customer Info'!A1892:I2391,3,0)</f>
        <v>#N/A</v>
      </c>
      <c r="I1900" s="6" t="e">
        <f>VLOOKUP(F1900,'Customer Info'!A1892:I2391,5,0)</f>
        <v>#N/A</v>
      </c>
      <c r="J1900" s="2">
        <v>179</v>
      </c>
      <c r="K1900" s="2">
        <v>166</v>
      </c>
      <c r="L1900" s="2">
        <v>1</v>
      </c>
      <c r="M1900" s="7">
        <f t="shared" si="116"/>
        <v>166</v>
      </c>
      <c r="N1900" s="7">
        <f t="shared" si="117"/>
        <v>179</v>
      </c>
      <c r="O1900" s="2">
        <v>30</v>
      </c>
      <c r="P1900" s="8">
        <f t="shared" si="118"/>
        <v>209</v>
      </c>
      <c r="Q1900" s="8">
        <f t="shared" si="119"/>
        <v>149</v>
      </c>
      <c r="R1900" s="2" t="s">
        <v>28</v>
      </c>
      <c r="S1900" s="9">
        <f>VLOOKUP(P1900,$T$2:U1897,2,1)</f>
        <v>0.02</v>
      </c>
    </row>
    <row r="1901" spans="1:19" x14ac:dyDescent="0.25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e">
        <f>VLOOKUP(F1901,'Customer Info'!A1893:I2392,2,0)</f>
        <v>#N/A</v>
      </c>
      <c r="H1901" s="6" t="e">
        <f>VLOOKUP(F1901,'Customer Info'!A1893:I2392,3,0)</f>
        <v>#N/A</v>
      </c>
      <c r="I1901" s="6" t="e">
        <f>VLOOKUP(F1901,'Customer Info'!A1893:I2392,5,0)</f>
        <v>#N/A</v>
      </c>
      <c r="J1901" s="2">
        <v>1125</v>
      </c>
      <c r="K1901" s="2">
        <v>1040</v>
      </c>
      <c r="L1901" s="2">
        <v>2</v>
      </c>
      <c r="M1901" s="7">
        <f t="shared" si="116"/>
        <v>2080</v>
      </c>
      <c r="N1901" s="7">
        <f t="shared" si="117"/>
        <v>2250</v>
      </c>
      <c r="O1901" s="2">
        <v>71</v>
      </c>
      <c r="P1901" s="8">
        <f t="shared" si="118"/>
        <v>2321</v>
      </c>
      <c r="Q1901" s="8">
        <f t="shared" si="119"/>
        <v>2179</v>
      </c>
      <c r="R1901" s="2" t="s">
        <v>28</v>
      </c>
      <c r="S1901" s="9">
        <f>VLOOKUP(P1901,$T$2:U1898,2,1)</f>
        <v>0.02</v>
      </c>
    </row>
    <row r="1902" spans="1:19" x14ac:dyDescent="0.25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e">
        <f>VLOOKUP(F1902,'Customer Info'!A1894:I2393,2,0)</f>
        <v>#N/A</v>
      </c>
      <c r="H1902" s="6" t="e">
        <f>VLOOKUP(F1902,'Customer Info'!A1894:I2393,3,0)</f>
        <v>#N/A</v>
      </c>
      <c r="I1902" s="6" t="e">
        <f>VLOOKUP(F1902,'Customer Info'!A1894:I2393,5,0)</f>
        <v>#N/A</v>
      </c>
      <c r="J1902" s="2">
        <v>8202</v>
      </c>
      <c r="K1902" s="2">
        <v>7594</v>
      </c>
      <c r="L1902" s="2">
        <v>4</v>
      </c>
      <c r="M1902" s="7">
        <f t="shared" si="116"/>
        <v>30376</v>
      </c>
      <c r="N1902" s="7">
        <f t="shared" si="117"/>
        <v>32808</v>
      </c>
      <c r="O1902" s="2">
        <v>56</v>
      </c>
      <c r="P1902" s="8">
        <f t="shared" si="118"/>
        <v>32864</v>
      </c>
      <c r="Q1902" s="8">
        <f t="shared" si="119"/>
        <v>32752</v>
      </c>
      <c r="R1902" s="2" t="s">
        <v>50</v>
      </c>
      <c r="S1902" s="9">
        <f>VLOOKUP(P1902,$T$2:U1899,2,1)</f>
        <v>7.0000000000000007E-2</v>
      </c>
    </row>
    <row r="1903" spans="1:19" x14ac:dyDescent="0.25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e">
        <f>VLOOKUP(F1903,'Customer Info'!A1895:I2394,2,0)</f>
        <v>#N/A</v>
      </c>
      <c r="H1903" s="6" t="e">
        <f>VLOOKUP(F1903,'Customer Info'!A1895:I2394,3,0)</f>
        <v>#N/A</v>
      </c>
      <c r="I1903" s="6" t="e">
        <f>VLOOKUP(F1903,'Customer Info'!A1895:I2394,5,0)</f>
        <v>#N/A</v>
      </c>
      <c r="J1903" s="2">
        <v>148</v>
      </c>
      <c r="K1903" s="2">
        <v>136</v>
      </c>
      <c r="L1903" s="2">
        <v>4</v>
      </c>
      <c r="M1903" s="7">
        <f t="shared" si="116"/>
        <v>544</v>
      </c>
      <c r="N1903" s="7">
        <f t="shared" si="117"/>
        <v>592</v>
      </c>
      <c r="O1903" s="2">
        <v>30</v>
      </c>
      <c r="P1903" s="8">
        <f t="shared" si="118"/>
        <v>622</v>
      </c>
      <c r="Q1903" s="8">
        <f t="shared" si="119"/>
        <v>562</v>
      </c>
      <c r="R1903" s="2" t="s">
        <v>28</v>
      </c>
      <c r="S1903" s="9">
        <f>VLOOKUP(P1903,$T$2:U1900,2,1)</f>
        <v>0.02</v>
      </c>
    </row>
    <row r="1904" spans="1:19" x14ac:dyDescent="0.25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e">
        <f>VLOOKUP(F1904,'Customer Info'!A1896:I2395,2,0)</f>
        <v>#N/A</v>
      </c>
      <c r="H1904" s="6" t="e">
        <f>VLOOKUP(F1904,'Customer Info'!A1896:I2395,3,0)</f>
        <v>#N/A</v>
      </c>
      <c r="I1904" s="6" t="e">
        <f>VLOOKUP(F1904,'Customer Info'!A1896:I2395,5,0)</f>
        <v>#N/A</v>
      </c>
      <c r="J1904" s="2">
        <v>1533</v>
      </c>
      <c r="K1904" s="2">
        <v>1406</v>
      </c>
      <c r="L1904" s="2">
        <v>3</v>
      </c>
      <c r="M1904" s="7">
        <f t="shared" si="116"/>
        <v>4218</v>
      </c>
      <c r="N1904" s="7">
        <f t="shared" si="117"/>
        <v>4599</v>
      </c>
      <c r="O1904" s="2">
        <v>75</v>
      </c>
      <c r="P1904" s="8">
        <f t="shared" si="118"/>
        <v>4674</v>
      </c>
      <c r="Q1904" s="8">
        <f t="shared" si="119"/>
        <v>4524</v>
      </c>
      <c r="R1904" s="2" t="s">
        <v>28</v>
      </c>
      <c r="S1904" s="9">
        <f>VLOOKUP(P1904,$T$2:U1901,2,1)</f>
        <v>0.02</v>
      </c>
    </row>
    <row r="1905" spans="1:19" x14ac:dyDescent="0.25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e">
        <f>VLOOKUP(F1905,'Customer Info'!A1897:I2396,2,0)</f>
        <v>#N/A</v>
      </c>
      <c r="H1905" s="6" t="e">
        <f>VLOOKUP(F1905,'Customer Info'!A1897:I2396,3,0)</f>
        <v>#N/A</v>
      </c>
      <c r="I1905" s="6" t="e">
        <f>VLOOKUP(F1905,'Customer Info'!A1897:I2396,5,0)</f>
        <v>#N/A</v>
      </c>
      <c r="J1905" s="2">
        <v>1372</v>
      </c>
      <c r="K1905" s="2">
        <v>1308</v>
      </c>
      <c r="L1905" s="2">
        <v>1</v>
      </c>
      <c r="M1905" s="7">
        <f t="shared" si="116"/>
        <v>1308</v>
      </c>
      <c r="N1905" s="7">
        <f t="shared" si="117"/>
        <v>1372</v>
      </c>
      <c r="O1905" s="2">
        <v>21</v>
      </c>
      <c r="P1905" s="8">
        <f t="shared" si="118"/>
        <v>1393</v>
      </c>
      <c r="Q1905" s="8">
        <f t="shared" si="119"/>
        <v>1351</v>
      </c>
      <c r="R1905" s="2" t="s">
        <v>26</v>
      </c>
      <c r="S1905" s="9">
        <f>VLOOKUP(P1905,$T$2:U1902,2,1)</f>
        <v>0.02</v>
      </c>
    </row>
    <row r="1906" spans="1:19" x14ac:dyDescent="0.25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e">
        <f>VLOOKUP(F1906,'Customer Info'!A1898:I2397,2,0)</f>
        <v>#N/A</v>
      </c>
      <c r="H1906" s="6" t="e">
        <f>VLOOKUP(F1906,'Customer Info'!A1898:I2397,3,0)</f>
        <v>#N/A</v>
      </c>
      <c r="I1906" s="6" t="e">
        <f>VLOOKUP(F1906,'Customer Info'!A1898:I2397,5,0)</f>
        <v>#N/A</v>
      </c>
      <c r="J1906" s="2">
        <v>27691</v>
      </c>
      <c r="K1906" s="2">
        <v>25616</v>
      </c>
      <c r="L1906" s="2">
        <v>2</v>
      </c>
      <c r="M1906" s="7">
        <f t="shared" si="116"/>
        <v>51232</v>
      </c>
      <c r="N1906" s="7">
        <f t="shared" si="117"/>
        <v>55382</v>
      </c>
      <c r="O1906" s="2">
        <v>69</v>
      </c>
      <c r="P1906" s="8">
        <f t="shared" si="118"/>
        <v>55451</v>
      </c>
      <c r="Q1906" s="8">
        <f t="shared" si="119"/>
        <v>55313</v>
      </c>
      <c r="R1906" s="2" t="s">
        <v>28</v>
      </c>
      <c r="S1906" s="9">
        <f>VLOOKUP(P1906,$T$2:U1903,2,1)</f>
        <v>0.09</v>
      </c>
    </row>
    <row r="1907" spans="1:19" x14ac:dyDescent="0.25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e">
        <f>VLOOKUP(F1907,'Customer Info'!A1899:I2398,2,0)</f>
        <v>#N/A</v>
      </c>
      <c r="H1907" s="6" t="e">
        <f>VLOOKUP(F1907,'Customer Info'!A1899:I2398,3,0)</f>
        <v>#N/A</v>
      </c>
      <c r="I1907" s="6" t="e">
        <f>VLOOKUP(F1907,'Customer Info'!A1899:I2398,5,0)</f>
        <v>#N/A</v>
      </c>
      <c r="J1907" s="2">
        <v>1605</v>
      </c>
      <c r="K1907" s="2">
        <v>1487</v>
      </c>
      <c r="L1907" s="2">
        <v>6</v>
      </c>
      <c r="M1907" s="7">
        <f t="shared" si="116"/>
        <v>8922</v>
      </c>
      <c r="N1907" s="7">
        <f t="shared" si="117"/>
        <v>9630</v>
      </c>
      <c r="O1907" s="2">
        <v>27</v>
      </c>
      <c r="P1907" s="8">
        <f t="shared" si="118"/>
        <v>9657</v>
      </c>
      <c r="Q1907" s="8">
        <f t="shared" si="119"/>
        <v>9603</v>
      </c>
      <c r="R1907" s="2" t="s">
        <v>50</v>
      </c>
      <c r="S1907" s="9">
        <f>VLOOKUP(P1907,$T$2:U1904,2,1)</f>
        <v>0.05</v>
      </c>
    </row>
    <row r="1908" spans="1:19" x14ac:dyDescent="0.25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e">
        <f>VLOOKUP(F1908,'Customer Info'!A1900:I2399,2,0)</f>
        <v>#N/A</v>
      </c>
      <c r="H1908" s="6" t="e">
        <f>VLOOKUP(F1908,'Customer Info'!A1900:I2399,3,0)</f>
        <v>#N/A</v>
      </c>
      <c r="I1908" s="6" t="e">
        <f>VLOOKUP(F1908,'Customer Info'!A1900:I2399,5,0)</f>
        <v>#N/A</v>
      </c>
      <c r="J1908" s="2">
        <v>474</v>
      </c>
      <c r="K1908" s="2">
        <v>443</v>
      </c>
      <c r="L1908" s="2">
        <v>3</v>
      </c>
      <c r="M1908" s="7">
        <f t="shared" si="116"/>
        <v>1329</v>
      </c>
      <c r="N1908" s="7">
        <f t="shared" si="117"/>
        <v>1422</v>
      </c>
      <c r="O1908" s="2">
        <v>26</v>
      </c>
      <c r="P1908" s="8">
        <f t="shared" si="118"/>
        <v>1448</v>
      </c>
      <c r="Q1908" s="8">
        <f t="shared" si="119"/>
        <v>1396</v>
      </c>
      <c r="R1908" s="2" t="s">
        <v>28</v>
      </c>
      <c r="S1908" s="9">
        <f>VLOOKUP(P1908,$T$2:U1905,2,1)</f>
        <v>0.02</v>
      </c>
    </row>
    <row r="1909" spans="1:19" x14ac:dyDescent="0.25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e">
        <f>VLOOKUP(F1909,'Customer Info'!A1901:I2400,2,0)</f>
        <v>#N/A</v>
      </c>
      <c r="H1909" s="6" t="e">
        <f>VLOOKUP(F1909,'Customer Info'!A1901:I2400,3,0)</f>
        <v>#N/A</v>
      </c>
      <c r="I1909" s="6" t="e">
        <f>VLOOKUP(F1909,'Customer Info'!A1901:I2400,5,0)</f>
        <v>#N/A</v>
      </c>
      <c r="J1909" s="2">
        <v>2627</v>
      </c>
      <c r="K1909" s="2">
        <v>2528</v>
      </c>
      <c r="L1909" s="2">
        <v>1</v>
      </c>
      <c r="M1909" s="7">
        <f t="shared" si="116"/>
        <v>2528</v>
      </c>
      <c r="N1909" s="7">
        <f t="shared" si="117"/>
        <v>2627</v>
      </c>
      <c r="O1909" s="2">
        <v>95</v>
      </c>
      <c r="P1909" s="8">
        <f t="shared" si="118"/>
        <v>2722</v>
      </c>
      <c r="Q1909" s="8">
        <f t="shared" si="119"/>
        <v>2532</v>
      </c>
      <c r="R1909" s="2" t="s">
        <v>28</v>
      </c>
      <c r="S1909" s="9">
        <f>VLOOKUP(P1909,$T$2:U1906,2,1)</f>
        <v>0.02</v>
      </c>
    </row>
    <row r="1910" spans="1:19" x14ac:dyDescent="0.25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e">
        <f>VLOOKUP(F1910,'Customer Info'!A1902:I2401,2,0)</f>
        <v>#N/A</v>
      </c>
      <c r="H1910" s="6" t="e">
        <f>VLOOKUP(F1910,'Customer Info'!A1902:I2401,3,0)</f>
        <v>#N/A</v>
      </c>
      <c r="I1910" s="6" t="e">
        <f>VLOOKUP(F1910,'Customer Info'!A1902:I2401,5,0)</f>
        <v>#N/A</v>
      </c>
      <c r="J1910" s="2">
        <v>1859</v>
      </c>
      <c r="K1910" s="2">
        <v>1755</v>
      </c>
      <c r="L1910" s="2">
        <v>8</v>
      </c>
      <c r="M1910" s="7">
        <f t="shared" si="116"/>
        <v>14040</v>
      </c>
      <c r="N1910" s="7">
        <f t="shared" si="117"/>
        <v>14872</v>
      </c>
      <c r="O1910" s="2">
        <v>28</v>
      </c>
      <c r="P1910" s="8">
        <f t="shared" si="118"/>
        <v>14900</v>
      </c>
      <c r="Q1910" s="8">
        <f t="shared" si="119"/>
        <v>14844</v>
      </c>
      <c r="R1910" s="2" t="s">
        <v>28</v>
      </c>
      <c r="S1910" s="9">
        <f>VLOOKUP(P1910,$T$2:U1907,2,1)</f>
        <v>0.05</v>
      </c>
    </row>
    <row r="1911" spans="1:19" x14ac:dyDescent="0.25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e">
        <f>VLOOKUP(F1911,'Customer Info'!A1903:I2402,2,0)</f>
        <v>#N/A</v>
      </c>
      <c r="H1911" s="6" t="e">
        <f>VLOOKUP(F1911,'Customer Info'!A1903:I2402,3,0)</f>
        <v>#N/A</v>
      </c>
      <c r="I1911" s="6" t="e">
        <f>VLOOKUP(F1911,'Customer Info'!A1903:I2402,5,0)</f>
        <v>#N/A</v>
      </c>
      <c r="J1911" s="2">
        <v>139</v>
      </c>
      <c r="K1911" s="2">
        <v>133</v>
      </c>
      <c r="L1911" s="2">
        <v>3</v>
      </c>
      <c r="M1911" s="7">
        <f t="shared" si="116"/>
        <v>399</v>
      </c>
      <c r="N1911" s="7">
        <f t="shared" si="117"/>
        <v>417</v>
      </c>
      <c r="O1911" s="2">
        <v>30</v>
      </c>
      <c r="P1911" s="8">
        <f t="shared" si="118"/>
        <v>447</v>
      </c>
      <c r="Q1911" s="8">
        <f t="shared" si="119"/>
        <v>387</v>
      </c>
      <c r="R1911" s="2" t="s">
        <v>28</v>
      </c>
      <c r="S1911" s="9">
        <f>VLOOKUP(P1911,$T$2:U1908,2,1)</f>
        <v>0.02</v>
      </c>
    </row>
    <row r="1912" spans="1:19" x14ac:dyDescent="0.25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e">
        <f>VLOOKUP(F1912,'Customer Info'!A1904:I2403,2,0)</f>
        <v>#N/A</v>
      </c>
      <c r="H1912" s="6" t="e">
        <f>VLOOKUP(F1912,'Customer Info'!A1904:I2403,3,0)</f>
        <v>#N/A</v>
      </c>
      <c r="I1912" s="6" t="e">
        <f>VLOOKUP(F1912,'Customer Info'!A1904:I2403,5,0)</f>
        <v>#N/A</v>
      </c>
      <c r="J1912" s="2">
        <v>1790</v>
      </c>
      <c r="K1912" s="2">
        <v>1706</v>
      </c>
      <c r="L1912" s="2">
        <v>4</v>
      </c>
      <c r="M1912" s="7">
        <f t="shared" si="116"/>
        <v>6824</v>
      </c>
      <c r="N1912" s="7">
        <f t="shared" si="117"/>
        <v>7160</v>
      </c>
      <c r="O1912" s="2">
        <v>94</v>
      </c>
      <c r="P1912" s="8">
        <f t="shared" si="118"/>
        <v>7254</v>
      </c>
      <c r="Q1912" s="8">
        <f t="shared" si="119"/>
        <v>7066</v>
      </c>
      <c r="R1912" s="2" t="s">
        <v>26</v>
      </c>
      <c r="S1912" s="9">
        <f>VLOOKUP(P1912,$T$2:U1909,2,1)</f>
        <v>0.05</v>
      </c>
    </row>
    <row r="1913" spans="1:19" x14ac:dyDescent="0.25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e">
        <f>VLOOKUP(F1913,'Customer Info'!A1905:I2404,2,0)</f>
        <v>#N/A</v>
      </c>
      <c r="H1913" s="6" t="e">
        <f>VLOOKUP(F1913,'Customer Info'!A1905:I2404,3,0)</f>
        <v>#N/A</v>
      </c>
      <c r="I1913" s="6" t="e">
        <f>VLOOKUP(F1913,'Customer Info'!A1905:I2404,5,0)</f>
        <v>#N/A</v>
      </c>
      <c r="J1913" s="2">
        <v>1405</v>
      </c>
      <c r="K1913" s="2">
        <v>1287</v>
      </c>
      <c r="L1913" s="2">
        <v>4</v>
      </c>
      <c r="M1913" s="7">
        <f t="shared" si="116"/>
        <v>5148</v>
      </c>
      <c r="N1913" s="7">
        <f t="shared" si="117"/>
        <v>5620</v>
      </c>
      <c r="O1913" s="2">
        <v>48</v>
      </c>
      <c r="P1913" s="8">
        <f t="shared" si="118"/>
        <v>5668</v>
      </c>
      <c r="Q1913" s="8">
        <f t="shared" si="119"/>
        <v>5572</v>
      </c>
      <c r="R1913" s="2" t="s">
        <v>28</v>
      </c>
      <c r="S1913" s="9">
        <f>VLOOKUP(P1913,$T$2:U1910,2,1)</f>
        <v>0.05</v>
      </c>
    </row>
    <row r="1914" spans="1:19" x14ac:dyDescent="0.25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e">
        <f>VLOOKUP(F1914,'Customer Info'!A1906:I2405,2,0)</f>
        <v>#N/A</v>
      </c>
      <c r="H1914" s="6" t="e">
        <f>VLOOKUP(F1914,'Customer Info'!A1906:I2405,3,0)</f>
        <v>#N/A</v>
      </c>
      <c r="I1914" s="6" t="e">
        <f>VLOOKUP(F1914,'Customer Info'!A1906:I2405,5,0)</f>
        <v>#N/A</v>
      </c>
      <c r="J1914" s="2">
        <v>726</v>
      </c>
      <c r="K1914" s="2">
        <v>646</v>
      </c>
      <c r="L1914" s="2">
        <v>3</v>
      </c>
      <c r="M1914" s="7">
        <f t="shared" si="116"/>
        <v>1938</v>
      </c>
      <c r="N1914" s="7">
        <f t="shared" si="117"/>
        <v>2178</v>
      </c>
      <c r="O1914" s="2">
        <v>75</v>
      </c>
      <c r="P1914" s="8">
        <f t="shared" si="118"/>
        <v>2253</v>
      </c>
      <c r="Q1914" s="8">
        <f t="shared" si="119"/>
        <v>2103</v>
      </c>
      <c r="R1914" s="2" t="s">
        <v>28</v>
      </c>
      <c r="S1914" s="9">
        <f>VLOOKUP(P1914,$T$2:U1911,2,1)</f>
        <v>0.02</v>
      </c>
    </row>
    <row r="1915" spans="1:19" x14ac:dyDescent="0.25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e">
        <f>VLOOKUP(F1915,'Customer Info'!A1907:I2406,2,0)</f>
        <v>#N/A</v>
      </c>
      <c r="H1915" s="6" t="e">
        <f>VLOOKUP(F1915,'Customer Info'!A1907:I2406,3,0)</f>
        <v>#N/A</v>
      </c>
      <c r="I1915" s="6" t="e">
        <f>VLOOKUP(F1915,'Customer Info'!A1907:I2406,5,0)</f>
        <v>#N/A</v>
      </c>
      <c r="J1915" s="2">
        <v>2244</v>
      </c>
      <c r="K1915" s="2">
        <v>2143</v>
      </c>
      <c r="L1915" s="2">
        <v>1</v>
      </c>
      <c r="M1915" s="7">
        <f t="shared" si="116"/>
        <v>2143</v>
      </c>
      <c r="N1915" s="7">
        <f t="shared" si="117"/>
        <v>2244</v>
      </c>
      <c r="O1915" s="2">
        <v>39</v>
      </c>
      <c r="P1915" s="8">
        <f t="shared" si="118"/>
        <v>2283</v>
      </c>
      <c r="Q1915" s="8">
        <f t="shared" si="119"/>
        <v>2205</v>
      </c>
      <c r="R1915" s="2" t="s">
        <v>50</v>
      </c>
      <c r="S1915" s="9">
        <f>VLOOKUP(P1915,$T$2:U1912,2,1)</f>
        <v>0.02</v>
      </c>
    </row>
    <row r="1916" spans="1:19" x14ac:dyDescent="0.25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e">
        <f>VLOOKUP(F1916,'Customer Info'!A1908:I2407,2,0)</f>
        <v>#N/A</v>
      </c>
      <c r="H1916" s="6" t="e">
        <f>VLOOKUP(F1916,'Customer Info'!A1908:I2407,3,0)</f>
        <v>#N/A</v>
      </c>
      <c r="I1916" s="6" t="e">
        <f>VLOOKUP(F1916,'Customer Info'!A1908:I2407,5,0)</f>
        <v>#N/A</v>
      </c>
      <c r="J1916" s="2">
        <v>7212</v>
      </c>
      <c r="K1916" s="2">
        <v>6737</v>
      </c>
      <c r="L1916" s="2">
        <v>1</v>
      </c>
      <c r="M1916" s="7">
        <f t="shared" si="116"/>
        <v>6737</v>
      </c>
      <c r="N1916" s="7">
        <f t="shared" si="117"/>
        <v>7212</v>
      </c>
      <c r="O1916" s="2">
        <v>24</v>
      </c>
      <c r="P1916" s="8">
        <f t="shared" si="118"/>
        <v>7236</v>
      </c>
      <c r="Q1916" s="8">
        <f t="shared" si="119"/>
        <v>7188</v>
      </c>
      <c r="R1916" s="2" t="s">
        <v>50</v>
      </c>
      <c r="S1916" s="9">
        <f>VLOOKUP(P1916,$T$2:U1913,2,1)</f>
        <v>0.05</v>
      </c>
    </row>
    <row r="1917" spans="1:19" x14ac:dyDescent="0.25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e">
        <f>VLOOKUP(F1917,'Customer Info'!A1909:I2408,2,0)</f>
        <v>#N/A</v>
      </c>
      <c r="H1917" s="6" t="e">
        <f>VLOOKUP(F1917,'Customer Info'!A1909:I2408,3,0)</f>
        <v>#N/A</v>
      </c>
      <c r="I1917" s="6" t="e">
        <f>VLOOKUP(F1917,'Customer Info'!A1909:I2408,5,0)</f>
        <v>#N/A</v>
      </c>
      <c r="J1917" s="2">
        <v>1039</v>
      </c>
      <c r="K1917" s="2">
        <v>954</v>
      </c>
      <c r="L1917" s="2">
        <v>2</v>
      </c>
      <c r="M1917" s="7">
        <f t="shared" si="116"/>
        <v>1908</v>
      </c>
      <c r="N1917" s="7">
        <f t="shared" si="117"/>
        <v>2078</v>
      </c>
      <c r="O1917" s="2">
        <v>85</v>
      </c>
      <c r="P1917" s="8">
        <f t="shared" si="118"/>
        <v>2163</v>
      </c>
      <c r="Q1917" s="8">
        <f t="shared" si="119"/>
        <v>1993</v>
      </c>
      <c r="R1917" s="2" t="s">
        <v>28</v>
      </c>
      <c r="S1917" s="9">
        <f>VLOOKUP(P1917,$T$2:U1914,2,1)</f>
        <v>0.02</v>
      </c>
    </row>
    <row r="1918" spans="1:19" x14ac:dyDescent="0.25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e">
        <f>VLOOKUP(F1918,'Customer Info'!A1910:I2409,2,0)</f>
        <v>#N/A</v>
      </c>
      <c r="H1918" s="6" t="e">
        <f>VLOOKUP(F1918,'Customer Info'!A1910:I2409,3,0)</f>
        <v>#N/A</v>
      </c>
      <c r="I1918" s="6" t="e">
        <f>VLOOKUP(F1918,'Customer Info'!A1910:I2409,5,0)</f>
        <v>#N/A</v>
      </c>
      <c r="J1918" s="2">
        <v>8433</v>
      </c>
      <c r="K1918" s="2">
        <v>7801</v>
      </c>
      <c r="L1918" s="2">
        <v>4</v>
      </c>
      <c r="M1918" s="7">
        <f t="shared" si="116"/>
        <v>31204</v>
      </c>
      <c r="N1918" s="7">
        <f t="shared" si="117"/>
        <v>33732</v>
      </c>
      <c r="O1918" s="2">
        <v>34</v>
      </c>
      <c r="P1918" s="8">
        <f t="shared" si="118"/>
        <v>33766</v>
      </c>
      <c r="Q1918" s="8">
        <f t="shared" si="119"/>
        <v>33698</v>
      </c>
      <c r="R1918" s="2" t="s">
        <v>26</v>
      </c>
      <c r="S1918" s="9">
        <f>VLOOKUP(P1918,$T$2:U1915,2,1)</f>
        <v>7.0000000000000007E-2</v>
      </c>
    </row>
    <row r="1919" spans="1:19" x14ac:dyDescent="0.25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e">
        <f>VLOOKUP(F1919,'Customer Info'!A1911:I2410,2,0)</f>
        <v>#N/A</v>
      </c>
      <c r="H1919" s="6" t="e">
        <f>VLOOKUP(F1919,'Customer Info'!A1911:I2410,3,0)</f>
        <v>#N/A</v>
      </c>
      <c r="I1919" s="6" t="e">
        <f>VLOOKUP(F1919,'Customer Info'!A1911:I2410,5,0)</f>
        <v>#N/A</v>
      </c>
      <c r="J1919" s="2">
        <v>92</v>
      </c>
      <c r="K1919" s="2">
        <v>82</v>
      </c>
      <c r="L1919" s="2">
        <v>1</v>
      </c>
      <c r="M1919" s="7">
        <f t="shared" si="116"/>
        <v>82</v>
      </c>
      <c r="N1919" s="7">
        <f t="shared" si="117"/>
        <v>92</v>
      </c>
      <c r="O1919" s="2">
        <v>10</v>
      </c>
      <c r="P1919" s="8">
        <f t="shared" si="118"/>
        <v>102</v>
      </c>
      <c r="Q1919" s="8">
        <f t="shared" si="119"/>
        <v>82</v>
      </c>
      <c r="R1919" s="2" t="s">
        <v>50</v>
      </c>
      <c r="S1919" s="9">
        <f>VLOOKUP(P1919,$T$2:U1916,2,1)</f>
        <v>0.02</v>
      </c>
    </row>
    <row r="1920" spans="1:19" x14ac:dyDescent="0.25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e">
        <f>VLOOKUP(F1920,'Customer Info'!A1912:I2411,2,0)</f>
        <v>#N/A</v>
      </c>
      <c r="H1920" s="6" t="e">
        <f>VLOOKUP(F1920,'Customer Info'!A1912:I2411,3,0)</f>
        <v>#N/A</v>
      </c>
      <c r="I1920" s="6" t="e">
        <f>VLOOKUP(F1920,'Customer Info'!A1912:I2411,5,0)</f>
        <v>#N/A</v>
      </c>
      <c r="J1920" s="2">
        <v>224</v>
      </c>
      <c r="K1920" s="2">
        <v>210</v>
      </c>
      <c r="L1920" s="2">
        <v>8</v>
      </c>
      <c r="M1920" s="7">
        <f t="shared" si="116"/>
        <v>1680</v>
      </c>
      <c r="N1920" s="7">
        <f t="shared" si="117"/>
        <v>1792</v>
      </c>
      <c r="O1920" s="2">
        <v>20</v>
      </c>
      <c r="P1920" s="8">
        <f t="shared" si="118"/>
        <v>1812</v>
      </c>
      <c r="Q1920" s="8">
        <f t="shared" si="119"/>
        <v>1772</v>
      </c>
      <c r="R1920" s="2" t="s">
        <v>50</v>
      </c>
      <c r="S1920" s="9">
        <f>VLOOKUP(P1920,$T$2:U1917,2,1)</f>
        <v>0.02</v>
      </c>
    </row>
    <row r="1921" spans="1:19" x14ac:dyDescent="0.25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e">
        <f>VLOOKUP(F1921,'Customer Info'!A1913:I2412,2,0)</f>
        <v>#N/A</v>
      </c>
      <c r="H1921" s="6" t="e">
        <f>VLOOKUP(F1921,'Customer Info'!A1913:I2412,3,0)</f>
        <v>#N/A</v>
      </c>
      <c r="I1921" s="6" t="e">
        <f>VLOOKUP(F1921,'Customer Info'!A1913:I2412,5,0)</f>
        <v>#N/A</v>
      </c>
      <c r="J1921" s="2">
        <v>1564</v>
      </c>
      <c r="K1921" s="2">
        <v>1420</v>
      </c>
      <c r="L1921" s="2">
        <v>2</v>
      </c>
      <c r="M1921" s="7">
        <f t="shared" si="116"/>
        <v>2840</v>
      </c>
      <c r="N1921" s="7">
        <f t="shared" si="117"/>
        <v>3128</v>
      </c>
      <c r="O1921" s="2">
        <v>35</v>
      </c>
      <c r="P1921" s="8">
        <f t="shared" si="118"/>
        <v>3163</v>
      </c>
      <c r="Q1921" s="8">
        <f t="shared" si="119"/>
        <v>3093</v>
      </c>
      <c r="R1921" s="2" t="s">
        <v>28</v>
      </c>
      <c r="S1921" s="9">
        <f>VLOOKUP(P1921,$T$2:U1918,2,1)</f>
        <v>0.02</v>
      </c>
    </row>
    <row r="1922" spans="1:19" x14ac:dyDescent="0.25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e">
        <f>VLOOKUP(F1922,'Customer Info'!A1914:I2413,2,0)</f>
        <v>#N/A</v>
      </c>
      <c r="H1922" s="6" t="e">
        <f>VLOOKUP(F1922,'Customer Info'!A1914:I2413,3,0)</f>
        <v>#N/A</v>
      </c>
      <c r="I1922" s="6" t="e">
        <f>VLOOKUP(F1922,'Customer Info'!A1914:I2413,5,0)</f>
        <v>#N/A</v>
      </c>
      <c r="J1922" s="2">
        <v>1574</v>
      </c>
      <c r="K1922" s="2">
        <v>1458</v>
      </c>
      <c r="L1922" s="2">
        <v>4</v>
      </c>
      <c r="M1922" s="7">
        <f t="shared" si="116"/>
        <v>5832</v>
      </c>
      <c r="N1922" s="7">
        <f t="shared" si="117"/>
        <v>6296</v>
      </c>
      <c r="O1922" s="2">
        <v>52</v>
      </c>
      <c r="P1922" s="8">
        <f t="shared" si="118"/>
        <v>6348</v>
      </c>
      <c r="Q1922" s="8">
        <f t="shared" si="119"/>
        <v>6244</v>
      </c>
      <c r="R1922" s="2" t="s">
        <v>28</v>
      </c>
      <c r="S1922" s="9">
        <f>VLOOKUP(P1922,$T$2:U1919,2,1)</f>
        <v>0.05</v>
      </c>
    </row>
    <row r="1923" spans="1:19" x14ac:dyDescent="0.25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e">
        <f>VLOOKUP(F1923,'Customer Info'!A1915:I2414,2,0)</f>
        <v>#N/A</v>
      </c>
      <c r="H1923" s="6" t="e">
        <f>VLOOKUP(F1923,'Customer Info'!A1915:I2414,3,0)</f>
        <v>#N/A</v>
      </c>
      <c r="I1923" s="6" t="e">
        <f>VLOOKUP(F1923,'Customer Info'!A1915:I2414,5,0)</f>
        <v>#N/A</v>
      </c>
      <c r="J1923" s="2">
        <v>7864</v>
      </c>
      <c r="K1923" s="2">
        <v>7563</v>
      </c>
      <c r="L1923" s="2">
        <v>1</v>
      </c>
      <c r="M1923" s="7">
        <f t="shared" si="116"/>
        <v>7563</v>
      </c>
      <c r="N1923" s="7">
        <f t="shared" si="117"/>
        <v>7864</v>
      </c>
      <c r="O1923" s="2">
        <v>47</v>
      </c>
      <c r="P1923" s="8">
        <f t="shared" si="118"/>
        <v>7911</v>
      </c>
      <c r="Q1923" s="8">
        <f t="shared" si="119"/>
        <v>7817</v>
      </c>
      <c r="R1923" s="2" t="s">
        <v>28</v>
      </c>
      <c r="S1923" s="9">
        <f>VLOOKUP(P1923,$T$2:U1920,2,1)</f>
        <v>0.05</v>
      </c>
    </row>
    <row r="1924" spans="1:19" x14ac:dyDescent="0.25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e">
        <f>VLOOKUP(F1924,'Customer Info'!A1916:I2415,2,0)</f>
        <v>#N/A</v>
      </c>
      <c r="H1924" s="6" t="e">
        <f>VLOOKUP(F1924,'Customer Info'!A1916:I2415,3,0)</f>
        <v>#N/A</v>
      </c>
      <c r="I1924" s="6" t="e">
        <f>VLOOKUP(F1924,'Customer Info'!A1916:I2415,5,0)</f>
        <v>#N/A</v>
      </c>
      <c r="J1924" s="2">
        <v>38328</v>
      </c>
      <c r="K1924" s="2">
        <v>35164</v>
      </c>
      <c r="L1924" s="2">
        <v>3</v>
      </c>
      <c r="M1924" s="7">
        <f t="shared" si="116"/>
        <v>105492</v>
      </c>
      <c r="N1924" s="7">
        <f t="shared" si="117"/>
        <v>114984</v>
      </c>
      <c r="O1924" s="2">
        <v>71</v>
      </c>
      <c r="P1924" s="8">
        <f t="shared" si="118"/>
        <v>115055</v>
      </c>
      <c r="Q1924" s="8">
        <f t="shared" si="119"/>
        <v>114913</v>
      </c>
      <c r="R1924" s="2" t="s">
        <v>28</v>
      </c>
      <c r="S1924" s="9">
        <f>VLOOKUP(P1924,$T$2:U1921,2,1)</f>
        <v>0.12</v>
      </c>
    </row>
    <row r="1925" spans="1:19" x14ac:dyDescent="0.25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e">
        <f>VLOOKUP(F1925,'Customer Info'!A1917:I2416,2,0)</f>
        <v>#N/A</v>
      </c>
      <c r="H1925" s="6" t="e">
        <f>VLOOKUP(F1925,'Customer Info'!A1917:I2416,3,0)</f>
        <v>#N/A</v>
      </c>
      <c r="I1925" s="6" t="e">
        <f>VLOOKUP(F1925,'Customer Info'!A1917:I2416,5,0)</f>
        <v>#N/A</v>
      </c>
      <c r="J1925" s="2">
        <v>1413</v>
      </c>
      <c r="K1925" s="2">
        <v>1334</v>
      </c>
      <c r="L1925" s="2">
        <v>1</v>
      </c>
      <c r="M1925" s="7">
        <f t="shared" si="116"/>
        <v>1334</v>
      </c>
      <c r="N1925" s="7">
        <f t="shared" si="117"/>
        <v>1413</v>
      </c>
      <c r="O1925" s="2">
        <v>70</v>
      </c>
      <c r="P1925" s="8">
        <f t="shared" si="118"/>
        <v>1483</v>
      </c>
      <c r="Q1925" s="8">
        <f t="shared" si="119"/>
        <v>1343</v>
      </c>
      <c r="R1925" s="2" t="s">
        <v>50</v>
      </c>
      <c r="S1925" s="9">
        <f>VLOOKUP(P1925,$T$2:U1922,2,1)</f>
        <v>0.02</v>
      </c>
    </row>
    <row r="1926" spans="1:19" x14ac:dyDescent="0.25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e">
        <f>VLOOKUP(F1926,'Customer Info'!A1918:I2417,2,0)</f>
        <v>#N/A</v>
      </c>
      <c r="H1926" s="6" t="e">
        <f>VLOOKUP(F1926,'Customer Info'!A1918:I2417,3,0)</f>
        <v>#N/A</v>
      </c>
      <c r="I1926" s="6" t="e">
        <f>VLOOKUP(F1926,'Customer Info'!A1918:I2417,5,0)</f>
        <v>#N/A</v>
      </c>
      <c r="J1926" s="2">
        <v>6087</v>
      </c>
      <c r="K1926" s="2">
        <v>5808</v>
      </c>
      <c r="L1926" s="2">
        <v>2</v>
      </c>
      <c r="M1926" s="7">
        <f t="shared" si="116"/>
        <v>11616</v>
      </c>
      <c r="N1926" s="7">
        <f t="shared" si="117"/>
        <v>12174</v>
      </c>
      <c r="O1926" s="2">
        <v>51</v>
      </c>
      <c r="P1926" s="8">
        <f t="shared" si="118"/>
        <v>12225</v>
      </c>
      <c r="Q1926" s="8">
        <f t="shared" si="119"/>
        <v>12123</v>
      </c>
      <c r="R1926" s="2" t="s">
        <v>26</v>
      </c>
      <c r="S1926" s="9">
        <f>VLOOKUP(P1926,$T$2:U1923,2,1)</f>
        <v>0.05</v>
      </c>
    </row>
    <row r="1927" spans="1:19" x14ac:dyDescent="0.25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e">
        <f>VLOOKUP(F1927,'Customer Info'!A1919:I2418,2,0)</f>
        <v>#N/A</v>
      </c>
      <c r="H1927" s="6" t="e">
        <f>VLOOKUP(F1927,'Customer Info'!A1919:I2418,3,0)</f>
        <v>#N/A</v>
      </c>
      <c r="I1927" s="6" t="e">
        <f>VLOOKUP(F1927,'Customer Info'!A1919:I2418,5,0)</f>
        <v>#N/A</v>
      </c>
      <c r="J1927" s="2">
        <v>1882</v>
      </c>
      <c r="K1927" s="2">
        <v>1792</v>
      </c>
      <c r="L1927" s="2">
        <v>5</v>
      </c>
      <c r="M1927" s="7">
        <f t="shared" si="116"/>
        <v>8960</v>
      </c>
      <c r="N1927" s="7">
        <f t="shared" si="117"/>
        <v>9410</v>
      </c>
      <c r="O1927" s="2">
        <v>36</v>
      </c>
      <c r="P1927" s="8">
        <f t="shared" si="118"/>
        <v>9446</v>
      </c>
      <c r="Q1927" s="8">
        <f t="shared" si="119"/>
        <v>9374</v>
      </c>
      <c r="R1927" s="2" t="s">
        <v>26</v>
      </c>
      <c r="S1927" s="9">
        <f>VLOOKUP(P1927,$T$2:U1924,2,1)</f>
        <v>0.05</v>
      </c>
    </row>
    <row r="1928" spans="1:19" x14ac:dyDescent="0.25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e">
        <f>VLOOKUP(F1928,'Customer Info'!A1920:I2419,2,0)</f>
        <v>#N/A</v>
      </c>
      <c r="H1928" s="6" t="e">
        <f>VLOOKUP(F1928,'Customer Info'!A1920:I2419,3,0)</f>
        <v>#N/A</v>
      </c>
      <c r="I1928" s="6" t="e">
        <f>VLOOKUP(F1928,'Customer Info'!A1920:I2419,5,0)</f>
        <v>#N/A</v>
      </c>
      <c r="J1928" s="2">
        <v>206</v>
      </c>
      <c r="K1928" s="2">
        <v>189</v>
      </c>
      <c r="L1928" s="2">
        <v>2</v>
      </c>
      <c r="M1928" s="7">
        <f t="shared" si="116"/>
        <v>378</v>
      </c>
      <c r="N1928" s="7">
        <f t="shared" si="117"/>
        <v>412</v>
      </c>
      <c r="O1928" s="2">
        <v>30</v>
      </c>
      <c r="P1928" s="8">
        <f t="shared" si="118"/>
        <v>442</v>
      </c>
      <c r="Q1928" s="8">
        <f t="shared" si="119"/>
        <v>382</v>
      </c>
      <c r="R1928" s="2" t="s">
        <v>28</v>
      </c>
      <c r="S1928" s="9">
        <f>VLOOKUP(P1928,$T$2:U1925,2,1)</f>
        <v>0.02</v>
      </c>
    </row>
    <row r="1929" spans="1:19" x14ac:dyDescent="0.25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e">
        <f>VLOOKUP(F1929,'Customer Info'!A1921:I2420,2,0)</f>
        <v>#N/A</v>
      </c>
      <c r="H1929" s="6" t="e">
        <f>VLOOKUP(F1929,'Customer Info'!A1921:I2420,3,0)</f>
        <v>#N/A</v>
      </c>
      <c r="I1929" s="6" t="e">
        <f>VLOOKUP(F1929,'Customer Info'!A1921:I2420,5,0)</f>
        <v>#N/A</v>
      </c>
      <c r="J1929" s="2">
        <v>162</v>
      </c>
      <c r="K1929" s="2">
        <v>148</v>
      </c>
      <c r="L1929" s="2">
        <v>3</v>
      </c>
      <c r="M1929" s="7">
        <f t="shared" si="116"/>
        <v>444</v>
      </c>
      <c r="N1929" s="7">
        <f t="shared" si="117"/>
        <v>486</v>
      </c>
      <c r="O1929" s="2">
        <v>30</v>
      </c>
      <c r="P1929" s="8">
        <f t="shared" si="118"/>
        <v>516</v>
      </c>
      <c r="Q1929" s="8">
        <f t="shared" si="119"/>
        <v>456</v>
      </c>
      <c r="R1929" s="2" t="s">
        <v>28</v>
      </c>
      <c r="S1929" s="9">
        <f>VLOOKUP(P1929,$T$2:U1926,2,1)</f>
        <v>0.02</v>
      </c>
    </row>
    <row r="1930" spans="1:19" x14ac:dyDescent="0.25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e">
        <f>VLOOKUP(F1930,'Customer Info'!A1922:I2421,2,0)</f>
        <v>#N/A</v>
      </c>
      <c r="H1930" s="6" t="e">
        <f>VLOOKUP(F1930,'Customer Info'!A1922:I2421,3,0)</f>
        <v>#N/A</v>
      </c>
      <c r="I1930" s="6" t="e">
        <f>VLOOKUP(F1930,'Customer Info'!A1922:I2421,5,0)</f>
        <v>#N/A</v>
      </c>
      <c r="J1930" s="2">
        <v>1210</v>
      </c>
      <c r="K1930" s="2">
        <v>1164</v>
      </c>
      <c r="L1930" s="2">
        <v>7</v>
      </c>
      <c r="M1930" s="7">
        <f t="shared" si="116"/>
        <v>8148</v>
      </c>
      <c r="N1930" s="7">
        <f t="shared" si="117"/>
        <v>8470</v>
      </c>
      <c r="O1930" s="2">
        <v>25</v>
      </c>
      <c r="P1930" s="8">
        <f t="shared" si="118"/>
        <v>8495</v>
      </c>
      <c r="Q1930" s="8">
        <f t="shared" si="119"/>
        <v>8445</v>
      </c>
      <c r="R1930" s="2" t="s">
        <v>28</v>
      </c>
      <c r="S1930" s="9">
        <f>VLOOKUP(P1930,$T$2:U1927,2,1)</f>
        <v>0.05</v>
      </c>
    </row>
    <row r="1931" spans="1:19" x14ac:dyDescent="0.25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e">
        <f>VLOOKUP(F1931,'Customer Info'!A1923:I2422,2,0)</f>
        <v>#N/A</v>
      </c>
      <c r="H1931" s="6" t="e">
        <f>VLOOKUP(F1931,'Customer Info'!A1923:I2422,3,0)</f>
        <v>#N/A</v>
      </c>
      <c r="I1931" s="6" t="e">
        <f>VLOOKUP(F1931,'Customer Info'!A1923:I2422,5,0)</f>
        <v>#N/A</v>
      </c>
      <c r="J1931" s="2">
        <v>220</v>
      </c>
      <c r="K1931" s="2">
        <v>206</v>
      </c>
      <c r="L1931" s="2">
        <v>4</v>
      </c>
      <c r="M1931" s="7">
        <f t="shared" ref="M1931:M1994" si="120">K1931*L1931</f>
        <v>824</v>
      </c>
      <c r="N1931" s="7">
        <f t="shared" ref="N1931:N1994" si="121">J1931*L1931</f>
        <v>880</v>
      </c>
      <c r="O1931" s="2">
        <v>41</v>
      </c>
      <c r="P1931" s="8">
        <f t="shared" ref="P1931:P1994" si="122">SUM(N1931,O1931)</f>
        <v>921</v>
      </c>
      <c r="Q1931" s="8">
        <f t="shared" ref="Q1931:Q1994" si="123">N1931-O1931</f>
        <v>839</v>
      </c>
      <c r="R1931" s="2" t="s">
        <v>28</v>
      </c>
      <c r="S1931" s="9">
        <f>VLOOKUP(P1931,$T$2:U1928,2,1)</f>
        <v>0.02</v>
      </c>
    </row>
    <row r="1932" spans="1:19" x14ac:dyDescent="0.25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e">
        <f>VLOOKUP(F1932,'Customer Info'!A1924:I2423,2,0)</f>
        <v>#N/A</v>
      </c>
      <c r="H1932" s="6" t="e">
        <f>VLOOKUP(F1932,'Customer Info'!A1924:I2423,3,0)</f>
        <v>#N/A</v>
      </c>
      <c r="I1932" s="6" t="e">
        <f>VLOOKUP(F1932,'Customer Info'!A1924:I2423,5,0)</f>
        <v>#N/A</v>
      </c>
      <c r="J1932" s="2">
        <v>474</v>
      </c>
      <c r="K1932" s="2">
        <v>443</v>
      </c>
      <c r="L1932" s="2">
        <v>3</v>
      </c>
      <c r="M1932" s="7">
        <f t="shared" si="120"/>
        <v>1329</v>
      </c>
      <c r="N1932" s="7">
        <f t="shared" si="121"/>
        <v>1422</v>
      </c>
      <c r="O1932" s="2">
        <v>72</v>
      </c>
      <c r="P1932" s="8">
        <f t="shared" si="122"/>
        <v>1494</v>
      </c>
      <c r="Q1932" s="8">
        <f t="shared" si="123"/>
        <v>1350</v>
      </c>
      <c r="R1932" s="2" t="s">
        <v>28</v>
      </c>
      <c r="S1932" s="9">
        <f>VLOOKUP(P1932,$T$2:U1929,2,1)</f>
        <v>0.02</v>
      </c>
    </row>
    <row r="1933" spans="1:19" x14ac:dyDescent="0.25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e">
        <f>VLOOKUP(F1933,'Customer Info'!A1925:I2424,2,0)</f>
        <v>#N/A</v>
      </c>
      <c r="H1933" s="6" t="e">
        <f>VLOOKUP(F1933,'Customer Info'!A1925:I2424,3,0)</f>
        <v>#N/A</v>
      </c>
      <c r="I1933" s="6" t="e">
        <f>VLOOKUP(F1933,'Customer Info'!A1925:I2424,5,0)</f>
        <v>#N/A</v>
      </c>
      <c r="J1933" s="2">
        <v>2242</v>
      </c>
      <c r="K1933" s="2">
        <v>2075</v>
      </c>
      <c r="L1933" s="2">
        <v>2</v>
      </c>
      <c r="M1933" s="7">
        <f t="shared" si="120"/>
        <v>4150</v>
      </c>
      <c r="N1933" s="7">
        <f t="shared" si="121"/>
        <v>4484</v>
      </c>
      <c r="O1933" s="2">
        <v>88</v>
      </c>
      <c r="P1933" s="8">
        <f t="shared" si="122"/>
        <v>4572</v>
      </c>
      <c r="Q1933" s="8">
        <f t="shared" si="123"/>
        <v>4396</v>
      </c>
      <c r="R1933" s="2" t="s">
        <v>26</v>
      </c>
      <c r="S1933" s="9">
        <f>VLOOKUP(P1933,$T$2:U1930,2,1)</f>
        <v>0.02</v>
      </c>
    </row>
    <row r="1934" spans="1:19" x14ac:dyDescent="0.25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e">
        <f>VLOOKUP(F1934,'Customer Info'!A1926:I2425,2,0)</f>
        <v>#N/A</v>
      </c>
      <c r="H1934" s="6" t="e">
        <f>VLOOKUP(F1934,'Customer Info'!A1926:I2425,3,0)</f>
        <v>#N/A</v>
      </c>
      <c r="I1934" s="6" t="e">
        <f>VLOOKUP(F1934,'Customer Info'!A1926:I2425,5,0)</f>
        <v>#N/A</v>
      </c>
      <c r="J1934" s="2">
        <v>36057</v>
      </c>
      <c r="K1934" s="2">
        <v>34028</v>
      </c>
      <c r="L1934" s="2">
        <v>2</v>
      </c>
      <c r="M1934" s="7">
        <f t="shared" si="120"/>
        <v>68056</v>
      </c>
      <c r="N1934" s="7">
        <f t="shared" si="121"/>
        <v>72114</v>
      </c>
      <c r="O1934" s="2">
        <v>68</v>
      </c>
      <c r="P1934" s="8">
        <f t="shared" si="122"/>
        <v>72182</v>
      </c>
      <c r="Q1934" s="8">
        <f t="shared" si="123"/>
        <v>72046</v>
      </c>
      <c r="R1934" s="2" t="s">
        <v>50</v>
      </c>
      <c r="S1934" s="9">
        <f>VLOOKUP(P1934,$T$2:U1931,2,1)</f>
        <v>0.09</v>
      </c>
    </row>
    <row r="1935" spans="1:19" x14ac:dyDescent="0.25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e">
        <f>VLOOKUP(F1935,'Customer Info'!A1927:I2426,2,0)</f>
        <v>#N/A</v>
      </c>
      <c r="H1935" s="6" t="e">
        <f>VLOOKUP(F1935,'Customer Info'!A1927:I2426,3,0)</f>
        <v>#N/A</v>
      </c>
      <c r="I1935" s="6" t="e">
        <f>VLOOKUP(F1935,'Customer Info'!A1927:I2426,5,0)</f>
        <v>#N/A</v>
      </c>
      <c r="J1935" s="2">
        <v>2747</v>
      </c>
      <c r="K1935" s="2">
        <v>2545</v>
      </c>
      <c r="L1935" s="2">
        <v>1</v>
      </c>
      <c r="M1935" s="7">
        <f t="shared" si="120"/>
        <v>2545</v>
      </c>
      <c r="N1935" s="7">
        <f t="shared" si="121"/>
        <v>2747</v>
      </c>
      <c r="O1935" s="2">
        <v>38</v>
      </c>
      <c r="P1935" s="8">
        <f t="shared" si="122"/>
        <v>2785</v>
      </c>
      <c r="Q1935" s="8">
        <f t="shared" si="123"/>
        <v>2709</v>
      </c>
      <c r="R1935" s="2" t="s">
        <v>28</v>
      </c>
      <c r="S1935" s="9">
        <f>VLOOKUP(P1935,$T$2:U1932,2,1)</f>
        <v>0.02</v>
      </c>
    </row>
    <row r="1936" spans="1:19" x14ac:dyDescent="0.25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e">
        <f>VLOOKUP(F1936,'Customer Info'!A1928:I2427,2,0)</f>
        <v>#N/A</v>
      </c>
      <c r="H1936" s="6" t="e">
        <f>VLOOKUP(F1936,'Customer Info'!A1928:I2427,3,0)</f>
        <v>#N/A</v>
      </c>
      <c r="I1936" s="6" t="e">
        <f>VLOOKUP(F1936,'Customer Info'!A1928:I2427,5,0)</f>
        <v>#N/A</v>
      </c>
      <c r="J1936" s="2">
        <v>167</v>
      </c>
      <c r="K1936" s="2">
        <v>155</v>
      </c>
      <c r="L1936" s="2">
        <v>3</v>
      </c>
      <c r="M1936" s="7">
        <f t="shared" si="120"/>
        <v>465</v>
      </c>
      <c r="N1936" s="7">
        <f t="shared" si="121"/>
        <v>501</v>
      </c>
      <c r="O1936" s="2">
        <v>30</v>
      </c>
      <c r="P1936" s="8">
        <f t="shared" si="122"/>
        <v>531</v>
      </c>
      <c r="Q1936" s="8">
        <f t="shared" si="123"/>
        <v>471</v>
      </c>
      <c r="R1936" s="2" t="s">
        <v>28</v>
      </c>
      <c r="S1936" s="9">
        <f>VLOOKUP(P1936,$T$2:U1933,2,1)</f>
        <v>0.02</v>
      </c>
    </row>
    <row r="1937" spans="1:19" x14ac:dyDescent="0.25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e">
        <f>VLOOKUP(F1937,'Customer Info'!A1929:I2428,2,0)</f>
        <v>#N/A</v>
      </c>
      <c r="H1937" s="6" t="e">
        <f>VLOOKUP(F1937,'Customer Info'!A1929:I2428,3,0)</f>
        <v>#N/A</v>
      </c>
      <c r="I1937" s="6" t="e">
        <f>VLOOKUP(F1937,'Customer Info'!A1929:I2428,5,0)</f>
        <v>#N/A</v>
      </c>
      <c r="J1937" s="2">
        <v>7021</v>
      </c>
      <c r="K1937" s="2">
        <v>6686</v>
      </c>
      <c r="L1937" s="2">
        <v>3</v>
      </c>
      <c r="M1937" s="7">
        <f t="shared" si="120"/>
        <v>20058</v>
      </c>
      <c r="N1937" s="7">
        <f t="shared" si="121"/>
        <v>21063</v>
      </c>
      <c r="O1937" s="2">
        <v>36</v>
      </c>
      <c r="P1937" s="8">
        <f t="shared" si="122"/>
        <v>21099</v>
      </c>
      <c r="Q1937" s="8">
        <f t="shared" si="123"/>
        <v>21027</v>
      </c>
      <c r="R1937" s="2" t="s">
        <v>50</v>
      </c>
      <c r="S1937" s="9">
        <f>VLOOKUP(P1937,$T$2:U1934,2,1)</f>
        <v>0.05</v>
      </c>
    </row>
    <row r="1938" spans="1:19" x14ac:dyDescent="0.25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e">
        <f>VLOOKUP(F1938,'Customer Info'!A1930:I2429,2,0)</f>
        <v>#N/A</v>
      </c>
      <c r="H1938" s="6" t="e">
        <f>VLOOKUP(F1938,'Customer Info'!A1930:I2429,3,0)</f>
        <v>#N/A</v>
      </c>
      <c r="I1938" s="6" t="e">
        <f>VLOOKUP(F1938,'Customer Info'!A1930:I2429,5,0)</f>
        <v>#N/A</v>
      </c>
      <c r="J1938" s="2">
        <v>474</v>
      </c>
      <c r="K1938" s="2">
        <v>443</v>
      </c>
      <c r="L1938" s="2">
        <v>3</v>
      </c>
      <c r="M1938" s="7">
        <f t="shared" si="120"/>
        <v>1329</v>
      </c>
      <c r="N1938" s="7">
        <f t="shared" si="121"/>
        <v>1422</v>
      </c>
      <c r="O1938" s="2">
        <v>35</v>
      </c>
      <c r="P1938" s="8">
        <f t="shared" si="122"/>
        <v>1457</v>
      </c>
      <c r="Q1938" s="8">
        <f t="shared" si="123"/>
        <v>1387</v>
      </c>
      <c r="R1938" s="2" t="s">
        <v>28</v>
      </c>
      <c r="S1938" s="9">
        <f>VLOOKUP(P1938,$T$2:U1935,2,1)</f>
        <v>0.02</v>
      </c>
    </row>
    <row r="1939" spans="1:19" x14ac:dyDescent="0.25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e">
        <f>VLOOKUP(F1939,'Customer Info'!A1931:I2430,2,0)</f>
        <v>#N/A</v>
      </c>
      <c r="H1939" s="6" t="e">
        <f>VLOOKUP(F1939,'Customer Info'!A1931:I2430,3,0)</f>
        <v>#N/A</v>
      </c>
      <c r="I1939" s="6" t="e">
        <f>VLOOKUP(F1939,'Customer Info'!A1931:I2430,5,0)</f>
        <v>#N/A</v>
      </c>
      <c r="J1939" s="2">
        <v>27691</v>
      </c>
      <c r="K1939" s="2">
        <v>25616</v>
      </c>
      <c r="L1939" s="2">
        <v>1</v>
      </c>
      <c r="M1939" s="7">
        <f t="shared" si="120"/>
        <v>25616</v>
      </c>
      <c r="N1939" s="7">
        <f t="shared" si="121"/>
        <v>27691</v>
      </c>
      <c r="O1939" s="2">
        <v>80</v>
      </c>
      <c r="P1939" s="8">
        <f t="shared" si="122"/>
        <v>27771</v>
      </c>
      <c r="Q1939" s="8">
        <f t="shared" si="123"/>
        <v>27611</v>
      </c>
      <c r="R1939" s="2" t="s">
        <v>28</v>
      </c>
      <c r="S1939" s="9">
        <f>VLOOKUP(P1939,$T$2:U1936,2,1)</f>
        <v>7.0000000000000007E-2</v>
      </c>
    </row>
    <row r="1940" spans="1:19" x14ac:dyDescent="0.25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e">
        <f>VLOOKUP(F1940,'Customer Info'!A1932:I2431,2,0)</f>
        <v>#N/A</v>
      </c>
      <c r="H1940" s="6" t="e">
        <f>VLOOKUP(F1940,'Customer Info'!A1932:I2431,3,0)</f>
        <v>#N/A</v>
      </c>
      <c r="I1940" s="6" t="e">
        <f>VLOOKUP(F1940,'Customer Info'!A1932:I2431,5,0)</f>
        <v>#N/A</v>
      </c>
      <c r="J1940" s="2">
        <v>9033</v>
      </c>
      <c r="K1940" s="2">
        <v>8132</v>
      </c>
      <c r="L1940" s="2">
        <v>3</v>
      </c>
      <c r="M1940" s="7">
        <f t="shared" si="120"/>
        <v>24396</v>
      </c>
      <c r="N1940" s="7">
        <f t="shared" si="121"/>
        <v>27099</v>
      </c>
      <c r="O1940" s="2">
        <v>43</v>
      </c>
      <c r="P1940" s="8">
        <f t="shared" si="122"/>
        <v>27142</v>
      </c>
      <c r="Q1940" s="8">
        <f t="shared" si="123"/>
        <v>27056</v>
      </c>
      <c r="R1940" s="2" t="s">
        <v>28</v>
      </c>
      <c r="S1940" s="9">
        <f>VLOOKUP(P1940,$T$2:U1937,2,1)</f>
        <v>7.0000000000000007E-2</v>
      </c>
    </row>
    <row r="1941" spans="1:19" x14ac:dyDescent="0.25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e">
        <f>VLOOKUP(F1941,'Customer Info'!A1933:I2432,2,0)</f>
        <v>#N/A</v>
      </c>
      <c r="H1941" s="6" t="e">
        <f>VLOOKUP(F1941,'Customer Info'!A1933:I2432,3,0)</f>
        <v>#N/A</v>
      </c>
      <c r="I1941" s="6" t="e">
        <f>VLOOKUP(F1941,'Customer Info'!A1933:I2432,5,0)</f>
        <v>#N/A</v>
      </c>
      <c r="J1941" s="2">
        <v>2551</v>
      </c>
      <c r="K1941" s="2">
        <v>2456</v>
      </c>
      <c r="L1941" s="2">
        <v>4</v>
      </c>
      <c r="M1941" s="7">
        <f t="shared" si="120"/>
        <v>9824</v>
      </c>
      <c r="N1941" s="7">
        <f t="shared" si="121"/>
        <v>10204</v>
      </c>
      <c r="O1941" s="2">
        <v>52</v>
      </c>
      <c r="P1941" s="8">
        <f t="shared" si="122"/>
        <v>10256</v>
      </c>
      <c r="Q1941" s="8">
        <f t="shared" si="123"/>
        <v>10152</v>
      </c>
      <c r="R1941" s="2" t="s">
        <v>28</v>
      </c>
      <c r="S1941" s="9">
        <f>VLOOKUP(P1941,$T$2:U1938,2,1)</f>
        <v>0.05</v>
      </c>
    </row>
    <row r="1942" spans="1:19" x14ac:dyDescent="0.25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e">
        <f>VLOOKUP(F1942,'Customer Info'!A1934:I2433,2,0)</f>
        <v>#N/A</v>
      </c>
      <c r="H1942" s="6" t="e">
        <f>VLOOKUP(F1942,'Customer Info'!A1934:I2433,3,0)</f>
        <v>#N/A</v>
      </c>
      <c r="I1942" s="6" t="e">
        <f>VLOOKUP(F1942,'Customer Info'!A1934:I2433,5,0)</f>
        <v>#N/A</v>
      </c>
      <c r="J1942" s="2">
        <v>135</v>
      </c>
      <c r="K1942" s="2">
        <v>129</v>
      </c>
      <c r="L1942" s="2">
        <v>3</v>
      </c>
      <c r="M1942" s="7">
        <f t="shared" si="120"/>
        <v>387</v>
      </c>
      <c r="N1942" s="7">
        <f t="shared" si="121"/>
        <v>405</v>
      </c>
      <c r="O1942" s="2">
        <v>30</v>
      </c>
      <c r="P1942" s="8">
        <f t="shared" si="122"/>
        <v>435</v>
      </c>
      <c r="Q1942" s="8">
        <f t="shared" si="123"/>
        <v>375</v>
      </c>
      <c r="R1942" s="2" t="s">
        <v>50</v>
      </c>
      <c r="S1942" s="9">
        <f>VLOOKUP(P1942,$T$2:U1939,2,1)</f>
        <v>0.02</v>
      </c>
    </row>
    <row r="1943" spans="1:19" x14ac:dyDescent="0.25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e">
        <f>VLOOKUP(F1943,'Customer Info'!A1935:I2434,2,0)</f>
        <v>#N/A</v>
      </c>
      <c r="H1943" s="6" t="e">
        <f>VLOOKUP(F1943,'Customer Info'!A1935:I2434,3,0)</f>
        <v>#N/A</v>
      </c>
      <c r="I1943" s="6" t="e">
        <f>VLOOKUP(F1943,'Customer Info'!A1935:I2434,5,0)</f>
        <v>#N/A</v>
      </c>
      <c r="J1943" s="2">
        <v>9214</v>
      </c>
      <c r="K1943" s="2">
        <v>8295</v>
      </c>
      <c r="L1943" s="2">
        <v>1</v>
      </c>
      <c r="M1943" s="7">
        <f t="shared" si="120"/>
        <v>8295</v>
      </c>
      <c r="N1943" s="7">
        <f t="shared" si="121"/>
        <v>9214</v>
      </c>
      <c r="O1943" s="2">
        <v>78</v>
      </c>
      <c r="P1943" s="8">
        <f t="shared" si="122"/>
        <v>9292</v>
      </c>
      <c r="Q1943" s="8">
        <f t="shared" si="123"/>
        <v>9136</v>
      </c>
      <c r="R1943" s="2" t="s">
        <v>50</v>
      </c>
      <c r="S1943" s="9">
        <f>VLOOKUP(P1943,$T$2:U1940,2,1)</f>
        <v>0.05</v>
      </c>
    </row>
    <row r="1944" spans="1:19" x14ac:dyDescent="0.25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e">
        <f>VLOOKUP(F1944,'Customer Info'!A1936:I2435,2,0)</f>
        <v>#N/A</v>
      </c>
      <c r="H1944" s="6" t="e">
        <f>VLOOKUP(F1944,'Customer Info'!A1936:I2435,3,0)</f>
        <v>#N/A</v>
      </c>
      <c r="I1944" s="6" t="e">
        <f>VLOOKUP(F1944,'Customer Info'!A1936:I2435,5,0)</f>
        <v>#N/A</v>
      </c>
      <c r="J1944" s="2">
        <v>145</v>
      </c>
      <c r="K1944" s="2">
        <v>130</v>
      </c>
      <c r="L1944" s="2">
        <v>5</v>
      </c>
      <c r="M1944" s="7">
        <f t="shared" si="120"/>
        <v>650</v>
      </c>
      <c r="N1944" s="7">
        <f t="shared" si="121"/>
        <v>725</v>
      </c>
      <c r="O1944" s="2">
        <v>30</v>
      </c>
      <c r="P1944" s="8">
        <f t="shared" si="122"/>
        <v>755</v>
      </c>
      <c r="Q1944" s="8">
        <f t="shared" si="123"/>
        <v>695</v>
      </c>
      <c r="R1944" s="2" t="s">
        <v>56</v>
      </c>
      <c r="S1944" s="9">
        <f>VLOOKUP(P1944,$T$2:U1941,2,1)</f>
        <v>0.02</v>
      </c>
    </row>
    <row r="1945" spans="1:19" x14ac:dyDescent="0.25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e">
        <f>VLOOKUP(F1945,'Customer Info'!A1937:I2436,2,0)</f>
        <v>#N/A</v>
      </c>
      <c r="H1945" s="6" t="e">
        <f>VLOOKUP(F1945,'Customer Info'!A1937:I2436,3,0)</f>
        <v>#N/A</v>
      </c>
      <c r="I1945" s="6" t="e">
        <f>VLOOKUP(F1945,'Customer Info'!A1937:I2436,5,0)</f>
        <v>#N/A</v>
      </c>
      <c r="J1945" s="2">
        <v>208</v>
      </c>
      <c r="K1945" s="2">
        <v>187</v>
      </c>
      <c r="L1945" s="2">
        <v>4</v>
      </c>
      <c r="M1945" s="7">
        <f t="shared" si="120"/>
        <v>748</v>
      </c>
      <c r="N1945" s="7">
        <f t="shared" si="121"/>
        <v>832</v>
      </c>
      <c r="O1945" s="2">
        <v>72</v>
      </c>
      <c r="P1945" s="8">
        <f t="shared" si="122"/>
        <v>904</v>
      </c>
      <c r="Q1945" s="8">
        <f t="shared" si="123"/>
        <v>760</v>
      </c>
      <c r="R1945" s="2" t="s">
        <v>28</v>
      </c>
      <c r="S1945" s="9">
        <f>VLOOKUP(P1945,$T$2:U1942,2,1)</f>
        <v>0.02</v>
      </c>
    </row>
    <row r="1946" spans="1:19" x14ac:dyDescent="0.25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e">
        <f>VLOOKUP(F1946,'Customer Info'!A1938:I2437,2,0)</f>
        <v>#N/A</v>
      </c>
      <c r="H1946" s="6" t="e">
        <f>VLOOKUP(F1946,'Customer Info'!A1938:I2437,3,0)</f>
        <v>#N/A</v>
      </c>
      <c r="I1946" s="6" t="e">
        <f>VLOOKUP(F1946,'Customer Info'!A1938:I2437,5,0)</f>
        <v>#N/A</v>
      </c>
      <c r="J1946" s="2">
        <v>2681</v>
      </c>
      <c r="K1946" s="2">
        <v>2458</v>
      </c>
      <c r="L1946" s="2">
        <v>2</v>
      </c>
      <c r="M1946" s="7">
        <f t="shared" si="120"/>
        <v>4916</v>
      </c>
      <c r="N1946" s="7">
        <f t="shared" si="121"/>
        <v>5362</v>
      </c>
      <c r="O1946" s="2">
        <v>60</v>
      </c>
      <c r="P1946" s="8">
        <f t="shared" si="122"/>
        <v>5422</v>
      </c>
      <c r="Q1946" s="8">
        <f t="shared" si="123"/>
        <v>5302</v>
      </c>
      <c r="R1946" s="2" t="s">
        <v>50</v>
      </c>
      <c r="S1946" s="9">
        <f>VLOOKUP(P1946,$T$2:U1943,2,1)</f>
        <v>0.05</v>
      </c>
    </row>
    <row r="1947" spans="1:19" x14ac:dyDescent="0.25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e">
        <f>VLOOKUP(F1947,'Customer Info'!A1939:I2438,2,0)</f>
        <v>#N/A</v>
      </c>
      <c r="H1947" s="6" t="e">
        <f>VLOOKUP(F1947,'Customer Info'!A1939:I2438,3,0)</f>
        <v>#N/A</v>
      </c>
      <c r="I1947" s="6" t="e">
        <f>VLOOKUP(F1947,'Customer Info'!A1939:I2438,5,0)</f>
        <v>#N/A</v>
      </c>
      <c r="J1947" s="2">
        <v>1772</v>
      </c>
      <c r="K1947" s="2">
        <v>1656</v>
      </c>
      <c r="L1947" s="2">
        <v>3</v>
      </c>
      <c r="M1947" s="7">
        <f t="shared" si="120"/>
        <v>4968</v>
      </c>
      <c r="N1947" s="7">
        <f t="shared" si="121"/>
        <v>5316</v>
      </c>
      <c r="O1947" s="2">
        <v>25</v>
      </c>
      <c r="P1947" s="8">
        <f t="shared" si="122"/>
        <v>5341</v>
      </c>
      <c r="Q1947" s="8">
        <f t="shared" si="123"/>
        <v>5291</v>
      </c>
      <c r="R1947" s="2" t="s">
        <v>50</v>
      </c>
      <c r="S1947" s="9">
        <f>VLOOKUP(P1947,$T$2:U1944,2,1)</f>
        <v>0.05</v>
      </c>
    </row>
    <row r="1948" spans="1:19" x14ac:dyDescent="0.25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e">
        <f>VLOOKUP(F1948,'Customer Info'!A1940:I2439,2,0)</f>
        <v>#N/A</v>
      </c>
      <c r="H1948" s="6" t="e">
        <f>VLOOKUP(F1948,'Customer Info'!A1940:I2439,3,0)</f>
        <v>#N/A</v>
      </c>
      <c r="I1948" s="6" t="e">
        <f>VLOOKUP(F1948,'Customer Info'!A1940:I2439,5,0)</f>
        <v>#N/A</v>
      </c>
      <c r="J1948" s="2">
        <v>2243</v>
      </c>
      <c r="K1948" s="2">
        <v>2000</v>
      </c>
      <c r="L1948" s="2">
        <v>4</v>
      </c>
      <c r="M1948" s="7">
        <f t="shared" si="120"/>
        <v>8000</v>
      </c>
      <c r="N1948" s="7">
        <f t="shared" si="121"/>
        <v>8972</v>
      </c>
      <c r="O1948" s="2">
        <v>40</v>
      </c>
      <c r="P1948" s="8">
        <f t="shared" si="122"/>
        <v>9012</v>
      </c>
      <c r="Q1948" s="8">
        <f t="shared" si="123"/>
        <v>8932</v>
      </c>
      <c r="R1948" s="2" t="s">
        <v>56</v>
      </c>
      <c r="S1948" s="9">
        <f>VLOOKUP(P1948,$T$2:U1945,2,1)</f>
        <v>0.05</v>
      </c>
    </row>
    <row r="1949" spans="1:19" x14ac:dyDescent="0.25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e">
        <f>VLOOKUP(F1949,'Customer Info'!A1941:I2440,2,0)</f>
        <v>#N/A</v>
      </c>
      <c r="H1949" s="6" t="e">
        <f>VLOOKUP(F1949,'Customer Info'!A1941:I2440,3,0)</f>
        <v>#N/A</v>
      </c>
      <c r="I1949" s="6" t="e">
        <f>VLOOKUP(F1949,'Customer Info'!A1941:I2440,5,0)</f>
        <v>#N/A</v>
      </c>
      <c r="J1949" s="2">
        <v>511</v>
      </c>
      <c r="K1949" s="2">
        <v>477</v>
      </c>
      <c r="L1949" s="2">
        <v>2</v>
      </c>
      <c r="M1949" s="7">
        <f t="shared" si="120"/>
        <v>954</v>
      </c>
      <c r="N1949" s="7">
        <f t="shared" si="121"/>
        <v>1022</v>
      </c>
      <c r="O1949" s="2">
        <v>70</v>
      </c>
      <c r="P1949" s="8">
        <f t="shared" si="122"/>
        <v>1092</v>
      </c>
      <c r="Q1949" s="8">
        <f t="shared" si="123"/>
        <v>952</v>
      </c>
      <c r="R1949" s="2" t="s">
        <v>28</v>
      </c>
      <c r="S1949" s="9">
        <f>VLOOKUP(P1949,$T$2:U1946,2,1)</f>
        <v>0.02</v>
      </c>
    </row>
    <row r="1950" spans="1:19" x14ac:dyDescent="0.25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e">
        <f>VLOOKUP(F1950,'Customer Info'!A1942:I2441,2,0)</f>
        <v>#N/A</v>
      </c>
      <c r="H1950" s="6" t="e">
        <f>VLOOKUP(F1950,'Customer Info'!A1942:I2441,3,0)</f>
        <v>#N/A</v>
      </c>
      <c r="I1950" s="6" t="e">
        <f>VLOOKUP(F1950,'Customer Info'!A1942:I2441,5,0)</f>
        <v>#N/A</v>
      </c>
      <c r="J1950" s="2">
        <v>809</v>
      </c>
      <c r="K1950" s="2">
        <v>770</v>
      </c>
      <c r="L1950" s="2">
        <v>3</v>
      </c>
      <c r="M1950" s="7">
        <f t="shared" si="120"/>
        <v>2310</v>
      </c>
      <c r="N1950" s="7">
        <f t="shared" si="121"/>
        <v>2427</v>
      </c>
      <c r="O1950" s="2">
        <v>74</v>
      </c>
      <c r="P1950" s="8">
        <f t="shared" si="122"/>
        <v>2501</v>
      </c>
      <c r="Q1950" s="8">
        <f t="shared" si="123"/>
        <v>2353</v>
      </c>
      <c r="R1950" s="2" t="s">
        <v>28</v>
      </c>
      <c r="S1950" s="9">
        <f>VLOOKUP(P1950,$T$2:U1947,2,1)</f>
        <v>0.02</v>
      </c>
    </row>
    <row r="1951" spans="1:19" x14ac:dyDescent="0.25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e">
        <f>VLOOKUP(F1951,'Customer Info'!A1943:I2442,2,0)</f>
        <v>#N/A</v>
      </c>
      <c r="H1951" s="6" t="e">
        <f>VLOOKUP(F1951,'Customer Info'!A1943:I2442,3,0)</f>
        <v>#N/A</v>
      </c>
      <c r="I1951" s="6" t="e">
        <f>VLOOKUP(F1951,'Customer Info'!A1943:I2442,5,0)</f>
        <v>#N/A</v>
      </c>
      <c r="J1951" s="2">
        <v>8781</v>
      </c>
      <c r="K1951" s="2">
        <v>7828</v>
      </c>
      <c r="L1951" s="2">
        <v>1</v>
      </c>
      <c r="M1951" s="7">
        <f t="shared" si="120"/>
        <v>7828</v>
      </c>
      <c r="N1951" s="7">
        <f t="shared" si="121"/>
        <v>8781</v>
      </c>
      <c r="O1951" s="2">
        <v>61</v>
      </c>
      <c r="P1951" s="8">
        <f t="shared" si="122"/>
        <v>8842</v>
      </c>
      <c r="Q1951" s="8">
        <f t="shared" si="123"/>
        <v>8720</v>
      </c>
      <c r="R1951" s="2" t="s">
        <v>28</v>
      </c>
      <c r="S1951" s="9">
        <f>VLOOKUP(P1951,$T$2:U1948,2,1)</f>
        <v>0.05</v>
      </c>
    </row>
    <row r="1952" spans="1:19" x14ac:dyDescent="0.25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e">
        <f>VLOOKUP(F1952,'Customer Info'!A1944:I2443,2,0)</f>
        <v>#N/A</v>
      </c>
      <c r="H1952" s="6" t="e">
        <f>VLOOKUP(F1952,'Customer Info'!A1944:I2443,3,0)</f>
        <v>#N/A</v>
      </c>
      <c r="I1952" s="6" t="e">
        <f>VLOOKUP(F1952,'Customer Info'!A1944:I2443,5,0)</f>
        <v>#N/A</v>
      </c>
      <c r="J1952" s="2">
        <v>179</v>
      </c>
      <c r="K1952" s="2">
        <v>166</v>
      </c>
      <c r="L1952" s="2">
        <v>2</v>
      </c>
      <c r="M1952" s="7">
        <f t="shared" si="120"/>
        <v>332</v>
      </c>
      <c r="N1952" s="7">
        <f t="shared" si="121"/>
        <v>358</v>
      </c>
      <c r="O1952" s="2">
        <v>30</v>
      </c>
      <c r="P1952" s="8">
        <f t="shared" si="122"/>
        <v>388</v>
      </c>
      <c r="Q1952" s="8">
        <f t="shared" si="123"/>
        <v>328</v>
      </c>
      <c r="R1952" s="2" t="s">
        <v>50</v>
      </c>
      <c r="S1952" s="9">
        <f>VLOOKUP(P1952,$T$2:U1949,2,1)</f>
        <v>0.02</v>
      </c>
    </row>
    <row r="1953" spans="1:19" x14ac:dyDescent="0.25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e">
        <f>VLOOKUP(F1953,'Customer Info'!A1945:I2444,2,0)</f>
        <v>#N/A</v>
      </c>
      <c r="H1953" s="6" t="e">
        <f>VLOOKUP(F1953,'Customer Info'!A1945:I2444,3,0)</f>
        <v>#N/A</v>
      </c>
      <c r="I1953" s="6" t="e">
        <f>VLOOKUP(F1953,'Customer Info'!A1945:I2444,5,0)</f>
        <v>#N/A</v>
      </c>
      <c r="J1953" s="2">
        <v>7232</v>
      </c>
      <c r="K1953" s="2">
        <v>6753</v>
      </c>
      <c r="L1953" s="2">
        <v>1</v>
      </c>
      <c r="M1953" s="7">
        <f t="shared" si="120"/>
        <v>6753</v>
      </c>
      <c r="N1953" s="7">
        <f t="shared" si="121"/>
        <v>7232</v>
      </c>
      <c r="O1953" s="2">
        <v>54</v>
      </c>
      <c r="P1953" s="8">
        <f t="shared" si="122"/>
        <v>7286</v>
      </c>
      <c r="Q1953" s="8">
        <f t="shared" si="123"/>
        <v>7178</v>
      </c>
      <c r="R1953" s="2" t="s">
        <v>28</v>
      </c>
      <c r="S1953" s="9">
        <f>VLOOKUP(P1953,$T$2:U1950,2,1)</f>
        <v>0.05</v>
      </c>
    </row>
    <row r="1954" spans="1:19" x14ac:dyDescent="0.25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e">
        <f>VLOOKUP(F1954,'Customer Info'!A1946:I2445,2,0)</f>
        <v>#N/A</v>
      </c>
      <c r="H1954" s="6" t="e">
        <f>VLOOKUP(F1954,'Customer Info'!A1946:I2445,3,0)</f>
        <v>#N/A</v>
      </c>
      <c r="I1954" s="6" t="e">
        <f>VLOOKUP(F1954,'Customer Info'!A1946:I2445,5,0)</f>
        <v>#N/A</v>
      </c>
      <c r="J1954" s="2">
        <v>7141</v>
      </c>
      <c r="K1954" s="2">
        <v>6541</v>
      </c>
      <c r="L1954" s="2">
        <v>2</v>
      </c>
      <c r="M1954" s="7">
        <f t="shared" si="120"/>
        <v>13082</v>
      </c>
      <c r="N1954" s="7">
        <f t="shared" si="121"/>
        <v>14282</v>
      </c>
      <c r="O1954" s="2">
        <v>58</v>
      </c>
      <c r="P1954" s="8">
        <f t="shared" si="122"/>
        <v>14340</v>
      </c>
      <c r="Q1954" s="8">
        <f t="shared" si="123"/>
        <v>14224</v>
      </c>
      <c r="R1954" s="2" t="s">
        <v>56</v>
      </c>
      <c r="S1954" s="9">
        <f>VLOOKUP(P1954,$T$2:U1951,2,1)</f>
        <v>0.05</v>
      </c>
    </row>
    <row r="1955" spans="1:19" x14ac:dyDescent="0.25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e">
        <f>VLOOKUP(F1955,'Customer Info'!A1947:I2446,2,0)</f>
        <v>#N/A</v>
      </c>
      <c r="H1955" s="6" t="e">
        <f>VLOOKUP(F1955,'Customer Info'!A1947:I2446,3,0)</f>
        <v>#N/A</v>
      </c>
      <c r="I1955" s="6" t="e">
        <f>VLOOKUP(F1955,'Customer Info'!A1947:I2446,5,0)</f>
        <v>#N/A</v>
      </c>
      <c r="J1955" s="2">
        <v>1859</v>
      </c>
      <c r="K1955" s="2">
        <v>1755</v>
      </c>
      <c r="L1955" s="2">
        <v>1</v>
      </c>
      <c r="M1955" s="7">
        <f t="shared" si="120"/>
        <v>1755</v>
      </c>
      <c r="N1955" s="7">
        <f t="shared" si="121"/>
        <v>1859</v>
      </c>
      <c r="O1955" s="2">
        <v>75</v>
      </c>
      <c r="P1955" s="8">
        <f t="shared" si="122"/>
        <v>1934</v>
      </c>
      <c r="Q1955" s="8">
        <f t="shared" si="123"/>
        <v>1784</v>
      </c>
      <c r="R1955" s="2" t="s">
        <v>50</v>
      </c>
      <c r="S1955" s="9">
        <f>VLOOKUP(P1955,$T$2:U1952,2,1)</f>
        <v>0.02</v>
      </c>
    </row>
    <row r="1956" spans="1:19" x14ac:dyDescent="0.25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e">
        <f>VLOOKUP(F1956,'Customer Info'!A1948:I2447,2,0)</f>
        <v>#N/A</v>
      </c>
      <c r="H1956" s="6" t="e">
        <f>VLOOKUP(F1956,'Customer Info'!A1948:I2447,3,0)</f>
        <v>#N/A</v>
      </c>
      <c r="I1956" s="6" t="e">
        <f>VLOOKUP(F1956,'Customer Info'!A1948:I2447,5,0)</f>
        <v>#N/A</v>
      </c>
      <c r="J1956" s="2">
        <v>1364</v>
      </c>
      <c r="K1956" s="2">
        <v>1274</v>
      </c>
      <c r="L1956" s="2">
        <v>6</v>
      </c>
      <c r="M1956" s="7">
        <f t="shared" si="120"/>
        <v>7644</v>
      </c>
      <c r="N1956" s="7">
        <f t="shared" si="121"/>
        <v>8184</v>
      </c>
      <c r="O1956" s="2">
        <v>96</v>
      </c>
      <c r="P1956" s="8">
        <f t="shared" si="122"/>
        <v>8280</v>
      </c>
      <c r="Q1956" s="8">
        <f t="shared" si="123"/>
        <v>8088</v>
      </c>
      <c r="R1956" s="2" t="s">
        <v>28</v>
      </c>
      <c r="S1956" s="9">
        <f>VLOOKUP(P1956,$T$2:U1953,2,1)</f>
        <v>0.05</v>
      </c>
    </row>
    <row r="1957" spans="1:19" x14ac:dyDescent="0.25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e">
        <f>VLOOKUP(F1957,'Customer Info'!A1949:I2448,2,0)</f>
        <v>#N/A</v>
      </c>
      <c r="H1957" s="6" t="e">
        <f>VLOOKUP(F1957,'Customer Info'!A1949:I2448,3,0)</f>
        <v>#N/A</v>
      </c>
      <c r="I1957" s="6" t="e">
        <f>VLOOKUP(F1957,'Customer Info'!A1949:I2448,5,0)</f>
        <v>#N/A</v>
      </c>
      <c r="J1957" s="2">
        <v>932</v>
      </c>
      <c r="K1957" s="2">
        <v>838</v>
      </c>
      <c r="L1957" s="2">
        <v>4</v>
      </c>
      <c r="M1957" s="7">
        <f t="shared" si="120"/>
        <v>3352</v>
      </c>
      <c r="N1957" s="7">
        <f t="shared" si="121"/>
        <v>3728</v>
      </c>
      <c r="O1957" s="2">
        <v>75</v>
      </c>
      <c r="P1957" s="8">
        <f t="shared" si="122"/>
        <v>3803</v>
      </c>
      <c r="Q1957" s="8">
        <f t="shared" si="123"/>
        <v>3653</v>
      </c>
      <c r="R1957" s="2" t="s">
        <v>50</v>
      </c>
      <c r="S1957" s="9">
        <f>VLOOKUP(P1957,$T$2:U1954,2,1)</f>
        <v>0.02</v>
      </c>
    </row>
    <row r="1958" spans="1:19" x14ac:dyDescent="0.25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e">
        <f>VLOOKUP(F1958,'Customer Info'!A1950:I2449,2,0)</f>
        <v>#N/A</v>
      </c>
      <c r="H1958" s="6" t="e">
        <f>VLOOKUP(F1958,'Customer Info'!A1950:I2449,3,0)</f>
        <v>#N/A</v>
      </c>
      <c r="I1958" s="6" t="e">
        <f>VLOOKUP(F1958,'Customer Info'!A1950:I2449,5,0)</f>
        <v>#N/A</v>
      </c>
      <c r="J1958" s="2">
        <v>4784</v>
      </c>
      <c r="K1958" s="2">
        <v>4518</v>
      </c>
      <c r="L1958" s="2">
        <v>1</v>
      </c>
      <c r="M1958" s="7">
        <f t="shared" si="120"/>
        <v>4518</v>
      </c>
      <c r="N1958" s="7">
        <f t="shared" si="121"/>
        <v>4784</v>
      </c>
      <c r="O1958" s="2">
        <v>64</v>
      </c>
      <c r="P1958" s="8">
        <f t="shared" si="122"/>
        <v>4848</v>
      </c>
      <c r="Q1958" s="8">
        <f t="shared" si="123"/>
        <v>4720</v>
      </c>
      <c r="R1958" s="2" t="s">
        <v>50</v>
      </c>
      <c r="S1958" s="9">
        <f>VLOOKUP(P1958,$T$2:U1955,2,1)</f>
        <v>0.02</v>
      </c>
    </row>
    <row r="1959" spans="1:19" x14ac:dyDescent="0.25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e">
        <f>VLOOKUP(F1959,'Customer Info'!A1951:I2450,2,0)</f>
        <v>#N/A</v>
      </c>
      <c r="H1959" s="6" t="e">
        <f>VLOOKUP(F1959,'Customer Info'!A1951:I2450,3,0)</f>
        <v>#N/A</v>
      </c>
      <c r="I1959" s="6" t="e">
        <f>VLOOKUP(F1959,'Customer Info'!A1951:I2450,5,0)</f>
        <v>#N/A</v>
      </c>
      <c r="J1959" s="2">
        <v>68</v>
      </c>
      <c r="K1959" s="2">
        <v>63</v>
      </c>
      <c r="L1959" s="2">
        <v>2</v>
      </c>
      <c r="M1959" s="7">
        <f t="shared" si="120"/>
        <v>126</v>
      </c>
      <c r="N1959" s="7">
        <f t="shared" si="121"/>
        <v>136</v>
      </c>
      <c r="O1959" s="2">
        <v>10</v>
      </c>
      <c r="P1959" s="8">
        <f t="shared" si="122"/>
        <v>146</v>
      </c>
      <c r="Q1959" s="8">
        <f t="shared" si="123"/>
        <v>126</v>
      </c>
      <c r="R1959" s="2" t="s">
        <v>28</v>
      </c>
      <c r="S1959" s="9">
        <f>VLOOKUP(P1959,$T$2:U1956,2,1)</f>
        <v>0.02</v>
      </c>
    </row>
    <row r="1960" spans="1:19" x14ac:dyDescent="0.25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e">
        <f>VLOOKUP(F1960,'Customer Info'!A1952:I2451,2,0)</f>
        <v>#N/A</v>
      </c>
      <c r="H1960" s="6" t="e">
        <f>VLOOKUP(F1960,'Customer Info'!A1952:I2451,3,0)</f>
        <v>#N/A</v>
      </c>
      <c r="I1960" s="6" t="e">
        <f>VLOOKUP(F1960,'Customer Info'!A1952:I2451,5,0)</f>
        <v>#N/A</v>
      </c>
      <c r="J1960" s="2">
        <v>93</v>
      </c>
      <c r="K1960" s="2">
        <v>86</v>
      </c>
      <c r="L1960" s="2">
        <v>2</v>
      </c>
      <c r="M1960" s="7">
        <f t="shared" si="120"/>
        <v>172</v>
      </c>
      <c r="N1960" s="7">
        <f t="shared" si="121"/>
        <v>186</v>
      </c>
      <c r="O1960" s="2">
        <v>10</v>
      </c>
      <c r="P1960" s="8">
        <f t="shared" si="122"/>
        <v>196</v>
      </c>
      <c r="Q1960" s="8">
        <f t="shared" si="123"/>
        <v>176</v>
      </c>
      <c r="R1960" s="2" t="s">
        <v>50</v>
      </c>
      <c r="S1960" s="9">
        <f>VLOOKUP(P1960,$T$2:U1957,2,1)</f>
        <v>0.02</v>
      </c>
    </row>
    <row r="1961" spans="1:19" x14ac:dyDescent="0.25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e">
        <f>VLOOKUP(F1961,'Customer Info'!A1953:I2452,2,0)</f>
        <v>#N/A</v>
      </c>
      <c r="H1961" s="6" t="e">
        <f>VLOOKUP(F1961,'Customer Info'!A1953:I2452,3,0)</f>
        <v>#N/A</v>
      </c>
      <c r="I1961" s="6" t="e">
        <f>VLOOKUP(F1961,'Customer Info'!A1953:I2452,5,0)</f>
        <v>#N/A</v>
      </c>
      <c r="J1961" s="2">
        <v>1545</v>
      </c>
      <c r="K1961" s="2">
        <v>1486</v>
      </c>
      <c r="L1961" s="2">
        <v>1</v>
      </c>
      <c r="M1961" s="7">
        <f t="shared" si="120"/>
        <v>1486</v>
      </c>
      <c r="N1961" s="7">
        <f t="shared" si="121"/>
        <v>1545</v>
      </c>
      <c r="O1961" s="2">
        <v>96</v>
      </c>
      <c r="P1961" s="8">
        <f t="shared" si="122"/>
        <v>1641</v>
      </c>
      <c r="Q1961" s="8">
        <f t="shared" si="123"/>
        <v>1449</v>
      </c>
      <c r="R1961" s="2" t="s">
        <v>28</v>
      </c>
      <c r="S1961" s="9">
        <f>VLOOKUP(P1961,$T$2:U1958,2,1)</f>
        <v>0.02</v>
      </c>
    </row>
    <row r="1962" spans="1:19" x14ac:dyDescent="0.25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e">
        <f>VLOOKUP(F1962,'Customer Info'!A1954:I2453,2,0)</f>
        <v>#N/A</v>
      </c>
      <c r="H1962" s="6" t="e">
        <f>VLOOKUP(F1962,'Customer Info'!A1954:I2453,3,0)</f>
        <v>#N/A</v>
      </c>
      <c r="I1962" s="6" t="e">
        <f>VLOOKUP(F1962,'Customer Info'!A1954:I2453,5,0)</f>
        <v>#N/A</v>
      </c>
      <c r="J1962" s="2">
        <v>1292</v>
      </c>
      <c r="K1962" s="2">
        <v>1185</v>
      </c>
      <c r="L1962" s="2">
        <v>3</v>
      </c>
      <c r="M1962" s="7">
        <f t="shared" si="120"/>
        <v>3555</v>
      </c>
      <c r="N1962" s="7">
        <f t="shared" si="121"/>
        <v>3876</v>
      </c>
      <c r="O1962" s="2">
        <v>61</v>
      </c>
      <c r="P1962" s="8">
        <f t="shared" si="122"/>
        <v>3937</v>
      </c>
      <c r="Q1962" s="8">
        <f t="shared" si="123"/>
        <v>3815</v>
      </c>
      <c r="R1962" s="2" t="s">
        <v>50</v>
      </c>
      <c r="S1962" s="9">
        <f>VLOOKUP(P1962,$T$2:U1959,2,1)</f>
        <v>0.02</v>
      </c>
    </row>
    <row r="1963" spans="1:19" x14ac:dyDescent="0.25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e">
        <f>VLOOKUP(F1963,'Customer Info'!A1955:I2454,2,0)</f>
        <v>#N/A</v>
      </c>
      <c r="H1963" s="6" t="e">
        <f>VLOOKUP(F1963,'Customer Info'!A1955:I2454,3,0)</f>
        <v>#N/A</v>
      </c>
      <c r="I1963" s="6" t="e">
        <f>VLOOKUP(F1963,'Customer Info'!A1955:I2454,5,0)</f>
        <v>#N/A</v>
      </c>
      <c r="J1963" s="2">
        <v>4761</v>
      </c>
      <c r="K1963" s="2">
        <v>4368</v>
      </c>
      <c r="L1963" s="2">
        <v>8</v>
      </c>
      <c r="M1963" s="7">
        <f t="shared" si="120"/>
        <v>34944</v>
      </c>
      <c r="N1963" s="7">
        <f t="shared" si="121"/>
        <v>38088</v>
      </c>
      <c r="O1963" s="2">
        <v>32</v>
      </c>
      <c r="P1963" s="8">
        <f t="shared" si="122"/>
        <v>38120</v>
      </c>
      <c r="Q1963" s="8">
        <f t="shared" si="123"/>
        <v>38056</v>
      </c>
      <c r="R1963" s="2" t="s">
        <v>50</v>
      </c>
      <c r="S1963" s="9">
        <f>VLOOKUP(P1963,$T$2:U1960,2,1)</f>
        <v>7.0000000000000007E-2</v>
      </c>
    </row>
    <row r="1964" spans="1:19" x14ac:dyDescent="0.25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e">
        <f>VLOOKUP(F1964,'Customer Info'!A1956:I2455,2,0)</f>
        <v>#N/A</v>
      </c>
      <c r="H1964" s="6" t="e">
        <f>VLOOKUP(F1964,'Customer Info'!A1956:I2455,3,0)</f>
        <v>#N/A</v>
      </c>
      <c r="I1964" s="6" t="e">
        <f>VLOOKUP(F1964,'Customer Info'!A1956:I2455,5,0)</f>
        <v>#N/A</v>
      </c>
      <c r="J1964" s="2">
        <v>8651</v>
      </c>
      <c r="K1964" s="2">
        <v>8081</v>
      </c>
      <c r="L1964" s="2">
        <v>4</v>
      </c>
      <c r="M1964" s="7">
        <f t="shared" si="120"/>
        <v>32324</v>
      </c>
      <c r="N1964" s="7">
        <f t="shared" si="121"/>
        <v>34604</v>
      </c>
      <c r="O1964" s="2">
        <v>89</v>
      </c>
      <c r="P1964" s="8">
        <f t="shared" si="122"/>
        <v>34693</v>
      </c>
      <c r="Q1964" s="8">
        <f t="shared" si="123"/>
        <v>34515</v>
      </c>
      <c r="R1964" s="2" t="s">
        <v>50</v>
      </c>
      <c r="S1964" s="9">
        <f>VLOOKUP(P1964,$T$2:U1961,2,1)</f>
        <v>7.0000000000000007E-2</v>
      </c>
    </row>
    <row r="1965" spans="1:19" x14ac:dyDescent="0.25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e">
        <f>VLOOKUP(F1965,'Customer Info'!A1957:I2456,2,0)</f>
        <v>#N/A</v>
      </c>
      <c r="H1965" s="6" t="e">
        <f>VLOOKUP(F1965,'Customer Info'!A1957:I2456,3,0)</f>
        <v>#N/A</v>
      </c>
      <c r="I1965" s="6" t="e">
        <f>VLOOKUP(F1965,'Customer Info'!A1957:I2456,5,0)</f>
        <v>#N/A</v>
      </c>
      <c r="J1965" s="2">
        <v>2778</v>
      </c>
      <c r="K1965" s="2">
        <v>2573</v>
      </c>
      <c r="L1965" s="2">
        <v>1</v>
      </c>
      <c r="M1965" s="7">
        <f t="shared" si="120"/>
        <v>2573</v>
      </c>
      <c r="N1965" s="7">
        <f t="shared" si="121"/>
        <v>2778</v>
      </c>
      <c r="O1965" s="2">
        <v>34</v>
      </c>
      <c r="P1965" s="8">
        <f t="shared" si="122"/>
        <v>2812</v>
      </c>
      <c r="Q1965" s="8">
        <f t="shared" si="123"/>
        <v>2744</v>
      </c>
      <c r="R1965" s="2" t="s">
        <v>50</v>
      </c>
      <c r="S1965" s="9">
        <f>VLOOKUP(P1965,$T$2:U1962,2,1)</f>
        <v>0.02</v>
      </c>
    </row>
    <row r="1966" spans="1:19" x14ac:dyDescent="0.25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e">
        <f>VLOOKUP(F1966,'Customer Info'!A1958:I2457,2,0)</f>
        <v>#N/A</v>
      </c>
      <c r="H1966" s="6" t="e">
        <f>VLOOKUP(F1966,'Customer Info'!A1958:I2457,3,0)</f>
        <v>#N/A</v>
      </c>
      <c r="I1966" s="6" t="e">
        <f>VLOOKUP(F1966,'Customer Info'!A1958:I2457,5,0)</f>
        <v>#N/A</v>
      </c>
      <c r="J1966" s="2">
        <v>9033</v>
      </c>
      <c r="K1966" s="2">
        <v>8132</v>
      </c>
      <c r="L1966" s="2">
        <v>1</v>
      </c>
      <c r="M1966" s="7">
        <f t="shared" si="120"/>
        <v>8132</v>
      </c>
      <c r="N1966" s="7">
        <f t="shared" si="121"/>
        <v>9033</v>
      </c>
      <c r="O1966" s="2">
        <v>82</v>
      </c>
      <c r="P1966" s="8">
        <f t="shared" si="122"/>
        <v>9115</v>
      </c>
      <c r="Q1966" s="8">
        <f t="shared" si="123"/>
        <v>8951</v>
      </c>
      <c r="R1966" s="2" t="s">
        <v>50</v>
      </c>
      <c r="S1966" s="9">
        <f>VLOOKUP(P1966,$T$2:U1963,2,1)</f>
        <v>0.05</v>
      </c>
    </row>
    <row r="1967" spans="1:19" x14ac:dyDescent="0.25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e">
        <f>VLOOKUP(F1967,'Customer Info'!A1959:I2458,2,0)</f>
        <v>#N/A</v>
      </c>
      <c r="H1967" s="6" t="e">
        <f>VLOOKUP(F1967,'Customer Info'!A1959:I2458,3,0)</f>
        <v>#N/A</v>
      </c>
      <c r="I1967" s="6" t="e">
        <f>VLOOKUP(F1967,'Customer Info'!A1959:I2458,5,0)</f>
        <v>#N/A</v>
      </c>
      <c r="J1967" s="2">
        <v>900</v>
      </c>
      <c r="K1967" s="2">
        <v>834</v>
      </c>
      <c r="L1967" s="2">
        <v>2</v>
      </c>
      <c r="M1967" s="7">
        <f t="shared" si="120"/>
        <v>1668</v>
      </c>
      <c r="N1967" s="7">
        <f t="shared" si="121"/>
        <v>1800</v>
      </c>
      <c r="O1967" s="2">
        <v>62</v>
      </c>
      <c r="P1967" s="8">
        <f t="shared" si="122"/>
        <v>1862</v>
      </c>
      <c r="Q1967" s="8">
        <f t="shared" si="123"/>
        <v>1738</v>
      </c>
      <c r="R1967" s="2" t="s">
        <v>50</v>
      </c>
      <c r="S1967" s="9">
        <f>VLOOKUP(P1967,$T$2:U1964,2,1)</f>
        <v>0.02</v>
      </c>
    </row>
    <row r="1968" spans="1:19" x14ac:dyDescent="0.25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e">
        <f>VLOOKUP(F1968,'Customer Info'!A1960:I2459,2,0)</f>
        <v>#N/A</v>
      </c>
      <c r="H1968" s="6" t="e">
        <f>VLOOKUP(F1968,'Customer Info'!A1960:I2459,3,0)</f>
        <v>#N/A</v>
      </c>
      <c r="I1968" s="6" t="e">
        <f>VLOOKUP(F1968,'Customer Info'!A1960:I2459,5,0)</f>
        <v>#N/A</v>
      </c>
      <c r="J1968" s="2">
        <v>7658</v>
      </c>
      <c r="K1968" s="2">
        <v>7026</v>
      </c>
      <c r="L1968" s="2">
        <v>1</v>
      </c>
      <c r="M1968" s="7">
        <f t="shared" si="120"/>
        <v>7026</v>
      </c>
      <c r="N1968" s="7">
        <f t="shared" si="121"/>
        <v>7658</v>
      </c>
      <c r="O1968" s="2">
        <v>76</v>
      </c>
      <c r="P1968" s="8">
        <f t="shared" si="122"/>
        <v>7734</v>
      </c>
      <c r="Q1968" s="8">
        <f t="shared" si="123"/>
        <v>7582</v>
      </c>
      <c r="R1968" s="2" t="s">
        <v>50</v>
      </c>
      <c r="S1968" s="9">
        <f>VLOOKUP(P1968,$T$2:U1965,2,1)</f>
        <v>0.05</v>
      </c>
    </row>
    <row r="1969" spans="1:19" x14ac:dyDescent="0.25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e">
        <f>VLOOKUP(F1969,'Customer Info'!A1961:I2460,2,0)</f>
        <v>#N/A</v>
      </c>
      <c r="H1969" s="6" t="e">
        <f>VLOOKUP(F1969,'Customer Info'!A1961:I2460,3,0)</f>
        <v>#N/A</v>
      </c>
      <c r="I1969" s="6" t="e">
        <f>VLOOKUP(F1969,'Customer Info'!A1961:I2460,5,0)</f>
        <v>#N/A</v>
      </c>
      <c r="J1969" s="2">
        <v>1968</v>
      </c>
      <c r="K1969" s="2">
        <v>1821</v>
      </c>
      <c r="L1969" s="2">
        <v>5</v>
      </c>
      <c r="M1969" s="7">
        <f t="shared" si="120"/>
        <v>9105</v>
      </c>
      <c r="N1969" s="7">
        <f t="shared" si="121"/>
        <v>9840</v>
      </c>
      <c r="O1969" s="2">
        <v>49</v>
      </c>
      <c r="P1969" s="8">
        <f t="shared" si="122"/>
        <v>9889</v>
      </c>
      <c r="Q1969" s="8">
        <f t="shared" si="123"/>
        <v>9791</v>
      </c>
      <c r="R1969" s="2" t="s">
        <v>28</v>
      </c>
      <c r="S1969" s="9">
        <f>VLOOKUP(P1969,$T$2:U1966,2,1)</f>
        <v>0.05</v>
      </c>
    </row>
    <row r="1970" spans="1:19" x14ac:dyDescent="0.25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e">
        <f>VLOOKUP(F1970,'Customer Info'!A1962:I2461,2,0)</f>
        <v>#N/A</v>
      </c>
      <c r="H1970" s="6" t="e">
        <f>VLOOKUP(F1970,'Customer Info'!A1962:I2461,3,0)</f>
        <v>#N/A</v>
      </c>
      <c r="I1970" s="6" t="e">
        <f>VLOOKUP(F1970,'Customer Info'!A1962:I2461,5,0)</f>
        <v>#N/A</v>
      </c>
      <c r="J1970" s="2">
        <v>1533</v>
      </c>
      <c r="K1970" s="2">
        <v>1406</v>
      </c>
      <c r="L1970" s="2">
        <v>5</v>
      </c>
      <c r="M1970" s="7">
        <f t="shared" si="120"/>
        <v>7030</v>
      </c>
      <c r="N1970" s="7">
        <f t="shared" si="121"/>
        <v>7665</v>
      </c>
      <c r="O1970" s="2">
        <v>52</v>
      </c>
      <c r="P1970" s="8">
        <f t="shared" si="122"/>
        <v>7717</v>
      </c>
      <c r="Q1970" s="8">
        <f t="shared" si="123"/>
        <v>7613</v>
      </c>
      <c r="R1970" s="2" t="s">
        <v>50</v>
      </c>
      <c r="S1970" s="9">
        <f>VLOOKUP(P1970,$T$2:U1967,2,1)</f>
        <v>0.05</v>
      </c>
    </row>
    <row r="1971" spans="1:19" x14ac:dyDescent="0.25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e">
        <f>VLOOKUP(F1971,'Customer Info'!A1963:I2462,2,0)</f>
        <v>#N/A</v>
      </c>
      <c r="H1971" s="6" t="e">
        <f>VLOOKUP(F1971,'Customer Info'!A1963:I2462,3,0)</f>
        <v>#N/A</v>
      </c>
      <c r="I1971" s="6" t="e">
        <f>VLOOKUP(F1971,'Customer Info'!A1963:I2462,5,0)</f>
        <v>#N/A</v>
      </c>
      <c r="J1971" s="2">
        <v>2244</v>
      </c>
      <c r="K1971" s="2">
        <v>2143</v>
      </c>
      <c r="L1971" s="2">
        <v>1</v>
      </c>
      <c r="M1971" s="7">
        <f t="shared" si="120"/>
        <v>2143</v>
      </c>
      <c r="N1971" s="7">
        <f t="shared" si="121"/>
        <v>2244</v>
      </c>
      <c r="O1971" s="2">
        <v>35</v>
      </c>
      <c r="P1971" s="8">
        <f t="shared" si="122"/>
        <v>2279</v>
      </c>
      <c r="Q1971" s="8">
        <f t="shared" si="123"/>
        <v>2209</v>
      </c>
      <c r="R1971" s="2" t="s">
        <v>28</v>
      </c>
      <c r="S1971" s="9">
        <f>VLOOKUP(P1971,$T$2:U1968,2,1)</f>
        <v>0.02</v>
      </c>
    </row>
    <row r="1972" spans="1:19" x14ac:dyDescent="0.25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e">
        <f>VLOOKUP(F1972,'Customer Info'!A1964:I2463,2,0)</f>
        <v>#N/A</v>
      </c>
      <c r="H1972" s="6" t="e">
        <f>VLOOKUP(F1972,'Customer Info'!A1964:I2463,3,0)</f>
        <v>#N/A</v>
      </c>
      <c r="I1972" s="6" t="e">
        <f>VLOOKUP(F1972,'Customer Info'!A1964:I2463,5,0)</f>
        <v>#N/A</v>
      </c>
      <c r="J1972" s="2">
        <v>954</v>
      </c>
      <c r="K1972" s="2">
        <v>901</v>
      </c>
      <c r="L1972" s="2">
        <v>2</v>
      </c>
      <c r="M1972" s="7">
        <f t="shared" si="120"/>
        <v>1802</v>
      </c>
      <c r="N1972" s="7">
        <f t="shared" si="121"/>
        <v>1908</v>
      </c>
      <c r="O1972" s="2">
        <v>62</v>
      </c>
      <c r="P1972" s="8">
        <f t="shared" si="122"/>
        <v>1970</v>
      </c>
      <c r="Q1972" s="8">
        <f t="shared" si="123"/>
        <v>1846</v>
      </c>
      <c r="R1972" s="2" t="s">
        <v>28</v>
      </c>
      <c r="S1972" s="9">
        <f>VLOOKUP(P1972,$T$2:U1969,2,1)</f>
        <v>0.02</v>
      </c>
    </row>
    <row r="1973" spans="1:19" x14ac:dyDescent="0.25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e">
        <f>VLOOKUP(F1973,'Customer Info'!A1965:I2464,2,0)</f>
        <v>#N/A</v>
      </c>
      <c r="H1973" s="6" t="e">
        <f>VLOOKUP(F1973,'Customer Info'!A1965:I2464,3,0)</f>
        <v>#N/A</v>
      </c>
      <c r="I1973" s="6" t="e">
        <f>VLOOKUP(F1973,'Customer Info'!A1965:I2464,5,0)</f>
        <v>#N/A</v>
      </c>
      <c r="J1973" s="2">
        <v>140</v>
      </c>
      <c r="K1973" s="2">
        <v>137</v>
      </c>
      <c r="L1973" s="2">
        <v>4</v>
      </c>
      <c r="M1973" s="7">
        <f t="shared" si="120"/>
        <v>548</v>
      </c>
      <c r="N1973" s="7">
        <f t="shared" si="121"/>
        <v>560</v>
      </c>
      <c r="O1973" s="2">
        <v>30</v>
      </c>
      <c r="P1973" s="8">
        <f t="shared" si="122"/>
        <v>590</v>
      </c>
      <c r="Q1973" s="8">
        <f t="shared" si="123"/>
        <v>530</v>
      </c>
      <c r="R1973" s="2" t="s">
        <v>28</v>
      </c>
      <c r="S1973" s="9">
        <f>VLOOKUP(P1973,$T$2:U1970,2,1)</f>
        <v>0.02</v>
      </c>
    </row>
    <row r="1974" spans="1:19" x14ac:dyDescent="0.25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e">
        <f>VLOOKUP(F1974,'Customer Info'!A1966:I2465,2,0)</f>
        <v>#N/A</v>
      </c>
      <c r="H1974" s="6" t="e">
        <f>VLOOKUP(F1974,'Customer Info'!A1966:I2465,3,0)</f>
        <v>#N/A</v>
      </c>
      <c r="I1974" s="6" t="e">
        <f>VLOOKUP(F1974,'Customer Info'!A1966:I2465,5,0)</f>
        <v>#N/A</v>
      </c>
      <c r="J1974" s="2">
        <v>128</v>
      </c>
      <c r="K1974" s="2">
        <v>115</v>
      </c>
      <c r="L1974" s="2">
        <v>7</v>
      </c>
      <c r="M1974" s="7">
        <f t="shared" si="120"/>
        <v>805</v>
      </c>
      <c r="N1974" s="7">
        <f t="shared" si="121"/>
        <v>896</v>
      </c>
      <c r="O1974" s="2">
        <v>30</v>
      </c>
      <c r="P1974" s="8">
        <f t="shared" si="122"/>
        <v>926</v>
      </c>
      <c r="Q1974" s="8">
        <f t="shared" si="123"/>
        <v>866</v>
      </c>
      <c r="R1974" s="2" t="s">
        <v>28</v>
      </c>
      <c r="S1974" s="9">
        <f>VLOOKUP(P1974,$T$2:U1971,2,1)</f>
        <v>0.02</v>
      </c>
    </row>
    <row r="1975" spans="1:19" x14ac:dyDescent="0.25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e">
        <f>VLOOKUP(F1975,'Customer Info'!A1967:I2466,2,0)</f>
        <v>#N/A</v>
      </c>
      <c r="H1975" s="6" t="e">
        <f>VLOOKUP(F1975,'Customer Info'!A1967:I2466,3,0)</f>
        <v>#N/A</v>
      </c>
      <c r="I1975" s="6" t="e">
        <f>VLOOKUP(F1975,'Customer Info'!A1967:I2466,5,0)</f>
        <v>#N/A</v>
      </c>
      <c r="J1975" s="2">
        <v>27691</v>
      </c>
      <c r="K1975" s="2">
        <v>25616</v>
      </c>
      <c r="L1975" s="2">
        <v>3</v>
      </c>
      <c r="M1975" s="7">
        <f t="shared" si="120"/>
        <v>76848</v>
      </c>
      <c r="N1975" s="7">
        <f t="shared" si="121"/>
        <v>83073</v>
      </c>
      <c r="O1975" s="2">
        <v>75</v>
      </c>
      <c r="P1975" s="8">
        <f t="shared" si="122"/>
        <v>83148</v>
      </c>
      <c r="Q1975" s="8">
        <f t="shared" si="123"/>
        <v>82998</v>
      </c>
      <c r="R1975" s="2" t="s">
        <v>28</v>
      </c>
      <c r="S1975" s="9">
        <f>VLOOKUP(P1975,$T$2:U1972,2,1)</f>
        <v>0.09</v>
      </c>
    </row>
    <row r="1976" spans="1:19" x14ac:dyDescent="0.25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e">
        <f>VLOOKUP(F1976,'Customer Info'!A1968:I2467,2,0)</f>
        <v>#N/A</v>
      </c>
      <c r="H1976" s="6" t="e">
        <f>VLOOKUP(F1976,'Customer Info'!A1968:I2467,3,0)</f>
        <v>#N/A</v>
      </c>
      <c r="I1976" s="6" t="e">
        <f>VLOOKUP(F1976,'Customer Info'!A1968:I2467,5,0)</f>
        <v>#N/A</v>
      </c>
      <c r="J1976" s="2">
        <v>1246</v>
      </c>
      <c r="K1976" s="2">
        <v>1164</v>
      </c>
      <c r="L1976" s="2">
        <v>1</v>
      </c>
      <c r="M1976" s="7">
        <f t="shared" si="120"/>
        <v>1164</v>
      </c>
      <c r="N1976" s="7">
        <f t="shared" si="121"/>
        <v>1246</v>
      </c>
      <c r="O1976" s="2">
        <v>58</v>
      </c>
      <c r="P1976" s="8">
        <f t="shared" si="122"/>
        <v>1304</v>
      </c>
      <c r="Q1976" s="8">
        <f t="shared" si="123"/>
        <v>1188</v>
      </c>
      <c r="R1976" s="2" t="s">
        <v>50</v>
      </c>
      <c r="S1976" s="9">
        <f>VLOOKUP(P1976,$T$2:U1973,2,1)</f>
        <v>0.02</v>
      </c>
    </row>
    <row r="1977" spans="1:19" x14ac:dyDescent="0.25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e">
        <f>VLOOKUP(F1977,'Customer Info'!A1969:I2468,2,0)</f>
        <v>#N/A</v>
      </c>
      <c r="H1977" s="6" t="e">
        <f>VLOOKUP(F1977,'Customer Info'!A1969:I2468,3,0)</f>
        <v>#N/A</v>
      </c>
      <c r="I1977" s="6" t="e">
        <f>VLOOKUP(F1977,'Customer Info'!A1969:I2468,5,0)</f>
        <v>#N/A</v>
      </c>
      <c r="J1977" s="2">
        <v>1772</v>
      </c>
      <c r="K1977" s="2">
        <v>1656</v>
      </c>
      <c r="L1977" s="2">
        <v>3</v>
      </c>
      <c r="M1977" s="7">
        <f t="shared" si="120"/>
        <v>4968</v>
      </c>
      <c r="N1977" s="7">
        <f t="shared" si="121"/>
        <v>5316</v>
      </c>
      <c r="O1977" s="2">
        <v>67</v>
      </c>
      <c r="P1977" s="8">
        <f t="shared" si="122"/>
        <v>5383</v>
      </c>
      <c r="Q1977" s="8">
        <f t="shared" si="123"/>
        <v>5249</v>
      </c>
      <c r="R1977" s="2" t="s">
        <v>28</v>
      </c>
      <c r="S1977" s="9">
        <f>VLOOKUP(P1977,$T$2:U1974,2,1)</f>
        <v>0.05</v>
      </c>
    </row>
    <row r="1978" spans="1:19" x14ac:dyDescent="0.25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e">
        <f>VLOOKUP(F1978,'Customer Info'!A1970:I2469,2,0)</f>
        <v>#N/A</v>
      </c>
      <c r="H1978" s="6" t="e">
        <f>VLOOKUP(F1978,'Customer Info'!A1970:I2469,3,0)</f>
        <v>#N/A</v>
      </c>
      <c r="I1978" s="6" t="e">
        <f>VLOOKUP(F1978,'Customer Info'!A1970:I2469,5,0)</f>
        <v>#N/A</v>
      </c>
      <c r="J1978" s="2">
        <v>392</v>
      </c>
      <c r="K1978" s="2">
        <v>356</v>
      </c>
      <c r="L1978" s="2">
        <v>3</v>
      </c>
      <c r="M1978" s="7">
        <f t="shared" si="120"/>
        <v>1068</v>
      </c>
      <c r="N1978" s="7">
        <f t="shared" si="121"/>
        <v>1176</v>
      </c>
      <c r="O1978" s="2">
        <v>58</v>
      </c>
      <c r="P1978" s="8">
        <f t="shared" si="122"/>
        <v>1234</v>
      </c>
      <c r="Q1978" s="8">
        <f t="shared" si="123"/>
        <v>1118</v>
      </c>
      <c r="R1978" s="2" t="s">
        <v>50</v>
      </c>
      <c r="S1978" s="9">
        <f>VLOOKUP(P1978,$T$2:U1975,2,1)</f>
        <v>0.02</v>
      </c>
    </row>
    <row r="1979" spans="1:19" x14ac:dyDescent="0.25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e">
        <f>VLOOKUP(F1979,'Customer Info'!A1971:I2470,2,0)</f>
        <v>#N/A</v>
      </c>
      <c r="H1979" s="6" t="e">
        <f>VLOOKUP(F1979,'Customer Info'!A1971:I2470,3,0)</f>
        <v>#N/A</v>
      </c>
      <c r="I1979" s="6" t="e">
        <f>VLOOKUP(F1979,'Customer Info'!A1971:I2470,5,0)</f>
        <v>#N/A</v>
      </c>
      <c r="J1979" s="2">
        <v>7065</v>
      </c>
      <c r="K1979" s="2">
        <v>6545</v>
      </c>
      <c r="L1979" s="2">
        <v>4</v>
      </c>
      <c r="M1979" s="7">
        <f t="shared" si="120"/>
        <v>26180</v>
      </c>
      <c r="N1979" s="7">
        <f t="shared" si="121"/>
        <v>28260</v>
      </c>
      <c r="O1979" s="2">
        <v>63</v>
      </c>
      <c r="P1979" s="8">
        <f t="shared" si="122"/>
        <v>28323</v>
      </c>
      <c r="Q1979" s="8">
        <f t="shared" si="123"/>
        <v>28197</v>
      </c>
      <c r="R1979" s="2" t="s">
        <v>56</v>
      </c>
      <c r="S1979" s="9">
        <f>VLOOKUP(P1979,$T$2:U1976,2,1)</f>
        <v>7.0000000000000007E-2</v>
      </c>
    </row>
    <row r="1980" spans="1:19" x14ac:dyDescent="0.25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e">
        <f>VLOOKUP(F1980,'Customer Info'!A1972:I2471,2,0)</f>
        <v>#N/A</v>
      </c>
      <c r="H1980" s="6" t="e">
        <f>VLOOKUP(F1980,'Customer Info'!A1972:I2471,3,0)</f>
        <v>#N/A</v>
      </c>
      <c r="I1980" s="6" t="e">
        <f>VLOOKUP(F1980,'Customer Info'!A1972:I2471,5,0)</f>
        <v>#N/A</v>
      </c>
      <c r="J1980" s="2">
        <v>167</v>
      </c>
      <c r="K1980" s="2">
        <v>155</v>
      </c>
      <c r="L1980" s="2">
        <v>2</v>
      </c>
      <c r="M1980" s="7">
        <f t="shared" si="120"/>
        <v>310</v>
      </c>
      <c r="N1980" s="7">
        <f t="shared" si="121"/>
        <v>334</v>
      </c>
      <c r="O1980" s="2">
        <v>30</v>
      </c>
      <c r="P1980" s="8">
        <f t="shared" si="122"/>
        <v>364</v>
      </c>
      <c r="Q1980" s="8">
        <f t="shared" si="123"/>
        <v>304</v>
      </c>
      <c r="R1980" s="2" t="s">
        <v>28</v>
      </c>
      <c r="S1980" s="9">
        <f>VLOOKUP(P1980,$T$2:U1977,2,1)</f>
        <v>0.02</v>
      </c>
    </row>
    <row r="1981" spans="1:19" x14ac:dyDescent="0.25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e">
        <f>VLOOKUP(F1981,'Customer Info'!A1973:I2472,2,0)</f>
        <v>#N/A</v>
      </c>
      <c r="H1981" s="6" t="e">
        <f>VLOOKUP(F1981,'Customer Info'!A1973:I2472,3,0)</f>
        <v>#N/A</v>
      </c>
      <c r="I1981" s="6" t="e">
        <f>VLOOKUP(F1981,'Customer Info'!A1973:I2472,5,0)</f>
        <v>#N/A</v>
      </c>
      <c r="J1981" s="2">
        <v>1654</v>
      </c>
      <c r="K1981" s="2">
        <v>1577</v>
      </c>
      <c r="L1981" s="2">
        <v>5</v>
      </c>
      <c r="M1981" s="7">
        <f t="shared" si="120"/>
        <v>7885</v>
      </c>
      <c r="N1981" s="7">
        <f t="shared" si="121"/>
        <v>8270</v>
      </c>
      <c r="O1981" s="2">
        <v>21</v>
      </c>
      <c r="P1981" s="8">
        <f t="shared" si="122"/>
        <v>8291</v>
      </c>
      <c r="Q1981" s="8">
        <f t="shared" si="123"/>
        <v>8249</v>
      </c>
      <c r="R1981" s="2" t="s">
        <v>26</v>
      </c>
      <c r="S1981" s="9">
        <f>VLOOKUP(P1981,$T$2:U1978,2,1)</f>
        <v>0.05</v>
      </c>
    </row>
    <row r="1982" spans="1:19" x14ac:dyDescent="0.25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e">
        <f>VLOOKUP(F1982,'Customer Info'!A1974:I2473,2,0)</f>
        <v>#N/A</v>
      </c>
      <c r="H1982" s="6" t="e">
        <f>VLOOKUP(F1982,'Customer Info'!A1974:I2473,3,0)</f>
        <v>#N/A</v>
      </c>
      <c r="I1982" s="6" t="e">
        <f>VLOOKUP(F1982,'Customer Info'!A1974:I2473,5,0)</f>
        <v>#N/A</v>
      </c>
      <c r="J1982" s="2">
        <v>2697</v>
      </c>
      <c r="K1982" s="2">
        <v>2498</v>
      </c>
      <c r="L1982" s="2">
        <v>4</v>
      </c>
      <c r="M1982" s="7">
        <f t="shared" si="120"/>
        <v>9992</v>
      </c>
      <c r="N1982" s="7">
        <f t="shared" si="121"/>
        <v>10788</v>
      </c>
      <c r="O1982" s="2">
        <v>90</v>
      </c>
      <c r="P1982" s="8">
        <f t="shared" si="122"/>
        <v>10878</v>
      </c>
      <c r="Q1982" s="8">
        <f t="shared" si="123"/>
        <v>10698</v>
      </c>
      <c r="R1982" s="2" t="s">
        <v>56</v>
      </c>
      <c r="S1982" s="9">
        <f>VLOOKUP(P1982,$T$2:U1979,2,1)</f>
        <v>0.05</v>
      </c>
    </row>
    <row r="1983" spans="1:19" x14ac:dyDescent="0.25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e">
        <f>VLOOKUP(F1983,'Customer Info'!A1975:I2474,2,0)</f>
        <v>#N/A</v>
      </c>
      <c r="H1983" s="6" t="e">
        <f>VLOOKUP(F1983,'Customer Info'!A1975:I2474,3,0)</f>
        <v>#N/A</v>
      </c>
      <c r="I1983" s="6" t="e">
        <f>VLOOKUP(F1983,'Customer Info'!A1975:I2474,5,0)</f>
        <v>#N/A</v>
      </c>
      <c r="J1983" s="2">
        <v>2857</v>
      </c>
      <c r="K1983" s="2">
        <v>2622</v>
      </c>
      <c r="L1983" s="2">
        <v>1</v>
      </c>
      <c r="M1983" s="7">
        <f t="shared" si="120"/>
        <v>2622</v>
      </c>
      <c r="N1983" s="7">
        <f t="shared" si="121"/>
        <v>2857</v>
      </c>
      <c r="O1983" s="2">
        <v>85</v>
      </c>
      <c r="P1983" s="8">
        <f t="shared" si="122"/>
        <v>2942</v>
      </c>
      <c r="Q1983" s="8">
        <f t="shared" si="123"/>
        <v>2772</v>
      </c>
      <c r="R1983" s="2" t="s">
        <v>28</v>
      </c>
      <c r="S1983" s="9">
        <f>VLOOKUP(P1983,$T$2:U1980,2,1)</f>
        <v>0.02</v>
      </c>
    </row>
    <row r="1984" spans="1:19" x14ac:dyDescent="0.25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e">
        <f>VLOOKUP(F1984,'Customer Info'!A1976:I2475,2,0)</f>
        <v>#N/A</v>
      </c>
      <c r="H1984" s="6" t="e">
        <f>VLOOKUP(F1984,'Customer Info'!A1976:I2475,3,0)</f>
        <v>#N/A</v>
      </c>
      <c r="I1984" s="6" t="e">
        <f>VLOOKUP(F1984,'Customer Info'!A1976:I2475,5,0)</f>
        <v>#N/A</v>
      </c>
      <c r="J1984" s="2">
        <v>2466</v>
      </c>
      <c r="K1984" s="2">
        <v>2327</v>
      </c>
      <c r="L1984" s="2">
        <v>3</v>
      </c>
      <c r="M1984" s="7">
        <f t="shared" si="120"/>
        <v>6981</v>
      </c>
      <c r="N1984" s="7">
        <f t="shared" si="121"/>
        <v>7398</v>
      </c>
      <c r="O1984" s="2">
        <v>99</v>
      </c>
      <c r="P1984" s="8">
        <f t="shared" si="122"/>
        <v>7497</v>
      </c>
      <c r="Q1984" s="8">
        <f t="shared" si="123"/>
        <v>7299</v>
      </c>
      <c r="R1984" s="2" t="s">
        <v>28</v>
      </c>
      <c r="S1984" s="9">
        <f>VLOOKUP(P1984,$T$2:U1981,2,1)</f>
        <v>0.05</v>
      </c>
    </row>
    <row r="1985" spans="1:19" x14ac:dyDescent="0.25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e">
        <f>VLOOKUP(F1985,'Customer Info'!A1977:I2476,2,0)</f>
        <v>#N/A</v>
      </c>
      <c r="H1985" s="6" t="e">
        <f>VLOOKUP(F1985,'Customer Info'!A1977:I2476,3,0)</f>
        <v>#N/A</v>
      </c>
      <c r="I1985" s="6" t="e">
        <f>VLOOKUP(F1985,'Customer Info'!A1977:I2476,5,0)</f>
        <v>#N/A</v>
      </c>
      <c r="J1985" s="2">
        <v>3091</v>
      </c>
      <c r="K1985" s="2">
        <v>2889</v>
      </c>
      <c r="L1985" s="2">
        <v>4</v>
      </c>
      <c r="M1985" s="7">
        <f t="shared" si="120"/>
        <v>11556</v>
      </c>
      <c r="N1985" s="7">
        <f t="shared" si="121"/>
        <v>12364</v>
      </c>
      <c r="O1985" s="2">
        <v>64</v>
      </c>
      <c r="P1985" s="8">
        <f t="shared" si="122"/>
        <v>12428</v>
      </c>
      <c r="Q1985" s="8">
        <f t="shared" si="123"/>
        <v>12300</v>
      </c>
      <c r="R1985" s="2" t="s">
        <v>50</v>
      </c>
      <c r="S1985" s="9">
        <f>VLOOKUP(P1985,$T$2:U1982,2,1)</f>
        <v>0.05</v>
      </c>
    </row>
    <row r="1986" spans="1:19" x14ac:dyDescent="0.25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e">
        <f>VLOOKUP(F1986,'Customer Info'!A1978:I2477,2,0)</f>
        <v>#N/A</v>
      </c>
      <c r="H1986" s="6" t="e">
        <f>VLOOKUP(F1986,'Customer Info'!A1978:I2477,3,0)</f>
        <v>#N/A</v>
      </c>
      <c r="I1986" s="6" t="e">
        <f>VLOOKUP(F1986,'Customer Info'!A1978:I2477,5,0)</f>
        <v>#N/A</v>
      </c>
      <c r="J1986" s="2">
        <v>2540</v>
      </c>
      <c r="K1986" s="2">
        <v>2397</v>
      </c>
      <c r="L1986" s="2">
        <v>1</v>
      </c>
      <c r="M1986" s="7">
        <f t="shared" si="120"/>
        <v>2397</v>
      </c>
      <c r="N1986" s="7">
        <f t="shared" si="121"/>
        <v>2540</v>
      </c>
      <c r="O1986" s="2">
        <v>37</v>
      </c>
      <c r="P1986" s="8">
        <f t="shared" si="122"/>
        <v>2577</v>
      </c>
      <c r="Q1986" s="8">
        <f t="shared" si="123"/>
        <v>2503</v>
      </c>
      <c r="R1986" s="2" t="s">
        <v>28</v>
      </c>
      <c r="S1986" s="9">
        <f>VLOOKUP(P1986,$T$2:U1983,2,1)</f>
        <v>0.02</v>
      </c>
    </row>
    <row r="1987" spans="1:19" x14ac:dyDescent="0.25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e">
        <f>VLOOKUP(F1987,'Customer Info'!A1979:I2478,2,0)</f>
        <v>#N/A</v>
      </c>
      <c r="H1987" s="6" t="e">
        <f>VLOOKUP(F1987,'Customer Info'!A1979:I2478,3,0)</f>
        <v>#N/A</v>
      </c>
      <c r="I1987" s="6" t="e">
        <f>VLOOKUP(F1987,'Customer Info'!A1979:I2478,5,0)</f>
        <v>#N/A</v>
      </c>
      <c r="J1987" s="2">
        <v>2273</v>
      </c>
      <c r="K1987" s="2">
        <v>2229</v>
      </c>
      <c r="L1987" s="2">
        <v>3</v>
      </c>
      <c r="M1987" s="7">
        <f t="shared" si="120"/>
        <v>6687</v>
      </c>
      <c r="N1987" s="7">
        <f t="shared" si="121"/>
        <v>6819</v>
      </c>
      <c r="O1987" s="2">
        <v>49</v>
      </c>
      <c r="P1987" s="8">
        <f t="shared" si="122"/>
        <v>6868</v>
      </c>
      <c r="Q1987" s="8">
        <f t="shared" si="123"/>
        <v>6770</v>
      </c>
      <c r="R1987" s="2" t="s">
        <v>50</v>
      </c>
      <c r="S1987" s="9">
        <f>VLOOKUP(P1987,$T$2:U1984,2,1)</f>
        <v>0.05</v>
      </c>
    </row>
    <row r="1988" spans="1:19" x14ac:dyDescent="0.25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e">
        <f>VLOOKUP(F1988,'Customer Info'!A1980:I2479,2,0)</f>
        <v>#N/A</v>
      </c>
      <c r="H1988" s="6" t="e">
        <f>VLOOKUP(F1988,'Customer Info'!A1980:I2479,3,0)</f>
        <v>#N/A</v>
      </c>
      <c r="I1988" s="6" t="e">
        <f>VLOOKUP(F1988,'Customer Info'!A1980:I2479,5,0)</f>
        <v>#N/A</v>
      </c>
      <c r="J1988" s="2">
        <v>142</v>
      </c>
      <c r="K1988" s="2">
        <v>134</v>
      </c>
      <c r="L1988" s="2">
        <v>3</v>
      </c>
      <c r="M1988" s="7">
        <f t="shared" si="120"/>
        <v>402</v>
      </c>
      <c r="N1988" s="7">
        <f t="shared" si="121"/>
        <v>426</v>
      </c>
      <c r="O1988" s="2">
        <v>30</v>
      </c>
      <c r="P1988" s="8">
        <f t="shared" si="122"/>
        <v>456</v>
      </c>
      <c r="Q1988" s="8">
        <f t="shared" si="123"/>
        <v>396</v>
      </c>
      <c r="R1988" s="2" t="s">
        <v>28</v>
      </c>
      <c r="S1988" s="9">
        <f>VLOOKUP(P1988,$T$2:U1985,2,1)</f>
        <v>0.02</v>
      </c>
    </row>
    <row r="1989" spans="1:19" x14ac:dyDescent="0.25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e">
        <f>VLOOKUP(F1989,'Customer Info'!A1981:I2480,2,0)</f>
        <v>#N/A</v>
      </c>
      <c r="H1989" s="6" t="e">
        <f>VLOOKUP(F1989,'Customer Info'!A1981:I2480,3,0)</f>
        <v>#N/A</v>
      </c>
      <c r="I1989" s="6" t="e">
        <f>VLOOKUP(F1989,'Customer Info'!A1981:I2480,5,0)</f>
        <v>#N/A</v>
      </c>
      <c r="J1989" s="2">
        <v>8281</v>
      </c>
      <c r="K1989" s="2">
        <v>7673</v>
      </c>
      <c r="L1989" s="2">
        <v>1</v>
      </c>
      <c r="M1989" s="7">
        <f t="shared" si="120"/>
        <v>7673</v>
      </c>
      <c r="N1989" s="7">
        <f t="shared" si="121"/>
        <v>8281</v>
      </c>
      <c r="O1989" s="2">
        <v>51</v>
      </c>
      <c r="P1989" s="8">
        <f t="shared" si="122"/>
        <v>8332</v>
      </c>
      <c r="Q1989" s="8">
        <f t="shared" si="123"/>
        <v>8230</v>
      </c>
      <c r="R1989" s="2" t="s">
        <v>28</v>
      </c>
      <c r="S1989" s="9">
        <f>VLOOKUP(P1989,$T$2:U1986,2,1)</f>
        <v>0.05</v>
      </c>
    </row>
    <row r="1990" spans="1:19" x14ac:dyDescent="0.25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e">
        <f>VLOOKUP(F1990,'Customer Info'!A1982:I2481,2,0)</f>
        <v>#N/A</v>
      </c>
      <c r="H1990" s="6" t="e">
        <f>VLOOKUP(F1990,'Customer Info'!A1982:I2481,3,0)</f>
        <v>#N/A</v>
      </c>
      <c r="I1990" s="6" t="e">
        <f>VLOOKUP(F1990,'Customer Info'!A1982:I2481,5,0)</f>
        <v>#N/A</v>
      </c>
      <c r="J1990" s="2">
        <v>1413</v>
      </c>
      <c r="K1990" s="2">
        <v>1334</v>
      </c>
      <c r="L1990" s="2">
        <v>3</v>
      </c>
      <c r="M1990" s="7">
        <f t="shared" si="120"/>
        <v>4002</v>
      </c>
      <c r="N1990" s="7">
        <f t="shared" si="121"/>
        <v>4239</v>
      </c>
      <c r="O1990" s="2">
        <v>42</v>
      </c>
      <c r="P1990" s="8">
        <f t="shared" si="122"/>
        <v>4281</v>
      </c>
      <c r="Q1990" s="8">
        <f t="shared" si="123"/>
        <v>4197</v>
      </c>
      <c r="R1990" s="2" t="s">
        <v>28</v>
      </c>
      <c r="S1990" s="9">
        <f>VLOOKUP(P1990,$T$2:U1987,2,1)</f>
        <v>0.02</v>
      </c>
    </row>
    <row r="1991" spans="1:19" x14ac:dyDescent="0.25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e">
        <f>VLOOKUP(F1991,'Customer Info'!A1983:I2482,2,0)</f>
        <v>#N/A</v>
      </c>
      <c r="H1991" s="6" t="e">
        <f>VLOOKUP(F1991,'Customer Info'!A1983:I2482,3,0)</f>
        <v>#N/A</v>
      </c>
      <c r="I1991" s="6" t="e">
        <f>VLOOKUP(F1991,'Customer Info'!A1983:I2482,5,0)</f>
        <v>#N/A</v>
      </c>
      <c r="J1991" s="2">
        <v>3192</v>
      </c>
      <c r="K1991" s="2">
        <v>3011</v>
      </c>
      <c r="L1991" s="2">
        <v>2</v>
      </c>
      <c r="M1991" s="7">
        <f t="shared" si="120"/>
        <v>6022</v>
      </c>
      <c r="N1991" s="7">
        <f t="shared" si="121"/>
        <v>6384</v>
      </c>
      <c r="O1991" s="2">
        <v>97</v>
      </c>
      <c r="P1991" s="8">
        <f t="shared" si="122"/>
        <v>6481</v>
      </c>
      <c r="Q1991" s="8">
        <f t="shared" si="123"/>
        <v>6287</v>
      </c>
      <c r="R1991" s="2" t="s">
        <v>28</v>
      </c>
      <c r="S1991" s="9">
        <f>VLOOKUP(P1991,$T$2:U1988,2,1)</f>
        <v>0.05</v>
      </c>
    </row>
    <row r="1992" spans="1:19" x14ac:dyDescent="0.25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e">
        <f>VLOOKUP(F1992,'Customer Info'!A1984:I2483,2,0)</f>
        <v>#N/A</v>
      </c>
      <c r="H1992" s="6" t="e">
        <f>VLOOKUP(F1992,'Customer Info'!A1984:I2483,3,0)</f>
        <v>#N/A</v>
      </c>
      <c r="I1992" s="6" t="e">
        <f>VLOOKUP(F1992,'Customer Info'!A1984:I2483,5,0)</f>
        <v>#N/A</v>
      </c>
      <c r="J1992" s="2">
        <v>2759</v>
      </c>
      <c r="K1992" s="2">
        <v>2628</v>
      </c>
      <c r="L1992" s="2">
        <v>2</v>
      </c>
      <c r="M1992" s="7">
        <f t="shared" si="120"/>
        <v>5256</v>
      </c>
      <c r="N1992" s="7">
        <f t="shared" si="121"/>
        <v>5518</v>
      </c>
      <c r="O1992" s="2">
        <v>26</v>
      </c>
      <c r="P1992" s="8">
        <f t="shared" si="122"/>
        <v>5544</v>
      </c>
      <c r="Q1992" s="8">
        <f t="shared" si="123"/>
        <v>5492</v>
      </c>
      <c r="R1992" s="2" t="s">
        <v>28</v>
      </c>
      <c r="S1992" s="9">
        <f>VLOOKUP(P1992,$T$2:U1989,2,1)</f>
        <v>0.05</v>
      </c>
    </row>
    <row r="1993" spans="1:19" x14ac:dyDescent="0.25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e">
        <f>VLOOKUP(F1993,'Customer Info'!A1985:I2484,2,0)</f>
        <v>#N/A</v>
      </c>
      <c r="H1993" s="6" t="e">
        <f>VLOOKUP(F1993,'Customer Info'!A1985:I2484,3,0)</f>
        <v>#N/A</v>
      </c>
      <c r="I1993" s="6" t="e">
        <f>VLOOKUP(F1993,'Customer Info'!A1985:I2484,5,0)</f>
        <v>#N/A</v>
      </c>
      <c r="J1993" s="2">
        <v>90</v>
      </c>
      <c r="K1993" s="2">
        <v>81</v>
      </c>
      <c r="L1993" s="2">
        <v>1</v>
      </c>
      <c r="M1993" s="7">
        <f t="shared" si="120"/>
        <v>81</v>
      </c>
      <c r="N1993" s="7">
        <f t="shared" si="121"/>
        <v>90</v>
      </c>
      <c r="O1993" s="2">
        <v>10</v>
      </c>
      <c r="P1993" s="8">
        <f t="shared" si="122"/>
        <v>100</v>
      </c>
      <c r="Q1993" s="8">
        <f t="shared" si="123"/>
        <v>80</v>
      </c>
      <c r="R1993" s="2" t="s">
        <v>28</v>
      </c>
      <c r="S1993" s="9">
        <f>VLOOKUP(P1993,$T$2:U1990,2,1)</f>
        <v>0.02</v>
      </c>
    </row>
    <row r="1994" spans="1:19" x14ac:dyDescent="0.25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e">
        <f>VLOOKUP(F1994,'Customer Info'!A1986:I2485,2,0)</f>
        <v>#N/A</v>
      </c>
      <c r="H1994" s="6" t="e">
        <f>VLOOKUP(F1994,'Customer Info'!A1986:I2485,3,0)</f>
        <v>#N/A</v>
      </c>
      <c r="I1994" s="6" t="e">
        <f>VLOOKUP(F1994,'Customer Info'!A1986:I2485,5,0)</f>
        <v>#N/A</v>
      </c>
      <c r="J1994" s="2">
        <v>69</v>
      </c>
      <c r="K1994" s="2">
        <v>64</v>
      </c>
      <c r="L1994" s="2">
        <v>1</v>
      </c>
      <c r="M1994" s="7">
        <f t="shared" si="120"/>
        <v>64</v>
      </c>
      <c r="N1994" s="7">
        <f t="shared" si="121"/>
        <v>69</v>
      </c>
      <c r="O1994" s="2">
        <v>10</v>
      </c>
      <c r="P1994" s="8">
        <f t="shared" si="122"/>
        <v>79</v>
      </c>
      <c r="Q1994" s="8">
        <f t="shared" si="123"/>
        <v>59</v>
      </c>
      <c r="R1994" s="2" t="s">
        <v>28</v>
      </c>
      <c r="S1994" s="9">
        <f>VLOOKUP(P1994,$T$2:U1991,2,1)</f>
        <v>0.02</v>
      </c>
    </row>
    <row r="1995" spans="1:19" x14ac:dyDescent="0.25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e">
        <f>VLOOKUP(F1995,'Customer Info'!A1987:I2486,2,0)</f>
        <v>#N/A</v>
      </c>
      <c r="H1995" s="6" t="e">
        <f>VLOOKUP(F1995,'Customer Info'!A1987:I2486,3,0)</f>
        <v>#N/A</v>
      </c>
      <c r="I1995" s="6" t="e">
        <f>VLOOKUP(F1995,'Customer Info'!A1987:I2486,5,0)</f>
        <v>#N/A</v>
      </c>
      <c r="J1995" s="2">
        <v>37949</v>
      </c>
      <c r="K1995" s="2">
        <v>34816</v>
      </c>
      <c r="L1995" s="2">
        <v>1</v>
      </c>
      <c r="M1995" s="7">
        <f t="shared" ref="M1995:M2058" si="124">K1995*L1995</f>
        <v>34816</v>
      </c>
      <c r="N1995" s="7">
        <f t="shared" ref="N1995:N2058" si="125">J1995*L1995</f>
        <v>37949</v>
      </c>
      <c r="O1995" s="2">
        <v>25</v>
      </c>
      <c r="P1995" s="8">
        <f t="shared" ref="P1995:P2058" si="126">SUM(N1995,O1995)</f>
        <v>37974</v>
      </c>
      <c r="Q1995" s="8">
        <f t="shared" ref="Q1995:Q2058" si="127">N1995-O1995</f>
        <v>37924</v>
      </c>
      <c r="R1995" s="2" t="s">
        <v>28</v>
      </c>
      <c r="S1995" s="9">
        <f>VLOOKUP(P1995,$T$2:U1992,2,1)</f>
        <v>7.0000000000000007E-2</v>
      </c>
    </row>
    <row r="1996" spans="1:19" x14ac:dyDescent="0.25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e">
        <f>VLOOKUP(F1996,'Customer Info'!A1988:I2487,2,0)</f>
        <v>#N/A</v>
      </c>
      <c r="H1996" s="6" t="e">
        <f>VLOOKUP(F1996,'Customer Info'!A1988:I2487,3,0)</f>
        <v>#N/A</v>
      </c>
      <c r="I1996" s="6" t="e">
        <f>VLOOKUP(F1996,'Customer Info'!A1988:I2487,5,0)</f>
        <v>#N/A</v>
      </c>
      <c r="J1996" s="2">
        <v>1564</v>
      </c>
      <c r="K1996" s="2">
        <v>1420</v>
      </c>
      <c r="L1996" s="2">
        <v>7</v>
      </c>
      <c r="M1996" s="7">
        <f t="shared" si="124"/>
        <v>9940</v>
      </c>
      <c r="N1996" s="7">
        <f t="shared" si="125"/>
        <v>10948</v>
      </c>
      <c r="O1996" s="2">
        <v>95</v>
      </c>
      <c r="P1996" s="8">
        <f t="shared" si="126"/>
        <v>11043</v>
      </c>
      <c r="Q1996" s="8">
        <f t="shared" si="127"/>
        <v>10853</v>
      </c>
      <c r="R1996" s="2" t="s">
        <v>28</v>
      </c>
      <c r="S1996" s="9">
        <f>VLOOKUP(P1996,$T$2:U1993,2,1)</f>
        <v>0.05</v>
      </c>
    </row>
    <row r="1997" spans="1:19" x14ac:dyDescent="0.25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e">
        <f>VLOOKUP(F1997,'Customer Info'!A1989:I2488,2,0)</f>
        <v>#N/A</v>
      </c>
      <c r="H1997" s="6" t="e">
        <f>VLOOKUP(F1997,'Customer Info'!A1989:I2488,3,0)</f>
        <v>#N/A</v>
      </c>
      <c r="I1997" s="6" t="e">
        <f>VLOOKUP(F1997,'Customer Info'!A1989:I2488,5,0)</f>
        <v>#N/A</v>
      </c>
      <c r="J1997" s="2">
        <v>954</v>
      </c>
      <c r="K1997" s="2">
        <v>901</v>
      </c>
      <c r="L1997" s="2">
        <v>2</v>
      </c>
      <c r="M1997" s="7">
        <f t="shared" si="124"/>
        <v>1802</v>
      </c>
      <c r="N1997" s="7">
        <f t="shared" si="125"/>
        <v>1908</v>
      </c>
      <c r="O1997" s="2">
        <v>62</v>
      </c>
      <c r="P1997" s="8">
        <f t="shared" si="126"/>
        <v>1970</v>
      </c>
      <c r="Q1997" s="8">
        <f t="shared" si="127"/>
        <v>1846</v>
      </c>
      <c r="R1997" s="2" t="s">
        <v>56</v>
      </c>
      <c r="S1997" s="9">
        <f>VLOOKUP(P1997,$T$2:U1994,2,1)</f>
        <v>0.02</v>
      </c>
    </row>
    <row r="1998" spans="1:19" x14ac:dyDescent="0.25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e">
        <f>VLOOKUP(F1998,'Customer Info'!A1990:I2489,2,0)</f>
        <v>#N/A</v>
      </c>
      <c r="H1998" s="6" t="e">
        <f>VLOOKUP(F1998,'Customer Info'!A1990:I2489,3,0)</f>
        <v>#N/A</v>
      </c>
      <c r="I1998" s="6" t="e">
        <f>VLOOKUP(F1998,'Customer Info'!A1990:I2489,5,0)</f>
        <v>#N/A</v>
      </c>
      <c r="J1998" s="2">
        <v>1405</v>
      </c>
      <c r="K1998" s="2">
        <v>1287</v>
      </c>
      <c r="L1998" s="2">
        <v>3</v>
      </c>
      <c r="M1998" s="7">
        <f t="shared" si="124"/>
        <v>3861</v>
      </c>
      <c r="N1998" s="7">
        <f t="shared" si="125"/>
        <v>4215</v>
      </c>
      <c r="O1998" s="2">
        <v>25</v>
      </c>
      <c r="P1998" s="8">
        <f t="shared" si="126"/>
        <v>4240</v>
      </c>
      <c r="Q1998" s="8">
        <f t="shared" si="127"/>
        <v>4190</v>
      </c>
      <c r="R1998" s="2" t="s">
        <v>28</v>
      </c>
      <c r="S1998" s="9">
        <f>VLOOKUP(P1998,$T$2:U1995,2,1)</f>
        <v>0.02</v>
      </c>
    </row>
    <row r="1999" spans="1:19" x14ac:dyDescent="0.25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e">
        <f>VLOOKUP(F1999,'Customer Info'!A1991:I2490,2,0)</f>
        <v>#N/A</v>
      </c>
      <c r="H1999" s="6" t="e">
        <f>VLOOKUP(F1999,'Customer Info'!A1991:I2490,3,0)</f>
        <v>#N/A</v>
      </c>
      <c r="I1999" s="6" t="e">
        <f>VLOOKUP(F1999,'Customer Info'!A1991:I2490,5,0)</f>
        <v>#N/A</v>
      </c>
      <c r="J1999" s="2">
        <v>214</v>
      </c>
      <c r="K1999" s="2">
        <v>199</v>
      </c>
      <c r="L1999" s="2">
        <v>3</v>
      </c>
      <c r="M1999" s="7">
        <f t="shared" si="124"/>
        <v>597</v>
      </c>
      <c r="N1999" s="7">
        <f t="shared" si="125"/>
        <v>642</v>
      </c>
      <c r="O1999" s="2">
        <v>99</v>
      </c>
      <c r="P1999" s="8">
        <f t="shared" si="126"/>
        <v>741</v>
      </c>
      <c r="Q1999" s="8">
        <f t="shared" si="127"/>
        <v>543</v>
      </c>
      <c r="R1999" s="2" t="s">
        <v>50</v>
      </c>
      <c r="S1999" s="9">
        <f>VLOOKUP(P1999,$T$2:U1996,2,1)</f>
        <v>0.02</v>
      </c>
    </row>
    <row r="2000" spans="1:19" x14ac:dyDescent="0.25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e">
        <f>VLOOKUP(F2000,'Customer Info'!A1992:I2491,2,0)</f>
        <v>#N/A</v>
      </c>
      <c r="H2000" s="6" t="e">
        <f>VLOOKUP(F2000,'Customer Info'!A1992:I2491,3,0)</f>
        <v>#N/A</v>
      </c>
      <c r="I2000" s="6" t="e">
        <f>VLOOKUP(F2000,'Customer Info'!A1992:I2491,5,0)</f>
        <v>#N/A</v>
      </c>
      <c r="J2000" s="2">
        <v>693</v>
      </c>
      <c r="K2000" s="2">
        <v>667</v>
      </c>
      <c r="L2000" s="2">
        <v>8</v>
      </c>
      <c r="M2000" s="7">
        <f t="shared" si="124"/>
        <v>5336</v>
      </c>
      <c r="N2000" s="7">
        <f t="shared" si="125"/>
        <v>5544</v>
      </c>
      <c r="O2000" s="2">
        <v>95</v>
      </c>
      <c r="P2000" s="8">
        <f t="shared" si="126"/>
        <v>5639</v>
      </c>
      <c r="Q2000" s="8">
        <f t="shared" si="127"/>
        <v>5449</v>
      </c>
      <c r="R2000" s="2" t="s">
        <v>28</v>
      </c>
      <c r="S2000" s="9">
        <f>VLOOKUP(P2000,$T$2:U1997,2,1)</f>
        <v>0.05</v>
      </c>
    </row>
    <row r="2001" spans="1:19" x14ac:dyDescent="0.25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e">
        <f>VLOOKUP(F2001,'Customer Info'!A1993:I2492,2,0)</f>
        <v>#N/A</v>
      </c>
      <c r="H2001" s="6" t="e">
        <f>VLOOKUP(F2001,'Customer Info'!A1993:I2492,3,0)</f>
        <v>#N/A</v>
      </c>
      <c r="I2001" s="6" t="e">
        <f>VLOOKUP(F2001,'Customer Info'!A1993:I2492,5,0)</f>
        <v>#N/A</v>
      </c>
      <c r="J2001" s="2">
        <v>7534</v>
      </c>
      <c r="K2001" s="2">
        <v>7106</v>
      </c>
      <c r="L2001" s="2">
        <v>7</v>
      </c>
      <c r="M2001" s="7">
        <f t="shared" si="124"/>
        <v>49742</v>
      </c>
      <c r="N2001" s="7">
        <f t="shared" si="125"/>
        <v>52738</v>
      </c>
      <c r="O2001" s="2">
        <v>37</v>
      </c>
      <c r="P2001" s="8">
        <f t="shared" si="126"/>
        <v>52775</v>
      </c>
      <c r="Q2001" s="8">
        <f t="shared" si="127"/>
        <v>52701</v>
      </c>
      <c r="R2001" s="2" t="s">
        <v>28</v>
      </c>
      <c r="S2001" s="9">
        <f>VLOOKUP(P2001,$T$2:U1998,2,1)</f>
        <v>0.09</v>
      </c>
    </row>
    <row r="2002" spans="1:19" x14ac:dyDescent="0.25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e">
        <f>VLOOKUP(F2002,'Customer Info'!A1994:I2493,2,0)</f>
        <v>#N/A</v>
      </c>
      <c r="H2002" s="6" t="e">
        <f>VLOOKUP(F2002,'Customer Info'!A1994:I2493,3,0)</f>
        <v>#N/A</v>
      </c>
      <c r="I2002" s="6" t="e">
        <f>VLOOKUP(F2002,'Customer Info'!A1994:I2493,5,0)</f>
        <v>#N/A</v>
      </c>
      <c r="J2002" s="2">
        <v>208</v>
      </c>
      <c r="K2002" s="2">
        <v>187</v>
      </c>
      <c r="L2002" s="2">
        <v>2</v>
      </c>
      <c r="M2002" s="7">
        <f t="shared" si="124"/>
        <v>374</v>
      </c>
      <c r="N2002" s="7">
        <f t="shared" si="125"/>
        <v>416</v>
      </c>
      <c r="O2002" s="2">
        <v>90</v>
      </c>
      <c r="P2002" s="8">
        <f t="shared" si="126"/>
        <v>506</v>
      </c>
      <c r="Q2002" s="8">
        <f t="shared" si="127"/>
        <v>326</v>
      </c>
      <c r="R2002" s="2" t="s">
        <v>28</v>
      </c>
      <c r="S2002" s="9">
        <f>VLOOKUP(P2002,$T$2:U1999,2,1)</f>
        <v>0.02</v>
      </c>
    </row>
    <row r="2003" spans="1:19" x14ac:dyDescent="0.25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e">
        <f>VLOOKUP(F2003,'Customer Info'!A1995:I2494,2,0)</f>
        <v>#N/A</v>
      </c>
      <c r="H2003" s="6" t="e">
        <f>VLOOKUP(F2003,'Customer Info'!A1995:I2494,3,0)</f>
        <v>#N/A</v>
      </c>
      <c r="I2003" s="6" t="e">
        <f>VLOOKUP(F2003,'Customer Info'!A1995:I2494,5,0)</f>
        <v>#N/A</v>
      </c>
      <c r="J2003" s="2">
        <v>191</v>
      </c>
      <c r="K2003" s="2">
        <v>170</v>
      </c>
      <c r="L2003" s="2">
        <v>2</v>
      </c>
      <c r="M2003" s="7">
        <f t="shared" si="124"/>
        <v>340</v>
      </c>
      <c r="N2003" s="7">
        <f t="shared" si="125"/>
        <v>382</v>
      </c>
      <c r="O2003" s="2">
        <v>30</v>
      </c>
      <c r="P2003" s="8">
        <f t="shared" si="126"/>
        <v>412</v>
      </c>
      <c r="Q2003" s="8">
        <f t="shared" si="127"/>
        <v>352</v>
      </c>
      <c r="R2003" s="2" t="s">
        <v>28</v>
      </c>
      <c r="S2003" s="9">
        <f>VLOOKUP(P2003,$T$2:U2000,2,1)</f>
        <v>0.02</v>
      </c>
    </row>
    <row r="2004" spans="1:19" x14ac:dyDescent="0.25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e">
        <f>VLOOKUP(F2004,'Customer Info'!A1996:I2495,2,0)</f>
        <v>#N/A</v>
      </c>
      <c r="H2004" s="6" t="e">
        <f>VLOOKUP(F2004,'Customer Info'!A1996:I2495,3,0)</f>
        <v>#N/A</v>
      </c>
      <c r="I2004" s="6" t="e">
        <f>VLOOKUP(F2004,'Customer Info'!A1996:I2495,5,0)</f>
        <v>#N/A</v>
      </c>
      <c r="J2004" s="2">
        <v>4577</v>
      </c>
      <c r="K2004" s="2">
        <v>4280</v>
      </c>
      <c r="L2004" s="2">
        <v>7</v>
      </c>
      <c r="M2004" s="7">
        <f t="shared" si="124"/>
        <v>29960</v>
      </c>
      <c r="N2004" s="7">
        <f t="shared" si="125"/>
        <v>32039</v>
      </c>
      <c r="O2004" s="2">
        <v>66</v>
      </c>
      <c r="P2004" s="8">
        <f t="shared" si="126"/>
        <v>32105</v>
      </c>
      <c r="Q2004" s="8">
        <f t="shared" si="127"/>
        <v>31973</v>
      </c>
      <c r="R2004" s="2" t="s">
        <v>50</v>
      </c>
      <c r="S2004" s="9">
        <f>VLOOKUP(P2004,$T$2:U2001,2,1)</f>
        <v>7.0000000000000007E-2</v>
      </c>
    </row>
    <row r="2005" spans="1:19" x14ac:dyDescent="0.25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e">
        <f>VLOOKUP(F2005,'Customer Info'!A1997:I2496,2,0)</f>
        <v>#N/A</v>
      </c>
      <c r="H2005" s="6" t="e">
        <f>VLOOKUP(F2005,'Customer Info'!A1997:I2496,3,0)</f>
        <v>#N/A</v>
      </c>
      <c r="I2005" s="6" t="e">
        <f>VLOOKUP(F2005,'Customer Info'!A1997:I2496,5,0)</f>
        <v>#N/A</v>
      </c>
      <c r="J2005" s="2">
        <v>2965</v>
      </c>
      <c r="K2005" s="2">
        <v>2694</v>
      </c>
      <c r="L2005" s="2">
        <v>2</v>
      </c>
      <c r="M2005" s="7">
        <f t="shared" si="124"/>
        <v>5388</v>
      </c>
      <c r="N2005" s="7">
        <f t="shared" si="125"/>
        <v>5930</v>
      </c>
      <c r="O2005" s="2">
        <v>30</v>
      </c>
      <c r="P2005" s="8">
        <f t="shared" si="126"/>
        <v>5960</v>
      </c>
      <c r="Q2005" s="8">
        <f t="shared" si="127"/>
        <v>5900</v>
      </c>
      <c r="R2005" s="2" t="s">
        <v>50</v>
      </c>
      <c r="S2005" s="9">
        <f>VLOOKUP(P2005,$T$2:U2002,2,1)</f>
        <v>0.05</v>
      </c>
    </row>
    <row r="2006" spans="1:19" x14ac:dyDescent="0.25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e">
        <f>VLOOKUP(F2006,'Customer Info'!A1998:I2497,2,0)</f>
        <v>#N/A</v>
      </c>
      <c r="H2006" s="6" t="e">
        <f>VLOOKUP(F2006,'Customer Info'!A1998:I2497,3,0)</f>
        <v>#N/A</v>
      </c>
      <c r="I2006" s="6" t="e">
        <f>VLOOKUP(F2006,'Customer Info'!A1998:I2497,5,0)</f>
        <v>#N/A</v>
      </c>
      <c r="J2006" s="2">
        <v>62</v>
      </c>
      <c r="K2006" s="2">
        <v>58</v>
      </c>
      <c r="L2006" s="2">
        <v>2</v>
      </c>
      <c r="M2006" s="7">
        <f t="shared" si="124"/>
        <v>116</v>
      </c>
      <c r="N2006" s="7">
        <f t="shared" si="125"/>
        <v>124</v>
      </c>
      <c r="O2006" s="2">
        <v>10</v>
      </c>
      <c r="P2006" s="8">
        <f t="shared" si="126"/>
        <v>134</v>
      </c>
      <c r="Q2006" s="8">
        <f t="shared" si="127"/>
        <v>114</v>
      </c>
      <c r="R2006" s="2" t="s">
        <v>28</v>
      </c>
      <c r="S2006" s="9">
        <f>VLOOKUP(P2006,$T$2:U2003,2,1)</f>
        <v>0.02</v>
      </c>
    </row>
    <row r="2007" spans="1:19" x14ac:dyDescent="0.25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e">
        <f>VLOOKUP(F2007,'Customer Info'!A1999:I2498,2,0)</f>
        <v>#N/A</v>
      </c>
      <c r="H2007" s="6" t="e">
        <f>VLOOKUP(F2007,'Customer Info'!A1999:I2498,3,0)</f>
        <v>#N/A</v>
      </c>
      <c r="I2007" s="6" t="e">
        <f>VLOOKUP(F2007,'Customer Info'!A1999:I2498,5,0)</f>
        <v>#N/A</v>
      </c>
      <c r="J2007" s="2">
        <v>67</v>
      </c>
      <c r="K2007" s="2">
        <v>62</v>
      </c>
      <c r="L2007" s="2">
        <v>1</v>
      </c>
      <c r="M2007" s="7">
        <f t="shared" si="124"/>
        <v>62</v>
      </c>
      <c r="N2007" s="7">
        <f t="shared" si="125"/>
        <v>67</v>
      </c>
      <c r="O2007" s="2">
        <v>10</v>
      </c>
      <c r="P2007" s="8">
        <f t="shared" si="126"/>
        <v>77</v>
      </c>
      <c r="Q2007" s="8">
        <f t="shared" si="127"/>
        <v>57</v>
      </c>
      <c r="R2007" s="2" t="s">
        <v>28</v>
      </c>
      <c r="S2007" s="9">
        <f>VLOOKUP(P2007,$T$2:U2004,2,1)</f>
        <v>0.02</v>
      </c>
    </row>
    <row r="2008" spans="1:19" x14ac:dyDescent="0.25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e">
        <f>VLOOKUP(F2008,'Customer Info'!A2000:I2499,2,0)</f>
        <v>#N/A</v>
      </c>
      <c r="H2008" s="6" t="e">
        <f>VLOOKUP(F2008,'Customer Info'!A2000:I2499,3,0)</f>
        <v>#N/A</v>
      </c>
      <c r="I2008" s="6" t="e">
        <f>VLOOKUP(F2008,'Customer Info'!A2000:I2499,5,0)</f>
        <v>#N/A</v>
      </c>
      <c r="J2008" s="2">
        <v>4784</v>
      </c>
      <c r="K2008" s="2">
        <v>4518</v>
      </c>
      <c r="L2008" s="2">
        <v>3</v>
      </c>
      <c r="M2008" s="7">
        <f t="shared" si="124"/>
        <v>13554</v>
      </c>
      <c r="N2008" s="7">
        <f t="shared" si="125"/>
        <v>14352</v>
      </c>
      <c r="O2008" s="2">
        <v>91</v>
      </c>
      <c r="P2008" s="8">
        <f t="shared" si="126"/>
        <v>14443</v>
      </c>
      <c r="Q2008" s="8">
        <f t="shared" si="127"/>
        <v>14261</v>
      </c>
      <c r="R2008" s="2" t="s">
        <v>26</v>
      </c>
      <c r="S2008" s="9">
        <f>VLOOKUP(P2008,$T$2:U2005,2,1)</f>
        <v>0.05</v>
      </c>
    </row>
    <row r="2009" spans="1:19" x14ac:dyDescent="0.25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e">
        <f>VLOOKUP(F2009,'Customer Info'!A2001:I2500,2,0)</f>
        <v>#N/A</v>
      </c>
      <c r="H2009" s="6" t="e">
        <f>VLOOKUP(F2009,'Customer Info'!A2001:I2500,3,0)</f>
        <v>#N/A</v>
      </c>
      <c r="I2009" s="6" t="e">
        <f>VLOOKUP(F2009,'Customer Info'!A2001:I2500,5,0)</f>
        <v>#N/A</v>
      </c>
      <c r="J2009" s="2">
        <v>825</v>
      </c>
      <c r="K2009" s="2">
        <v>793</v>
      </c>
      <c r="L2009" s="2">
        <v>6</v>
      </c>
      <c r="M2009" s="7">
        <f t="shared" si="124"/>
        <v>4758</v>
      </c>
      <c r="N2009" s="7">
        <f t="shared" si="125"/>
        <v>4950</v>
      </c>
      <c r="O2009" s="2">
        <v>48</v>
      </c>
      <c r="P2009" s="8">
        <f t="shared" si="126"/>
        <v>4998</v>
      </c>
      <c r="Q2009" s="8">
        <f t="shared" si="127"/>
        <v>4902</v>
      </c>
      <c r="R2009" s="2" t="s">
        <v>26</v>
      </c>
      <c r="S2009" s="9">
        <f>VLOOKUP(P2009,$T$2:U2006,2,1)</f>
        <v>0.02</v>
      </c>
    </row>
    <row r="2010" spans="1:19" x14ac:dyDescent="0.25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e">
        <f>VLOOKUP(F2010,'Customer Info'!A2002:I2501,2,0)</f>
        <v>#N/A</v>
      </c>
      <c r="H2010" s="6" t="e">
        <f>VLOOKUP(F2010,'Customer Info'!A2002:I2501,3,0)</f>
        <v>#N/A</v>
      </c>
      <c r="I2010" s="6" t="e">
        <f>VLOOKUP(F2010,'Customer Info'!A2002:I2501,5,0)</f>
        <v>#N/A</v>
      </c>
      <c r="J2010" s="2">
        <v>2453</v>
      </c>
      <c r="K2010" s="2">
        <v>2336</v>
      </c>
      <c r="L2010" s="2">
        <v>3</v>
      </c>
      <c r="M2010" s="7">
        <f t="shared" si="124"/>
        <v>7008</v>
      </c>
      <c r="N2010" s="7">
        <f t="shared" si="125"/>
        <v>7359</v>
      </c>
      <c r="O2010" s="2">
        <v>89</v>
      </c>
      <c r="P2010" s="8">
        <f t="shared" si="126"/>
        <v>7448</v>
      </c>
      <c r="Q2010" s="8">
        <f t="shared" si="127"/>
        <v>7270</v>
      </c>
      <c r="R2010" s="2" t="s">
        <v>28</v>
      </c>
      <c r="S2010" s="9">
        <f>VLOOKUP(P2010,$T$2:U2007,2,1)</f>
        <v>0.05</v>
      </c>
    </row>
    <row r="2011" spans="1:19" x14ac:dyDescent="0.25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e">
        <f>VLOOKUP(F2011,'Customer Info'!A2003:I2502,2,0)</f>
        <v>#N/A</v>
      </c>
      <c r="H2011" s="6" t="e">
        <f>VLOOKUP(F2011,'Customer Info'!A2003:I2502,3,0)</f>
        <v>#N/A</v>
      </c>
      <c r="I2011" s="6" t="e">
        <f>VLOOKUP(F2011,'Customer Info'!A2003:I2502,5,0)</f>
        <v>#N/A</v>
      </c>
      <c r="J2011" s="2">
        <v>1770</v>
      </c>
      <c r="K2011" s="2">
        <v>1592</v>
      </c>
      <c r="L2011" s="2">
        <v>1</v>
      </c>
      <c r="M2011" s="7">
        <f t="shared" si="124"/>
        <v>1592</v>
      </c>
      <c r="N2011" s="7">
        <f t="shared" si="125"/>
        <v>1770</v>
      </c>
      <c r="O2011" s="2">
        <v>76</v>
      </c>
      <c r="P2011" s="8">
        <f t="shared" si="126"/>
        <v>1846</v>
      </c>
      <c r="Q2011" s="8">
        <f t="shared" si="127"/>
        <v>1694</v>
      </c>
      <c r="R2011" s="2" t="s">
        <v>50</v>
      </c>
      <c r="S2011" s="9">
        <f>VLOOKUP(P2011,$T$2:U2008,2,1)</f>
        <v>0.02</v>
      </c>
    </row>
    <row r="2012" spans="1:19" x14ac:dyDescent="0.25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e">
        <f>VLOOKUP(F2012,'Customer Info'!A2004:I2503,2,0)</f>
        <v>#N/A</v>
      </c>
      <c r="H2012" s="6" t="e">
        <f>VLOOKUP(F2012,'Customer Info'!A2004:I2503,3,0)</f>
        <v>#N/A</v>
      </c>
      <c r="I2012" s="6" t="e">
        <f>VLOOKUP(F2012,'Customer Info'!A2004:I2503,5,0)</f>
        <v>#N/A</v>
      </c>
      <c r="J2012" s="2">
        <v>38328</v>
      </c>
      <c r="K2012" s="2">
        <v>35164</v>
      </c>
      <c r="L2012" s="2">
        <v>2</v>
      </c>
      <c r="M2012" s="7">
        <f t="shared" si="124"/>
        <v>70328</v>
      </c>
      <c r="N2012" s="7">
        <f t="shared" si="125"/>
        <v>76656</v>
      </c>
      <c r="O2012" s="2">
        <v>23</v>
      </c>
      <c r="P2012" s="8">
        <f t="shared" si="126"/>
        <v>76679</v>
      </c>
      <c r="Q2012" s="8">
        <f t="shared" si="127"/>
        <v>76633</v>
      </c>
      <c r="R2012" s="2" t="s">
        <v>50</v>
      </c>
      <c r="S2012" s="9">
        <f>VLOOKUP(P2012,$T$2:U2009,2,1)</f>
        <v>0.09</v>
      </c>
    </row>
    <row r="2013" spans="1:19" x14ac:dyDescent="0.25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e">
        <f>VLOOKUP(F2013,'Customer Info'!A2005:I2504,2,0)</f>
        <v>#N/A</v>
      </c>
      <c r="H2013" s="6" t="e">
        <f>VLOOKUP(F2013,'Customer Info'!A2005:I2504,3,0)</f>
        <v>#N/A</v>
      </c>
      <c r="I2013" s="6" t="e">
        <f>VLOOKUP(F2013,'Customer Info'!A2005:I2504,5,0)</f>
        <v>#N/A</v>
      </c>
      <c r="J2013" s="2">
        <v>285</v>
      </c>
      <c r="K2013" s="2">
        <v>259</v>
      </c>
      <c r="L2013" s="2">
        <v>9</v>
      </c>
      <c r="M2013" s="7">
        <f t="shared" si="124"/>
        <v>2331</v>
      </c>
      <c r="N2013" s="7">
        <f t="shared" si="125"/>
        <v>2565</v>
      </c>
      <c r="O2013" s="2">
        <v>60</v>
      </c>
      <c r="P2013" s="8">
        <f t="shared" si="126"/>
        <v>2625</v>
      </c>
      <c r="Q2013" s="8">
        <f t="shared" si="127"/>
        <v>2505</v>
      </c>
      <c r="R2013" s="2" t="s">
        <v>50</v>
      </c>
      <c r="S2013" s="9">
        <f>VLOOKUP(P2013,$T$2:U2010,2,1)</f>
        <v>0.02</v>
      </c>
    </row>
    <row r="2014" spans="1:19" x14ac:dyDescent="0.25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e">
        <f>VLOOKUP(F2014,'Customer Info'!A2006:I2505,2,0)</f>
        <v>#N/A</v>
      </c>
      <c r="H2014" s="6" t="e">
        <f>VLOOKUP(F2014,'Customer Info'!A2006:I2505,3,0)</f>
        <v>#N/A</v>
      </c>
      <c r="I2014" s="6" t="e">
        <f>VLOOKUP(F2014,'Customer Info'!A2006:I2505,5,0)</f>
        <v>#N/A</v>
      </c>
      <c r="J2014" s="2">
        <v>1364</v>
      </c>
      <c r="K2014" s="2">
        <v>1274</v>
      </c>
      <c r="L2014" s="2">
        <v>8</v>
      </c>
      <c r="M2014" s="7">
        <f t="shared" si="124"/>
        <v>10192</v>
      </c>
      <c r="N2014" s="7">
        <f t="shared" si="125"/>
        <v>10912</v>
      </c>
      <c r="O2014" s="2">
        <v>37</v>
      </c>
      <c r="P2014" s="8">
        <f t="shared" si="126"/>
        <v>10949</v>
      </c>
      <c r="Q2014" s="8">
        <f t="shared" si="127"/>
        <v>10875</v>
      </c>
      <c r="R2014" s="2" t="s">
        <v>28</v>
      </c>
      <c r="S2014" s="9">
        <f>VLOOKUP(P2014,$T$2:U2011,2,1)</f>
        <v>0.05</v>
      </c>
    </row>
    <row r="2015" spans="1:19" x14ac:dyDescent="0.25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e">
        <f>VLOOKUP(F2015,'Customer Info'!A2007:I2506,2,0)</f>
        <v>#N/A</v>
      </c>
      <c r="H2015" s="6" t="e">
        <f>VLOOKUP(F2015,'Customer Info'!A2007:I2506,3,0)</f>
        <v>#N/A</v>
      </c>
      <c r="I2015" s="6" t="e">
        <f>VLOOKUP(F2015,'Customer Info'!A2007:I2506,5,0)</f>
        <v>#N/A</v>
      </c>
      <c r="J2015" s="2">
        <v>63</v>
      </c>
      <c r="K2015" s="2">
        <v>58</v>
      </c>
      <c r="L2015" s="2">
        <v>7</v>
      </c>
      <c r="M2015" s="7">
        <f t="shared" si="124"/>
        <v>406</v>
      </c>
      <c r="N2015" s="7">
        <f t="shared" si="125"/>
        <v>441</v>
      </c>
      <c r="O2015" s="2">
        <v>10</v>
      </c>
      <c r="P2015" s="8">
        <f t="shared" si="126"/>
        <v>451</v>
      </c>
      <c r="Q2015" s="8">
        <f t="shared" si="127"/>
        <v>431</v>
      </c>
      <c r="R2015" s="2" t="s">
        <v>28</v>
      </c>
      <c r="S2015" s="9">
        <f>VLOOKUP(P2015,$T$2:U2012,2,1)</f>
        <v>0.02</v>
      </c>
    </row>
    <row r="2016" spans="1:19" x14ac:dyDescent="0.25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e">
        <f>VLOOKUP(F2016,'Customer Info'!A2008:I2507,2,0)</f>
        <v>#N/A</v>
      </c>
      <c r="H2016" s="6" t="e">
        <f>VLOOKUP(F2016,'Customer Info'!A2008:I2507,3,0)</f>
        <v>#N/A</v>
      </c>
      <c r="I2016" s="6" t="e">
        <f>VLOOKUP(F2016,'Customer Info'!A2008:I2507,5,0)</f>
        <v>#N/A</v>
      </c>
      <c r="J2016" s="2">
        <v>1533</v>
      </c>
      <c r="K2016" s="2">
        <v>1406</v>
      </c>
      <c r="L2016" s="2">
        <v>2</v>
      </c>
      <c r="M2016" s="7">
        <f t="shared" si="124"/>
        <v>2812</v>
      </c>
      <c r="N2016" s="7">
        <f t="shared" si="125"/>
        <v>3066</v>
      </c>
      <c r="O2016" s="2">
        <v>66</v>
      </c>
      <c r="P2016" s="8">
        <f t="shared" si="126"/>
        <v>3132</v>
      </c>
      <c r="Q2016" s="8">
        <f t="shared" si="127"/>
        <v>3000</v>
      </c>
      <c r="R2016" s="2" t="s">
        <v>26</v>
      </c>
      <c r="S2016" s="9">
        <f>VLOOKUP(P2016,$T$2:U2013,2,1)</f>
        <v>0.02</v>
      </c>
    </row>
    <row r="2017" spans="1:19" x14ac:dyDescent="0.25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e">
        <f>VLOOKUP(F2017,'Customer Info'!A2009:I2508,2,0)</f>
        <v>#N/A</v>
      </c>
      <c r="H2017" s="6" t="e">
        <f>VLOOKUP(F2017,'Customer Info'!A2009:I2508,3,0)</f>
        <v>#N/A</v>
      </c>
      <c r="I2017" s="6" t="e">
        <f>VLOOKUP(F2017,'Customer Info'!A2009:I2508,5,0)</f>
        <v>#N/A</v>
      </c>
      <c r="J2017" s="2">
        <v>2602</v>
      </c>
      <c r="K2017" s="2">
        <v>2363</v>
      </c>
      <c r="L2017" s="2">
        <v>2</v>
      </c>
      <c r="M2017" s="7">
        <f t="shared" si="124"/>
        <v>4726</v>
      </c>
      <c r="N2017" s="7">
        <f t="shared" si="125"/>
        <v>5204</v>
      </c>
      <c r="O2017" s="2">
        <v>78</v>
      </c>
      <c r="P2017" s="8">
        <f t="shared" si="126"/>
        <v>5282</v>
      </c>
      <c r="Q2017" s="8">
        <f t="shared" si="127"/>
        <v>5126</v>
      </c>
      <c r="R2017" s="2" t="s">
        <v>50</v>
      </c>
      <c r="S2017" s="9">
        <f>VLOOKUP(P2017,$T$2:U2014,2,1)</f>
        <v>0.05</v>
      </c>
    </row>
    <row r="2018" spans="1:19" x14ac:dyDescent="0.25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e">
        <f>VLOOKUP(F2018,'Customer Info'!A2010:I2509,2,0)</f>
        <v>#N/A</v>
      </c>
      <c r="H2018" s="6" t="e">
        <f>VLOOKUP(F2018,'Customer Info'!A2010:I2509,3,0)</f>
        <v>#N/A</v>
      </c>
      <c r="I2018" s="6" t="e">
        <f>VLOOKUP(F2018,'Customer Info'!A2010:I2509,5,0)</f>
        <v>#N/A</v>
      </c>
      <c r="J2018" s="2">
        <v>729</v>
      </c>
      <c r="K2018" s="2">
        <v>689</v>
      </c>
      <c r="L2018" s="2">
        <v>3</v>
      </c>
      <c r="M2018" s="7">
        <f t="shared" si="124"/>
        <v>2067</v>
      </c>
      <c r="N2018" s="7">
        <f t="shared" si="125"/>
        <v>2187</v>
      </c>
      <c r="O2018" s="2">
        <v>49</v>
      </c>
      <c r="P2018" s="8">
        <f t="shared" si="126"/>
        <v>2236</v>
      </c>
      <c r="Q2018" s="8">
        <f t="shared" si="127"/>
        <v>2138</v>
      </c>
      <c r="R2018" s="2" t="s">
        <v>50</v>
      </c>
      <c r="S2018" s="9">
        <f>VLOOKUP(P2018,$T$2:U2015,2,1)</f>
        <v>0.02</v>
      </c>
    </row>
    <row r="2019" spans="1:19" x14ac:dyDescent="0.25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e">
        <f>VLOOKUP(F2019,'Customer Info'!A2011:I2510,2,0)</f>
        <v>#N/A</v>
      </c>
      <c r="H2019" s="6" t="e">
        <f>VLOOKUP(F2019,'Customer Info'!A2011:I2510,3,0)</f>
        <v>#N/A</v>
      </c>
      <c r="I2019" s="6" t="e">
        <f>VLOOKUP(F2019,'Customer Info'!A2011:I2510,5,0)</f>
        <v>#N/A</v>
      </c>
      <c r="J2019" s="2">
        <v>2857</v>
      </c>
      <c r="K2019" s="2">
        <v>2622</v>
      </c>
      <c r="L2019" s="2">
        <v>7</v>
      </c>
      <c r="M2019" s="7">
        <f t="shared" si="124"/>
        <v>18354</v>
      </c>
      <c r="N2019" s="7">
        <f t="shared" si="125"/>
        <v>19999</v>
      </c>
      <c r="O2019" s="2">
        <v>78</v>
      </c>
      <c r="P2019" s="8">
        <f t="shared" si="126"/>
        <v>20077</v>
      </c>
      <c r="Q2019" s="8">
        <f t="shared" si="127"/>
        <v>19921</v>
      </c>
      <c r="R2019" s="2" t="s">
        <v>28</v>
      </c>
      <c r="S2019" s="9">
        <f>VLOOKUP(P2019,$T$2:U2016,2,1)</f>
        <v>0.05</v>
      </c>
    </row>
    <row r="2020" spans="1:19" x14ac:dyDescent="0.25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e">
        <f>VLOOKUP(F2020,'Customer Info'!A2012:I2511,2,0)</f>
        <v>#N/A</v>
      </c>
      <c r="H2020" s="6" t="e">
        <f>VLOOKUP(F2020,'Customer Info'!A2012:I2511,3,0)</f>
        <v>#N/A</v>
      </c>
      <c r="I2020" s="6" t="e">
        <f>VLOOKUP(F2020,'Customer Info'!A2012:I2511,5,0)</f>
        <v>#N/A</v>
      </c>
      <c r="J2020" s="2">
        <v>4904</v>
      </c>
      <c r="K2020" s="2">
        <v>4499</v>
      </c>
      <c r="L2020" s="2">
        <v>2</v>
      </c>
      <c r="M2020" s="7">
        <f t="shared" si="124"/>
        <v>8998</v>
      </c>
      <c r="N2020" s="7">
        <f t="shared" si="125"/>
        <v>9808</v>
      </c>
      <c r="O2020" s="2">
        <v>24</v>
      </c>
      <c r="P2020" s="8">
        <f t="shared" si="126"/>
        <v>9832</v>
      </c>
      <c r="Q2020" s="8">
        <f t="shared" si="127"/>
        <v>9784</v>
      </c>
      <c r="R2020" s="2" t="s">
        <v>50</v>
      </c>
      <c r="S2020" s="9">
        <f>VLOOKUP(P2020,$T$2:U2017,2,1)</f>
        <v>0.05</v>
      </c>
    </row>
    <row r="2021" spans="1:19" x14ac:dyDescent="0.25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e">
        <f>VLOOKUP(F2021,'Customer Info'!A2013:I2512,2,0)</f>
        <v>#N/A</v>
      </c>
      <c r="H2021" s="6" t="e">
        <f>VLOOKUP(F2021,'Customer Info'!A2013:I2512,3,0)</f>
        <v>#N/A</v>
      </c>
      <c r="I2021" s="6" t="e">
        <f>VLOOKUP(F2021,'Customer Info'!A2013:I2512,5,0)</f>
        <v>#N/A</v>
      </c>
      <c r="J2021" s="2">
        <v>3288</v>
      </c>
      <c r="K2021" s="2">
        <v>3041</v>
      </c>
      <c r="L2021" s="2">
        <v>1</v>
      </c>
      <c r="M2021" s="7">
        <f t="shared" si="124"/>
        <v>3041</v>
      </c>
      <c r="N2021" s="7">
        <f t="shared" si="125"/>
        <v>3288</v>
      </c>
      <c r="O2021" s="2">
        <v>46</v>
      </c>
      <c r="P2021" s="8">
        <f t="shared" si="126"/>
        <v>3334</v>
      </c>
      <c r="Q2021" s="8">
        <f t="shared" si="127"/>
        <v>3242</v>
      </c>
      <c r="R2021" s="2" t="s">
        <v>28</v>
      </c>
      <c r="S2021" s="9">
        <f>VLOOKUP(P2021,$T$2:U2018,2,1)</f>
        <v>0.02</v>
      </c>
    </row>
    <row r="2022" spans="1:19" x14ac:dyDescent="0.25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e">
        <f>VLOOKUP(F2022,'Customer Info'!A2014:I2513,2,0)</f>
        <v>#N/A</v>
      </c>
      <c r="H2022" s="6" t="e">
        <f>VLOOKUP(F2022,'Customer Info'!A2014:I2513,3,0)</f>
        <v>#N/A</v>
      </c>
      <c r="I2022" s="6" t="e">
        <f>VLOOKUP(F2022,'Customer Info'!A2014:I2513,5,0)</f>
        <v>#N/A</v>
      </c>
      <c r="J2022" s="2">
        <v>1774</v>
      </c>
      <c r="K2022" s="2">
        <v>1642</v>
      </c>
      <c r="L2022" s="2">
        <v>1</v>
      </c>
      <c r="M2022" s="7">
        <f t="shared" si="124"/>
        <v>1642</v>
      </c>
      <c r="N2022" s="7">
        <f t="shared" si="125"/>
        <v>1774</v>
      </c>
      <c r="O2022" s="2">
        <v>70</v>
      </c>
      <c r="P2022" s="8">
        <f t="shared" si="126"/>
        <v>1844</v>
      </c>
      <c r="Q2022" s="8">
        <f t="shared" si="127"/>
        <v>1704</v>
      </c>
      <c r="R2022" s="2" t="s">
        <v>26</v>
      </c>
      <c r="S2022" s="9">
        <f>VLOOKUP(P2022,$T$2:U2019,2,1)</f>
        <v>0.02</v>
      </c>
    </row>
    <row r="2023" spans="1:19" x14ac:dyDescent="0.25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e">
        <f>VLOOKUP(F2023,'Customer Info'!A2015:I2514,2,0)</f>
        <v>#N/A</v>
      </c>
      <c r="H2023" s="6" t="e">
        <f>VLOOKUP(F2023,'Customer Info'!A2015:I2514,3,0)</f>
        <v>#N/A</v>
      </c>
      <c r="I2023" s="6" t="e">
        <f>VLOOKUP(F2023,'Customer Info'!A2015:I2514,5,0)</f>
        <v>#N/A</v>
      </c>
      <c r="J2023" s="2">
        <v>4904</v>
      </c>
      <c r="K2023" s="2">
        <v>4499</v>
      </c>
      <c r="L2023" s="2">
        <v>1</v>
      </c>
      <c r="M2023" s="7">
        <f t="shared" si="124"/>
        <v>4499</v>
      </c>
      <c r="N2023" s="7">
        <f t="shared" si="125"/>
        <v>4904</v>
      </c>
      <c r="O2023" s="2">
        <v>36</v>
      </c>
      <c r="P2023" s="8">
        <f t="shared" si="126"/>
        <v>4940</v>
      </c>
      <c r="Q2023" s="8">
        <f t="shared" si="127"/>
        <v>4868</v>
      </c>
      <c r="R2023" s="2" t="s">
        <v>50</v>
      </c>
      <c r="S2023" s="9">
        <f>VLOOKUP(P2023,$T$2:U2020,2,1)</f>
        <v>0.02</v>
      </c>
    </row>
    <row r="2024" spans="1:19" x14ac:dyDescent="0.25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e">
        <f>VLOOKUP(F2024,'Customer Info'!A2016:I2515,2,0)</f>
        <v>#N/A</v>
      </c>
      <c r="H2024" s="6" t="e">
        <f>VLOOKUP(F2024,'Customer Info'!A2016:I2515,3,0)</f>
        <v>#N/A</v>
      </c>
      <c r="I2024" s="6" t="e">
        <f>VLOOKUP(F2024,'Customer Info'!A2016:I2515,5,0)</f>
        <v>#N/A</v>
      </c>
      <c r="J2024" s="2">
        <v>8878</v>
      </c>
      <c r="K2024" s="2">
        <v>7914</v>
      </c>
      <c r="L2024" s="2">
        <v>6</v>
      </c>
      <c r="M2024" s="7">
        <f t="shared" si="124"/>
        <v>47484</v>
      </c>
      <c r="N2024" s="7">
        <f t="shared" si="125"/>
        <v>53268</v>
      </c>
      <c r="O2024" s="2">
        <v>35</v>
      </c>
      <c r="P2024" s="8">
        <f t="shared" si="126"/>
        <v>53303</v>
      </c>
      <c r="Q2024" s="8">
        <f t="shared" si="127"/>
        <v>53233</v>
      </c>
      <c r="R2024" s="2" t="s">
        <v>26</v>
      </c>
      <c r="S2024" s="9">
        <f>VLOOKUP(P2024,$T$2:U2021,2,1)</f>
        <v>0.09</v>
      </c>
    </row>
    <row r="2025" spans="1:19" x14ac:dyDescent="0.25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e">
        <f>VLOOKUP(F2025,'Customer Info'!A2017:I2516,2,0)</f>
        <v>#N/A</v>
      </c>
      <c r="H2025" s="6" t="e">
        <f>VLOOKUP(F2025,'Customer Info'!A2017:I2516,3,0)</f>
        <v>#N/A</v>
      </c>
      <c r="I2025" s="6" t="e">
        <f>VLOOKUP(F2025,'Customer Info'!A2017:I2516,5,0)</f>
        <v>#N/A</v>
      </c>
      <c r="J2025" s="2">
        <v>69</v>
      </c>
      <c r="K2025" s="2">
        <v>64</v>
      </c>
      <c r="L2025" s="2">
        <v>1</v>
      </c>
      <c r="M2025" s="7">
        <f t="shared" si="124"/>
        <v>64</v>
      </c>
      <c r="N2025" s="7">
        <f t="shared" si="125"/>
        <v>69</v>
      </c>
      <c r="O2025" s="2">
        <v>10</v>
      </c>
      <c r="P2025" s="8">
        <f t="shared" si="126"/>
        <v>79</v>
      </c>
      <c r="Q2025" s="8">
        <f t="shared" si="127"/>
        <v>59</v>
      </c>
      <c r="R2025" s="2" t="s">
        <v>28</v>
      </c>
      <c r="S2025" s="9">
        <f>VLOOKUP(P2025,$T$2:U2022,2,1)</f>
        <v>0.02</v>
      </c>
    </row>
    <row r="2026" spans="1:19" x14ac:dyDescent="0.25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e">
        <f>VLOOKUP(F2026,'Customer Info'!A2018:I2517,2,0)</f>
        <v>#N/A</v>
      </c>
      <c r="H2026" s="6" t="e">
        <f>VLOOKUP(F2026,'Customer Info'!A2018:I2517,3,0)</f>
        <v>#N/A</v>
      </c>
      <c r="I2026" s="6" t="e">
        <f>VLOOKUP(F2026,'Customer Info'!A2018:I2517,5,0)</f>
        <v>#N/A</v>
      </c>
      <c r="J2026" s="2">
        <v>179</v>
      </c>
      <c r="K2026" s="2">
        <v>166</v>
      </c>
      <c r="L2026" s="2">
        <v>1</v>
      </c>
      <c r="M2026" s="7">
        <f t="shared" si="124"/>
        <v>166</v>
      </c>
      <c r="N2026" s="7">
        <f t="shared" si="125"/>
        <v>179</v>
      </c>
      <c r="O2026" s="2">
        <v>30</v>
      </c>
      <c r="P2026" s="8">
        <f t="shared" si="126"/>
        <v>209</v>
      </c>
      <c r="Q2026" s="8">
        <f t="shared" si="127"/>
        <v>149</v>
      </c>
      <c r="R2026" s="2" t="s">
        <v>56</v>
      </c>
      <c r="S2026" s="9">
        <f>VLOOKUP(P2026,$T$2:U2023,2,1)</f>
        <v>0.02</v>
      </c>
    </row>
    <row r="2027" spans="1:19" x14ac:dyDescent="0.25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e">
        <f>VLOOKUP(F2027,'Customer Info'!A2019:I2518,2,0)</f>
        <v>#N/A</v>
      </c>
      <c r="H2027" s="6" t="e">
        <f>VLOOKUP(F2027,'Customer Info'!A2019:I2518,3,0)</f>
        <v>#N/A</v>
      </c>
      <c r="I2027" s="6" t="e">
        <f>VLOOKUP(F2027,'Customer Info'!A2019:I2518,5,0)</f>
        <v>#N/A</v>
      </c>
      <c r="J2027" s="2">
        <v>2526</v>
      </c>
      <c r="K2027" s="2">
        <v>2408</v>
      </c>
      <c r="L2027" s="2">
        <v>4</v>
      </c>
      <c r="M2027" s="7">
        <f t="shared" si="124"/>
        <v>9632</v>
      </c>
      <c r="N2027" s="7">
        <f t="shared" si="125"/>
        <v>10104</v>
      </c>
      <c r="O2027" s="2">
        <v>36</v>
      </c>
      <c r="P2027" s="8">
        <f t="shared" si="126"/>
        <v>10140</v>
      </c>
      <c r="Q2027" s="8">
        <f t="shared" si="127"/>
        <v>10068</v>
      </c>
      <c r="R2027" s="2" t="s">
        <v>56</v>
      </c>
      <c r="S2027" s="9">
        <f>VLOOKUP(P2027,$T$2:U2024,2,1)</f>
        <v>0.05</v>
      </c>
    </row>
    <row r="2028" spans="1:19" x14ac:dyDescent="0.25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e">
        <f>VLOOKUP(F2028,'Customer Info'!A2020:I2519,2,0)</f>
        <v>#N/A</v>
      </c>
      <c r="H2028" s="6" t="e">
        <f>VLOOKUP(F2028,'Customer Info'!A2020:I2519,3,0)</f>
        <v>#N/A</v>
      </c>
      <c r="I2028" s="6" t="e">
        <f>VLOOKUP(F2028,'Customer Info'!A2020:I2519,5,0)</f>
        <v>#N/A</v>
      </c>
      <c r="J2028" s="2">
        <v>954</v>
      </c>
      <c r="K2028" s="2">
        <v>901</v>
      </c>
      <c r="L2028" s="2">
        <v>3</v>
      </c>
      <c r="M2028" s="7">
        <f t="shared" si="124"/>
        <v>2703</v>
      </c>
      <c r="N2028" s="7">
        <f t="shared" si="125"/>
        <v>2862</v>
      </c>
      <c r="O2028" s="2">
        <v>95</v>
      </c>
      <c r="P2028" s="8">
        <f t="shared" si="126"/>
        <v>2957</v>
      </c>
      <c r="Q2028" s="8">
        <f t="shared" si="127"/>
        <v>2767</v>
      </c>
      <c r="R2028" s="2" t="s">
        <v>28</v>
      </c>
      <c r="S2028" s="9">
        <f>VLOOKUP(P2028,$T$2:U2025,2,1)</f>
        <v>0.02</v>
      </c>
    </row>
    <row r="2029" spans="1:19" x14ac:dyDescent="0.25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e">
        <f>VLOOKUP(F2029,'Customer Info'!A2021:I2520,2,0)</f>
        <v>#N/A</v>
      </c>
      <c r="H2029" s="6" t="e">
        <f>VLOOKUP(F2029,'Customer Info'!A2021:I2520,3,0)</f>
        <v>#N/A</v>
      </c>
      <c r="I2029" s="6" t="e">
        <f>VLOOKUP(F2029,'Customer Info'!A2021:I2520,5,0)</f>
        <v>#N/A</v>
      </c>
      <c r="J2029" s="2">
        <v>2551</v>
      </c>
      <c r="K2029" s="2">
        <v>2456</v>
      </c>
      <c r="L2029" s="2">
        <v>4</v>
      </c>
      <c r="M2029" s="7">
        <f t="shared" si="124"/>
        <v>9824</v>
      </c>
      <c r="N2029" s="7">
        <f t="shared" si="125"/>
        <v>10204</v>
      </c>
      <c r="O2029" s="2">
        <v>86</v>
      </c>
      <c r="P2029" s="8">
        <f t="shared" si="126"/>
        <v>10290</v>
      </c>
      <c r="Q2029" s="8">
        <f t="shared" si="127"/>
        <v>10118</v>
      </c>
      <c r="R2029" s="2" t="s">
        <v>28</v>
      </c>
      <c r="S2029" s="9">
        <f>VLOOKUP(P2029,$T$2:U2026,2,1)</f>
        <v>0.05</v>
      </c>
    </row>
    <row r="2030" spans="1:19" x14ac:dyDescent="0.25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e">
        <f>VLOOKUP(F2030,'Customer Info'!A2022:I2521,2,0)</f>
        <v>#N/A</v>
      </c>
      <c r="H2030" s="6" t="e">
        <f>VLOOKUP(F2030,'Customer Info'!A2022:I2521,3,0)</f>
        <v>#N/A</v>
      </c>
      <c r="I2030" s="6" t="e">
        <f>VLOOKUP(F2030,'Customer Info'!A2022:I2521,5,0)</f>
        <v>#N/A</v>
      </c>
      <c r="J2030" s="2">
        <v>2515</v>
      </c>
      <c r="K2030" s="2">
        <v>2397</v>
      </c>
      <c r="L2030" s="2">
        <v>6</v>
      </c>
      <c r="M2030" s="7">
        <f t="shared" si="124"/>
        <v>14382</v>
      </c>
      <c r="N2030" s="7">
        <f t="shared" si="125"/>
        <v>15090</v>
      </c>
      <c r="O2030" s="2">
        <v>26</v>
      </c>
      <c r="P2030" s="8">
        <f t="shared" si="126"/>
        <v>15116</v>
      </c>
      <c r="Q2030" s="8">
        <f t="shared" si="127"/>
        <v>15064</v>
      </c>
      <c r="R2030" s="2" t="s">
        <v>26</v>
      </c>
      <c r="S2030" s="9">
        <f>VLOOKUP(P2030,$T$2:U2027,2,1)</f>
        <v>0.05</v>
      </c>
    </row>
    <row r="2031" spans="1:19" x14ac:dyDescent="0.25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e">
        <f>VLOOKUP(F2031,'Customer Info'!A2023:I2522,2,0)</f>
        <v>#N/A</v>
      </c>
      <c r="H2031" s="6" t="e">
        <f>VLOOKUP(F2031,'Customer Info'!A2023:I2522,3,0)</f>
        <v>#N/A</v>
      </c>
      <c r="I2031" s="6" t="e">
        <f>VLOOKUP(F2031,'Customer Info'!A2023:I2522,5,0)</f>
        <v>#N/A</v>
      </c>
      <c r="J2031" s="2">
        <v>222</v>
      </c>
      <c r="K2031" s="2">
        <v>204</v>
      </c>
      <c r="L2031" s="2">
        <v>2</v>
      </c>
      <c r="M2031" s="7">
        <f t="shared" si="124"/>
        <v>408</v>
      </c>
      <c r="N2031" s="7">
        <f t="shared" si="125"/>
        <v>444</v>
      </c>
      <c r="O2031" s="2">
        <v>43</v>
      </c>
      <c r="P2031" s="8">
        <f t="shared" si="126"/>
        <v>487</v>
      </c>
      <c r="Q2031" s="8">
        <f t="shared" si="127"/>
        <v>401</v>
      </c>
      <c r="R2031" s="2" t="s">
        <v>28</v>
      </c>
      <c r="S2031" s="9">
        <f>VLOOKUP(P2031,$T$2:U2028,2,1)</f>
        <v>0.02</v>
      </c>
    </row>
    <row r="2032" spans="1:19" x14ac:dyDescent="0.25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e">
        <f>VLOOKUP(F2032,'Customer Info'!A2024:I2523,2,0)</f>
        <v>#N/A</v>
      </c>
      <c r="H2032" s="6" t="e">
        <f>VLOOKUP(F2032,'Customer Info'!A2024:I2523,3,0)</f>
        <v>#N/A</v>
      </c>
      <c r="I2032" s="6" t="e">
        <f>VLOOKUP(F2032,'Customer Info'!A2024:I2523,5,0)</f>
        <v>#N/A</v>
      </c>
      <c r="J2032" s="2">
        <v>5909</v>
      </c>
      <c r="K2032" s="2">
        <v>5528</v>
      </c>
      <c r="L2032" s="2">
        <v>1</v>
      </c>
      <c r="M2032" s="7">
        <f t="shared" si="124"/>
        <v>5528</v>
      </c>
      <c r="N2032" s="7">
        <f t="shared" si="125"/>
        <v>5909</v>
      </c>
      <c r="O2032" s="2">
        <v>83</v>
      </c>
      <c r="P2032" s="8">
        <f t="shared" si="126"/>
        <v>5992</v>
      </c>
      <c r="Q2032" s="8">
        <f t="shared" si="127"/>
        <v>5826</v>
      </c>
      <c r="R2032" s="2" t="s">
        <v>28</v>
      </c>
      <c r="S2032" s="9">
        <f>VLOOKUP(P2032,$T$2:U2029,2,1)</f>
        <v>0.05</v>
      </c>
    </row>
    <row r="2033" spans="1:19" x14ac:dyDescent="0.25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e">
        <f>VLOOKUP(F2033,'Customer Info'!A2025:I2524,2,0)</f>
        <v>#N/A</v>
      </c>
      <c r="H2033" s="6" t="e">
        <f>VLOOKUP(F2033,'Customer Info'!A2025:I2524,3,0)</f>
        <v>#N/A</v>
      </c>
      <c r="I2033" s="6" t="e">
        <f>VLOOKUP(F2033,'Customer Info'!A2025:I2524,5,0)</f>
        <v>#N/A</v>
      </c>
      <c r="J2033" s="2">
        <v>9033</v>
      </c>
      <c r="K2033" s="2">
        <v>8132</v>
      </c>
      <c r="L2033" s="2">
        <v>4</v>
      </c>
      <c r="M2033" s="7">
        <f t="shared" si="124"/>
        <v>32528</v>
      </c>
      <c r="N2033" s="7">
        <f t="shared" si="125"/>
        <v>36132</v>
      </c>
      <c r="O2033" s="2">
        <v>36</v>
      </c>
      <c r="P2033" s="8">
        <f t="shared" si="126"/>
        <v>36168</v>
      </c>
      <c r="Q2033" s="8">
        <f t="shared" si="127"/>
        <v>36096</v>
      </c>
      <c r="R2033" s="2" t="s">
        <v>28</v>
      </c>
      <c r="S2033" s="9">
        <f>VLOOKUP(P2033,$T$2:U2030,2,1)</f>
        <v>7.0000000000000007E-2</v>
      </c>
    </row>
    <row r="2034" spans="1:19" x14ac:dyDescent="0.25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e">
        <f>VLOOKUP(F2034,'Customer Info'!A2026:I2525,2,0)</f>
        <v>#N/A</v>
      </c>
      <c r="H2034" s="6" t="e">
        <f>VLOOKUP(F2034,'Customer Info'!A2026:I2525,3,0)</f>
        <v>#N/A</v>
      </c>
      <c r="I2034" s="6" t="e">
        <f>VLOOKUP(F2034,'Customer Info'!A2026:I2525,5,0)</f>
        <v>#N/A</v>
      </c>
      <c r="J2034" s="2">
        <v>3354</v>
      </c>
      <c r="K2034" s="2">
        <v>3102</v>
      </c>
      <c r="L2034" s="2">
        <v>3</v>
      </c>
      <c r="M2034" s="7">
        <f t="shared" si="124"/>
        <v>9306</v>
      </c>
      <c r="N2034" s="7">
        <f t="shared" si="125"/>
        <v>10062</v>
      </c>
      <c r="O2034" s="2">
        <v>48</v>
      </c>
      <c r="P2034" s="8">
        <f t="shared" si="126"/>
        <v>10110</v>
      </c>
      <c r="Q2034" s="8">
        <f t="shared" si="127"/>
        <v>10014</v>
      </c>
      <c r="R2034" s="2" t="s">
        <v>50</v>
      </c>
      <c r="S2034" s="9">
        <f>VLOOKUP(P2034,$T$2:U2031,2,1)</f>
        <v>0.05</v>
      </c>
    </row>
    <row r="2035" spans="1:19" x14ac:dyDescent="0.25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e">
        <f>VLOOKUP(F2035,'Customer Info'!A2027:I2526,2,0)</f>
        <v>#N/A</v>
      </c>
      <c r="H2035" s="6" t="e">
        <f>VLOOKUP(F2035,'Customer Info'!A2027:I2526,3,0)</f>
        <v>#N/A</v>
      </c>
      <c r="I2035" s="6" t="e">
        <f>VLOOKUP(F2035,'Customer Info'!A2027:I2526,5,0)</f>
        <v>#N/A</v>
      </c>
      <c r="J2035" s="2">
        <v>2017</v>
      </c>
      <c r="K2035" s="2">
        <v>1834</v>
      </c>
      <c r="L2035" s="2">
        <v>1</v>
      </c>
      <c r="M2035" s="7">
        <f t="shared" si="124"/>
        <v>1834</v>
      </c>
      <c r="N2035" s="7">
        <f t="shared" si="125"/>
        <v>2017</v>
      </c>
      <c r="O2035" s="2">
        <v>44</v>
      </c>
      <c r="P2035" s="8">
        <f t="shared" si="126"/>
        <v>2061</v>
      </c>
      <c r="Q2035" s="8">
        <f t="shared" si="127"/>
        <v>1973</v>
      </c>
      <c r="R2035" s="2" t="s">
        <v>50</v>
      </c>
      <c r="S2035" s="9">
        <f>VLOOKUP(P2035,$T$2:U2032,2,1)</f>
        <v>0.02</v>
      </c>
    </row>
    <row r="2036" spans="1:19" x14ac:dyDescent="0.25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e">
        <f>VLOOKUP(F2036,'Customer Info'!A2028:I2527,2,0)</f>
        <v>#N/A</v>
      </c>
      <c r="H2036" s="6" t="e">
        <f>VLOOKUP(F2036,'Customer Info'!A2028:I2527,3,0)</f>
        <v>#N/A</v>
      </c>
      <c r="I2036" s="6" t="e">
        <f>VLOOKUP(F2036,'Customer Info'!A2028:I2527,5,0)</f>
        <v>#N/A</v>
      </c>
      <c r="J2036" s="2">
        <v>9214</v>
      </c>
      <c r="K2036" s="2">
        <v>8295</v>
      </c>
      <c r="L2036" s="2">
        <v>1</v>
      </c>
      <c r="M2036" s="7">
        <f t="shared" si="124"/>
        <v>8295</v>
      </c>
      <c r="N2036" s="7">
        <f t="shared" si="125"/>
        <v>9214</v>
      </c>
      <c r="O2036" s="2">
        <v>84</v>
      </c>
      <c r="P2036" s="8">
        <f t="shared" si="126"/>
        <v>9298</v>
      </c>
      <c r="Q2036" s="8">
        <f t="shared" si="127"/>
        <v>9130</v>
      </c>
      <c r="R2036" s="2" t="s">
        <v>50</v>
      </c>
      <c r="S2036" s="9">
        <f>VLOOKUP(P2036,$T$2:U2033,2,1)</f>
        <v>0.05</v>
      </c>
    </row>
    <row r="2037" spans="1:19" x14ac:dyDescent="0.25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e">
        <f>VLOOKUP(F2037,'Customer Info'!A2029:I2528,2,0)</f>
        <v>#N/A</v>
      </c>
      <c r="H2037" s="6" t="e">
        <f>VLOOKUP(F2037,'Customer Info'!A2029:I2528,3,0)</f>
        <v>#N/A</v>
      </c>
      <c r="I2037" s="6" t="e">
        <f>VLOOKUP(F2037,'Customer Info'!A2029:I2528,5,0)</f>
        <v>#N/A</v>
      </c>
      <c r="J2037" s="2">
        <v>93</v>
      </c>
      <c r="K2037" s="2">
        <v>86</v>
      </c>
      <c r="L2037" s="2">
        <v>8</v>
      </c>
      <c r="M2037" s="7">
        <f t="shared" si="124"/>
        <v>688</v>
      </c>
      <c r="N2037" s="7">
        <f t="shared" si="125"/>
        <v>744</v>
      </c>
      <c r="O2037" s="2">
        <v>10</v>
      </c>
      <c r="P2037" s="8">
        <f t="shared" si="126"/>
        <v>754</v>
      </c>
      <c r="Q2037" s="8">
        <f t="shared" si="127"/>
        <v>734</v>
      </c>
      <c r="R2037" s="2" t="s">
        <v>50</v>
      </c>
      <c r="S2037" s="9">
        <f>VLOOKUP(P2037,$T$2:U2034,2,1)</f>
        <v>0.02</v>
      </c>
    </row>
    <row r="2038" spans="1:19" x14ac:dyDescent="0.25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e">
        <f>VLOOKUP(F2038,'Customer Info'!A2030:I2529,2,0)</f>
        <v>#N/A</v>
      </c>
      <c r="H2038" s="6" t="e">
        <f>VLOOKUP(F2038,'Customer Info'!A2030:I2529,3,0)</f>
        <v>#N/A</v>
      </c>
      <c r="I2038" s="6" t="e">
        <f>VLOOKUP(F2038,'Customer Info'!A2030:I2529,5,0)</f>
        <v>#N/A</v>
      </c>
      <c r="J2038" s="2">
        <v>2205</v>
      </c>
      <c r="K2038" s="2">
        <v>2061</v>
      </c>
      <c r="L2038" s="2">
        <v>1</v>
      </c>
      <c r="M2038" s="7">
        <f t="shared" si="124"/>
        <v>2061</v>
      </c>
      <c r="N2038" s="7">
        <f t="shared" si="125"/>
        <v>2205</v>
      </c>
      <c r="O2038" s="2">
        <v>65</v>
      </c>
      <c r="P2038" s="8">
        <f t="shared" si="126"/>
        <v>2270</v>
      </c>
      <c r="Q2038" s="8">
        <f t="shared" si="127"/>
        <v>2140</v>
      </c>
      <c r="R2038" s="2" t="s">
        <v>28</v>
      </c>
      <c r="S2038" s="9">
        <f>VLOOKUP(P2038,$T$2:U2035,2,1)</f>
        <v>0.02</v>
      </c>
    </row>
    <row r="2039" spans="1:19" x14ac:dyDescent="0.25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e">
        <f>VLOOKUP(F2039,'Customer Info'!A2031:I2530,2,0)</f>
        <v>#N/A</v>
      </c>
      <c r="H2039" s="6" t="e">
        <f>VLOOKUP(F2039,'Customer Info'!A2031:I2530,3,0)</f>
        <v>#N/A</v>
      </c>
      <c r="I2039" s="6" t="e">
        <f>VLOOKUP(F2039,'Customer Info'!A2031:I2530,5,0)</f>
        <v>#N/A</v>
      </c>
      <c r="J2039" s="2">
        <v>1364</v>
      </c>
      <c r="K2039" s="2">
        <v>1274</v>
      </c>
      <c r="L2039" s="2">
        <v>2</v>
      </c>
      <c r="M2039" s="7">
        <f t="shared" si="124"/>
        <v>2548</v>
      </c>
      <c r="N2039" s="7">
        <f t="shared" si="125"/>
        <v>2728</v>
      </c>
      <c r="O2039" s="2">
        <v>85</v>
      </c>
      <c r="P2039" s="8">
        <f t="shared" si="126"/>
        <v>2813</v>
      </c>
      <c r="Q2039" s="8">
        <f t="shared" si="127"/>
        <v>2643</v>
      </c>
      <c r="R2039" s="2" t="s">
        <v>28</v>
      </c>
      <c r="S2039" s="9">
        <f>VLOOKUP(P2039,$T$2:U2036,2,1)</f>
        <v>0.02</v>
      </c>
    </row>
    <row r="2040" spans="1:19" x14ac:dyDescent="0.25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e">
        <f>VLOOKUP(F2040,'Customer Info'!A2032:I2531,2,0)</f>
        <v>#N/A</v>
      </c>
      <c r="H2040" s="6" t="e">
        <f>VLOOKUP(F2040,'Customer Info'!A2032:I2531,3,0)</f>
        <v>#N/A</v>
      </c>
      <c r="I2040" s="6" t="e">
        <f>VLOOKUP(F2040,'Customer Info'!A2032:I2531,5,0)</f>
        <v>#N/A</v>
      </c>
      <c r="J2040" s="2">
        <v>1125</v>
      </c>
      <c r="K2040" s="2">
        <v>1040</v>
      </c>
      <c r="L2040" s="2">
        <v>3</v>
      </c>
      <c r="M2040" s="7">
        <f t="shared" si="124"/>
        <v>3120</v>
      </c>
      <c r="N2040" s="7">
        <f t="shared" si="125"/>
        <v>3375</v>
      </c>
      <c r="O2040" s="2">
        <v>45</v>
      </c>
      <c r="P2040" s="8">
        <f t="shared" si="126"/>
        <v>3420</v>
      </c>
      <c r="Q2040" s="8">
        <f t="shared" si="127"/>
        <v>3330</v>
      </c>
      <c r="R2040" s="2" t="s">
        <v>50</v>
      </c>
      <c r="S2040" s="9">
        <f>VLOOKUP(P2040,$T$2:U2037,2,1)</f>
        <v>0.02</v>
      </c>
    </row>
    <row r="2041" spans="1:19" x14ac:dyDescent="0.25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e">
        <f>VLOOKUP(F2041,'Customer Info'!A2033:I2532,2,0)</f>
        <v>#N/A</v>
      </c>
      <c r="H2041" s="6" t="e">
        <f>VLOOKUP(F2041,'Customer Info'!A2033:I2532,3,0)</f>
        <v>#N/A</v>
      </c>
      <c r="I2041" s="6" t="e">
        <f>VLOOKUP(F2041,'Customer Info'!A2033:I2532,5,0)</f>
        <v>#N/A</v>
      </c>
      <c r="J2041" s="2">
        <v>1997</v>
      </c>
      <c r="K2041" s="2">
        <v>1816</v>
      </c>
      <c r="L2041" s="2">
        <v>1</v>
      </c>
      <c r="M2041" s="7">
        <f t="shared" si="124"/>
        <v>1816</v>
      </c>
      <c r="N2041" s="7">
        <f t="shared" si="125"/>
        <v>1997</v>
      </c>
      <c r="O2041" s="2">
        <v>54</v>
      </c>
      <c r="P2041" s="8">
        <f t="shared" si="126"/>
        <v>2051</v>
      </c>
      <c r="Q2041" s="8">
        <f t="shared" si="127"/>
        <v>1943</v>
      </c>
      <c r="R2041" s="2" t="s">
        <v>28</v>
      </c>
      <c r="S2041" s="9">
        <f>VLOOKUP(P2041,$T$2:U2038,2,1)</f>
        <v>0.02</v>
      </c>
    </row>
    <row r="2042" spans="1:19" x14ac:dyDescent="0.25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e">
        <f>VLOOKUP(F2042,'Customer Info'!A2034:I2533,2,0)</f>
        <v>#N/A</v>
      </c>
      <c r="H2042" s="6" t="e">
        <f>VLOOKUP(F2042,'Customer Info'!A2034:I2533,3,0)</f>
        <v>#N/A</v>
      </c>
      <c r="I2042" s="6" t="e">
        <f>VLOOKUP(F2042,'Customer Info'!A2034:I2533,5,0)</f>
        <v>#N/A</v>
      </c>
      <c r="J2042" s="2">
        <v>135</v>
      </c>
      <c r="K2042" s="2">
        <v>126</v>
      </c>
      <c r="L2042" s="2">
        <v>6</v>
      </c>
      <c r="M2042" s="7">
        <f t="shared" si="124"/>
        <v>756</v>
      </c>
      <c r="N2042" s="7">
        <f t="shared" si="125"/>
        <v>810</v>
      </c>
      <c r="O2042" s="2">
        <v>30</v>
      </c>
      <c r="P2042" s="8">
        <f t="shared" si="126"/>
        <v>840</v>
      </c>
      <c r="Q2042" s="8">
        <f t="shared" si="127"/>
        <v>780</v>
      </c>
      <c r="R2042" s="2" t="s">
        <v>28</v>
      </c>
      <c r="S2042" s="9">
        <f>VLOOKUP(P2042,$T$2:U2039,2,1)</f>
        <v>0.02</v>
      </c>
    </row>
    <row r="2043" spans="1:19" x14ac:dyDescent="0.25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e">
        <f>VLOOKUP(F2043,'Customer Info'!A2035:I2534,2,0)</f>
        <v>#N/A</v>
      </c>
      <c r="H2043" s="6" t="e">
        <f>VLOOKUP(F2043,'Customer Info'!A2035:I2534,3,0)</f>
        <v>#N/A</v>
      </c>
      <c r="I2043" s="6" t="e">
        <f>VLOOKUP(F2043,'Customer Info'!A2035:I2534,5,0)</f>
        <v>#N/A</v>
      </c>
      <c r="J2043" s="2">
        <v>1798</v>
      </c>
      <c r="K2043" s="2">
        <v>1650</v>
      </c>
      <c r="L2043" s="2">
        <v>2</v>
      </c>
      <c r="M2043" s="7">
        <f t="shared" si="124"/>
        <v>3300</v>
      </c>
      <c r="N2043" s="7">
        <f t="shared" si="125"/>
        <v>3596</v>
      </c>
      <c r="O2043" s="2">
        <v>73</v>
      </c>
      <c r="P2043" s="8">
        <f t="shared" si="126"/>
        <v>3669</v>
      </c>
      <c r="Q2043" s="8">
        <f t="shared" si="127"/>
        <v>3523</v>
      </c>
      <c r="R2043" s="2" t="s">
        <v>28</v>
      </c>
      <c r="S2043" s="9">
        <f>VLOOKUP(P2043,$T$2:U2040,2,1)</f>
        <v>0.02</v>
      </c>
    </row>
    <row r="2044" spans="1:19" x14ac:dyDescent="0.25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e">
        <f>VLOOKUP(F2044,'Customer Info'!A2036:I2535,2,0)</f>
        <v>#N/A</v>
      </c>
      <c r="H2044" s="6" t="e">
        <f>VLOOKUP(F2044,'Customer Info'!A2036:I2535,3,0)</f>
        <v>#N/A</v>
      </c>
      <c r="I2044" s="6" t="e">
        <f>VLOOKUP(F2044,'Customer Info'!A2036:I2535,5,0)</f>
        <v>#N/A</v>
      </c>
      <c r="J2044" s="2">
        <v>1169</v>
      </c>
      <c r="K2044" s="2">
        <v>1072</v>
      </c>
      <c r="L2044" s="2">
        <v>2</v>
      </c>
      <c r="M2044" s="7">
        <f t="shared" si="124"/>
        <v>2144</v>
      </c>
      <c r="N2044" s="7">
        <f t="shared" si="125"/>
        <v>2338</v>
      </c>
      <c r="O2044" s="2">
        <v>69</v>
      </c>
      <c r="P2044" s="8">
        <f t="shared" si="126"/>
        <v>2407</v>
      </c>
      <c r="Q2044" s="8">
        <f t="shared" si="127"/>
        <v>2269</v>
      </c>
      <c r="R2044" s="2" t="s">
        <v>28</v>
      </c>
      <c r="S2044" s="9">
        <f>VLOOKUP(P2044,$T$2:U2041,2,1)</f>
        <v>0.02</v>
      </c>
    </row>
    <row r="2045" spans="1:19" x14ac:dyDescent="0.25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e">
        <f>VLOOKUP(F2045,'Customer Info'!A2037:I2536,2,0)</f>
        <v>#N/A</v>
      </c>
      <c r="H2045" s="6" t="e">
        <f>VLOOKUP(F2045,'Customer Info'!A2037:I2536,3,0)</f>
        <v>#N/A</v>
      </c>
      <c r="I2045" s="6" t="e">
        <f>VLOOKUP(F2045,'Customer Info'!A2037:I2536,5,0)</f>
        <v>#N/A</v>
      </c>
      <c r="J2045" s="2">
        <v>1808</v>
      </c>
      <c r="K2045" s="2">
        <v>1740</v>
      </c>
      <c r="L2045" s="2">
        <v>6</v>
      </c>
      <c r="M2045" s="7">
        <f t="shared" si="124"/>
        <v>10440</v>
      </c>
      <c r="N2045" s="7">
        <f t="shared" si="125"/>
        <v>10848</v>
      </c>
      <c r="O2045" s="2">
        <v>84</v>
      </c>
      <c r="P2045" s="8">
        <f t="shared" si="126"/>
        <v>10932</v>
      </c>
      <c r="Q2045" s="8">
        <f t="shared" si="127"/>
        <v>10764</v>
      </c>
      <c r="R2045" s="2" t="s">
        <v>28</v>
      </c>
      <c r="S2045" s="9">
        <f>VLOOKUP(P2045,$T$2:U2042,2,1)</f>
        <v>0.05</v>
      </c>
    </row>
    <row r="2046" spans="1:19" x14ac:dyDescent="0.25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e">
        <f>VLOOKUP(F2046,'Customer Info'!A2038:I2537,2,0)</f>
        <v>#N/A</v>
      </c>
      <c r="H2046" s="6" t="e">
        <f>VLOOKUP(F2046,'Customer Info'!A2038:I2537,3,0)</f>
        <v>#N/A</v>
      </c>
      <c r="I2046" s="6" t="e">
        <f>VLOOKUP(F2046,'Customer Info'!A2038:I2537,5,0)</f>
        <v>#N/A</v>
      </c>
      <c r="J2046" s="2">
        <v>2515</v>
      </c>
      <c r="K2046" s="2">
        <v>2397</v>
      </c>
      <c r="L2046" s="2">
        <v>2</v>
      </c>
      <c r="M2046" s="7">
        <f t="shared" si="124"/>
        <v>4794</v>
      </c>
      <c r="N2046" s="7">
        <f t="shared" si="125"/>
        <v>5030</v>
      </c>
      <c r="O2046" s="2">
        <v>89</v>
      </c>
      <c r="P2046" s="8">
        <f t="shared" si="126"/>
        <v>5119</v>
      </c>
      <c r="Q2046" s="8">
        <f t="shared" si="127"/>
        <v>4941</v>
      </c>
      <c r="R2046" s="2" t="s">
        <v>28</v>
      </c>
      <c r="S2046" s="9">
        <f>VLOOKUP(P2046,$T$2:U2043,2,1)</f>
        <v>0.05</v>
      </c>
    </row>
    <row r="2047" spans="1:19" x14ac:dyDescent="0.25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e">
        <f>VLOOKUP(F2047,'Customer Info'!A2039:I2538,2,0)</f>
        <v>#N/A</v>
      </c>
      <c r="H2047" s="6" t="e">
        <f>VLOOKUP(F2047,'Customer Info'!A2039:I2538,3,0)</f>
        <v>#N/A</v>
      </c>
      <c r="I2047" s="6" t="e">
        <f>VLOOKUP(F2047,'Customer Info'!A2039:I2538,5,0)</f>
        <v>#N/A</v>
      </c>
      <c r="J2047" s="2">
        <v>1752</v>
      </c>
      <c r="K2047" s="2">
        <v>1576</v>
      </c>
      <c r="L2047" s="2">
        <v>3</v>
      </c>
      <c r="M2047" s="7">
        <f t="shared" si="124"/>
        <v>4728</v>
      </c>
      <c r="N2047" s="7">
        <f t="shared" si="125"/>
        <v>5256</v>
      </c>
      <c r="O2047" s="2">
        <v>88</v>
      </c>
      <c r="P2047" s="8">
        <f t="shared" si="126"/>
        <v>5344</v>
      </c>
      <c r="Q2047" s="8">
        <f t="shared" si="127"/>
        <v>5168</v>
      </c>
      <c r="R2047" s="2" t="s">
        <v>28</v>
      </c>
      <c r="S2047" s="9">
        <f>VLOOKUP(P2047,$T$2:U2044,2,1)</f>
        <v>0.05</v>
      </c>
    </row>
    <row r="2048" spans="1:19" x14ac:dyDescent="0.25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e">
        <f>VLOOKUP(F2048,'Customer Info'!A2040:I2539,2,0)</f>
        <v>#N/A</v>
      </c>
      <c r="H2048" s="6" t="e">
        <f>VLOOKUP(F2048,'Customer Info'!A2040:I2539,3,0)</f>
        <v>#N/A</v>
      </c>
      <c r="I2048" s="6" t="e">
        <f>VLOOKUP(F2048,'Customer Info'!A2040:I2539,5,0)</f>
        <v>#N/A</v>
      </c>
      <c r="J2048" s="2">
        <v>179</v>
      </c>
      <c r="K2048" s="2">
        <v>171</v>
      </c>
      <c r="L2048" s="2">
        <v>5</v>
      </c>
      <c r="M2048" s="7">
        <f t="shared" si="124"/>
        <v>855</v>
      </c>
      <c r="N2048" s="7">
        <f t="shared" si="125"/>
        <v>895</v>
      </c>
      <c r="O2048" s="2">
        <v>30</v>
      </c>
      <c r="P2048" s="8">
        <f t="shared" si="126"/>
        <v>925</v>
      </c>
      <c r="Q2048" s="8">
        <f t="shared" si="127"/>
        <v>865</v>
      </c>
      <c r="R2048" s="2" t="s">
        <v>50</v>
      </c>
      <c r="S2048" s="9">
        <f>VLOOKUP(P2048,$T$2:U2045,2,1)</f>
        <v>0.02</v>
      </c>
    </row>
    <row r="2049" spans="1:19" x14ac:dyDescent="0.25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e">
        <f>VLOOKUP(F2049,'Customer Info'!A2041:I2540,2,0)</f>
        <v>#N/A</v>
      </c>
      <c r="H2049" s="6" t="e">
        <f>VLOOKUP(F2049,'Customer Info'!A2041:I2540,3,0)</f>
        <v>#N/A</v>
      </c>
      <c r="I2049" s="6" t="e">
        <f>VLOOKUP(F2049,'Customer Info'!A2041:I2540,5,0)</f>
        <v>#N/A</v>
      </c>
      <c r="J2049" s="2">
        <v>1574</v>
      </c>
      <c r="K2049" s="2">
        <v>1458</v>
      </c>
      <c r="L2049" s="2">
        <v>3</v>
      </c>
      <c r="M2049" s="7">
        <f t="shared" si="124"/>
        <v>4374</v>
      </c>
      <c r="N2049" s="7">
        <f t="shared" si="125"/>
        <v>4722</v>
      </c>
      <c r="O2049" s="2">
        <v>59</v>
      </c>
      <c r="P2049" s="8">
        <f t="shared" si="126"/>
        <v>4781</v>
      </c>
      <c r="Q2049" s="8">
        <f t="shared" si="127"/>
        <v>4663</v>
      </c>
      <c r="R2049" s="2" t="s">
        <v>50</v>
      </c>
      <c r="S2049" s="9">
        <f>VLOOKUP(P2049,$T$2:U2046,2,1)</f>
        <v>0.02</v>
      </c>
    </row>
    <row r="2050" spans="1:19" x14ac:dyDescent="0.25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e">
        <f>VLOOKUP(F2050,'Customer Info'!A2042:I2541,2,0)</f>
        <v>#N/A</v>
      </c>
      <c r="H2050" s="6" t="e">
        <f>VLOOKUP(F2050,'Customer Info'!A2042:I2541,3,0)</f>
        <v>#N/A</v>
      </c>
      <c r="I2050" s="6" t="e">
        <f>VLOOKUP(F2050,'Customer Info'!A2042:I2541,5,0)</f>
        <v>#N/A</v>
      </c>
      <c r="J2050" s="2">
        <v>1752</v>
      </c>
      <c r="K2050" s="2">
        <v>1576</v>
      </c>
      <c r="L2050" s="2">
        <v>2</v>
      </c>
      <c r="M2050" s="7">
        <f t="shared" si="124"/>
        <v>3152</v>
      </c>
      <c r="N2050" s="7">
        <f t="shared" si="125"/>
        <v>3504</v>
      </c>
      <c r="O2050" s="2">
        <v>30</v>
      </c>
      <c r="P2050" s="8">
        <f t="shared" si="126"/>
        <v>3534</v>
      </c>
      <c r="Q2050" s="8">
        <f t="shared" si="127"/>
        <v>3474</v>
      </c>
      <c r="R2050" s="2" t="s">
        <v>28</v>
      </c>
      <c r="S2050" s="9">
        <f>VLOOKUP(P2050,$T$2:U2047,2,1)</f>
        <v>0.02</v>
      </c>
    </row>
    <row r="2051" spans="1:19" x14ac:dyDescent="0.25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e">
        <f>VLOOKUP(F2051,'Customer Info'!A2043:I2542,2,0)</f>
        <v>#N/A</v>
      </c>
      <c r="H2051" s="6" t="e">
        <f>VLOOKUP(F2051,'Customer Info'!A2043:I2542,3,0)</f>
        <v>#N/A</v>
      </c>
      <c r="I2051" s="6" t="e">
        <f>VLOOKUP(F2051,'Customer Info'!A2043:I2542,5,0)</f>
        <v>#N/A</v>
      </c>
      <c r="J2051" s="2">
        <v>2243</v>
      </c>
      <c r="K2051" s="2">
        <v>2000</v>
      </c>
      <c r="L2051" s="2">
        <v>3</v>
      </c>
      <c r="M2051" s="7">
        <f t="shared" si="124"/>
        <v>6000</v>
      </c>
      <c r="N2051" s="7">
        <f t="shared" si="125"/>
        <v>6729</v>
      </c>
      <c r="O2051" s="2">
        <v>58</v>
      </c>
      <c r="P2051" s="8">
        <f t="shared" si="126"/>
        <v>6787</v>
      </c>
      <c r="Q2051" s="8">
        <f t="shared" si="127"/>
        <v>6671</v>
      </c>
      <c r="R2051" s="2" t="s">
        <v>50</v>
      </c>
      <c r="S2051" s="9">
        <f>VLOOKUP(P2051,$T$2:U2048,2,1)</f>
        <v>0.05</v>
      </c>
    </row>
    <row r="2052" spans="1:19" x14ac:dyDescent="0.25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e">
        <f>VLOOKUP(F2052,'Customer Info'!A2044:I2543,2,0)</f>
        <v>#N/A</v>
      </c>
      <c r="H2052" s="6" t="e">
        <f>VLOOKUP(F2052,'Customer Info'!A2044:I2543,3,0)</f>
        <v>#N/A</v>
      </c>
      <c r="I2052" s="6" t="e">
        <f>VLOOKUP(F2052,'Customer Info'!A2044:I2543,5,0)</f>
        <v>#N/A</v>
      </c>
      <c r="J2052" s="2">
        <v>7943</v>
      </c>
      <c r="K2052" s="2">
        <v>7790</v>
      </c>
      <c r="L2052" s="2">
        <v>1</v>
      </c>
      <c r="M2052" s="7">
        <f t="shared" si="124"/>
        <v>7790</v>
      </c>
      <c r="N2052" s="7">
        <f t="shared" si="125"/>
        <v>7943</v>
      </c>
      <c r="O2052" s="2">
        <v>81</v>
      </c>
      <c r="P2052" s="8">
        <f t="shared" si="126"/>
        <v>8024</v>
      </c>
      <c r="Q2052" s="8">
        <f t="shared" si="127"/>
        <v>7862</v>
      </c>
      <c r="R2052" s="2" t="s">
        <v>28</v>
      </c>
      <c r="S2052" s="9">
        <f>VLOOKUP(P2052,$T$2:U2049,2,1)</f>
        <v>0.05</v>
      </c>
    </row>
    <row r="2053" spans="1:19" x14ac:dyDescent="0.25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e">
        <f>VLOOKUP(F2053,'Customer Info'!A2045:I2544,2,0)</f>
        <v>#N/A</v>
      </c>
      <c r="H2053" s="6" t="e">
        <f>VLOOKUP(F2053,'Customer Info'!A2045:I2544,3,0)</f>
        <v>#N/A</v>
      </c>
      <c r="I2053" s="6" t="e">
        <f>VLOOKUP(F2053,'Customer Info'!A2045:I2544,5,0)</f>
        <v>#N/A</v>
      </c>
      <c r="J2053" s="2">
        <v>2759</v>
      </c>
      <c r="K2053" s="2">
        <v>2628</v>
      </c>
      <c r="L2053" s="2">
        <v>3</v>
      </c>
      <c r="M2053" s="7">
        <f t="shared" si="124"/>
        <v>7884</v>
      </c>
      <c r="N2053" s="7">
        <f t="shared" si="125"/>
        <v>8277</v>
      </c>
      <c r="O2053" s="2">
        <v>56</v>
      </c>
      <c r="P2053" s="8">
        <f t="shared" si="126"/>
        <v>8333</v>
      </c>
      <c r="Q2053" s="8">
        <f t="shared" si="127"/>
        <v>8221</v>
      </c>
      <c r="R2053" s="2" t="s">
        <v>28</v>
      </c>
      <c r="S2053" s="9">
        <f>VLOOKUP(P2053,$T$2:U2050,2,1)</f>
        <v>0.05</v>
      </c>
    </row>
    <row r="2054" spans="1:19" x14ac:dyDescent="0.25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e">
        <f>VLOOKUP(F2054,'Customer Info'!A2046:I2545,2,0)</f>
        <v>#N/A</v>
      </c>
      <c r="H2054" s="6" t="e">
        <f>VLOOKUP(F2054,'Customer Info'!A2046:I2545,3,0)</f>
        <v>#N/A</v>
      </c>
      <c r="I2054" s="6" t="e">
        <f>VLOOKUP(F2054,'Customer Info'!A2046:I2545,5,0)</f>
        <v>#N/A</v>
      </c>
      <c r="J2054" s="2">
        <v>8686</v>
      </c>
      <c r="K2054" s="2">
        <v>8035</v>
      </c>
      <c r="L2054" s="2">
        <v>1</v>
      </c>
      <c r="M2054" s="7">
        <f t="shared" si="124"/>
        <v>8035</v>
      </c>
      <c r="N2054" s="7">
        <f t="shared" si="125"/>
        <v>8686</v>
      </c>
      <c r="O2054" s="2">
        <v>54</v>
      </c>
      <c r="P2054" s="8">
        <f t="shared" si="126"/>
        <v>8740</v>
      </c>
      <c r="Q2054" s="8">
        <f t="shared" si="127"/>
        <v>8632</v>
      </c>
      <c r="R2054" s="2" t="s">
        <v>28</v>
      </c>
      <c r="S2054" s="9">
        <f>VLOOKUP(P2054,$T$2:U2051,2,1)</f>
        <v>0.05</v>
      </c>
    </row>
    <row r="2055" spans="1:19" x14ac:dyDescent="0.25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e">
        <f>VLOOKUP(F2055,'Customer Info'!A2047:I2546,2,0)</f>
        <v>#N/A</v>
      </c>
      <c r="H2055" s="6" t="e">
        <f>VLOOKUP(F2055,'Customer Info'!A2047:I2546,3,0)</f>
        <v>#N/A</v>
      </c>
      <c r="I2055" s="6" t="e">
        <f>VLOOKUP(F2055,'Customer Info'!A2047:I2546,5,0)</f>
        <v>#N/A</v>
      </c>
      <c r="J2055" s="2">
        <v>90</v>
      </c>
      <c r="K2055" s="2">
        <v>81</v>
      </c>
      <c r="L2055" s="2">
        <v>4</v>
      </c>
      <c r="M2055" s="7">
        <f t="shared" si="124"/>
        <v>324</v>
      </c>
      <c r="N2055" s="7">
        <f t="shared" si="125"/>
        <v>360</v>
      </c>
      <c r="O2055" s="2">
        <v>10</v>
      </c>
      <c r="P2055" s="8">
        <f t="shared" si="126"/>
        <v>370</v>
      </c>
      <c r="Q2055" s="8">
        <f t="shared" si="127"/>
        <v>350</v>
      </c>
      <c r="R2055" s="2" t="s">
        <v>28</v>
      </c>
      <c r="S2055" s="9">
        <f>VLOOKUP(P2055,$T$2:U2052,2,1)</f>
        <v>0.02</v>
      </c>
    </row>
    <row r="2056" spans="1:19" x14ac:dyDescent="0.25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e">
        <f>VLOOKUP(F2056,'Customer Info'!A2048:I2547,2,0)</f>
        <v>#N/A</v>
      </c>
      <c r="H2056" s="6" t="e">
        <f>VLOOKUP(F2056,'Customer Info'!A2048:I2547,3,0)</f>
        <v>#N/A</v>
      </c>
      <c r="I2056" s="6" t="e">
        <f>VLOOKUP(F2056,'Customer Info'!A2048:I2547,5,0)</f>
        <v>#N/A</v>
      </c>
      <c r="J2056" s="2">
        <v>9306</v>
      </c>
      <c r="K2056" s="2">
        <v>8461</v>
      </c>
      <c r="L2056" s="2">
        <v>1</v>
      </c>
      <c r="M2056" s="7">
        <f t="shared" si="124"/>
        <v>8461</v>
      </c>
      <c r="N2056" s="7">
        <f t="shared" si="125"/>
        <v>9306</v>
      </c>
      <c r="O2056" s="2">
        <v>37</v>
      </c>
      <c r="P2056" s="8">
        <f t="shared" si="126"/>
        <v>9343</v>
      </c>
      <c r="Q2056" s="8">
        <f t="shared" si="127"/>
        <v>9269</v>
      </c>
      <c r="R2056" s="2" t="s">
        <v>28</v>
      </c>
      <c r="S2056" s="9">
        <f>VLOOKUP(P2056,$T$2:U2053,2,1)</f>
        <v>0.05</v>
      </c>
    </row>
    <row r="2057" spans="1:19" x14ac:dyDescent="0.25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e">
        <f>VLOOKUP(F2057,'Customer Info'!A2049:I2548,2,0)</f>
        <v>#N/A</v>
      </c>
      <c r="H2057" s="6" t="e">
        <f>VLOOKUP(F2057,'Customer Info'!A2049:I2548,3,0)</f>
        <v>#N/A</v>
      </c>
      <c r="I2057" s="6" t="e">
        <f>VLOOKUP(F2057,'Customer Info'!A2049:I2548,5,0)</f>
        <v>#N/A</v>
      </c>
      <c r="J2057" s="2">
        <v>932</v>
      </c>
      <c r="K2057" s="2">
        <v>838</v>
      </c>
      <c r="L2057" s="2">
        <v>2</v>
      </c>
      <c r="M2057" s="7">
        <f t="shared" si="124"/>
        <v>1676</v>
      </c>
      <c r="N2057" s="7">
        <f t="shared" si="125"/>
        <v>1864</v>
      </c>
      <c r="O2057" s="2">
        <v>25</v>
      </c>
      <c r="P2057" s="8">
        <f t="shared" si="126"/>
        <v>1889</v>
      </c>
      <c r="Q2057" s="8">
        <f t="shared" si="127"/>
        <v>1839</v>
      </c>
      <c r="R2057" s="2" t="s">
        <v>56</v>
      </c>
      <c r="S2057" s="9">
        <f>VLOOKUP(P2057,$T$2:U2054,2,1)</f>
        <v>0.02</v>
      </c>
    </row>
    <row r="2058" spans="1:19" x14ac:dyDescent="0.25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e">
        <f>VLOOKUP(F2058,'Customer Info'!A2050:I2549,2,0)</f>
        <v>#N/A</v>
      </c>
      <c r="H2058" s="6" t="e">
        <f>VLOOKUP(F2058,'Customer Info'!A2050:I2549,3,0)</f>
        <v>#N/A</v>
      </c>
      <c r="I2058" s="6" t="e">
        <f>VLOOKUP(F2058,'Customer Info'!A2050:I2549,5,0)</f>
        <v>#N/A</v>
      </c>
      <c r="J2058" s="2">
        <v>135</v>
      </c>
      <c r="K2058" s="2">
        <v>129</v>
      </c>
      <c r="L2058" s="2">
        <v>3</v>
      </c>
      <c r="M2058" s="7">
        <f t="shared" si="124"/>
        <v>387</v>
      </c>
      <c r="N2058" s="7">
        <f t="shared" si="125"/>
        <v>405</v>
      </c>
      <c r="O2058" s="2">
        <v>30</v>
      </c>
      <c r="P2058" s="8">
        <f t="shared" si="126"/>
        <v>435</v>
      </c>
      <c r="Q2058" s="8">
        <f t="shared" si="127"/>
        <v>375</v>
      </c>
      <c r="R2058" s="2" t="s">
        <v>56</v>
      </c>
      <c r="S2058" s="9">
        <f>VLOOKUP(P2058,$T$2:U2055,2,1)</f>
        <v>0.02</v>
      </c>
    </row>
    <row r="2059" spans="1:19" x14ac:dyDescent="0.25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e">
        <f>VLOOKUP(F2059,'Customer Info'!A2051:I2550,2,0)</f>
        <v>#N/A</v>
      </c>
      <c r="H2059" s="6" t="e">
        <f>VLOOKUP(F2059,'Customer Info'!A2051:I2550,3,0)</f>
        <v>#N/A</v>
      </c>
      <c r="I2059" s="6" t="e">
        <f>VLOOKUP(F2059,'Customer Info'!A2051:I2550,5,0)</f>
        <v>#N/A</v>
      </c>
      <c r="J2059" s="2">
        <v>185</v>
      </c>
      <c r="K2059" s="2">
        <v>174</v>
      </c>
      <c r="L2059" s="2">
        <v>5</v>
      </c>
      <c r="M2059" s="7">
        <f t="shared" ref="M2059:M2122" si="128">K2059*L2059</f>
        <v>870</v>
      </c>
      <c r="N2059" s="7">
        <f t="shared" ref="N2059:N2122" si="129">J2059*L2059</f>
        <v>925</v>
      </c>
      <c r="O2059" s="2">
        <v>30</v>
      </c>
      <c r="P2059" s="8">
        <f t="shared" ref="P2059:P2122" si="130">SUM(N2059,O2059)</f>
        <v>955</v>
      </c>
      <c r="Q2059" s="8">
        <f t="shared" ref="Q2059:Q2122" si="131">N2059-O2059</f>
        <v>895</v>
      </c>
      <c r="R2059" s="2" t="s">
        <v>28</v>
      </c>
      <c r="S2059" s="9">
        <f>VLOOKUP(P2059,$T$2:U2056,2,1)</f>
        <v>0.02</v>
      </c>
    </row>
    <row r="2060" spans="1:19" x14ac:dyDescent="0.25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e">
        <f>VLOOKUP(F2060,'Customer Info'!A2052:I2551,2,0)</f>
        <v>#N/A</v>
      </c>
      <c r="H2060" s="6" t="e">
        <f>VLOOKUP(F2060,'Customer Info'!A2052:I2551,3,0)</f>
        <v>#N/A</v>
      </c>
      <c r="I2060" s="6" t="e">
        <f>VLOOKUP(F2060,'Customer Info'!A2052:I2551,5,0)</f>
        <v>#N/A</v>
      </c>
      <c r="J2060" s="2">
        <v>3192</v>
      </c>
      <c r="K2060" s="2">
        <v>3011</v>
      </c>
      <c r="L2060" s="2">
        <v>3</v>
      </c>
      <c r="M2060" s="7">
        <f t="shared" si="128"/>
        <v>9033</v>
      </c>
      <c r="N2060" s="7">
        <f t="shared" si="129"/>
        <v>9576</v>
      </c>
      <c r="O2060" s="2">
        <v>51</v>
      </c>
      <c r="P2060" s="8">
        <f t="shared" si="130"/>
        <v>9627</v>
      </c>
      <c r="Q2060" s="8">
        <f t="shared" si="131"/>
        <v>9525</v>
      </c>
      <c r="R2060" s="2" t="s">
        <v>28</v>
      </c>
      <c r="S2060" s="9">
        <f>VLOOKUP(P2060,$T$2:U2057,2,1)</f>
        <v>0.05</v>
      </c>
    </row>
    <row r="2061" spans="1:19" x14ac:dyDescent="0.25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e">
        <f>VLOOKUP(F2061,'Customer Info'!A2053:I2552,2,0)</f>
        <v>#N/A</v>
      </c>
      <c r="H2061" s="6" t="e">
        <f>VLOOKUP(F2061,'Customer Info'!A2053:I2552,3,0)</f>
        <v>#N/A</v>
      </c>
      <c r="I2061" s="6" t="e">
        <f>VLOOKUP(F2061,'Customer Info'!A2053:I2552,5,0)</f>
        <v>#N/A</v>
      </c>
      <c r="J2061" s="2">
        <v>3176</v>
      </c>
      <c r="K2061" s="2">
        <v>3116</v>
      </c>
      <c r="L2061" s="2">
        <v>1</v>
      </c>
      <c r="M2061" s="7">
        <f t="shared" si="128"/>
        <v>3116</v>
      </c>
      <c r="N2061" s="7">
        <f t="shared" si="129"/>
        <v>3176</v>
      </c>
      <c r="O2061" s="2">
        <v>90</v>
      </c>
      <c r="P2061" s="8">
        <f t="shared" si="130"/>
        <v>3266</v>
      </c>
      <c r="Q2061" s="8">
        <f t="shared" si="131"/>
        <v>3086</v>
      </c>
      <c r="R2061" s="2" t="s">
        <v>56</v>
      </c>
      <c r="S2061" s="9">
        <f>VLOOKUP(P2061,$T$2:U2058,2,1)</f>
        <v>0.02</v>
      </c>
    </row>
    <row r="2062" spans="1:19" x14ac:dyDescent="0.25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e">
        <f>VLOOKUP(F2062,'Customer Info'!A2054:I2553,2,0)</f>
        <v>#N/A</v>
      </c>
      <c r="H2062" s="6" t="e">
        <f>VLOOKUP(F2062,'Customer Info'!A2054:I2553,3,0)</f>
        <v>#N/A</v>
      </c>
      <c r="I2062" s="6" t="e">
        <f>VLOOKUP(F2062,'Customer Info'!A2054:I2553,5,0)</f>
        <v>#N/A</v>
      </c>
      <c r="J2062" s="2">
        <v>169</v>
      </c>
      <c r="K2062" s="2">
        <v>160</v>
      </c>
      <c r="L2062" s="2">
        <v>5</v>
      </c>
      <c r="M2062" s="7">
        <f t="shared" si="128"/>
        <v>800</v>
      </c>
      <c r="N2062" s="7">
        <f t="shared" si="129"/>
        <v>845</v>
      </c>
      <c r="O2062" s="2">
        <v>30</v>
      </c>
      <c r="P2062" s="8">
        <f t="shared" si="130"/>
        <v>875</v>
      </c>
      <c r="Q2062" s="8">
        <f t="shared" si="131"/>
        <v>815</v>
      </c>
      <c r="R2062" s="2" t="s">
        <v>26</v>
      </c>
      <c r="S2062" s="9">
        <f>VLOOKUP(P2062,$T$2:U2059,2,1)</f>
        <v>0.02</v>
      </c>
    </row>
    <row r="2063" spans="1:19" x14ac:dyDescent="0.25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e">
        <f>VLOOKUP(F2063,'Customer Info'!A2055:I2554,2,0)</f>
        <v>#N/A</v>
      </c>
      <c r="H2063" s="6" t="e">
        <f>VLOOKUP(F2063,'Customer Info'!A2055:I2554,3,0)</f>
        <v>#N/A</v>
      </c>
      <c r="I2063" s="6" t="e">
        <f>VLOOKUP(F2063,'Customer Info'!A2055:I2554,5,0)</f>
        <v>#N/A</v>
      </c>
      <c r="J2063" s="2">
        <v>187</v>
      </c>
      <c r="K2063" s="2">
        <v>176</v>
      </c>
      <c r="L2063" s="2">
        <v>6</v>
      </c>
      <c r="M2063" s="7">
        <f t="shared" si="128"/>
        <v>1056</v>
      </c>
      <c r="N2063" s="7">
        <f t="shared" si="129"/>
        <v>1122</v>
      </c>
      <c r="O2063" s="2">
        <v>30</v>
      </c>
      <c r="P2063" s="8">
        <f t="shared" si="130"/>
        <v>1152</v>
      </c>
      <c r="Q2063" s="8">
        <f t="shared" si="131"/>
        <v>1092</v>
      </c>
      <c r="R2063" s="2" t="s">
        <v>28</v>
      </c>
      <c r="S2063" s="9">
        <f>VLOOKUP(P2063,$T$2:U2060,2,1)</f>
        <v>0.02</v>
      </c>
    </row>
    <row r="2064" spans="1:19" x14ac:dyDescent="0.25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e">
        <f>VLOOKUP(F2064,'Customer Info'!A2056:I2555,2,0)</f>
        <v>#N/A</v>
      </c>
      <c r="H2064" s="6" t="e">
        <f>VLOOKUP(F2064,'Customer Info'!A2056:I2555,3,0)</f>
        <v>#N/A</v>
      </c>
      <c r="I2064" s="6" t="e">
        <f>VLOOKUP(F2064,'Customer Info'!A2056:I2555,5,0)</f>
        <v>#N/A</v>
      </c>
      <c r="J2064" s="2">
        <v>445</v>
      </c>
      <c r="K2064" s="2">
        <v>415</v>
      </c>
      <c r="L2064" s="2">
        <v>2</v>
      </c>
      <c r="M2064" s="7">
        <f t="shared" si="128"/>
        <v>830</v>
      </c>
      <c r="N2064" s="7">
        <f t="shared" si="129"/>
        <v>890</v>
      </c>
      <c r="O2064" s="2">
        <v>36</v>
      </c>
      <c r="P2064" s="8">
        <f t="shared" si="130"/>
        <v>926</v>
      </c>
      <c r="Q2064" s="8">
        <f t="shared" si="131"/>
        <v>854</v>
      </c>
      <c r="R2064" s="2" t="s">
        <v>50</v>
      </c>
      <c r="S2064" s="9">
        <f>VLOOKUP(P2064,$T$2:U2061,2,1)</f>
        <v>0.02</v>
      </c>
    </row>
    <row r="2065" spans="1:19" x14ac:dyDescent="0.25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e">
        <f>VLOOKUP(F2065,'Customer Info'!A2057:I2556,2,0)</f>
        <v>#N/A</v>
      </c>
      <c r="H2065" s="6" t="e">
        <f>VLOOKUP(F2065,'Customer Info'!A2057:I2556,3,0)</f>
        <v>#N/A</v>
      </c>
      <c r="I2065" s="6" t="e">
        <f>VLOOKUP(F2065,'Customer Info'!A2057:I2556,5,0)</f>
        <v>#N/A</v>
      </c>
      <c r="J2065" s="2">
        <v>7960</v>
      </c>
      <c r="K2065" s="2">
        <v>7375</v>
      </c>
      <c r="L2065" s="2">
        <v>2</v>
      </c>
      <c r="M2065" s="7">
        <f t="shared" si="128"/>
        <v>14750</v>
      </c>
      <c r="N2065" s="7">
        <f t="shared" si="129"/>
        <v>15920</v>
      </c>
      <c r="O2065" s="2">
        <v>28</v>
      </c>
      <c r="P2065" s="8">
        <f t="shared" si="130"/>
        <v>15948</v>
      </c>
      <c r="Q2065" s="8">
        <f t="shared" si="131"/>
        <v>15892</v>
      </c>
      <c r="R2065" s="2" t="s">
        <v>28</v>
      </c>
      <c r="S2065" s="9">
        <f>VLOOKUP(P2065,$T$2:U2062,2,1)</f>
        <v>0.05</v>
      </c>
    </row>
    <row r="2066" spans="1:19" x14ac:dyDescent="0.25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e">
        <f>VLOOKUP(F2066,'Customer Info'!A2058:I2557,2,0)</f>
        <v>#N/A</v>
      </c>
      <c r="H2066" s="6" t="e">
        <f>VLOOKUP(F2066,'Customer Info'!A2058:I2557,3,0)</f>
        <v>#N/A</v>
      </c>
      <c r="I2066" s="6" t="e">
        <f>VLOOKUP(F2066,'Customer Info'!A2058:I2557,5,0)</f>
        <v>#N/A</v>
      </c>
      <c r="J2066" s="2">
        <v>127</v>
      </c>
      <c r="K2066" s="2">
        <v>116</v>
      </c>
      <c r="L2066" s="2">
        <v>4</v>
      </c>
      <c r="M2066" s="7">
        <f t="shared" si="128"/>
        <v>464</v>
      </c>
      <c r="N2066" s="7">
        <f t="shared" si="129"/>
        <v>508</v>
      </c>
      <c r="O2066" s="2">
        <v>30</v>
      </c>
      <c r="P2066" s="8">
        <f t="shared" si="130"/>
        <v>538</v>
      </c>
      <c r="Q2066" s="8">
        <f t="shared" si="131"/>
        <v>478</v>
      </c>
      <c r="R2066" s="2" t="s">
        <v>28</v>
      </c>
      <c r="S2066" s="9">
        <f>VLOOKUP(P2066,$T$2:U2063,2,1)</f>
        <v>0.02</v>
      </c>
    </row>
    <row r="2067" spans="1:19" x14ac:dyDescent="0.25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e">
        <f>VLOOKUP(F2067,'Customer Info'!A2059:I2558,2,0)</f>
        <v>#N/A</v>
      </c>
      <c r="H2067" s="6" t="e">
        <f>VLOOKUP(F2067,'Customer Info'!A2059:I2558,3,0)</f>
        <v>#N/A</v>
      </c>
      <c r="I2067" s="6" t="e">
        <f>VLOOKUP(F2067,'Customer Info'!A2059:I2558,5,0)</f>
        <v>#N/A</v>
      </c>
      <c r="J2067" s="2">
        <v>3256</v>
      </c>
      <c r="K2067" s="2">
        <v>2959</v>
      </c>
      <c r="L2067" s="2">
        <v>4</v>
      </c>
      <c r="M2067" s="7">
        <f t="shared" si="128"/>
        <v>11836</v>
      </c>
      <c r="N2067" s="7">
        <f t="shared" si="129"/>
        <v>13024</v>
      </c>
      <c r="O2067" s="2">
        <v>61</v>
      </c>
      <c r="P2067" s="8">
        <f t="shared" si="130"/>
        <v>13085</v>
      </c>
      <c r="Q2067" s="8">
        <f t="shared" si="131"/>
        <v>12963</v>
      </c>
      <c r="R2067" s="2" t="s">
        <v>28</v>
      </c>
      <c r="S2067" s="9">
        <f>VLOOKUP(P2067,$T$2:U2064,2,1)</f>
        <v>0.05</v>
      </c>
    </row>
    <row r="2068" spans="1:19" x14ac:dyDescent="0.25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e">
        <f>VLOOKUP(F2068,'Customer Info'!A2060:I2559,2,0)</f>
        <v>#N/A</v>
      </c>
      <c r="H2068" s="6" t="e">
        <f>VLOOKUP(F2068,'Customer Info'!A2060:I2559,3,0)</f>
        <v>#N/A</v>
      </c>
      <c r="I2068" s="6" t="e">
        <f>VLOOKUP(F2068,'Customer Info'!A2060:I2559,5,0)</f>
        <v>#N/A</v>
      </c>
      <c r="J2068" s="2">
        <v>2644</v>
      </c>
      <c r="K2068" s="2">
        <v>2425</v>
      </c>
      <c r="L2068" s="2">
        <v>3</v>
      </c>
      <c r="M2068" s="7">
        <f t="shared" si="128"/>
        <v>7275</v>
      </c>
      <c r="N2068" s="7">
        <f t="shared" si="129"/>
        <v>7932</v>
      </c>
      <c r="O2068" s="2">
        <v>95</v>
      </c>
      <c r="P2068" s="8">
        <f t="shared" si="130"/>
        <v>8027</v>
      </c>
      <c r="Q2068" s="8">
        <f t="shared" si="131"/>
        <v>7837</v>
      </c>
      <c r="R2068" s="2" t="s">
        <v>28</v>
      </c>
      <c r="S2068" s="9">
        <f>VLOOKUP(P2068,$T$2:U2065,2,1)</f>
        <v>0.05</v>
      </c>
    </row>
    <row r="2069" spans="1:19" x14ac:dyDescent="0.25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e">
        <f>VLOOKUP(F2069,'Customer Info'!A2061:I2560,2,0)</f>
        <v>#N/A</v>
      </c>
      <c r="H2069" s="6" t="e">
        <f>VLOOKUP(F2069,'Customer Info'!A2061:I2560,3,0)</f>
        <v>#N/A</v>
      </c>
      <c r="I2069" s="6" t="e">
        <f>VLOOKUP(F2069,'Customer Info'!A2061:I2560,5,0)</f>
        <v>#N/A</v>
      </c>
      <c r="J2069" s="2">
        <v>144</v>
      </c>
      <c r="K2069" s="2">
        <v>133</v>
      </c>
      <c r="L2069" s="2">
        <v>4</v>
      </c>
      <c r="M2069" s="7">
        <f t="shared" si="128"/>
        <v>532</v>
      </c>
      <c r="N2069" s="7">
        <f t="shared" si="129"/>
        <v>576</v>
      </c>
      <c r="O2069" s="2">
        <v>30</v>
      </c>
      <c r="P2069" s="8">
        <f t="shared" si="130"/>
        <v>606</v>
      </c>
      <c r="Q2069" s="8">
        <f t="shared" si="131"/>
        <v>546</v>
      </c>
      <c r="R2069" s="2" t="s">
        <v>50</v>
      </c>
      <c r="S2069" s="9">
        <f>VLOOKUP(P2069,$T$2:U2066,2,1)</f>
        <v>0.02</v>
      </c>
    </row>
    <row r="2070" spans="1:19" x14ac:dyDescent="0.25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e">
        <f>VLOOKUP(F2070,'Customer Info'!A2062:I2561,2,0)</f>
        <v>#N/A</v>
      </c>
      <c r="H2070" s="6" t="e">
        <f>VLOOKUP(F2070,'Customer Info'!A2062:I2561,3,0)</f>
        <v>#N/A</v>
      </c>
      <c r="I2070" s="6" t="e">
        <f>VLOOKUP(F2070,'Customer Info'!A2062:I2561,5,0)</f>
        <v>#N/A</v>
      </c>
      <c r="J2070" s="2">
        <v>1186</v>
      </c>
      <c r="K2070" s="2">
        <v>1141</v>
      </c>
      <c r="L2070" s="2">
        <v>2</v>
      </c>
      <c r="M2070" s="7">
        <f t="shared" si="128"/>
        <v>2282</v>
      </c>
      <c r="N2070" s="7">
        <f t="shared" si="129"/>
        <v>2372</v>
      </c>
      <c r="O2070" s="2">
        <v>100</v>
      </c>
      <c r="P2070" s="8">
        <f t="shared" si="130"/>
        <v>2472</v>
      </c>
      <c r="Q2070" s="8">
        <f t="shared" si="131"/>
        <v>2272</v>
      </c>
      <c r="R2070" s="2" t="s">
        <v>28</v>
      </c>
      <c r="S2070" s="9">
        <f>VLOOKUP(P2070,$T$2:U2067,2,1)</f>
        <v>0.02</v>
      </c>
    </row>
    <row r="2071" spans="1:19" x14ac:dyDescent="0.25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e">
        <f>VLOOKUP(F2071,'Customer Info'!A2063:I2562,2,0)</f>
        <v>#N/A</v>
      </c>
      <c r="H2071" s="6" t="e">
        <f>VLOOKUP(F2071,'Customer Info'!A2063:I2562,3,0)</f>
        <v>#N/A</v>
      </c>
      <c r="I2071" s="6" t="e">
        <f>VLOOKUP(F2071,'Customer Info'!A2063:I2562,5,0)</f>
        <v>#N/A</v>
      </c>
      <c r="J2071" s="2">
        <v>3321</v>
      </c>
      <c r="K2071" s="2">
        <v>2989</v>
      </c>
      <c r="L2071" s="2">
        <v>9</v>
      </c>
      <c r="M2071" s="7">
        <f t="shared" si="128"/>
        <v>26901</v>
      </c>
      <c r="N2071" s="7">
        <f t="shared" si="129"/>
        <v>29889</v>
      </c>
      <c r="O2071" s="2">
        <v>59</v>
      </c>
      <c r="P2071" s="8">
        <f t="shared" si="130"/>
        <v>29948</v>
      </c>
      <c r="Q2071" s="8">
        <f t="shared" si="131"/>
        <v>29830</v>
      </c>
      <c r="R2071" s="2" t="s">
        <v>28</v>
      </c>
      <c r="S2071" s="9">
        <f>VLOOKUP(P2071,$T$2:U2068,2,1)</f>
        <v>7.0000000000000007E-2</v>
      </c>
    </row>
    <row r="2072" spans="1:19" x14ac:dyDescent="0.25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e">
        <f>VLOOKUP(F2072,'Customer Info'!A2064:I2563,2,0)</f>
        <v>#N/A</v>
      </c>
      <c r="H2072" s="6" t="e">
        <f>VLOOKUP(F2072,'Customer Info'!A2064:I2563,3,0)</f>
        <v>#N/A</v>
      </c>
      <c r="I2072" s="6" t="e">
        <f>VLOOKUP(F2072,'Customer Info'!A2064:I2563,5,0)</f>
        <v>#N/A</v>
      </c>
      <c r="J2072" s="2">
        <v>8869</v>
      </c>
      <c r="K2072" s="2">
        <v>7906</v>
      </c>
      <c r="L2072" s="2">
        <v>1</v>
      </c>
      <c r="M2072" s="7">
        <f t="shared" si="128"/>
        <v>7906</v>
      </c>
      <c r="N2072" s="7">
        <f t="shared" si="129"/>
        <v>8869</v>
      </c>
      <c r="O2072" s="2">
        <v>33</v>
      </c>
      <c r="P2072" s="8">
        <f t="shared" si="130"/>
        <v>8902</v>
      </c>
      <c r="Q2072" s="8">
        <f t="shared" si="131"/>
        <v>8836</v>
      </c>
      <c r="R2072" s="2" t="s">
        <v>50</v>
      </c>
      <c r="S2072" s="9">
        <f>VLOOKUP(P2072,$T$2:U2069,2,1)</f>
        <v>0.05</v>
      </c>
    </row>
    <row r="2073" spans="1:19" x14ac:dyDescent="0.25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e">
        <f>VLOOKUP(F2073,'Customer Info'!A2065:I2564,2,0)</f>
        <v>#N/A</v>
      </c>
      <c r="H2073" s="6" t="e">
        <f>VLOOKUP(F2073,'Customer Info'!A2065:I2564,3,0)</f>
        <v>#N/A</v>
      </c>
      <c r="I2073" s="6" t="e">
        <f>VLOOKUP(F2073,'Customer Info'!A2065:I2564,5,0)</f>
        <v>#N/A</v>
      </c>
      <c r="J2073" s="2">
        <v>3017</v>
      </c>
      <c r="K2073" s="2">
        <v>2825</v>
      </c>
      <c r="L2073" s="2">
        <v>8</v>
      </c>
      <c r="M2073" s="7">
        <f t="shared" si="128"/>
        <v>22600</v>
      </c>
      <c r="N2073" s="7">
        <f t="shared" si="129"/>
        <v>24136</v>
      </c>
      <c r="O2073" s="2">
        <v>90</v>
      </c>
      <c r="P2073" s="8">
        <f t="shared" si="130"/>
        <v>24226</v>
      </c>
      <c r="Q2073" s="8">
        <f t="shared" si="131"/>
        <v>24046</v>
      </c>
      <c r="R2073" s="2" t="s">
        <v>28</v>
      </c>
      <c r="S2073" s="9">
        <f>VLOOKUP(P2073,$T$2:U2070,2,1)</f>
        <v>0.05</v>
      </c>
    </row>
    <row r="2074" spans="1:19" x14ac:dyDescent="0.25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e">
        <f>VLOOKUP(F2074,'Customer Info'!A2066:I2565,2,0)</f>
        <v>#N/A</v>
      </c>
      <c r="H2074" s="6" t="e">
        <f>VLOOKUP(F2074,'Customer Info'!A2066:I2565,3,0)</f>
        <v>#N/A</v>
      </c>
      <c r="I2074" s="6" t="e">
        <f>VLOOKUP(F2074,'Customer Info'!A2066:I2565,5,0)</f>
        <v>#N/A</v>
      </c>
      <c r="J2074" s="2">
        <v>1717</v>
      </c>
      <c r="K2074" s="2">
        <v>1652</v>
      </c>
      <c r="L2074" s="2">
        <v>3</v>
      </c>
      <c r="M2074" s="7">
        <f t="shared" si="128"/>
        <v>4956</v>
      </c>
      <c r="N2074" s="7">
        <f t="shared" si="129"/>
        <v>5151</v>
      </c>
      <c r="O2074" s="2">
        <v>24</v>
      </c>
      <c r="P2074" s="8">
        <f t="shared" si="130"/>
        <v>5175</v>
      </c>
      <c r="Q2074" s="8">
        <f t="shared" si="131"/>
        <v>5127</v>
      </c>
      <c r="R2074" s="2" t="s">
        <v>28</v>
      </c>
      <c r="S2074" s="9">
        <f>VLOOKUP(P2074,$T$2:U2071,2,1)</f>
        <v>0.05</v>
      </c>
    </row>
    <row r="2075" spans="1:19" x14ac:dyDescent="0.25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e">
        <f>VLOOKUP(F2075,'Customer Info'!A2067:I2566,2,0)</f>
        <v>#N/A</v>
      </c>
      <c r="H2075" s="6" t="e">
        <f>VLOOKUP(F2075,'Customer Info'!A2067:I2566,3,0)</f>
        <v>#N/A</v>
      </c>
      <c r="I2075" s="6" t="e">
        <f>VLOOKUP(F2075,'Customer Info'!A2067:I2566,5,0)</f>
        <v>#N/A</v>
      </c>
      <c r="J2075" s="2">
        <v>288</v>
      </c>
      <c r="K2075" s="2">
        <v>264</v>
      </c>
      <c r="L2075" s="2">
        <v>6</v>
      </c>
      <c r="M2075" s="7">
        <f t="shared" si="128"/>
        <v>1584</v>
      </c>
      <c r="N2075" s="7">
        <f t="shared" si="129"/>
        <v>1728</v>
      </c>
      <c r="O2075" s="2">
        <v>34</v>
      </c>
      <c r="P2075" s="8">
        <f t="shared" si="130"/>
        <v>1762</v>
      </c>
      <c r="Q2075" s="8">
        <f t="shared" si="131"/>
        <v>1694</v>
      </c>
      <c r="R2075" s="2" t="s">
        <v>56</v>
      </c>
      <c r="S2075" s="9">
        <f>VLOOKUP(P2075,$T$2:U2072,2,1)</f>
        <v>0.02</v>
      </c>
    </row>
    <row r="2076" spans="1:19" x14ac:dyDescent="0.25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e">
        <f>VLOOKUP(F2076,'Customer Info'!A2068:I2567,2,0)</f>
        <v>#N/A</v>
      </c>
      <c r="H2076" s="6" t="e">
        <f>VLOOKUP(F2076,'Customer Info'!A2068:I2567,3,0)</f>
        <v>#N/A</v>
      </c>
      <c r="I2076" s="6" t="e">
        <f>VLOOKUP(F2076,'Customer Info'!A2068:I2567,5,0)</f>
        <v>#N/A</v>
      </c>
      <c r="J2076" s="2">
        <v>130</v>
      </c>
      <c r="K2076" s="2">
        <v>122</v>
      </c>
      <c r="L2076" s="2">
        <v>4</v>
      </c>
      <c r="M2076" s="7">
        <f t="shared" si="128"/>
        <v>488</v>
      </c>
      <c r="N2076" s="7">
        <f t="shared" si="129"/>
        <v>520</v>
      </c>
      <c r="O2076" s="2">
        <v>30</v>
      </c>
      <c r="P2076" s="8">
        <f t="shared" si="130"/>
        <v>550</v>
      </c>
      <c r="Q2076" s="8">
        <f t="shared" si="131"/>
        <v>490</v>
      </c>
      <c r="R2076" s="2" t="s">
        <v>26</v>
      </c>
      <c r="S2076" s="9">
        <f>VLOOKUP(P2076,$T$2:U2073,2,1)</f>
        <v>0.02</v>
      </c>
    </row>
    <row r="2077" spans="1:19" x14ac:dyDescent="0.25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e">
        <f>VLOOKUP(F2077,'Customer Info'!A2069:I2568,2,0)</f>
        <v>#N/A</v>
      </c>
      <c r="H2077" s="6" t="e">
        <f>VLOOKUP(F2077,'Customer Info'!A2069:I2568,3,0)</f>
        <v>#N/A</v>
      </c>
      <c r="I2077" s="6" t="e">
        <f>VLOOKUP(F2077,'Customer Info'!A2069:I2568,5,0)</f>
        <v>#N/A</v>
      </c>
      <c r="J2077" s="2">
        <v>1533</v>
      </c>
      <c r="K2077" s="2">
        <v>1406</v>
      </c>
      <c r="L2077" s="2">
        <v>2</v>
      </c>
      <c r="M2077" s="7">
        <f t="shared" si="128"/>
        <v>2812</v>
      </c>
      <c r="N2077" s="7">
        <f t="shared" si="129"/>
        <v>3066</v>
      </c>
      <c r="O2077" s="2">
        <v>89</v>
      </c>
      <c r="P2077" s="8">
        <f t="shared" si="130"/>
        <v>3155</v>
      </c>
      <c r="Q2077" s="8">
        <f t="shared" si="131"/>
        <v>2977</v>
      </c>
      <c r="R2077" s="2" t="s">
        <v>28</v>
      </c>
      <c r="S2077" s="9">
        <f>VLOOKUP(P2077,$T$2:U2074,2,1)</f>
        <v>0.02</v>
      </c>
    </row>
    <row r="2078" spans="1:19" x14ac:dyDescent="0.25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e">
        <f>VLOOKUP(F2078,'Customer Info'!A2070:I2569,2,0)</f>
        <v>#N/A</v>
      </c>
      <c r="H2078" s="6" t="e">
        <f>VLOOKUP(F2078,'Customer Info'!A2070:I2569,3,0)</f>
        <v>#N/A</v>
      </c>
      <c r="I2078" s="6" t="e">
        <f>VLOOKUP(F2078,'Customer Info'!A2070:I2569,5,0)</f>
        <v>#N/A</v>
      </c>
      <c r="J2078" s="2">
        <v>671</v>
      </c>
      <c r="K2078" s="2">
        <v>627</v>
      </c>
      <c r="L2078" s="2">
        <v>1</v>
      </c>
      <c r="M2078" s="7">
        <f t="shared" si="128"/>
        <v>627</v>
      </c>
      <c r="N2078" s="7">
        <f t="shared" si="129"/>
        <v>671</v>
      </c>
      <c r="O2078" s="2">
        <v>31</v>
      </c>
      <c r="P2078" s="8">
        <f t="shared" si="130"/>
        <v>702</v>
      </c>
      <c r="Q2078" s="8">
        <f t="shared" si="131"/>
        <v>640</v>
      </c>
      <c r="R2078" s="2" t="s">
        <v>26</v>
      </c>
      <c r="S2078" s="9">
        <f>VLOOKUP(P2078,$T$2:U2075,2,1)</f>
        <v>0.02</v>
      </c>
    </row>
    <row r="2079" spans="1:19" x14ac:dyDescent="0.25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e">
        <f>VLOOKUP(F2079,'Customer Info'!A2071:I2570,2,0)</f>
        <v>#N/A</v>
      </c>
      <c r="H2079" s="6" t="e">
        <f>VLOOKUP(F2079,'Customer Info'!A2071:I2570,3,0)</f>
        <v>#N/A</v>
      </c>
      <c r="I2079" s="6" t="e">
        <f>VLOOKUP(F2079,'Customer Info'!A2071:I2570,5,0)</f>
        <v>#N/A</v>
      </c>
      <c r="J2079" s="2">
        <v>169</v>
      </c>
      <c r="K2079" s="2">
        <v>160</v>
      </c>
      <c r="L2079" s="2">
        <v>2</v>
      </c>
      <c r="M2079" s="7">
        <f t="shared" si="128"/>
        <v>320</v>
      </c>
      <c r="N2079" s="7">
        <f t="shared" si="129"/>
        <v>338</v>
      </c>
      <c r="O2079" s="2">
        <v>30</v>
      </c>
      <c r="P2079" s="8">
        <f t="shared" si="130"/>
        <v>368</v>
      </c>
      <c r="Q2079" s="8">
        <f t="shared" si="131"/>
        <v>308</v>
      </c>
      <c r="R2079" s="2" t="s">
        <v>56</v>
      </c>
      <c r="S2079" s="9">
        <f>VLOOKUP(P2079,$T$2:U2076,2,1)</f>
        <v>0.02</v>
      </c>
    </row>
    <row r="2080" spans="1:19" x14ac:dyDescent="0.25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e">
        <f>VLOOKUP(F2080,'Customer Info'!A2072:I2571,2,0)</f>
        <v>#N/A</v>
      </c>
      <c r="H2080" s="6" t="e">
        <f>VLOOKUP(F2080,'Customer Info'!A2072:I2571,3,0)</f>
        <v>#N/A</v>
      </c>
      <c r="I2080" s="6" t="e">
        <f>VLOOKUP(F2080,'Customer Info'!A2072:I2571,5,0)</f>
        <v>#N/A</v>
      </c>
      <c r="J2080" s="2">
        <v>2951</v>
      </c>
      <c r="K2080" s="2">
        <v>2786</v>
      </c>
      <c r="L2080" s="2">
        <v>1</v>
      </c>
      <c r="M2080" s="7">
        <f t="shared" si="128"/>
        <v>2786</v>
      </c>
      <c r="N2080" s="7">
        <f t="shared" si="129"/>
        <v>2951</v>
      </c>
      <c r="O2080" s="2">
        <v>90</v>
      </c>
      <c r="P2080" s="8">
        <f t="shared" si="130"/>
        <v>3041</v>
      </c>
      <c r="Q2080" s="8">
        <f t="shared" si="131"/>
        <v>2861</v>
      </c>
      <c r="R2080" s="2" t="s">
        <v>56</v>
      </c>
      <c r="S2080" s="9">
        <f>VLOOKUP(P2080,$T$2:U2077,2,1)</f>
        <v>0.02</v>
      </c>
    </row>
    <row r="2081" spans="1:19" x14ac:dyDescent="0.25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e">
        <f>VLOOKUP(F2081,'Customer Info'!A2073:I2572,2,0)</f>
        <v>#N/A</v>
      </c>
      <c r="H2081" s="6" t="e">
        <f>VLOOKUP(F2081,'Customer Info'!A2073:I2572,3,0)</f>
        <v>#N/A</v>
      </c>
      <c r="I2081" s="6" t="e">
        <f>VLOOKUP(F2081,'Customer Info'!A2073:I2572,5,0)</f>
        <v>#N/A</v>
      </c>
      <c r="J2081" s="2">
        <v>183</v>
      </c>
      <c r="K2081" s="2">
        <v>168</v>
      </c>
      <c r="L2081" s="2">
        <v>2</v>
      </c>
      <c r="M2081" s="7">
        <f t="shared" si="128"/>
        <v>336</v>
      </c>
      <c r="N2081" s="7">
        <f t="shared" si="129"/>
        <v>366</v>
      </c>
      <c r="O2081" s="2">
        <v>30</v>
      </c>
      <c r="P2081" s="8">
        <f t="shared" si="130"/>
        <v>396</v>
      </c>
      <c r="Q2081" s="8">
        <f t="shared" si="131"/>
        <v>336</v>
      </c>
      <c r="R2081" s="2" t="s">
        <v>28</v>
      </c>
      <c r="S2081" s="9">
        <f>VLOOKUP(P2081,$T$2:U2078,2,1)</f>
        <v>0.02</v>
      </c>
    </row>
    <row r="2082" spans="1:19" x14ac:dyDescent="0.25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e">
        <f>VLOOKUP(F2082,'Customer Info'!A2074:I2573,2,0)</f>
        <v>#N/A</v>
      </c>
      <c r="H2082" s="6" t="e">
        <f>VLOOKUP(F2082,'Customer Info'!A2074:I2573,3,0)</f>
        <v>#N/A</v>
      </c>
      <c r="I2082" s="6" t="e">
        <f>VLOOKUP(F2082,'Customer Info'!A2074:I2573,5,0)</f>
        <v>#N/A</v>
      </c>
      <c r="J2082" s="2">
        <v>5941</v>
      </c>
      <c r="K2082" s="2">
        <v>5827</v>
      </c>
      <c r="L2082" s="2">
        <v>2</v>
      </c>
      <c r="M2082" s="7">
        <f t="shared" si="128"/>
        <v>11654</v>
      </c>
      <c r="N2082" s="7">
        <f t="shared" si="129"/>
        <v>11882</v>
      </c>
      <c r="O2082" s="2">
        <v>88</v>
      </c>
      <c r="P2082" s="8">
        <f t="shared" si="130"/>
        <v>11970</v>
      </c>
      <c r="Q2082" s="8">
        <f t="shared" si="131"/>
        <v>11794</v>
      </c>
      <c r="R2082" s="2" t="s">
        <v>28</v>
      </c>
      <c r="S2082" s="9">
        <f>VLOOKUP(P2082,$T$2:U2079,2,1)</f>
        <v>0.05</v>
      </c>
    </row>
    <row r="2083" spans="1:19" x14ac:dyDescent="0.25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e">
        <f>VLOOKUP(F2083,'Customer Info'!A2075:I2574,2,0)</f>
        <v>#N/A</v>
      </c>
      <c r="H2083" s="6" t="e">
        <f>VLOOKUP(F2083,'Customer Info'!A2075:I2574,3,0)</f>
        <v>#N/A</v>
      </c>
      <c r="I2083" s="6" t="e">
        <f>VLOOKUP(F2083,'Customer Info'!A2075:I2574,5,0)</f>
        <v>#N/A</v>
      </c>
      <c r="J2083" s="2">
        <v>954</v>
      </c>
      <c r="K2083" s="2">
        <v>901</v>
      </c>
      <c r="L2083" s="2">
        <v>5</v>
      </c>
      <c r="M2083" s="7">
        <f t="shared" si="128"/>
        <v>4505</v>
      </c>
      <c r="N2083" s="7">
        <f t="shared" si="129"/>
        <v>4770</v>
      </c>
      <c r="O2083" s="2">
        <v>43</v>
      </c>
      <c r="P2083" s="8">
        <f t="shared" si="130"/>
        <v>4813</v>
      </c>
      <c r="Q2083" s="8">
        <f t="shared" si="131"/>
        <v>4727</v>
      </c>
      <c r="R2083" s="2" t="s">
        <v>50</v>
      </c>
      <c r="S2083" s="9">
        <f>VLOOKUP(P2083,$T$2:U2080,2,1)</f>
        <v>0.02</v>
      </c>
    </row>
    <row r="2084" spans="1:19" x14ac:dyDescent="0.25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e">
        <f>VLOOKUP(F2084,'Customer Info'!A2076:I2575,2,0)</f>
        <v>#N/A</v>
      </c>
      <c r="H2084" s="6" t="e">
        <f>VLOOKUP(F2084,'Customer Info'!A2076:I2575,3,0)</f>
        <v>#N/A</v>
      </c>
      <c r="I2084" s="6" t="e">
        <f>VLOOKUP(F2084,'Customer Info'!A2076:I2575,5,0)</f>
        <v>#N/A</v>
      </c>
      <c r="J2084" s="2">
        <v>978</v>
      </c>
      <c r="K2084" s="2">
        <v>922</v>
      </c>
      <c r="L2084" s="2">
        <v>3</v>
      </c>
      <c r="M2084" s="7">
        <f t="shared" si="128"/>
        <v>2766</v>
      </c>
      <c r="N2084" s="7">
        <f t="shared" si="129"/>
        <v>2934</v>
      </c>
      <c r="O2084" s="2">
        <v>45</v>
      </c>
      <c r="P2084" s="8">
        <f t="shared" si="130"/>
        <v>2979</v>
      </c>
      <c r="Q2084" s="8">
        <f t="shared" si="131"/>
        <v>2889</v>
      </c>
      <c r="R2084" s="2" t="s">
        <v>28</v>
      </c>
      <c r="S2084" s="9">
        <f>VLOOKUP(P2084,$T$2:U2081,2,1)</f>
        <v>0.02</v>
      </c>
    </row>
    <row r="2085" spans="1:19" x14ac:dyDescent="0.25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e">
        <f>VLOOKUP(F2085,'Customer Info'!A2077:I2576,2,0)</f>
        <v>#N/A</v>
      </c>
      <c r="H2085" s="6" t="e">
        <f>VLOOKUP(F2085,'Customer Info'!A2077:I2576,3,0)</f>
        <v>#N/A</v>
      </c>
      <c r="I2085" s="6" t="e">
        <f>VLOOKUP(F2085,'Customer Info'!A2077:I2576,5,0)</f>
        <v>#N/A</v>
      </c>
      <c r="J2085" s="2">
        <v>1125</v>
      </c>
      <c r="K2085" s="2">
        <v>1040</v>
      </c>
      <c r="L2085" s="2">
        <v>2</v>
      </c>
      <c r="M2085" s="7">
        <f t="shared" si="128"/>
        <v>2080</v>
      </c>
      <c r="N2085" s="7">
        <f t="shared" si="129"/>
        <v>2250</v>
      </c>
      <c r="O2085" s="2">
        <v>40</v>
      </c>
      <c r="P2085" s="8">
        <f t="shared" si="130"/>
        <v>2290</v>
      </c>
      <c r="Q2085" s="8">
        <f t="shared" si="131"/>
        <v>2210</v>
      </c>
      <c r="R2085" s="2" t="s">
        <v>28</v>
      </c>
      <c r="S2085" s="9">
        <f>VLOOKUP(P2085,$T$2:U2082,2,1)</f>
        <v>0.02</v>
      </c>
    </row>
    <row r="2086" spans="1:19" x14ac:dyDescent="0.25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e">
        <f>VLOOKUP(F2086,'Customer Info'!A2078:I2577,2,0)</f>
        <v>#N/A</v>
      </c>
      <c r="H2086" s="6" t="e">
        <f>VLOOKUP(F2086,'Customer Info'!A2078:I2577,3,0)</f>
        <v>#N/A</v>
      </c>
      <c r="I2086" s="6" t="e">
        <f>VLOOKUP(F2086,'Customer Info'!A2078:I2577,5,0)</f>
        <v>#N/A</v>
      </c>
      <c r="J2086" s="2">
        <v>729</v>
      </c>
      <c r="K2086" s="2">
        <v>689</v>
      </c>
      <c r="L2086" s="2">
        <v>3</v>
      </c>
      <c r="M2086" s="7">
        <f t="shared" si="128"/>
        <v>2067</v>
      </c>
      <c r="N2086" s="7">
        <f t="shared" si="129"/>
        <v>2187</v>
      </c>
      <c r="O2086" s="2">
        <v>71</v>
      </c>
      <c r="P2086" s="8">
        <f t="shared" si="130"/>
        <v>2258</v>
      </c>
      <c r="Q2086" s="8">
        <f t="shared" si="131"/>
        <v>2116</v>
      </c>
      <c r="R2086" s="2" t="s">
        <v>28</v>
      </c>
      <c r="S2086" s="9">
        <f>VLOOKUP(P2086,$T$2:U2083,2,1)</f>
        <v>0.02</v>
      </c>
    </row>
    <row r="2087" spans="1:19" x14ac:dyDescent="0.25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e">
        <f>VLOOKUP(F2087,'Customer Info'!A2079:I2578,2,0)</f>
        <v>#N/A</v>
      </c>
      <c r="H2087" s="6" t="e">
        <f>VLOOKUP(F2087,'Customer Info'!A2079:I2578,3,0)</f>
        <v>#N/A</v>
      </c>
      <c r="I2087" s="6" t="e">
        <f>VLOOKUP(F2087,'Customer Info'!A2079:I2578,5,0)</f>
        <v>#N/A</v>
      </c>
      <c r="J2087" s="2">
        <v>4784</v>
      </c>
      <c r="K2087" s="2">
        <v>4518</v>
      </c>
      <c r="L2087" s="2">
        <v>4</v>
      </c>
      <c r="M2087" s="7">
        <f t="shared" si="128"/>
        <v>18072</v>
      </c>
      <c r="N2087" s="7">
        <f t="shared" si="129"/>
        <v>19136</v>
      </c>
      <c r="O2087" s="2">
        <v>63</v>
      </c>
      <c r="P2087" s="8">
        <f t="shared" si="130"/>
        <v>19199</v>
      </c>
      <c r="Q2087" s="8">
        <f t="shared" si="131"/>
        <v>19073</v>
      </c>
      <c r="R2087" s="2" t="s">
        <v>28</v>
      </c>
      <c r="S2087" s="9">
        <f>VLOOKUP(P2087,$T$2:U2084,2,1)</f>
        <v>0.05</v>
      </c>
    </row>
    <row r="2088" spans="1:19" x14ac:dyDescent="0.25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e">
        <f>VLOOKUP(F2088,'Customer Info'!A2080:I2579,2,0)</f>
        <v>#N/A</v>
      </c>
      <c r="H2088" s="6" t="e">
        <f>VLOOKUP(F2088,'Customer Info'!A2080:I2579,3,0)</f>
        <v>#N/A</v>
      </c>
      <c r="I2088" s="6" t="e">
        <f>VLOOKUP(F2088,'Customer Info'!A2080:I2579,5,0)</f>
        <v>#N/A</v>
      </c>
      <c r="J2088" s="2">
        <v>2747</v>
      </c>
      <c r="K2088" s="2">
        <v>2545</v>
      </c>
      <c r="L2088" s="2">
        <v>4</v>
      </c>
      <c r="M2088" s="7">
        <f t="shared" si="128"/>
        <v>10180</v>
      </c>
      <c r="N2088" s="7">
        <f t="shared" si="129"/>
        <v>10988</v>
      </c>
      <c r="O2088" s="2">
        <v>42</v>
      </c>
      <c r="P2088" s="8">
        <f t="shared" si="130"/>
        <v>11030</v>
      </c>
      <c r="Q2088" s="8">
        <f t="shared" si="131"/>
        <v>10946</v>
      </c>
      <c r="R2088" s="2" t="s">
        <v>50</v>
      </c>
      <c r="S2088" s="9">
        <f>VLOOKUP(P2088,$T$2:U2085,2,1)</f>
        <v>0.05</v>
      </c>
    </row>
    <row r="2089" spans="1:19" x14ac:dyDescent="0.25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e">
        <f>VLOOKUP(F2089,'Customer Info'!A2081:I2580,2,0)</f>
        <v>#N/A</v>
      </c>
      <c r="H2089" s="6" t="e">
        <f>VLOOKUP(F2089,'Customer Info'!A2081:I2580,3,0)</f>
        <v>#N/A</v>
      </c>
      <c r="I2089" s="6" t="e">
        <f>VLOOKUP(F2089,'Customer Info'!A2081:I2580,5,0)</f>
        <v>#N/A</v>
      </c>
      <c r="J2089" s="2">
        <v>1816</v>
      </c>
      <c r="K2089" s="2">
        <v>1700</v>
      </c>
      <c r="L2089" s="2">
        <v>2</v>
      </c>
      <c r="M2089" s="7">
        <f t="shared" si="128"/>
        <v>3400</v>
      </c>
      <c r="N2089" s="7">
        <f t="shared" si="129"/>
        <v>3632</v>
      </c>
      <c r="O2089" s="2">
        <v>67</v>
      </c>
      <c r="P2089" s="8">
        <f t="shared" si="130"/>
        <v>3699</v>
      </c>
      <c r="Q2089" s="8">
        <f t="shared" si="131"/>
        <v>3565</v>
      </c>
      <c r="R2089" s="2" t="s">
        <v>50</v>
      </c>
      <c r="S2089" s="9">
        <f>VLOOKUP(P2089,$T$2:U2086,2,1)</f>
        <v>0.02</v>
      </c>
    </row>
    <row r="2090" spans="1:19" x14ac:dyDescent="0.25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e">
        <f>VLOOKUP(F2090,'Customer Info'!A2082:I2581,2,0)</f>
        <v>#N/A</v>
      </c>
      <c r="H2090" s="6" t="e">
        <f>VLOOKUP(F2090,'Customer Info'!A2082:I2581,3,0)</f>
        <v>#N/A</v>
      </c>
      <c r="I2090" s="6" t="e">
        <f>VLOOKUP(F2090,'Customer Info'!A2082:I2581,5,0)</f>
        <v>#N/A</v>
      </c>
      <c r="J2090" s="2">
        <v>1703</v>
      </c>
      <c r="K2090" s="2">
        <v>1639</v>
      </c>
      <c r="L2090" s="2">
        <v>3</v>
      </c>
      <c r="M2090" s="7">
        <f t="shared" si="128"/>
        <v>4917</v>
      </c>
      <c r="N2090" s="7">
        <f t="shared" si="129"/>
        <v>5109</v>
      </c>
      <c r="O2090" s="2">
        <v>23</v>
      </c>
      <c r="P2090" s="8">
        <f t="shared" si="130"/>
        <v>5132</v>
      </c>
      <c r="Q2090" s="8">
        <f t="shared" si="131"/>
        <v>5086</v>
      </c>
      <c r="R2090" s="2" t="s">
        <v>28</v>
      </c>
      <c r="S2090" s="9">
        <f>VLOOKUP(P2090,$T$2:U2087,2,1)</f>
        <v>0.05</v>
      </c>
    </row>
    <row r="2091" spans="1:19" x14ac:dyDescent="0.25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e">
        <f>VLOOKUP(F2091,'Customer Info'!A2083:I2582,2,0)</f>
        <v>#N/A</v>
      </c>
      <c r="H2091" s="6" t="e">
        <f>VLOOKUP(F2091,'Customer Info'!A2083:I2582,3,0)</f>
        <v>#N/A</v>
      </c>
      <c r="I2091" s="6" t="e">
        <f>VLOOKUP(F2091,'Customer Info'!A2083:I2582,5,0)</f>
        <v>#N/A</v>
      </c>
      <c r="J2091" s="2">
        <v>2706</v>
      </c>
      <c r="K2091" s="2">
        <v>2553</v>
      </c>
      <c r="L2091" s="2">
        <v>9</v>
      </c>
      <c r="M2091" s="7">
        <f t="shared" si="128"/>
        <v>22977</v>
      </c>
      <c r="N2091" s="7">
        <f t="shared" si="129"/>
        <v>24354</v>
      </c>
      <c r="O2091" s="2">
        <v>77</v>
      </c>
      <c r="P2091" s="8">
        <f t="shared" si="130"/>
        <v>24431</v>
      </c>
      <c r="Q2091" s="8">
        <f t="shared" si="131"/>
        <v>24277</v>
      </c>
      <c r="R2091" s="2" t="s">
        <v>50</v>
      </c>
      <c r="S2091" s="9">
        <f>VLOOKUP(P2091,$T$2:U2088,2,1)</f>
        <v>0.05</v>
      </c>
    </row>
    <row r="2092" spans="1:19" x14ac:dyDescent="0.25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e">
        <f>VLOOKUP(F2092,'Customer Info'!A2084:I2583,2,0)</f>
        <v>#N/A</v>
      </c>
      <c r="H2092" s="6" t="e">
        <f>VLOOKUP(F2092,'Customer Info'!A2084:I2583,3,0)</f>
        <v>#N/A</v>
      </c>
      <c r="I2092" s="6" t="e">
        <f>VLOOKUP(F2092,'Customer Info'!A2084:I2583,5,0)</f>
        <v>#N/A</v>
      </c>
      <c r="J2092" s="2">
        <v>2083</v>
      </c>
      <c r="K2092" s="2">
        <v>2004</v>
      </c>
      <c r="L2092" s="2">
        <v>8</v>
      </c>
      <c r="M2092" s="7">
        <f t="shared" si="128"/>
        <v>16032</v>
      </c>
      <c r="N2092" s="7">
        <f t="shared" si="129"/>
        <v>16664</v>
      </c>
      <c r="O2092" s="2">
        <v>49</v>
      </c>
      <c r="P2092" s="8">
        <f t="shared" si="130"/>
        <v>16713</v>
      </c>
      <c r="Q2092" s="8">
        <f t="shared" si="131"/>
        <v>16615</v>
      </c>
      <c r="R2092" s="2" t="s">
        <v>50</v>
      </c>
      <c r="S2092" s="9">
        <f>VLOOKUP(P2092,$T$2:U2089,2,1)</f>
        <v>0.05</v>
      </c>
    </row>
    <row r="2093" spans="1:19" x14ac:dyDescent="0.25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e">
        <f>VLOOKUP(F2093,'Customer Info'!A2085:I2584,2,0)</f>
        <v>#N/A</v>
      </c>
      <c r="H2093" s="6" t="e">
        <f>VLOOKUP(F2093,'Customer Info'!A2085:I2584,3,0)</f>
        <v>#N/A</v>
      </c>
      <c r="I2093" s="6" t="e">
        <f>VLOOKUP(F2093,'Customer Info'!A2085:I2584,5,0)</f>
        <v>#N/A</v>
      </c>
      <c r="J2093" s="2">
        <v>187</v>
      </c>
      <c r="K2093" s="2">
        <v>176</v>
      </c>
      <c r="L2093" s="2">
        <v>3</v>
      </c>
      <c r="M2093" s="7">
        <f t="shared" si="128"/>
        <v>528</v>
      </c>
      <c r="N2093" s="7">
        <f t="shared" si="129"/>
        <v>561</v>
      </c>
      <c r="O2093" s="2">
        <v>30</v>
      </c>
      <c r="P2093" s="8">
        <f t="shared" si="130"/>
        <v>591</v>
      </c>
      <c r="Q2093" s="8">
        <f t="shared" si="131"/>
        <v>531</v>
      </c>
      <c r="R2093" s="2" t="s">
        <v>28</v>
      </c>
      <c r="S2093" s="9">
        <f>VLOOKUP(P2093,$T$2:U2090,2,1)</f>
        <v>0.02</v>
      </c>
    </row>
    <row r="2094" spans="1:19" x14ac:dyDescent="0.25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e">
        <f>VLOOKUP(F2094,'Customer Info'!A2086:I2585,2,0)</f>
        <v>#N/A</v>
      </c>
      <c r="H2094" s="6" t="e">
        <f>VLOOKUP(F2094,'Customer Info'!A2086:I2585,3,0)</f>
        <v>#N/A</v>
      </c>
      <c r="I2094" s="6" t="e">
        <f>VLOOKUP(F2094,'Customer Info'!A2086:I2585,5,0)</f>
        <v>#N/A</v>
      </c>
      <c r="J2094" s="2">
        <v>3256</v>
      </c>
      <c r="K2094" s="2">
        <v>3044</v>
      </c>
      <c r="L2094" s="2">
        <v>3</v>
      </c>
      <c r="M2094" s="7">
        <f t="shared" si="128"/>
        <v>9132</v>
      </c>
      <c r="N2094" s="7">
        <f t="shared" si="129"/>
        <v>9768</v>
      </c>
      <c r="O2094" s="2">
        <v>65</v>
      </c>
      <c r="P2094" s="8">
        <f t="shared" si="130"/>
        <v>9833</v>
      </c>
      <c r="Q2094" s="8">
        <f t="shared" si="131"/>
        <v>9703</v>
      </c>
      <c r="R2094" s="2" t="s">
        <v>50</v>
      </c>
      <c r="S2094" s="9">
        <f>VLOOKUP(P2094,$T$2:U2091,2,1)</f>
        <v>0.05</v>
      </c>
    </row>
    <row r="2095" spans="1:19" x14ac:dyDescent="0.25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e">
        <f>VLOOKUP(F2095,'Customer Info'!A2087:I2586,2,0)</f>
        <v>#N/A</v>
      </c>
      <c r="H2095" s="6" t="e">
        <f>VLOOKUP(F2095,'Customer Info'!A2087:I2586,3,0)</f>
        <v>#N/A</v>
      </c>
      <c r="I2095" s="6" t="e">
        <f>VLOOKUP(F2095,'Customer Info'!A2087:I2586,5,0)</f>
        <v>#N/A</v>
      </c>
      <c r="J2095" s="2">
        <v>3256</v>
      </c>
      <c r="K2095" s="2">
        <v>2959</v>
      </c>
      <c r="L2095" s="2">
        <v>1</v>
      </c>
      <c r="M2095" s="7">
        <f t="shared" si="128"/>
        <v>2959</v>
      </c>
      <c r="N2095" s="7">
        <f t="shared" si="129"/>
        <v>3256</v>
      </c>
      <c r="O2095" s="2">
        <v>90</v>
      </c>
      <c r="P2095" s="8">
        <f t="shared" si="130"/>
        <v>3346</v>
      </c>
      <c r="Q2095" s="8">
        <f t="shared" si="131"/>
        <v>3166</v>
      </c>
      <c r="R2095" s="2" t="s">
        <v>26</v>
      </c>
      <c r="S2095" s="9">
        <f>VLOOKUP(P2095,$T$2:U2092,2,1)</f>
        <v>0.02</v>
      </c>
    </row>
    <row r="2096" spans="1:19" x14ac:dyDescent="0.25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e">
        <f>VLOOKUP(F2096,'Customer Info'!A2088:I2587,2,0)</f>
        <v>#N/A</v>
      </c>
      <c r="H2096" s="6" t="e">
        <f>VLOOKUP(F2096,'Customer Info'!A2088:I2587,3,0)</f>
        <v>#N/A</v>
      </c>
      <c r="I2096" s="6" t="e">
        <f>VLOOKUP(F2096,'Customer Info'!A2088:I2587,5,0)</f>
        <v>#N/A</v>
      </c>
      <c r="J2096" s="2">
        <v>458</v>
      </c>
      <c r="K2096" s="2">
        <v>419</v>
      </c>
      <c r="L2096" s="2">
        <v>1</v>
      </c>
      <c r="M2096" s="7">
        <f t="shared" si="128"/>
        <v>419</v>
      </c>
      <c r="N2096" s="7">
        <f t="shared" si="129"/>
        <v>458</v>
      </c>
      <c r="O2096" s="2">
        <v>58</v>
      </c>
      <c r="P2096" s="8">
        <f t="shared" si="130"/>
        <v>516</v>
      </c>
      <c r="Q2096" s="8">
        <f t="shared" si="131"/>
        <v>400</v>
      </c>
      <c r="R2096" s="2" t="s">
        <v>50</v>
      </c>
      <c r="S2096" s="9">
        <f>VLOOKUP(P2096,$T$2:U2093,2,1)</f>
        <v>0.02</v>
      </c>
    </row>
    <row r="2097" spans="1:19" x14ac:dyDescent="0.25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e">
        <f>VLOOKUP(F2097,'Customer Info'!A2089:I2588,2,0)</f>
        <v>#N/A</v>
      </c>
      <c r="H2097" s="6" t="e">
        <f>VLOOKUP(F2097,'Customer Info'!A2089:I2588,3,0)</f>
        <v>#N/A</v>
      </c>
      <c r="I2097" s="6" t="e">
        <f>VLOOKUP(F2097,'Customer Info'!A2089:I2588,5,0)</f>
        <v>#N/A</v>
      </c>
      <c r="J2097" s="2">
        <v>4904</v>
      </c>
      <c r="K2097" s="2">
        <v>4499</v>
      </c>
      <c r="L2097" s="2">
        <v>2</v>
      </c>
      <c r="M2097" s="7">
        <f t="shared" si="128"/>
        <v>8998</v>
      </c>
      <c r="N2097" s="7">
        <f t="shared" si="129"/>
        <v>9808</v>
      </c>
      <c r="O2097" s="2">
        <v>55</v>
      </c>
      <c r="P2097" s="8">
        <f t="shared" si="130"/>
        <v>9863</v>
      </c>
      <c r="Q2097" s="8">
        <f t="shared" si="131"/>
        <v>9753</v>
      </c>
      <c r="R2097" s="2" t="s">
        <v>50</v>
      </c>
      <c r="S2097" s="9">
        <f>VLOOKUP(P2097,$T$2:U2094,2,1)</f>
        <v>0.05</v>
      </c>
    </row>
    <row r="2098" spans="1:19" x14ac:dyDescent="0.25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e">
        <f>VLOOKUP(F2098,'Customer Info'!A2090:I2589,2,0)</f>
        <v>#N/A</v>
      </c>
      <c r="H2098" s="6" t="e">
        <f>VLOOKUP(F2098,'Customer Info'!A2090:I2589,3,0)</f>
        <v>#N/A</v>
      </c>
      <c r="I2098" s="6" t="e">
        <f>VLOOKUP(F2098,'Customer Info'!A2090:I2589,5,0)</f>
        <v>#N/A</v>
      </c>
      <c r="J2098" s="2">
        <v>177</v>
      </c>
      <c r="K2098" s="2">
        <v>169</v>
      </c>
      <c r="L2098" s="2">
        <v>2</v>
      </c>
      <c r="M2098" s="7">
        <f t="shared" si="128"/>
        <v>338</v>
      </c>
      <c r="N2098" s="7">
        <f t="shared" si="129"/>
        <v>354</v>
      </c>
      <c r="O2098" s="2">
        <v>30</v>
      </c>
      <c r="P2098" s="8">
        <f t="shared" si="130"/>
        <v>384</v>
      </c>
      <c r="Q2098" s="8">
        <f t="shared" si="131"/>
        <v>324</v>
      </c>
      <c r="R2098" s="2" t="s">
        <v>28</v>
      </c>
      <c r="S2098" s="9">
        <f>VLOOKUP(P2098,$T$2:U2095,2,1)</f>
        <v>0.02</v>
      </c>
    </row>
    <row r="2099" spans="1:19" x14ac:dyDescent="0.25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e">
        <f>VLOOKUP(F2099,'Customer Info'!A2091:I2590,2,0)</f>
        <v>#N/A</v>
      </c>
      <c r="H2099" s="6" t="e">
        <f>VLOOKUP(F2099,'Customer Info'!A2091:I2590,3,0)</f>
        <v>#N/A</v>
      </c>
      <c r="I2099" s="6" t="e">
        <f>VLOOKUP(F2099,'Customer Info'!A2091:I2590,5,0)</f>
        <v>#N/A</v>
      </c>
      <c r="J2099" s="2">
        <v>7960</v>
      </c>
      <c r="K2099" s="2">
        <v>7375</v>
      </c>
      <c r="L2099" s="2">
        <v>2</v>
      </c>
      <c r="M2099" s="7">
        <f t="shared" si="128"/>
        <v>14750</v>
      </c>
      <c r="N2099" s="7">
        <f t="shared" si="129"/>
        <v>15920</v>
      </c>
      <c r="O2099" s="2">
        <v>69</v>
      </c>
      <c r="P2099" s="8">
        <f t="shared" si="130"/>
        <v>15989</v>
      </c>
      <c r="Q2099" s="8">
        <f t="shared" si="131"/>
        <v>15851</v>
      </c>
      <c r="R2099" s="2" t="s">
        <v>28</v>
      </c>
      <c r="S2099" s="9">
        <f>VLOOKUP(P2099,$T$2:U2096,2,1)</f>
        <v>0.05</v>
      </c>
    </row>
    <row r="2100" spans="1:19" x14ac:dyDescent="0.25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e">
        <f>VLOOKUP(F2100,'Customer Info'!A2092:I2591,2,0)</f>
        <v>#N/A</v>
      </c>
      <c r="H2100" s="6" t="e">
        <f>VLOOKUP(F2100,'Customer Info'!A2092:I2591,3,0)</f>
        <v>#N/A</v>
      </c>
      <c r="I2100" s="6" t="e">
        <f>VLOOKUP(F2100,'Customer Info'!A2092:I2591,5,0)</f>
        <v>#N/A</v>
      </c>
      <c r="J2100" s="2">
        <v>1545</v>
      </c>
      <c r="K2100" s="2">
        <v>1486</v>
      </c>
      <c r="L2100" s="2">
        <v>5</v>
      </c>
      <c r="M2100" s="7">
        <f t="shared" si="128"/>
        <v>7430</v>
      </c>
      <c r="N2100" s="7">
        <f t="shared" si="129"/>
        <v>7725</v>
      </c>
      <c r="O2100" s="2">
        <v>92</v>
      </c>
      <c r="P2100" s="8">
        <f t="shared" si="130"/>
        <v>7817</v>
      </c>
      <c r="Q2100" s="8">
        <f t="shared" si="131"/>
        <v>7633</v>
      </c>
      <c r="R2100" s="2" t="s">
        <v>50</v>
      </c>
      <c r="S2100" s="9">
        <f>VLOOKUP(P2100,$T$2:U2097,2,1)</f>
        <v>0.05</v>
      </c>
    </row>
    <row r="2101" spans="1:19" x14ac:dyDescent="0.25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e">
        <f>VLOOKUP(F2101,'Customer Info'!A2093:I2592,2,0)</f>
        <v>#N/A</v>
      </c>
      <c r="H2101" s="6" t="e">
        <f>VLOOKUP(F2101,'Customer Info'!A2093:I2592,3,0)</f>
        <v>#N/A</v>
      </c>
      <c r="I2101" s="6" t="e">
        <f>VLOOKUP(F2101,'Customer Info'!A2093:I2592,5,0)</f>
        <v>#N/A</v>
      </c>
      <c r="J2101" s="2">
        <v>835</v>
      </c>
      <c r="K2101" s="2">
        <v>796</v>
      </c>
      <c r="L2101" s="2">
        <v>9</v>
      </c>
      <c r="M2101" s="7">
        <f t="shared" si="128"/>
        <v>7164</v>
      </c>
      <c r="N2101" s="7">
        <f t="shared" si="129"/>
        <v>7515</v>
      </c>
      <c r="O2101" s="2">
        <v>26</v>
      </c>
      <c r="P2101" s="8">
        <f t="shared" si="130"/>
        <v>7541</v>
      </c>
      <c r="Q2101" s="8">
        <f t="shared" si="131"/>
        <v>7489</v>
      </c>
      <c r="R2101" s="2" t="s">
        <v>28</v>
      </c>
      <c r="S2101" s="9">
        <f>VLOOKUP(P2101,$T$2:U2098,2,1)</f>
        <v>0.05</v>
      </c>
    </row>
    <row r="2102" spans="1:19" x14ac:dyDescent="0.25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e">
        <f>VLOOKUP(F2102,'Customer Info'!A2094:I2593,2,0)</f>
        <v>#N/A</v>
      </c>
      <c r="H2102" s="6" t="e">
        <f>VLOOKUP(F2102,'Customer Info'!A2094:I2593,3,0)</f>
        <v>#N/A</v>
      </c>
      <c r="I2102" s="6" t="e">
        <f>VLOOKUP(F2102,'Customer Info'!A2094:I2593,5,0)</f>
        <v>#N/A</v>
      </c>
      <c r="J2102" s="2">
        <v>1358</v>
      </c>
      <c r="K2102" s="2">
        <v>1270</v>
      </c>
      <c r="L2102" s="2">
        <v>3</v>
      </c>
      <c r="M2102" s="7">
        <f t="shared" si="128"/>
        <v>3810</v>
      </c>
      <c r="N2102" s="7">
        <f t="shared" si="129"/>
        <v>4074</v>
      </c>
      <c r="O2102" s="2">
        <v>58</v>
      </c>
      <c r="P2102" s="8">
        <f t="shared" si="130"/>
        <v>4132</v>
      </c>
      <c r="Q2102" s="8">
        <f t="shared" si="131"/>
        <v>4016</v>
      </c>
      <c r="R2102" s="2" t="s">
        <v>50</v>
      </c>
      <c r="S2102" s="9">
        <f>VLOOKUP(P2102,$T$2:U2099,2,1)</f>
        <v>0.02</v>
      </c>
    </row>
    <row r="2103" spans="1:19" x14ac:dyDescent="0.25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e">
        <f>VLOOKUP(F2103,'Customer Info'!A2095:I2594,2,0)</f>
        <v>#N/A</v>
      </c>
      <c r="H2103" s="6" t="e">
        <f>VLOOKUP(F2103,'Customer Info'!A2095:I2594,3,0)</f>
        <v>#N/A</v>
      </c>
      <c r="I2103" s="6" t="e">
        <f>VLOOKUP(F2103,'Customer Info'!A2095:I2594,5,0)</f>
        <v>#N/A</v>
      </c>
      <c r="J2103" s="2">
        <v>8651</v>
      </c>
      <c r="K2103" s="2">
        <v>8081</v>
      </c>
      <c r="L2103" s="2">
        <v>5</v>
      </c>
      <c r="M2103" s="7">
        <f t="shared" si="128"/>
        <v>40405</v>
      </c>
      <c r="N2103" s="7">
        <f t="shared" si="129"/>
        <v>43255</v>
      </c>
      <c r="O2103" s="2">
        <v>26</v>
      </c>
      <c r="P2103" s="8">
        <f t="shared" si="130"/>
        <v>43281</v>
      </c>
      <c r="Q2103" s="8">
        <f t="shared" si="131"/>
        <v>43229</v>
      </c>
      <c r="R2103" s="2" t="s">
        <v>50</v>
      </c>
      <c r="S2103" s="9">
        <f>VLOOKUP(P2103,$T$2:U2100,2,1)</f>
        <v>7.0000000000000007E-2</v>
      </c>
    </row>
    <row r="2104" spans="1:19" x14ac:dyDescent="0.25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e">
        <f>VLOOKUP(F2104,'Customer Info'!A2096:I2595,2,0)</f>
        <v>#N/A</v>
      </c>
      <c r="H2104" s="6" t="e">
        <f>VLOOKUP(F2104,'Customer Info'!A2096:I2595,3,0)</f>
        <v>#N/A</v>
      </c>
      <c r="I2104" s="6" t="e">
        <f>VLOOKUP(F2104,'Customer Info'!A2096:I2595,5,0)</f>
        <v>#N/A</v>
      </c>
      <c r="J2104" s="2">
        <v>21863</v>
      </c>
      <c r="K2104" s="2">
        <v>20821</v>
      </c>
      <c r="L2104" s="2">
        <v>1</v>
      </c>
      <c r="M2104" s="7">
        <f t="shared" si="128"/>
        <v>20821</v>
      </c>
      <c r="N2104" s="7">
        <f t="shared" si="129"/>
        <v>21863</v>
      </c>
      <c r="O2104" s="2">
        <v>55</v>
      </c>
      <c r="P2104" s="8">
        <f t="shared" si="130"/>
        <v>21918</v>
      </c>
      <c r="Q2104" s="8">
        <f t="shared" si="131"/>
        <v>21808</v>
      </c>
      <c r="R2104" s="2" t="s">
        <v>28</v>
      </c>
      <c r="S2104" s="9">
        <f>VLOOKUP(P2104,$T$2:U2101,2,1)</f>
        <v>0.05</v>
      </c>
    </row>
    <row r="2105" spans="1:19" x14ac:dyDescent="0.25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e">
        <f>VLOOKUP(F2105,'Customer Info'!A2097:I2596,2,0)</f>
        <v>#N/A</v>
      </c>
      <c r="H2105" s="6" t="e">
        <f>VLOOKUP(F2105,'Customer Info'!A2097:I2596,3,0)</f>
        <v>#N/A</v>
      </c>
      <c r="I2105" s="6" t="e">
        <f>VLOOKUP(F2105,'Customer Info'!A2097:I2596,5,0)</f>
        <v>#N/A</v>
      </c>
      <c r="J2105" s="2">
        <v>474</v>
      </c>
      <c r="K2105" s="2">
        <v>443</v>
      </c>
      <c r="L2105" s="2">
        <v>5</v>
      </c>
      <c r="M2105" s="7">
        <f t="shared" si="128"/>
        <v>2215</v>
      </c>
      <c r="N2105" s="7">
        <f t="shared" si="129"/>
        <v>2370</v>
      </c>
      <c r="O2105" s="2">
        <v>79</v>
      </c>
      <c r="P2105" s="8">
        <f t="shared" si="130"/>
        <v>2449</v>
      </c>
      <c r="Q2105" s="8">
        <f t="shared" si="131"/>
        <v>2291</v>
      </c>
      <c r="R2105" s="2" t="s">
        <v>50</v>
      </c>
      <c r="S2105" s="9">
        <f>VLOOKUP(P2105,$T$2:U2102,2,1)</f>
        <v>0.02</v>
      </c>
    </row>
    <row r="2106" spans="1:19" x14ac:dyDescent="0.25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e">
        <f>VLOOKUP(F2106,'Customer Info'!A2098:I2597,2,0)</f>
        <v>#N/A</v>
      </c>
      <c r="H2106" s="6" t="e">
        <f>VLOOKUP(F2106,'Customer Info'!A2098:I2597,3,0)</f>
        <v>#N/A</v>
      </c>
      <c r="I2106" s="6" t="e">
        <f>VLOOKUP(F2106,'Customer Info'!A2098:I2597,5,0)</f>
        <v>#N/A</v>
      </c>
      <c r="J2106" s="2">
        <v>1169</v>
      </c>
      <c r="K2106" s="2">
        <v>1103</v>
      </c>
      <c r="L2106" s="2">
        <v>6</v>
      </c>
      <c r="M2106" s="7">
        <f t="shared" si="128"/>
        <v>6618</v>
      </c>
      <c r="N2106" s="7">
        <f t="shared" si="129"/>
        <v>7014</v>
      </c>
      <c r="O2106" s="2">
        <v>87</v>
      </c>
      <c r="P2106" s="8">
        <f t="shared" si="130"/>
        <v>7101</v>
      </c>
      <c r="Q2106" s="8">
        <f t="shared" si="131"/>
        <v>6927</v>
      </c>
      <c r="R2106" s="2" t="s">
        <v>28</v>
      </c>
      <c r="S2106" s="9">
        <f>VLOOKUP(P2106,$T$2:U2103,2,1)</f>
        <v>0.05</v>
      </c>
    </row>
    <row r="2107" spans="1:19" x14ac:dyDescent="0.25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e">
        <f>VLOOKUP(F2107,'Customer Info'!A2099:I2598,2,0)</f>
        <v>#N/A</v>
      </c>
      <c r="H2107" s="6" t="e">
        <f>VLOOKUP(F2107,'Customer Info'!A2099:I2598,3,0)</f>
        <v>#N/A</v>
      </c>
      <c r="I2107" s="6" t="e">
        <f>VLOOKUP(F2107,'Customer Info'!A2099:I2598,5,0)</f>
        <v>#N/A</v>
      </c>
      <c r="J2107" s="2">
        <v>1358</v>
      </c>
      <c r="K2107" s="2">
        <v>1294</v>
      </c>
      <c r="L2107" s="2">
        <v>6</v>
      </c>
      <c r="M2107" s="7">
        <f t="shared" si="128"/>
        <v>7764</v>
      </c>
      <c r="N2107" s="7">
        <f t="shared" si="129"/>
        <v>8148</v>
      </c>
      <c r="O2107" s="2">
        <v>50</v>
      </c>
      <c r="P2107" s="8">
        <f t="shared" si="130"/>
        <v>8198</v>
      </c>
      <c r="Q2107" s="8">
        <f t="shared" si="131"/>
        <v>8098</v>
      </c>
      <c r="R2107" s="2" t="s">
        <v>28</v>
      </c>
      <c r="S2107" s="9">
        <f>VLOOKUP(P2107,$T$2:U2104,2,1)</f>
        <v>0.05</v>
      </c>
    </row>
    <row r="2108" spans="1:19" x14ac:dyDescent="0.25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e">
        <f>VLOOKUP(F2108,'Customer Info'!A2100:I2599,2,0)</f>
        <v>#N/A</v>
      </c>
      <c r="H2108" s="6" t="e">
        <f>VLOOKUP(F2108,'Customer Info'!A2100:I2599,3,0)</f>
        <v>#N/A</v>
      </c>
      <c r="I2108" s="6" t="e">
        <f>VLOOKUP(F2108,'Customer Info'!A2100:I2599,5,0)</f>
        <v>#N/A</v>
      </c>
      <c r="J2108" s="2">
        <v>141</v>
      </c>
      <c r="K2108" s="2">
        <v>131</v>
      </c>
      <c r="L2108" s="2">
        <v>12</v>
      </c>
      <c r="M2108" s="7">
        <f t="shared" si="128"/>
        <v>1572</v>
      </c>
      <c r="N2108" s="7">
        <f t="shared" si="129"/>
        <v>1692</v>
      </c>
      <c r="O2108" s="2">
        <v>30</v>
      </c>
      <c r="P2108" s="8">
        <f t="shared" si="130"/>
        <v>1722</v>
      </c>
      <c r="Q2108" s="8">
        <f t="shared" si="131"/>
        <v>1662</v>
      </c>
      <c r="R2108" s="2" t="s">
        <v>28</v>
      </c>
      <c r="S2108" s="9">
        <f>VLOOKUP(P2108,$T$2:U2105,2,1)</f>
        <v>0.02</v>
      </c>
    </row>
    <row r="2109" spans="1:19" x14ac:dyDescent="0.25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e">
        <f>VLOOKUP(F2109,'Customer Info'!A2101:I2600,2,0)</f>
        <v>#N/A</v>
      </c>
      <c r="H2109" s="6" t="e">
        <f>VLOOKUP(F2109,'Customer Info'!A2101:I2600,3,0)</f>
        <v>#N/A</v>
      </c>
      <c r="I2109" s="6" t="e">
        <f>VLOOKUP(F2109,'Customer Info'!A2101:I2600,5,0)</f>
        <v>#N/A</v>
      </c>
      <c r="J2109" s="2">
        <v>61</v>
      </c>
      <c r="K2109" s="2">
        <v>57</v>
      </c>
      <c r="L2109" s="2">
        <v>3</v>
      </c>
      <c r="M2109" s="7">
        <f t="shared" si="128"/>
        <v>171</v>
      </c>
      <c r="N2109" s="7">
        <f t="shared" si="129"/>
        <v>183</v>
      </c>
      <c r="O2109" s="2">
        <v>10</v>
      </c>
      <c r="P2109" s="8">
        <f t="shared" si="130"/>
        <v>193</v>
      </c>
      <c r="Q2109" s="8">
        <f t="shared" si="131"/>
        <v>173</v>
      </c>
      <c r="R2109" s="2" t="s">
        <v>50</v>
      </c>
      <c r="S2109" s="9">
        <f>VLOOKUP(P2109,$T$2:U2106,2,1)</f>
        <v>0.02</v>
      </c>
    </row>
    <row r="2110" spans="1:19" x14ac:dyDescent="0.25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e">
        <f>VLOOKUP(F2110,'Customer Info'!A2102:I2601,2,0)</f>
        <v>#N/A</v>
      </c>
      <c r="H2110" s="6" t="e">
        <f>VLOOKUP(F2110,'Customer Info'!A2102:I2601,3,0)</f>
        <v>#N/A</v>
      </c>
      <c r="I2110" s="6" t="e">
        <f>VLOOKUP(F2110,'Customer Info'!A2102:I2601,5,0)</f>
        <v>#N/A</v>
      </c>
      <c r="J2110" s="2">
        <v>4577</v>
      </c>
      <c r="K2110" s="2">
        <v>4285</v>
      </c>
      <c r="L2110" s="2">
        <v>3</v>
      </c>
      <c r="M2110" s="7">
        <f t="shared" si="128"/>
        <v>12855</v>
      </c>
      <c r="N2110" s="7">
        <f t="shared" si="129"/>
        <v>13731</v>
      </c>
      <c r="O2110" s="2">
        <v>85</v>
      </c>
      <c r="P2110" s="8">
        <f t="shared" si="130"/>
        <v>13816</v>
      </c>
      <c r="Q2110" s="8">
        <f t="shared" si="131"/>
        <v>13646</v>
      </c>
      <c r="R2110" s="2" t="s">
        <v>50</v>
      </c>
      <c r="S2110" s="9">
        <f>VLOOKUP(P2110,$T$2:U2107,2,1)</f>
        <v>0.05</v>
      </c>
    </row>
    <row r="2111" spans="1:19" x14ac:dyDescent="0.25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e">
        <f>VLOOKUP(F2111,'Customer Info'!A2103:I2602,2,0)</f>
        <v>#N/A</v>
      </c>
      <c r="H2111" s="6" t="e">
        <f>VLOOKUP(F2111,'Customer Info'!A2103:I2602,3,0)</f>
        <v>#N/A</v>
      </c>
      <c r="I2111" s="6" t="e">
        <f>VLOOKUP(F2111,'Customer Info'!A2103:I2602,5,0)</f>
        <v>#N/A</v>
      </c>
      <c r="J2111" s="2">
        <v>141</v>
      </c>
      <c r="K2111" s="2">
        <v>131</v>
      </c>
      <c r="L2111" s="2">
        <v>7</v>
      </c>
      <c r="M2111" s="7">
        <f t="shared" si="128"/>
        <v>917</v>
      </c>
      <c r="N2111" s="7">
        <f t="shared" si="129"/>
        <v>987</v>
      </c>
      <c r="O2111" s="2">
        <v>30</v>
      </c>
      <c r="P2111" s="8">
        <f t="shared" si="130"/>
        <v>1017</v>
      </c>
      <c r="Q2111" s="8">
        <f t="shared" si="131"/>
        <v>957</v>
      </c>
      <c r="R2111" s="2" t="s">
        <v>50</v>
      </c>
      <c r="S2111" s="9">
        <f>VLOOKUP(P2111,$T$2:U2108,2,1)</f>
        <v>0.02</v>
      </c>
    </row>
    <row r="2112" spans="1:19" x14ac:dyDescent="0.25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e">
        <f>VLOOKUP(F2112,'Customer Info'!A2104:I2603,2,0)</f>
        <v>#N/A</v>
      </c>
      <c r="H2112" s="6" t="e">
        <f>VLOOKUP(F2112,'Customer Info'!A2104:I2603,3,0)</f>
        <v>#N/A</v>
      </c>
      <c r="I2112" s="6" t="e">
        <f>VLOOKUP(F2112,'Customer Info'!A2104:I2603,5,0)</f>
        <v>#N/A</v>
      </c>
      <c r="J2112" s="2">
        <v>1186</v>
      </c>
      <c r="K2112" s="2">
        <v>1141</v>
      </c>
      <c r="L2112" s="2">
        <v>3</v>
      </c>
      <c r="M2112" s="7">
        <f t="shared" si="128"/>
        <v>3423</v>
      </c>
      <c r="N2112" s="7">
        <f t="shared" si="129"/>
        <v>3558</v>
      </c>
      <c r="O2112" s="2">
        <v>88</v>
      </c>
      <c r="P2112" s="8">
        <f t="shared" si="130"/>
        <v>3646</v>
      </c>
      <c r="Q2112" s="8">
        <f t="shared" si="131"/>
        <v>3470</v>
      </c>
      <c r="R2112" s="2" t="s">
        <v>28</v>
      </c>
      <c r="S2112" s="9">
        <f>VLOOKUP(P2112,$T$2:U2109,2,1)</f>
        <v>0.02</v>
      </c>
    </row>
    <row r="2113" spans="1:19" x14ac:dyDescent="0.25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e">
        <f>VLOOKUP(F2113,'Customer Info'!A2105:I2604,2,0)</f>
        <v>#N/A</v>
      </c>
      <c r="H2113" s="6" t="e">
        <f>VLOOKUP(F2113,'Customer Info'!A2105:I2604,3,0)</f>
        <v>#N/A</v>
      </c>
      <c r="I2113" s="6" t="e">
        <f>VLOOKUP(F2113,'Customer Info'!A2105:I2604,5,0)</f>
        <v>#N/A</v>
      </c>
      <c r="J2113" s="2">
        <v>194</v>
      </c>
      <c r="K2113" s="2">
        <v>176</v>
      </c>
      <c r="L2113" s="2">
        <v>3</v>
      </c>
      <c r="M2113" s="7">
        <f t="shared" si="128"/>
        <v>528</v>
      </c>
      <c r="N2113" s="7">
        <f t="shared" si="129"/>
        <v>582</v>
      </c>
      <c r="O2113" s="2">
        <v>30</v>
      </c>
      <c r="P2113" s="8">
        <f t="shared" si="130"/>
        <v>612</v>
      </c>
      <c r="Q2113" s="8">
        <f t="shared" si="131"/>
        <v>552</v>
      </c>
      <c r="R2113" s="2" t="s">
        <v>26</v>
      </c>
      <c r="S2113" s="9">
        <f>VLOOKUP(P2113,$T$2:U2110,2,1)</f>
        <v>0.02</v>
      </c>
    </row>
    <row r="2114" spans="1:19" x14ac:dyDescent="0.25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e">
        <f>VLOOKUP(F2114,'Customer Info'!A2106:I2605,2,0)</f>
        <v>#N/A</v>
      </c>
      <c r="H2114" s="6" t="e">
        <f>VLOOKUP(F2114,'Customer Info'!A2106:I2605,3,0)</f>
        <v>#N/A</v>
      </c>
      <c r="I2114" s="6" t="e">
        <f>VLOOKUP(F2114,'Customer Info'!A2106:I2605,5,0)</f>
        <v>#N/A</v>
      </c>
      <c r="J2114" s="2">
        <v>224</v>
      </c>
      <c r="K2114" s="2">
        <v>210</v>
      </c>
      <c r="L2114" s="2">
        <v>1</v>
      </c>
      <c r="M2114" s="7">
        <f t="shared" si="128"/>
        <v>210</v>
      </c>
      <c r="N2114" s="7">
        <f t="shared" si="129"/>
        <v>224</v>
      </c>
      <c r="O2114" s="2">
        <v>64</v>
      </c>
      <c r="P2114" s="8">
        <f t="shared" si="130"/>
        <v>288</v>
      </c>
      <c r="Q2114" s="8">
        <f t="shared" si="131"/>
        <v>160</v>
      </c>
      <c r="R2114" s="2" t="s">
        <v>26</v>
      </c>
      <c r="S2114" s="9">
        <f>VLOOKUP(P2114,$T$2:U2111,2,1)</f>
        <v>0.02</v>
      </c>
    </row>
    <row r="2115" spans="1:19" x14ac:dyDescent="0.25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e">
        <f>VLOOKUP(F2115,'Customer Info'!A2107:I2606,2,0)</f>
        <v>#N/A</v>
      </c>
      <c r="H2115" s="6" t="e">
        <f>VLOOKUP(F2115,'Customer Info'!A2107:I2606,3,0)</f>
        <v>#N/A</v>
      </c>
      <c r="I2115" s="6" t="e">
        <f>VLOOKUP(F2115,'Customer Info'!A2107:I2606,5,0)</f>
        <v>#N/A</v>
      </c>
      <c r="J2115" s="2">
        <v>8281</v>
      </c>
      <c r="K2115" s="2">
        <v>7673</v>
      </c>
      <c r="L2115" s="2">
        <v>6</v>
      </c>
      <c r="M2115" s="7">
        <f t="shared" si="128"/>
        <v>46038</v>
      </c>
      <c r="N2115" s="7">
        <f t="shared" si="129"/>
        <v>49686</v>
      </c>
      <c r="O2115" s="2">
        <v>60</v>
      </c>
      <c r="P2115" s="8">
        <f t="shared" si="130"/>
        <v>49746</v>
      </c>
      <c r="Q2115" s="8">
        <f t="shared" si="131"/>
        <v>49626</v>
      </c>
      <c r="R2115" s="2" t="s">
        <v>28</v>
      </c>
      <c r="S2115" s="9">
        <f>VLOOKUP(P2115,$T$2:U2112,2,1)</f>
        <v>7.0000000000000007E-2</v>
      </c>
    </row>
    <row r="2116" spans="1:19" x14ac:dyDescent="0.25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e">
        <f>VLOOKUP(F2116,'Customer Info'!A2108:I2607,2,0)</f>
        <v>#N/A</v>
      </c>
      <c r="H2116" s="6" t="e">
        <f>VLOOKUP(F2116,'Customer Info'!A2108:I2607,3,0)</f>
        <v>#N/A</v>
      </c>
      <c r="I2116" s="6" t="e">
        <f>VLOOKUP(F2116,'Customer Info'!A2108:I2607,5,0)</f>
        <v>#N/A</v>
      </c>
      <c r="J2116" s="2">
        <v>7960</v>
      </c>
      <c r="K2116" s="2">
        <v>7375</v>
      </c>
      <c r="L2116" s="2">
        <v>2</v>
      </c>
      <c r="M2116" s="7">
        <f t="shared" si="128"/>
        <v>14750</v>
      </c>
      <c r="N2116" s="7">
        <f t="shared" si="129"/>
        <v>15920</v>
      </c>
      <c r="O2116" s="2">
        <v>90</v>
      </c>
      <c r="P2116" s="8">
        <f t="shared" si="130"/>
        <v>16010</v>
      </c>
      <c r="Q2116" s="8">
        <f t="shared" si="131"/>
        <v>15830</v>
      </c>
      <c r="R2116" s="2" t="s">
        <v>28</v>
      </c>
      <c r="S2116" s="9">
        <f>VLOOKUP(P2116,$T$2:U2113,2,1)</f>
        <v>0.05</v>
      </c>
    </row>
    <row r="2117" spans="1:19" x14ac:dyDescent="0.25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e">
        <f>VLOOKUP(F2117,'Customer Info'!A2109:I2608,2,0)</f>
        <v>#N/A</v>
      </c>
      <c r="H2117" s="6" t="e">
        <f>VLOOKUP(F2117,'Customer Info'!A2109:I2608,3,0)</f>
        <v>#N/A</v>
      </c>
      <c r="I2117" s="6" t="e">
        <f>VLOOKUP(F2117,'Customer Info'!A2109:I2608,5,0)</f>
        <v>#N/A</v>
      </c>
      <c r="J2117" s="2">
        <v>8651</v>
      </c>
      <c r="K2117" s="2">
        <v>8081</v>
      </c>
      <c r="L2117" s="2">
        <v>2</v>
      </c>
      <c r="M2117" s="7">
        <f t="shared" si="128"/>
        <v>16162</v>
      </c>
      <c r="N2117" s="7">
        <f t="shared" si="129"/>
        <v>17302</v>
      </c>
      <c r="O2117" s="2">
        <v>49</v>
      </c>
      <c r="P2117" s="8">
        <f t="shared" si="130"/>
        <v>17351</v>
      </c>
      <c r="Q2117" s="8">
        <f t="shared" si="131"/>
        <v>17253</v>
      </c>
      <c r="R2117" s="2" t="s">
        <v>28</v>
      </c>
      <c r="S2117" s="9">
        <f>VLOOKUP(P2117,$T$2:U2114,2,1)</f>
        <v>0.05</v>
      </c>
    </row>
    <row r="2118" spans="1:19" x14ac:dyDescent="0.25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e">
        <f>VLOOKUP(F2118,'Customer Info'!A2110:I2609,2,0)</f>
        <v>#N/A</v>
      </c>
      <c r="H2118" s="6" t="e">
        <f>VLOOKUP(F2118,'Customer Info'!A2110:I2609,3,0)</f>
        <v>#N/A</v>
      </c>
      <c r="I2118" s="6" t="e">
        <f>VLOOKUP(F2118,'Customer Info'!A2110:I2609,5,0)</f>
        <v>#N/A</v>
      </c>
      <c r="J2118" s="2">
        <v>6087</v>
      </c>
      <c r="K2118" s="2">
        <v>5808</v>
      </c>
      <c r="L2118" s="2">
        <v>2</v>
      </c>
      <c r="M2118" s="7">
        <f t="shared" si="128"/>
        <v>11616</v>
      </c>
      <c r="N2118" s="7">
        <f t="shared" si="129"/>
        <v>12174</v>
      </c>
      <c r="O2118" s="2">
        <v>90</v>
      </c>
      <c r="P2118" s="8">
        <f t="shared" si="130"/>
        <v>12264</v>
      </c>
      <c r="Q2118" s="8">
        <f t="shared" si="131"/>
        <v>12084</v>
      </c>
      <c r="R2118" s="2" t="s">
        <v>28</v>
      </c>
      <c r="S2118" s="9">
        <f>VLOOKUP(P2118,$T$2:U2115,2,1)</f>
        <v>0.05</v>
      </c>
    </row>
    <row r="2119" spans="1:19" x14ac:dyDescent="0.25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e">
        <f>VLOOKUP(F2119,'Customer Info'!A2111:I2610,2,0)</f>
        <v>#N/A</v>
      </c>
      <c r="H2119" s="6" t="e">
        <f>VLOOKUP(F2119,'Customer Info'!A2111:I2610,3,0)</f>
        <v>#N/A</v>
      </c>
      <c r="I2119" s="6" t="e">
        <f>VLOOKUP(F2119,'Customer Info'!A2111:I2610,5,0)</f>
        <v>#N/A</v>
      </c>
      <c r="J2119" s="2">
        <v>5882</v>
      </c>
      <c r="K2119" s="2">
        <v>5713</v>
      </c>
      <c r="L2119" s="2">
        <v>3</v>
      </c>
      <c r="M2119" s="7">
        <f t="shared" si="128"/>
        <v>17139</v>
      </c>
      <c r="N2119" s="7">
        <f t="shared" si="129"/>
        <v>17646</v>
      </c>
      <c r="O2119" s="2">
        <v>100</v>
      </c>
      <c r="P2119" s="8">
        <f t="shared" si="130"/>
        <v>17746</v>
      </c>
      <c r="Q2119" s="8">
        <f t="shared" si="131"/>
        <v>17546</v>
      </c>
      <c r="R2119" s="2" t="s">
        <v>26</v>
      </c>
      <c r="S2119" s="9">
        <f>VLOOKUP(P2119,$T$2:U2116,2,1)</f>
        <v>0.05</v>
      </c>
    </row>
    <row r="2120" spans="1:19" x14ac:dyDescent="0.25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e">
        <f>VLOOKUP(F2120,'Customer Info'!A2112:I2611,2,0)</f>
        <v>#N/A</v>
      </c>
      <c r="H2120" s="6" t="e">
        <f>VLOOKUP(F2120,'Customer Info'!A2112:I2611,3,0)</f>
        <v>#N/A</v>
      </c>
      <c r="I2120" s="6" t="e">
        <f>VLOOKUP(F2120,'Customer Info'!A2112:I2611,5,0)</f>
        <v>#N/A</v>
      </c>
      <c r="J2120" s="2">
        <v>129</v>
      </c>
      <c r="K2120" s="2">
        <v>118</v>
      </c>
      <c r="L2120" s="2">
        <v>1</v>
      </c>
      <c r="M2120" s="7">
        <f t="shared" si="128"/>
        <v>118</v>
      </c>
      <c r="N2120" s="7">
        <f t="shared" si="129"/>
        <v>129</v>
      </c>
      <c r="O2120" s="2">
        <v>30</v>
      </c>
      <c r="P2120" s="8">
        <f t="shared" si="130"/>
        <v>159</v>
      </c>
      <c r="Q2120" s="8">
        <f t="shared" si="131"/>
        <v>99</v>
      </c>
      <c r="R2120" s="2" t="s">
        <v>28</v>
      </c>
      <c r="S2120" s="9">
        <f>VLOOKUP(P2120,$T$2:U2117,2,1)</f>
        <v>0.02</v>
      </c>
    </row>
    <row r="2121" spans="1:19" x14ac:dyDescent="0.25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e">
        <f>VLOOKUP(F2121,'Customer Info'!A2113:I2612,2,0)</f>
        <v>#N/A</v>
      </c>
      <c r="H2121" s="6" t="e">
        <f>VLOOKUP(F2121,'Customer Info'!A2113:I2612,3,0)</f>
        <v>#N/A</v>
      </c>
      <c r="I2121" s="6" t="e">
        <f>VLOOKUP(F2121,'Customer Info'!A2113:I2612,5,0)</f>
        <v>#N/A</v>
      </c>
      <c r="J2121" s="2">
        <v>1651</v>
      </c>
      <c r="K2121" s="2">
        <v>1604</v>
      </c>
      <c r="L2121" s="2">
        <v>1</v>
      </c>
      <c r="M2121" s="7">
        <f t="shared" si="128"/>
        <v>1604</v>
      </c>
      <c r="N2121" s="7">
        <f t="shared" si="129"/>
        <v>1651</v>
      </c>
      <c r="O2121" s="2">
        <v>55</v>
      </c>
      <c r="P2121" s="8">
        <f t="shared" si="130"/>
        <v>1706</v>
      </c>
      <c r="Q2121" s="8">
        <f t="shared" si="131"/>
        <v>1596</v>
      </c>
      <c r="R2121" s="2" t="s">
        <v>56</v>
      </c>
      <c r="S2121" s="9">
        <f>VLOOKUP(P2121,$T$2:U2118,2,1)</f>
        <v>0.02</v>
      </c>
    </row>
    <row r="2122" spans="1:19" x14ac:dyDescent="0.25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e">
        <f>VLOOKUP(F2122,'Customer Info'!A2114:I2613,2,0)</f>
        <v>#N/A</v>
      </c>
      <c r="H2122" s="6" t="e">
        <f>VLOOKUP(F2122,'Customer Info'!A2114:I2613,3,0)</f>
        <v>#N/A</v>
      </c>
      <c r="I2122" s="6" t="e">
        <f>VLOOKUP(F2122,'Customer Info'!A2114:I2613,5,0)</f>
        <v>#N/A</v>
      </c>
      <c r="J2122" s="2">
        <v>167</v>
      </c>
      <c r="K2122" s="2">
        <v>155</v>
      </c>
      <c r="L2122" s="2">
        <v>4</v>
      </c>
      <c r="M2122" s="7">
        <f t="shared" si="128"/>
        <v>620</v>
      </c>
      <c r="N2122" s="7">
        <f t="shared" si="129"/>
        <v>668</v>
      </c>
      <c r="O2122" s="2">
        <v>30</v>
      </c>
      <c r="P2122" s="8">
        <f t="shared" si="130"/>
        <v>698</v>
      </c>
      <c r="Q2122" s="8">
        <f t="shared" si="131"/>
        <v>638</v>
      </c>
      <c r="R2122" s="2" t="s">
        <v>28</v>
      </c>
      <c r="S2122" s="9">
        <f>VLOOKUP(P2122,$T$2:U2119,2,1)</f>
        <v>0.02</v>
      </c>
    </row>
    <row r="2123" spans="1:19" x14ac:dyDescent="0.25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e">
        <f>VLOOKUP(F2123,'Customer Info'!A2115:I2614,2,0)</f>
        <v>#N/A</v>
      </c>
      <c r="H2123" s="6" t="e">
        <f>VLOOKUP(F2123,'Customer Info'!A2115:I2614,3,0)</f>
        <v>#N/A</v>
      </c>
      <c r="I2123" s="6" t="e">
        <f>VLOOKUP(F2123,'Customer Info'!A2115:I2614,5,0)</f>
        <v>#N/A</v>
      </c>
      <c r="J2123" s="2">
        <v>1845</v>
      </c>
      <c r="K2123" s="2">
        <v>1742</v>
      </c>
      <c r="L2123" s="2">
        <v>3</v>
      </c>
      <c r="M2123" s="7">
        <f t="shared" ref="M2123:M2186" si="132">K2123*L2123</f>
        <v>5226</v>
      </c>
      <c r="N2123" s="7">
        <f t="shared" ref="N2123:N2186" si="133">J2123*L2123</f>
        <v>5535</v>
      </c>
      <c r="O2123" s="2">
        <v>74</v>
      </c>
      <c r="P2123" s="8">
        <f t="shared" ref="P2123:P2186" si="134">SUM(N2123,O2123)</f>
        <v>5609</v>
      </c>
      <c r="Q2123" s="8">
        <f t="shared" ref="Q2123:Q2186" si="135">N2123-O2123</f>
        <v>5461</v>
      </c>
      <c r="R2123" s="2" t="s">
        <v>28</v>
      </c>
      <c r="S2123" s="9">
        <f>VLOOKUP(P2123,$T$2:U2120,2,1)</f>
        <v>0.05</v>
      </c>
    </row>
    <row r="2124" spans="1:19" x14ac:dyDescent="0.25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e">
        <f>VLOOKUP(F2124,'Customer Info'!A2116:I2615,2,0)</f>
        <v>#N/A</v>
      </c>
      <c r="H2124" s="6" t="e">
        <f>VLOOKUP(F2124,'Customer Info'!A2116:I2615,3,0)</f>
        <v>#N/A</v>
      </c>
      <c r="I2124" s="6" t="e">
        <f>VLOOKUP(F2124,'Customer Info'!A2116:I2615,5,0)</f>
        <v>#N/A</v>
      </c>
      <c r="J2124" s="2">
        <v>97</v>
      </c>
      <c r="K2124" s="2">
        <v>92</v>
      </c>
      <c r="L2124" s="2">
        <v>2</v>
      </c>
      <c r="M2124" s="7">
        <f t="shared" si="132"/>
        <v>184</v>
      </c>
      <c r="N2124" s="7">
        <f t="shared" si="133"/>
        <v>194</v>
      </c>
      <c r="O2124" s="2">
        <v>10</v>
      </c>
      <c r="P2124" s="8">
        <f t="shared" si="134"/>
        <v>204</v>
      </c>
      <c r="Q2124" s="8">
        <f t="shared" si="135"/>
        <v>184</v>
      </c>
      <c r="R2124" s="2" t="s">
        <v>28</v>
      </c>
      <c r="S2124" s="9">
        <f>VLOOKUP(P2124,$T$2:U2121,2,1)</f>
        <v>0.02</v>
      </c>
    </row>
    <row r="2125" spans="1:19" x14ac:dyDescent="0.25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e">
        <f>VLOOKUP(F2125,'Customer Info'!A2117:I2616,2,0)</f>
        <v>#N/A</v>
      </c>
      <c r="H2125" s="6" t="e">
        <f>VLOOKUP(F2125,'Customer Info'!A2117:I2616,3,0)</f>
        <v>#N/A</v>
      </c>
      <c r="I2125" s="6" t="e">
        <f>VLOOKUP(F2125,'Customer Info'!A2117:I2616,5,0)</f>
        <v>#N/A</v>
      </c>
      <c r="J2125" s="2">
        <v>166</v>
      </c>
      <c r="K2125" s="2">
        <v>149</v>
      </c>
      <c r="L2125" s="2">
        <v>3</v>
      </c>
      <c r="M2125" s="7">
        <f t="shared" si="132"/>
        <v>447</v>
      </c>
      <c r="N2125" s="7">
        <f t="shared" si="133"/>
        <v>498</v>
      </c>
      <c r="O2125" s="2">
        <v>30</v>
      </c>
      <c r="P2125" s="8">
        <f t="shared" si="134"/>
        <v>528</v>
      </c>
      <c r="Q2125" s="8">
        <f t="shared" si="135"/>
        <v>468</v>
      </c>
      <c r="R2125" s="2" t="s">
        <v>50</v>
      </c>
      <c r="S2125" s="9">
        <f>VLOOKUP(P2125,$T$2:U2122,2,1)</f>
        <v>0.02</v>
      </c>
    </row>
    <row r="2126" spans="1:19" x14ac:dyDescent="0.25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e">
        <f>VLOOKUP(F2126,'Customer Info'!A2118:I2617,2,0)</f>
        <v>#N/A</v>
      </c>
      <c r="H2126" s="6" t="e">
        <f>VLOOKUP(F2126,'Customer Info'!A2118:I2617,3,0)</f>
        <v>#N/A</v>
      </c>
      <c r="I2126" s="6" t="e">
        <f>VLOOKUP(F2126,'Customer Info'!A2118:I2617,5,0)</f>
        <v>#N/A</v>
      </c>
      <c r="J2126" s="2">
        <v>520</v>
      </c>
      <c r="K2126" s="2">
        <v>477</v>
      </c>
      <c r="L2126" s="2">
        <v>3</v>
      </c>
      <c r="M2126" s="7">
        <f t="shared" si="132"/>
        <v>1431</v>
      </c>
      <c r="N2126" s="7">
        <f t="shared" si="133"/>
        <v>1560</v>
      </c>
      <c r="O2126" s="2">
        <v>56</v>
      </c>
      <c r="P2126" s="8">
        <f t="shared" si="134"/>
        <v>1616</v>
      </c>
      <c r="Q2126" s="8">
        <f t="shared" si="135"/>
        <v>1504</v>
      </c>
      <c r="R2126" s="2" t="s">
        <v>28</v>
      </c>
      <c r="S2126" s="9">
        <f>VLOOKUP(P2126,$T$2:U2123,2,1)</f>
        <v>0.02</v>
      </c>
    </row>
    <row r="2127" spans="1:19" x14ac:dyDescent="0.25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e">
        <f>VLOOKUP(F2127,'Customer Info'!A2119:I2618,2,0)</f>
        <v>#N/A</v>
      </c>
      <c r="H2127" s="6" t="e">
        <f>VLOOKUP(F2127,'Customer Info'!A2119:I2618,3,0)</f>
        <v>#N/A</v>
      </c>
      <c r="I2127" s="6" t="e">
        <f>VLOOKUP(F2127,'Customer Info'!A2119:I2618,5,0)</f>
        <v>#N/A</v>
      </c>
      <c r="J2127" s="2">
        <v>7658</v>
      </c>
      <c r="K2127" s="2">
        <v>7026</v>
      </c>
      <c r="L2127" s="2">
        <v>2</v>
      </c>
      <c r="M2127" s="7">
        <f t="shared" si="132"/>
        <v>14052</v>
      </c>
      <c r="N2127" s="7">
        <f t="shared" si="133"/>
        <v>15316</v>
      </c>
      <c r="O2127" s="2">
        <v>46</v>
      </c>
      <c r="P2127" s="8">
        <f t="shared" si="134"/>
        <v>15362</v>
      </c>
      <c r="Q2127" s="8">
        <f t="shared" si="135"/>
        <v>15270</v>
      </c>
      <c r="R2127" s="2" t="s">
        <v>50</v>
      </c>
      <c r="S2127" s="9">
        <f>VLOOKUP(P2127,$T$2:U2124,2,1)</f>
        <v>0.05</v>
      </c>
    </row>
    <row r="2128" spans="1:19" x14ac:dyDescent="0.25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e">
        <f>VLOOKUP(F2128,'Customer Info'!A2120:I2619,2,0)</f>
        <v>#N/A</v>
      </c>
      <c r="H2128" s="6" t="e">
        <f>VLOOKUP(F2128,'Customer Info'!A2120:I2619,3,0)</f>
        <v>#N/A</v>
      </c>
      <c r="I2128" s="6" t="e">
        <f>VLOOKUP(F2128,'Customer Info'!A2120:I2619,5,0)</f>
        <v>#N/A</v>
      </c>
      <c r="J2128" s="2">
        <v>184</v>
      </c>
      <c r="K2128" s="2">
        <v>176</v>
      </c>
      <c r="L2128" s="2">
        <v>3</v>
      </c>
      <c r="M2128" s="7">
        <f t="shared" si="132"/>
        <v>528</v>
      </c>
      <c r="N2128" s="7">
        <f t="shared" si="133"/>
        <v>552</v>
      </c>
      <c r="O2128" s="2">
        <v>30</v>
      </c>
      <c r="P2128" s="8">
        <f t="shared" si="134"/>
        <v>582</v>
      </c>
      <c r="Q2128" s="8">
        <f t="shared" si="135"/>
        <v>522</v>
      </c>
      <c r="R2128" s="2" t="s">
        <v>28</v>
      </c>
      <c r="S2128" s="9">
        <f>VLOOKUP(P2128,$T$2:U2125,2,1)</f>
        <v>0.02</v>
      </c>
    </row>
    <row r="2129" spans="1:19" x14ac:dyDescent="0.25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e">
        <f>VLOOKUP(F2129,'Customer Info'!A2121:I2620,2,0)</f>
        <v>#N/A</v>
      </c>
      <c r="H2129" s="6" t="e">
        <f>VLOOKUP(F2129,'Customer Info'!A2121:I2620,3,0)</f>
        <v>#N/A</v>
      </c>
      <c r="I2129" s="6" t="e">
        <f>VLOOKUP(F2129,'Customer Info'!A2121:I2620,5,0)</f>
        <v>#N/A</v>
      </c>
      <c r="J2129" s="2">
        <v>7534</v>
      </c>
      <c r="K2129" s="2">
        <v>7106</v>
      </c>
      <c r="L2129" s="2">
        <v>2</v>
      </c>
      <c r="M2129" s="7">
        <f t="shared" si="132"/>
        <v>14212</v>
      </c>
      <c r="N2129" s="7">
        <f t="shared" si="133"/>
        <v>15068</v>
      </c>
      <c r="O2129" s="2">
        <v>47</v>
      </c>
      <c r="P2129" s="8">
        <f t="shared" si="134"/>
        <v>15115</v>
      </c>
      <c r="Q2129" s="8">
        <f t="shared" si="135"/>
        <v>15021</v>
      </c>
      <c r="R2129" s="2" t="s">
        <v>28</v>
      </c>
      <c r="S2129" s="9">
        <f>VLOOKUP(P2129,$T$2:U2126,2,1)</f>
        <v>0.05</v>
      </c>
    </row>
    <row r="2130" spans="1:19" x14ac:dyDescent="0.25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e">
        <f>VLOOKUP(F2130,'Customer Info'!A2122:I2621,2,0)</f>
        <v>#N/A</v>
      </c>
      <c r="H2130" s="6" t="e">
        <f>VLOOKUP(F2130,'Customer Info'!A2122:I2621,3,0)</f>
        <v>#N/A</v>
      </c>
      <c r="I2130" s="6" t="e">
        <f>VLOOKUP(F2130,'Customer Info'!A2122:I2621,5,0)</f>
        <v>#N/A</v>
      </c>
      <c r="J2130" s="2">
        <v>8781</v>
      </c>
      <c r="K2130" s="2">
        <v>7828</v>
      </c>
      <c r="L2130" s="2">
        <v>2</v>
      </c>
      <c r="M2130" s="7">
        <f t="shared" si="132"/>
        <v>15656</v>
      </c>
      <c r="N2130" s="7">
        <f t="shared" si="133"/>
        <v>17562</v>
      </c>
      <c r="O2130" s="2">
        <v>88</v>
      </c>
      <c r="P2130" s="8">
        <f t="shared" si="134"/>
        <v>17650</v>
      </c>
      <c r="Q2130" s="8">
        <f t="shared" si="135"/>
        <v>17474</v>
      </c>
      <c r="R2130" s="2" t="s">
        <v>28</v>
      </c>
      <c r="S2130" s="9">
        <f>VLOOKUP(P2130,$T$2:U2127,2,1)</f>
        <v>0.05</v>
      </c>
    </row>
    <row r="2131" spans="1:19" x14ac:dyDescent="0.25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e">
        <f>VLOOKUP(F2131,'Customer Info'!A2123:I2622,2,0)</f>
        <v>#N/A</v>
      </c>
      <c r="H2131" s="6" t="e">
        <f>VLOOKUP(F2131,'Customer Info'!A2123:I2622,3,0)</f>
        <v>#N/A</v>
      </c>
      <c r="I2131" s="6" t="e">
        <f>VLOOKUP(F2131,'Customer Info'!A2123:I2622,5,0)</f>
        <v>#N/A</v>
      </c>
      <c r="J2131" s="2">
        <v>6274</v>
      </c>
      <c r="K2131" s="2">
        <v>6093</v>
      </c>
      <c r="L2131" s="2">
        <v>4</v>
      </c>
      <c r="M2131" s="7">
        <f t="shared" si="132"/>
        <v>24372</v>
      </c>
      <c r="N2131" s="7">
        <f t="shared" si="133"/>
        <v>25096</v>
      </c>
      <c r="O2131" s="2">
        <v>44</v>
      </c>
      <c r="P2131" s="8">
        <f t="shared" si="134"/>
        <v>25140</v>
      </c>
      <c r="Q2131" s="8">
        <f t="shared" si="135"/>
        <v>25052</v>
      </c>
      <c r="R2131" s="2" t="s">
        <v>50</v>
      </c>
      <c r="S2131" s="9">
        <f>VLOOKUP(P2131,$T$2:U2128,2,1)</f>
        <v>7.0000000000000007E-2</v>
      </c>
    </row>
    <row r="2132" spans="1:19" x14ac:dyDescent="0.25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e">
        <f>VLOOKUP(F2132,'Customer Info'!A2124:I2623,2,0)</f>
        <v>#N/A</v>
      </c>
      <c r="H2132" s="6" t="e">
        <f>VLOOKUP(F2132,'Customer Info'!A2124:I2623,3,0)</f>
        <v>#N/A</v>
      </c>
      <c r="I2132" s="6" t="e">
        <f>VLOOKUP(F2132,'Customer Info'!A2124:I2623,5,0)</f>
        <v>#N/A</v>
      </c>
      <c r="J2132" s="2">
        <v>2697</v>
      </c>
      <c r="K2132" s="2">
        <v>2498</v>
      </c>
      <c r="L2132" s="2">
        <v>2</v>
      </c>
      <c r="M2132" s="7">
        <f t="shared" si="132"/>
        <v>4996</v>
      </c>
      <c r="N2132" s="7">
        <f t="shared" si="133"/>
        <v>5394</v>
      </c>
      <c r="O2132" s="2">
        <v>67</v>
      </c>
      <c r="P2132" s="8">
        <f t="shared" si="134"/>
        <v>5461</v>
      </c>
      <c r="Q2132" s="8">
        <f t="shared" si="135"/>
        <v>5327</v>
      </c>
      <c r="R2132" s="2" t="s">
        <v>28</v>
      </c>
      <c r="S2132" s="9">
        <f>VLOOKUP(P2132,$T$2:U2129,2,1)</f>
        <v>0.05</v>
      </c>
    </row>
    <row r="2133" spans="1:19" x14ac:dyDescent="0.25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e">
        <f>VLOOKUP(F2133,'Customer Info'!A2125:I2624,2,0)</f>
        <v>#N/A</v>
      </c>
      <c r="H2133" s="6" t="e">
        <f>VLOOKUP(F2133,'Customer Info'!A2125:I2624,3,0)</f>
        <v>#N/A</v>
      </c>
      <c r="I2133" s="6" t="e">
        <f>VLOOKUP(F2133,'Customer Info'!A2125:I2624,5,0)</f>
        <v>#N/A</v>
      </c>
      <c r="J2133" s="2">
        <v>63</v>
      </c>
      <c r="K2133" s="2">
        <v>58</v>
      </c>
      <c r="L2133" s="2">
        <v>3</v>
      </c>
      <c r="M2133" s="7">
        <f t="shared" si="132"/>
        <v>174</v>
      </c>
      <c r="N2133" s="7">
        <f t="shared" si="133"/>
        <v>189</v>
      </c>
      <c r="O2133" s="2">
        <v>10</v>
      </c>
      <c r="P2133" s="8">
        <f t="shared" si="134"/>
        <v>199</v>
      </c>
      <c r="Q2133" s="8">
        <f t="shared" si="135"/>
        <v>179</v>
      </c>
      <c r="R2133" s="2" t="s">
        <v>28</v>
      </c>
      <c r="S2133" s="9">
        <f>VLOOKUP(P2133,$T$2:U2130,2,1)</f>
        <v>0.02</v>
      </c>
    </row>
    <row r="2134" spans="1:19" x14ac:dyDescent="0.25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e">
        <f>VLOOKUP(F2134,'Customer Info'!A2126:I2625,2,0)</f>
        <v>#N/A</v>
      </c>
      <c r="H2134" s="6" t="e">
        <f>VLOOKUP(F2134,'Customer Info'!A2126:I2625,3,0)</f>
        <v>#N/A</v>
      </c>
      <c r="I2134" s="6" t="e">
        <f>VLOOKUP(F2134,'Customer Info'!A2126:I2625,5,0)</f>
        <v>#N/A</v>
      </c>
      <c r="J2134" s="2">
        <v>1569</v>
      </c>
      <c r="K2134" s="2">
        <v>1466</v>
      </c>
      <c r="L2134" s="2">
        <v>3</v>
      </c>
      <c r="M2134" s="7">
        <f t="shared" si="132"/>
        <v>4398</v>
      </c>
      <c r="N2134" s="7">
        <f t="shared" si="133"/>
        <v>4707</v>
      </c>
      <c r="O2134" s="2">
        <v>28</v>
      </c>
      <c r="P2134" s="8">
        <f t="shared" si="134"/>
        <v>4735</v>
      </c>
      <c r="Q2134" s="8">
        <f t="shared" si="135"/>
        <v>4679</v>
      </c>
      <c r="R2134" s="2" t="s">
        <v>28</v>
      </c>
      <c r="S2134" s="9">
        <f>VLOOKUP(P2134,$T$2:U2131,2,1)</f>
        <v>0.02</v>
      </c>
    </row>
    <row r="2135" spans="1:19" x14ac:dyDescent="0.25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e">
        <f>VLOOKUP(F2135,'Customer Info'!A2127:I2626,2,0)</f>
        <v>#N/A</v>
      </c>
      <c r="H2135" s="6" t="e">
        <f>VLOOKUP(F2135,'Customer Info'!A2127:I2626,3,0)</f>
        <v>#N/A</v>
      </c>
      <c r="I2135" s="6" t="e">
        <f>VLOOKUP(F2135,'Customer Info'!A2127:I2626,5,0)</f>
        <v>#N/A</v>
      </c>
      <c r="J2135" s="2">
        <v>28522</v>
      </c>
      <c r="K2135" s="2">
        <v>26384</v>
      </c>
      <c r="L2135" s="2">
        <v>1</v>
      </c>
      <c r="M2135" s="7">
        <f t="shared" si="132"/>
        <v>26384</v>
      </c>
      <c r="N2135" s="7">
        <f t="shared" si="133"/>
        <v>28522</v>
      </c>
      <c r="O2135" s="2">
        <v>88</v>
      </c>
      <c r="P2135" s="8">
        <f t="shared" si="134"/>
        <v>28610</v>
      </c>
      <c r="Q2135" s="8">
        <f t="shared" si="135"/>
        <v>28434</v>
      </c>
      <c r="R2135" s="2" t="s">
        <v>26</v>
      </c>
      <c r="S2135" s="9">
        <f>VLOOKUP(P2135,$T$2:U2132,2,1)</f>
        <v>7.0000000000000007E-2</v>
      </c>
    </row>
    <row r="2136" spans="1:19" x14ac:dyDescent="0.25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e">
        <f>VLOOKUP(F2136,'Customer Info'!A2128:I2627,2,0)</f>
        <v>#N/A</v>
      </c>
      <c r="H2136" s="6" t="e">
        <f>VLOOKUP(F2136,'Customer Info'!A2128:I2627,3,0)</f>
        <v>#N/A</v>
      </c>
      <c r="I2136" s="6" t="e">
        <f>VLOOKUP(F2136,'Customer Info'!A2128:I2627,5,0)</f>
        <v>#N/A</v>
      </c>
      <c r="J2136" s="2">
        <v>2042</v>
      </c>
      <c r="K2136" s="2">
        <v>1965</v>
      </c>
      <c r="L2136" s="2">
        <v>1</v>
      </c>
      <c r="M2136" s="7">
        <f t="shared" si="132"/>
        <v>1965</v>
      </c>
      <c r="N2136" s="7">
        <f t="shared" si="133"/>
        <v>2042</v>
      </c>
      <c r="O2136" s="2">
        <v>31</v>
      </c>
      <c r="P2136" s="8">
        <f t="shared" si="134"/>
        <v>2073</v>
      </c>
      <c r="Q2136" s="8">
        <f t="shared" si="135"/>
        <v>2011</v>
      </c>
      <c r="R2136" s="2" t="s">
        <v>50</v>
      </c>
      <c r="S2136" s="9">
        <f>VLOOKUP(P2136,$T$2:U2133,2,1)</f>
        <v>0.02</v>
      </c>
    </row>
    <row r="2137" spans="1:19" x14ac:dyDescent="0.25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e">
        <f>VLOOKUP(F2137,'Customer Info'!A2129:I2628,2,0)</f>
        <v>#N/A</v>
      </c>
      <c r="H2137" s="6" t="e">
        <f>VLOOKUP(F2137,'Customer Info'!A2129:I2628,3,0)</f>
        <v>#N/A</v>
      </c>
      <c r="I2137" s="6" t="e">
        <f>VLOOKUP(F2137,'Customer Info'!A2129:I2628,5,0)</f>
        <v>#N/A</v>
      </c>
      <c r="J2137" s="2">
        <v>149</v>
      </c>
      <c r="K2137" s="2">
        <v>131</v>
      </c>
      <c r="L2137" s="2">
        <v>4</v>
      </c>
      <c r="M2137" s="7">
        <f t="shared" si="132"/>
        <v>524</v>
      </c>
      <c r="N2137" s="7">
        <f t="shared" si="133"/>
        <v>596</v>
      </c>
      <c r="O2137" s="2">
        <v>30</v>
      </c>
      <c r="P2137" s="8">
        <f t="shared" si="134"/>
        <v>626</v>
      </c>
      <c r="Q2137" s="8">
        <f t="shared" si="135"/>
        <v>566</v>
      </c>
      <c r="R2137" s="2" t="s">
        <v>28</v>
      </c>
      <c r="S2137" s="9">
        <f>VLOOKUP(P2137,$T$2:U2134,2,1)</f>
        <v>0.02</v>
      </c>
    </row>
    <row r="2138" spans="1:19" x14ac:dyDescent="0.25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e">
        <f>VLOOKUP(F2138,'Customer Info'!A2130:I2629,2,0)</f>
        <v>#N/A</v>
      </c>
      <c r="H2138" s="6" t="e">
        <f>VLOOKUP(F2138,'Customer Info'!A2130:I2629,3,0)</f>
        <v>#N/A</v>
      </c>
      <c r="I2138" s="6" t="e">
        <f>VLOOKUP(F2138,'Customer Info'!A2130:I2629,5,0)</f>
        <v>#N/A</v>
      </c>
      <c r="J2138" s="2">
        <v>210</v>
      </c>
      <c r="K2138" s="2">
        <v>191</v>
      </c>
      <c r="L2138" s="2">
        <v>3</v>
      </c>
      <c r="M2138" s="7">
        <f t="shared" si="132"/>
        <v>573</v>
      </c>
      <c r="N2138" s="7">
        <f t="shared" si="133"/>
        <v>630</v>
      </c>
      <c r="O2138" s="2">
        <v>35</v>
      </c>
      <c r="P2138" s="8">
        <f t="shared" si="134"/>
        <v>665</v>
      </c>
      <c r="Q2138" s="8">
        <f t="shared" si="135"/>
        <v>595</v>
      </c>
      <c r="R2138" s="2" t="s">
        <v>28</v>
      </c>
      <c r="S2138" s="9">
        <f>VLOOKUP(P2138,$T$2:U2135,2,1)</f>
        <v>0.02</v>
      </c>
    </row>
    <row r="2139" spans="1:19" x14ac:dyDescent="0.25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e">
        <f>VLOOKUP(F2139,'Customer Info'!A2131:I2630,2,0)</f>
        <v>#N/A</v>
      </c>
      <c r="H2139" s="6" t="e">
        <f>VLOOKUP(F2139,'Customer Info'!A2131:I2630,3,0)</f>
        <v>#N/A</v>
      </c>
      <c r="I2139" s="6" t="e">
        <f>VLOOKUP(F2139,'Customer Info'!A2131:I2630,5,0)</f>
        <v>#N/A</v>
      </c>
      <c r="J2139" s="2">
        <v>6027</v>
      </c>
      <c r="K2139" s="2">
        <v>5694</v>
      </c>
      <c r="L2139" s="2">
        <v>2</v>
      </c>
      <c r="M2139" s="7">
        <f t="shared" si="132"/>
        <v>11388</v>
      </c>
      <c r="N2139" s="7">
        <f t="shared" si="133"/>
        <v>12054</v>
      </c>
      <c r="O2139" s="2">
        <v>60</v>
      </c>
      <c r="P2139" s="8">
        <f t="shared" si="134"/>
        <v>12114</v>
      </c>
      <c r="Q2139" s="8">
        <f t="shared" si="135"/>
        <v>11994</v>
      </c>
      <c r="R2139" s="2" t="s">
        <v>50</v>
      </c>
      <c r="S2139" s="9">
        <f>VLOOKUP(P2139,$T$2:U2136,2,1)</f>
        <v>0.05</v>
      </c>
    </row>
    <row r="2140" spans="1:19" x14ac:dyDescent="0.25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e">
        <f>VLOOKUP(F2140,'Customer Info'!A2132:I2631,2,0)</f>
        <v>#N/A</v>
      </c>
      <c r="H2140" s="6" t="e">
        <f>VLOOKUP(F2140,'Customer Info'!A2132:I2631,3,0)</f>
        <v>#N/A</v>
      </c>
      <c r="I2140" s="6" t="e">
        <f>VLOOKUP(F2140,'Customer Info'!A2132:I2631,5,0)</f>
        <v>#N/A</v>
      </c>
      <c r="J2140" s="2">
        <v>1364</v>
      </c>
      <c r="K2140" s="2">
        <v>1274</v>
      </c>
      <c r="L2140" s="2">
        <v>6</v>
      </c>
      <c r="M2140" s="7">
        <f t="shared" si="132"/>
        <v>7644</v>
      </c>
      <c r="N2140" s="7">
        <f t="shared" si="133"/>
        <v>8184</v>
      </c>
      <c r="O2140" s="2">
        <v>71</v>
      </c>
      <c r="P2140" s="8">
        <f t="shared" si="134"/>
        <v>8255</v>
      </c>
      <c r="Q2140" s="8">
        <f t="shared" si="135"/>
        <v>8113</v>
      </c>
      <c r="R2140" s="2" t="s">
        <v>50</v>
      </c>
      <c r="S2140" s="9">
        <f>VLOOKUP(P2140,$T$2:U2137,2,1)</f>
        <v>0.05</v>
      </c>
    </row>
    <row r="2141" spans="1:19" x14ac:dyDescent="0.25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e">
        <f>VLOOKUP(F2141,'Customer Info'!A2133:I2632,2,0)</f>
        <v>#N/A</v>
      </c>
      <c r="H2141" s="6" t="e">
        <f>VLOOKUP(F2141,'Customer Info'!A2133:I2632,3,0)</f>
        <v>#N/A</v>
      </c>
      <c r="I2141" s="6" t="e">
        <f>VLOOKUP(F2141,'Customer Info'!A2133:I2632,5,0)</f>
        <v>#N/A</v>
      </c>
      <c r="J2141" s="2">
        <v>1834</v>
      </c>
      <c r="K2141" s="2">
        <v>1716</v>
      </c>
      <c r="L2141" s="2">
        <v>5</v>
      </c>
      <c r="M2141" s="7">
        <f t="shared" si="132"/>
        <v>8580</v>
      </c>
      <c r="N2141" s="7">
        <f t="shared" si="133"/>
        <v>9170</v>
      </c>
      <c r="O2141" s="2">
        <v>94</v>
      </c>
      <c r="P2141" s="8">
        <f t="shared" si="134"/>
        <v>9264</v>
      </c>
      <c r="Q2141" s="8">
        <f t="shared" si="135"/>
        <v>9076</v>
      </c>
      <c r="R2141" s="2" t="s">
        <v>28</v>
      </c>
      <c r="S2141" s="9">
        <f>VLOOKUP(P2141,$T$2:U2138,2,1)</f>
        <v>0.05</v>
      </c>
    </row>
    <row r="2142" spans="1:19" x14ac:dyDescent="0.25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e">
        <f>VLOOKUP(F2142,'Customer Info'!A2134:I2633,2,0)</f>
        <v>#N/A</v>
      </c>
      <c r="H2142" s="6" t="e">
        <f>VLOOKUP(F2142,'Customer Info'!A2134:I2633,3,0)</f>
        <v>#N/A</v>
      </c>
      <c r="I2142" s="6" t="e">
        <f>VLOOKUP(F2142,'Customer Info'!A2134:I2633,5,0)</f>
        <v>#N/A</v>
      </c>
      <c r="J2142" s="2">
        <v>173</v>
      </c>
      <c r="K2142" s="2">
        <v>155</v>
      </c>
      <c r="L2142" s="2">
        <v>4</v>
      </c>
      <c r="M2142" s="7">
        <f t="shared" si="132"/>
        <v>620</v>
      </c>
      <c r="N2142" s="7">
        <f t="shared" si="133"/>
        <v>692</v>
      </c>
      <c r="O2142" s="2">
        <v>30</v>
      </c>
      <c r="P2142" s="8">
        <f t="shared" si="134"/>
        <v>722</v>
      </c>
      <c r="Q2142" s="8">
        <f t="shared" si="135"/>
        <v>662</v>
      </c>
      <c r="R2142" s="2" t="s">
        <v>28</v>
      </c>
      <c r="S2142" s="9">
        <f>VLOOKUP(P2142,$T$2:U2139,2,1)</f>
        <v>0.02</v>
      </c>
    </row>
    <row r="2143" spans="1:19" x14ac:dyDescent="0.25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e">
        <f>VLOOKUP(F2143,'Customer Info'!A2135:I2634,2,0)</f>
        <v>#N/A</v>
      </c>
      <c r="H2143" s="6" t="e">
        <f>VLOOKUP(F2143,'Customer Info'!A2135:I2634,3,0)</f>
        <v>#N/A</v>
      </c>
      <c r="I2143" s="6" t="e">
        <f>VLOOKUP(F2143,'Customer Info'!A2135:I2634,5,0)</f>
        <v>#N/A</v>
      </c>
      <c r="J2143" s="2">
        <v>882</v>
      </c>
      <c r="K2143" s="2">
        <v>818</v>
      </c>
      <c r="L2143" s="2">
        <v>6</v>
      </c>
      <c r="M2143" s="7">
        <f t="shared" si="132"/>
        <v>4908</v>
      </c>
      <c r="N2143" s="7">
        <f t="shared" si="133"/>
        <v>5292</v>
      </c>
      <c r="O2143" s="2">
        <v>94</v>
      </c>
      <c r="P2143" s="8">
        <f t="shared" si="134"/>
        <v>5386</v>
      </c>
      <c r="Q2143" s="8">
        <f t="shared" si="135"/>
        <v>5198</v>
      </c>
      <c r="R2143" s="2" t="s">
        <v>50</v>
      </c>
      <c r="S2143" s="9">
        <f>VLOOKUP(P2143,$T$2:U2140,2,1)</f>
        <v>0.05</v>
      </c>
    </row>
    <row r="2144" spans="1:19" x14ac:dyDescent="0.25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e">
        <f>VLOOKUP(F2144,'Customer Info'!A2136:I2635,2,0)</f>
        <v>#N/A</v>
      </c>
      <c r="H2144" s="6" t="e">
        <f>VLOOKUP(F2144,'Customer Info'!A2136:I2635,3,0)</f>
        <v>#N/A</v>
      </c>
      <c r="I2144" s="6" t="e">
        <f>VLOOKUP(F2144,'Customer Info'!A2136:I2635,5,0)</f>
        <v>#N/A</v>
      </c>
      <c r="J2144" s="2">
        <v>3341</v>
      </c>
      <c r="K2144" s="2">
        <v>3152</v>
      </c>
      <c r="L2144" s="2">
        <v>4</v>
      </c>
      <c r="M2144" s="7">
        <f t="shared" si="132"/>
        <v>12608</v>
      </c>
      <c r="N2144" s="7">
        <f t="shared" si="133"/>
        <v>13364</v>
      </c>
      <c r="O2144" s="2">
        <v>96</v>
      </c>
      <c r="P2144" s="8">
        <f t="shared" si="134"/>
        <v>13460</v>
      </c>
      <c r="Q2144" s="8">
        <f t="shared" si="135"/>
        <v>13268</v>
      </c>
      <c r="R2144" s="2" t="s">
        <v>28</v>
      </c>
      <c r="S2144" s="9">
        <f>VLOOKUP(P2144,$T$2:U2141,2,1)</f>
        <v>0.05</v>
      </c>
    </row>
    <row r="2145" spans="1:19" x14ac:dyDescent="0.25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e">
        <f>VLOOKUP(F2145,'Customer Info'!A2137:I2636,2,0)</f>
        <v>#N/A</v>
      </c>
      <c r="H2145" s="6" t="e">
        <f>VLOOKUP(F2145,'Customer Info'!A2137:I2636,3,0)</f>
        <v>#N/A</v>
      </c>
      <c r="I2145" s="6" t="e">
        <f>VLOOKUP(F2145,'Customer Info'!A2137:I2636,5,0)</f>
        <v>#N/A</v>
      </c>
      <c r="J2145" s="2">
        <v>1186</v>
      </c>
      <c r="K2145" s="2">
        <v>1141</v>
      </c>
      <c r="L2145" s="2">
        <v>2</v>
      </c>
      <c r="M2145" s="7">
        <f t="shared" si="132"/>
        <v>2282</v>
      </c>
      <c r="N2145" s="7">
        <f t="shared" si="133"/>
        <v>2372</v>
      </c>
      <c r="O2145" s="2">
        <v>83</v>
      </c>
      <c r="P2145" s="8">
        <f t="shared" si="134"/>
        <v>2455</v>
      </c>
      <c r="Q2145" s="8">
        <f t="shared" si="135"/>
        <v>2289</v>
      </c>
      <c r="R2145" s="2" t="s">
        <v>26</v>
      </c>
      <c r="S2145" s="9">
        <f>VLOOKUP(P2145,$T$2:U2142,2,1)</f>
        <v>0.02</v>
      </c>
    </row>
    <row r="2146" spans="1:19" x14ac:dyDescent="0.25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e">
        <f>VLOOKUP(F2146,'Customer Info'!A2138:I2637,2,0)</f>
        <v>#N/A</v>
      </c>
      <c r="H2146" s="6" t="e">
        <f>VLOOKUP(F2146,'Customer Info'!A2138:I2637,3,0)</f>
        <v>#N/A</v>
      </c>
      <c r="I2146" s="6" t="e">
        <f>VLOOKUP(F2146,'Customer Info'!A2138:I2637,5,0)</f>
        <v>#N/A</v>
      </c>
      <c r="J2146" s="2">
        <v>4798</v>
      </c>
      <c r="K2146" s="2">
        <v>4448</v>
      </c>
      <c r="L2146" s="2">
        <v>1</v>
      </c>
      <c r="M2146" s="7">
        <f t="shared" si="132"/>
        <v>4448</v>
      </c>
      <c r="N2146" s="7">
        <f t="shared" si="133"/>
        <v>4798</v>
      </c>
      <c r="O2146" s="2">
        <v>66</v>
      </c>
      <c r="P2146" s="8">
        <f t="shared" si="134"/>
        <v>4864</v>
      </c>
      <c r="Q2146" s="8">
        <f t="shared" si="135"/>
        <v>4732</v>
      </c>
      <c r="R2146" s="2" t="s">
        <v>28</v>
      </c>
      <c r="S2146" s="9">
        <f>VLOOKUP(P2146,$T$2:U2143,2,1)</f>
        <v>0.02</v>
      </c>
    </row>
    <row r="2147" spans="1:19" x14ac:dyDescent="0.25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e">
        <f>VLOOKUP(F2147,'Customer Info'!A2139:I2638,2,0)</f>
        <v>#N/A</v>
      </c>
      <c r="H2147" s="6" t="e">
        <f>VLOOKUP(F2147,'Customer Info'!A2139:I2638,3,0)</f>
        <v>#N/A</v>
      </c>
      <c r="I2147" s="6" t="e">
        <f>VLOOKUP(F2147,'Customer Info'!A2139:I2638,5,0)</f>
        <v>#N/A</v>
      </c>
      <c r="J2147" s="2">
        <v>8399</v>
      </c>
      <c r="K2147" s="2">
        <v>8001</v>
      </c>
      <c r="L2147" s="2">
        <v>1</v>
      </c>
      <c r="M2147" s="7">
        <f t="shared" si="132"/>
        <v>8001</v>
      </c>
      <c r="N2147" s="7">
        <f t="shared" si="133"/>
        <v>8399</v>
      </c>
      <c r="O2147" s="2">
        <v>93</v>
      </c>
      <c r="P2147" s="8">
        <f t="shared" si="134"/>
        <v>8492</v>
      </c>
      <c r="Q2147" s="8">
        <f t="shared" si="135"/>
        <v>8306</v>
      </c>
      <c r="R2147" s="2" t="s">
        <v>28</v>
      </c>
      <c r="S2147" s="9">
        <f>VLOOKUP(P2147,$T$2:U2144,2,1)</f>
        <v>0.05</v>
      </c>
    </row>
    <row r="2148" spans="1:19" x14ac:dyDescent="0.25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e">
        <f>VLOOKUP(F2148,'Customer Info'!A2140:I2639,2,0)</f>
        <v>#N/A</v>
      </c>
      <c r="H2148" s="6" t="e">
        <f>VLOOKUP(F2148,'Customer Info'!A2140:I2639,3,0)</f>
        <v>#N/A</v>
      </c>
      <c r="I2148" s="6" t="e">
        <f>VLOOKUP(F2148,'Customer Info'!A2140:I2639,5,0)</f>
        <v>#N/A</v>
      </c>
      <c r="J2148" s="2">
        <v>59</v>
      </c>
      <c r="K2148" s="2">
        <v>55</v>
      </c>
      <c r="L2148" s="2">
        <v>1</v>
      </c>
      <c r="M2148" s="7">
        <f t="shared" si="132"/>
        <v>55</v>
      </c>
      <c r="N2148" s="7">
        <f t="shared" si="133"/>
        <v>59</v>
      </c>
      <c r="O2148" s="2">
        <v>10</v>
      </c>
      <c r="P2148" s="8">
        <f t="shared" si="134"/>
        <v>69</v>
      </c>
      <c r="Q2148" s="8">
        <f t="shared" si="135"/>
        <v>49</v>
      </c>
      <c r="R2148" s="2" t="s">
        <v>28</v>
      </c>
      <c r="S2148" s="9">
        <f>VLOOKUP(P2148,$T$2:U2145,2,1)</f>
        <v>0.02</v>
      </c>
    </row>
    <row r="2149" spans="1:19" x14ac:dyDescent="0.25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e">
        <f>VLOOKUP(F2149,'Customer Info'!A2141:I2640,2,0)</f>
        <v>#N/A</v>
      </c>
      <c r="H2149" s="6" t="e">
        <f>VLOOKUP(F2149,'Customer Info'!A2141:I2640,3,0)</f>
        <v>#N/A</v>
      </c>
      <c r="I2149" s="6" t="e">
        <f>VLOOKUP(F2149,'Customer Info'!A2141:I2640,5,0)</f>
        <v>#N/A</v>
      </c>
      <c r="J2149" s="2">
        <v>175</v>
      </c>
      <c r="K2149" s="2">
        <v>162</v>
      </c>
      <c r="L2149" s="2">
        <v>3</v>
      </c>
      <c r="M2149" s="7">
        <f t="shared" si="132"/>
        <v>486</v>
      </c>
      <c r="N2149" s="7">
        <f t="shared" si="133"/>
        <v>525</v>
      </c>
      <c r="O2149" s="2">
        <v>30</v>
      </c>
      <c r="P2149" s="8">
        <f t="shared" si="134"/>
        <v>555</v>
      </c>
      <c r="Q2149" s="8">
        <f t="shared" si="135"/>
        <v>495</v>
      </c>
      <c r="R2149" s="2" t="s">
        <v>28</v>
      </c>
      <c r="S2149" s="9">
        <f>VLOOKUP(P2149,$T$2:U2146,2,1)</f>
        <v>0.02</v>
      </c>
    </row>
    <row r="2150" spans="1:19" x14ac:dyDescent="0.25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e">
        <f>VLOOKUP(F2150,'Customer Info'!A2142:I2641,2,0)</f>
        <v>#N/A</v>
      </c>
      <c r="H2150" s="6" t="e">
        <f>VLOOKUP(F2150,'Customer Info'!A2142:I2641,3,0)</f>
        <v>#N/A</v>
      </c>
      <c r="I2150" s="6" t="e">
        <f>VLOOKUP(F2150,'Customer Info'!A2142:I2641,5,0)</f>
        <v>#N/A</v>
      </c>
      <c r="J2150" s="2">
        <v>222</v>
      </c>
      <c r="K2150" s="2">
        <v>204</v>
      </c>
      <c r="L2150" s="2">
        <v>1</v>
      </c>
      <c r="M2150" s="7">
        <f t="shared" si="132"/>
        <v>204</v>
      </c>
      <c r="N2150" s="7">
        <f t="shared" si="133"/>
        <v>222</v>
      </c>
      <c r="O2150" s="2">
        <v>25</v>
      </c>
      <c r="P2150" s="8">
        <f t="shared" si="134"/>
        <v>247</v>
      </c>
      <c r="Q2150" s="8">
        <f t="shared" si="135"/>
        <v>197</v>
      </c>
      <c r="R2150" s="2" t="s">
        <v>28</v>
      </c>
      <c r="S2150" s="9">
        <f>VLOOKUP(P2150,$T$2:U2147,2,1)</f>
        <v>0.02</v>
      </c>
    </row>
    <row r="2151" spans="1:19" x14ac:dyDescent="0.25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e">
        <f>VLOOKUP(F2151,'Customer Info'!A2143:I2642,2,0)</f>
        <v>#N/A</v>
      </c>
      <c r="H2151" s="6" t="e">
        <f>VLOOKUP(F2151,'Customer Info'!A2143:I2642,3,0)</f>
        <v>#N/A</v>
      </c>
      <c r="I2151" s="6" t="e">
        <f>VLOOKUP(F2151,'Customer Info'!A2143:I2642,5,0)</f>
        <v>#N/A</v>
      </c>
      <c r="J2151" s="2">
        <v>7609</v>
      </c>
      <c r="K2151" s="2">
        <v>7248</v>
      </c>
      <c r="L2151" s="2">
        <v>3</v>
      </c>
      <c r="M2151" s="7">
        <f t="shared" si="132"/>
        <v>21744</v>
      </c>
      <c r="N2151" s="7">
        <f t="shared" si="133"/>
        <v>22827</v>
      </c>
      <c r="O2151" s="2">
        <v>77</v>
      </c>
      <c r="P2151" s="8">
        <f t="shared" si="134"/>
        <v>22904</v>
      </c>
      <c r="Q2151" s="8">
        <f t="shared" si="135"/>
        <v>22750</v>
      </c>
      <c r="R2151" s="2" t="s">
        <v>50</v>
      </c>
      <c r="S2151" s="9">
        <f>VLOOKUP(P2151,$T$2:U2148,2,1)</f>
        <v>0.05</v>
      </c>
    </row>
    <row r="2152" spans="1:19" x14ac:dyDescent="0.25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e">
        <f>VLOOKUP(F2152,'Customer Info'!A2144:I2643,2,0)</f>
        <v>#N/A</v>
      </c>
      <c r="H2152" s="6" t="e">
        <f>VLOOKUP(F2152,'Customer Info'!A2144:I2643,3,0)</f>
        <v>#N/A</v>
      </c>
      <c r="I2152" s="6" t="e">
        <f>VLOOKUP(F2152,'Customer Info'!A2144:I2643,5,0)</f>
        <v>#N/A</v>
      </c>
      <c r="J2152" s="2">
        <v>1637</v>
      </c>
      <c r="K2152" s="2">
        <v>1591</v>
      </c>
      <c r="L2152" s="2">
        <v>1</v>
      </c>
      <c r="M2152" s="7">
        <f t="shared" si="132"/>
        <v>1591</v>
      </c>
      <c r="N2152" s="7">
        <f t="shared" si="133"/>
        <v>1637</v>
      </c>
      <c r="O2152" s="2">
        <v>94</v>
      </c>
      <c r="P2152" s="8">
        <f t="shared" si="134"/>
        <v>1731</v>
      </c>
      <c r="Q2152" s="8">
        <f t="shared" si="135"/>
        <v>1543</v>
      </c>
      <c r="R2152" s="2" t="s">
        <v>28</v>
      </c>
      <c r="S2152" s="9">
        <f>VLOOKUP(P2152,$T$2:U2149,2,1)</f>
        <v>0.02</v>
      </c>
    </row>
    <row r="2153" spans="1:19" x14ac:dyDescent="0.25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e">
        <f>VLOOKUP(F2153,'Customer Info'!A2145:I2644,2,0)</f>
        <v>#N/A</v>
      </c>
      <c r="H2153" s="6" t="e">
        <f>VLOOKUP(F2153,'Customer Info'!A2145:I2644,3,0)</f>
        <v>#N/A</v>
      </c>
      <c r="I2153" s="6" t="e">
        <f>VLOOKUP(F2153,'Customer Info'!A2145:I2644,5,0)</f>
        <v>#N/A</v>
      </c>
      <c r="J2153" s="2">
        <v>8686</v>
      </c>
      <c r="K2153" s="2">
        <v>8035</v>
      </c>
      <c r="L2153" s="2">
        <v>4</v>
      </c>
      <c r="M2153" s="7">
        <f t="shared" si="132"/>
        <v>32140</v>
      </c>
      <c r="N2153" s="7">
        <f t="shared" si="133"/>
        <v>34744</v>
      </c>
      <c r="O2153" s="2">
        <v>34</v>
      </c>
      <c r="P2153" s="8">
        <f t="shared" si="134"/>
        <v>34778</v>
      </c>
      <c r="Q2153" s="8">
        <f t="shared" si="135"/>
        <v>34710</v>
      </c>
      <c r="R2153" s="2" t="s">
        <v>28</v>
      </c>
      <c r="S2153" s="9">
        <f>VLOOKUP(P2153,$T$2:U2150,2,1)</f>
        <v>7.0000000000000007E-2</v>
      </c>
    </row>
    <row r="2154" spans="1:19" x14ac:dyDescent="0.25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e">
        <f>VLOOKUP(F2154,'Customer Info'!A2146:I2645,2,0)</f>
        <v>#N/A</v>
      </c>
      <c r="H2154" s="6" t="e">
        <f>VLOOKUP(F2154,'Customer Info'!A2146:I2645,3,0)</f>
        <v>#N/A</v>
      </c>
      <c r="I2154" s="6" t="e">
        <f>VLOOKUP(F2154,'Customer Info'!A2146:I2645,5,0)</f>
        <v>#N/A</v>
      </c>
      <c r="J2154" s="2">
        <v>3224</v>
      </c>
      <c r="K2154" s="2">
        <v>2984</v>
      </c>
      <c r="L2154" s="2">
        <v>3</v>
      </c>
      <c r="M2154" s="7">
        <f t="shared" si="132"/>
        <v>8952</v>
      </c>
      <c r="N2154" s="7">
        <f t="shared" si="133"/>
        <v>9672</v>
      </c>
      <c r="O2154" s="2">
        <v>58</v>
      </c>
      <c r="P2154" s="8">
        <f t="shared" si="134"/>
        <v>9730</v>
      </c>
      <c r="Q2154" s="8">
        <f t="shared" si="135"/>
        <v>9614</v>
      </c>
      <c r="R2154" s="2" t="s">
        <v>50</v>
      </c>
      <c r="S2154" s="9">
        <f>VLOOKUP(P2154,$T$2:U2151,2,1)</f>
        <v>0.05</v>
      </c>
    </row>
    <row r="2155" spans="1:19" x14ac:dyDescent="0.25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e">
        <f>VLOOKUP(F2155,'Customer Info'!A2147:I2646,2,0)</f>
        <v>#N/A</v>
      </c>
      <c r="H2155" s="6" t="e">
        <f>VLOOKUP(F2155,'Customer Info'!A2147:I2646,3,0)</f>
        <v>#N/A</v>
      </c>
      <c r="I2155" s="6" t="e">
        <f>VLOOKUP(F2155,'Customer Info'!A2147:I2646,5,0)</f>
        <v>#N/A</v>
      </c>
      <c r="J2155" s="2">
        <v>2697</v>
      </c>
      <c r="K2155" s="2">
        <v>2498</v>
      </c>
      <c r="L2155" s="2">
        <v>10</v>
      </c>
      <c r="M2155" s="7">
        <f t="shared" si="132"/>
        <v>24980</v>
      </c>
      <c r="N2155" s="7">
        <f t="shared" si="133"/>
        <v>26970</v>
      </c>
      <c r="O2155" s="2">
        <v>50</v>
      </c>
      <c r="P2155" s="8">
        <f t="shared" si="134"/>
        <v>27020</v>
      </c>
      <c r="Q2155" s="8">
        <f t="shared" si="135"/>
        <v>26920</v>
      </c>
      <c r="R2155" s="2" t="s">
        <v>28</v>
      </c>
      <c r="S2155" s="9">
        <f>VLOOKUP(P2155,$T$2:U2152,2,1)</f>
        <v>7.0000000000000007E-2</v>
      </c>
    </row>
    <row r="2156" spans="1:19" x14ac:dyDescent="0.25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e">
        <f>VLOOKUP(F2156,'Customer Info'!A2148:I2647,2,0)</f>
        <v>#N/A</v>
      </c>
      <c r="H2156" s="6" t="e">
        <f>VLOOKUP(F2156,'Customer Info'!A2148:I2647,3,0)</f>
        <v>#N/A</v>
      </c>
      <c r="I2156" s="6" t="e">
        <f>VLOOKUP(F2156,'Customer Info'!A2148:I2647,5,0)</f>
        <v>#N/A</v>
      </c>
      <c r="J2156" s="2">
        <v>456</v>
      </c>
      <c r="K2156" s="2">
        <v>430</v>
      </c>
      <c r="L2156" s="2">
        <v>5</v>
      </c>
      <c r="M2156" s="7">
        <f t="shared" si="132"/>
        <v>2150</v>
      </c>
      <c r="N2156" s="7">
        <f t="shared" si="133"/>
        <v>2280</v>
      </c>
      <c r="O2156" s="2">
        <v>59</v>
      </c>
      <c r="P2156" s="8">
        <f t="shared" si="134"/>
        <v>2339</v>
      </c>
      <c r="Q2156" s="8">
        <f t="shared" si="135"/>
        <v>2221</v>
      </c>
      <c r="R2156" s="2" t="s">
        <v>50</v>
      </c>
      <c r="S2156" s="9">
        <f>VLOOKUP(P2156,$T$2:U2153,2,1)</f>
        <v>0.02</v>
      </c>
    </row>
    <row r="2157" spans="1:19" x14ac:dyDescent="0.25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e">
        <f>VLOOKUP(F2157,'Customer Info'!A2149:I2648,2,0)</f>
        <v>#N/A</v>
      </c>
      <c r="H2157" s="6" t="e">
        <f>VLOOKUP(F2157,'Customer Info'!A2149:I2648,3,0)</f>
        <v>#N/A</v>
      </c>
      <c r="I2157" s="6" t="e">
        <f>VLOOKUP(F2157,'Customer Info'!A2149:I2648,5,0)</f>
        <v>#N/A</v>
      </c>
      <c r="J2157" s="2">
        <v>28522</v>
      </c>
      <c r="K2157" s="2">
        <v>26384</v>
      </c>
      <c r="L2157" s="2">
        <v>4</v>
      </c>
      <c r="M2157" s="7">
        <f t="shared" si="132"/>
        <v>105536</v>
      </c>
      <c r="N2157" s="7">
        <f t="shared" si="133"/>
        <v>114088</v>
      </c>
      <c r="O2157" s="2">
        <v>94</v>
      </c>
      <c r="P2157" s="8">
        <f t="shared" si="134"/>
        <v>114182</v>
      </c>
      <c r="Q2157" s="8">
        <f t="shared" si="135"/>
        <v>113994</v>
      </c>
      <c r="R2157" s="2" t="s">
        <v>50</v>
      </c>
      <c r="S2157" s="9">
        <f>VLOOKUP(P2157,$T$2:U2154,2,1)</f>
        <v>0.12</v>
      </c>
    </row>
    <row r="2158" spans="1:19" x14ac:dyDescent="0.25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e">
        <f>VLOOKUP(F2158,'Customer Info'!A2150:I2649,2,0)</f>
        <v>#N/A</v>
      </c>
      <c r="H2158" s="6" t="e">
        <f>VLOOKUP(F2158,'Customer Info'!A2150:I2649,3,0)</f>
        <v>#N/A</v>
      </c>
      <c r="I2158" s="6" t="e">
        <f>VLOOKUP(F2158,'Customer Info'!A2150:I2649,5,0)</f>
        <v>#N/A</v>
      </c>
      <c r="J2158" s="2">
        <v>1997</v>
      </c>
      <c r="K2158" s="2">
        <v>1816</v>
      </c>
      <c r="L2158" s="2">
        <v>3</v>
      </c>
      <c r="M2158" s="7">
        <f t="shared" si="132"/>
        <v>5448</v>
      </c>
      <c r="N2158" s="7">
        <f t="shared" si="133"/>
        <v>5991</v>
      </c>
      <c r="O2158" s="2">
        <v>92</v>
      </c>
      <c r="P2158" s="8">
        <f t="shared" si="134"/>
        <v>6083</v>
      </c>
      <c r="Q2158" s="8">
        <f t="shared" si="135"/>
        <v>5899</v>
      </c>
      <c r="R2158" s="2" t="s">
        <v>26</v>
      </c>
      <c r="S2158" s="9">
        <f>VLOOKUP(P2158,$T$2:U2155,2,1)</f>
        <v>0.05</v>
      </c>
    </row>
    <row r="2159" spans="1:19" x14ac:dyDescent="0.25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e">
        <f>VLOOKUP(F2159,'Customer Info'!A2151:I2650,2,0)</f>
        <v>#N/A</v>
      </c>
      <c r="H2159" s="6" t="e">
        <f>VLOOKUP(F2159,'Customer Info'!A2151:I2650,3,0)</f>
        <v>#N/A</v>
      </c>
      <c r="I2159" s="6" t="e">
        <f>VLOOKUP(F2159,'Customer Info'!A2151:I2650,5,0)</f>
        <v>#N/A</v>
      </c>
      <c r="J2159" s="2">
        <v>4002</v>
      </c>
      <c r="K2159" s="2">
        <v>3744</v>
      </c>
      <c r="L2159" s="2">
        <v>1</v>
      </c>
      <c r="M2159" s="7">
        <f t="shared" si="132"/>
        <v>3744</v>
      </c>
      <c r="N2159" s="7">
        <f t="shared" si="133"/>
        <v>4002</v>
      </c>
      <c r="O2159" s="2">
        <v>88</v>
      </c>
      <c r="P2159" s="8">
        <f t="shared" si="134"/>
        <v>4090</v>
      </c>
      <c r="Q2159" s="8">
        <f t="shared" si="135"/>
        <v>3914</v>
      </c>
      <c r="R2159" s="2" t="s">
        <v>28</v>
      </c>
      <c r="S2159" s="9">
        <f>VLOOKUP(P2159,$T$2:U2156,2,1)</f>
        <v>0.02</v>
      </c>
    </row>
    <row r="2160" spans="1:19" x14ac:dyDescent="0.25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e">
        <f>VLOOKUP(F2160,'Customer Info'!A2152:I2651,2,0)</f>
        <v>#N/A</v>
      </c>
      <c r="H2160" s="6" t="e">
        <f>VLOOKUP(F2160,'Customer Info'!A2152:I2651,3,0)</f>
        <v>#N/A</v>
      </c>
      <c r="I2160" s="6" t="e">
        <f>VLOOKUP(F2160,'Customer Info'!A2152:I2651,5,0)</f>
        <v>#N/A</v>
      </c>
      <c r="J2160" s="2">
        <v>1901</v>
      </c>
      <c r="K2160" s="2">
        <v>1810</v>
      </c>
      <c r="L2160" s="2">
        <v>3</v>
      </c>
      <c r="M2160" s="7">
        <f t="shared" si="132"/>
        <v>5430</v>
      </c>
      <c r="N2160" s="7">
        <f t="shared" si="133"/>
        <v>5703</v>
      </c>
      <c r="O2160" s="2">
        <v>81</v>
      </c>
      <c r="P2160" s="8">
        <f t="shared" si="134"/>
        <v>5784</v>
      </c>
      <c r="Q2160" s="8">
        <f t="shared" si="135"/>
        <v>5622</v>
      </c>
      <c r="R2160" s="2" t="s">
        <v>28</v>
      </c>
      <c r="S2160" s="9">
        <f>VLOOKUP(P2160,$T$2:U2157,2,1)</f>
        <v>0.05</v>
      </c>
    </row>
    <row r="2161" spans="1:19" x14ac:dyDescent="0.25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e">
        <f>VLOOKUP(F2161,'Customer Info'!A2153:I2652,2,0)</f>
        <v>#N/A</v>
      </c>
      <c r="H2161" s="6" t="e">
        <f>VLOOKUP(F2161,'Customer Info'!A2153:I2652,3,0)</f>
        <v>#N/A</v>
      </c>
      <c r="I2161" s="6" t="e">
        <f>VLOOKUP(F2161,'Customer Info'!A2153:I2652,5,0)</f>
        <v>#N/A</v>
      </c>
      <c r="J2161" s="2">
        <v>7232</v>
      </c>
      <c r="K2161" s="2">
        <v>6753</v>
      </c>
      <c r="L2161" s="2">
        <v>2</v>
      </c>
      <c r="M2161" s="7">
        <f t="shared" si="132"/>
        <v>13506</v>
      </c>
      <c r="N2161" s="7">
        <f t="shared" si="133"/>
        <v>14464</v>
      </c>
      <c r="O2161" s="2">
        <v>98</v>
      </c>
      <c r="P2161" s="8">
        <f t="shared" si="134"/>
        <v>14562</v>
      </c>
      <c r="Q2161" s="8">
        <f t="shared" si="135"/>
        <v>14366</v>
      </c>
      <c r="R2161" s="2" t="s">
        <v>28</v>
      </c>
      <c r="S2161" s="9">
        <f>VLOOKUP(P2161,$T$2:U2158,2,1)</f>
        <v>0.05</v>
      </c>
    </row>
    <row r="2162" spans="1:19" x14ac:dyDescent="0.25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e">
        <f>VLOOKUP(F2162,'Customer Info'!A2154:I2653,2,0)</f>
        <v>#N/A</v>
      </c>
      <c r="H2162" s="6" t="e">
        <f>VLOOKUP(F2162,'Customer Info'!A2154:I2653,3,0)</f>
        <v>#N/A</v>
      </c>
      <c r="I2162" s="6" t="e">
        <f>VLOOKUP(F2162,'Customer Info'!A2154:I2653,5,0)</f>
        <v>#N/A</v>
      </c>
      <c r="J2162" s="2">
        <v>1619</v>
      </c>
      <c r="K2162" s="2">
        <v>1442</v>
      </c>
      <c r="L2162" s="2">
        <v>8</v>
      </c>
      <c r="M2162" s="7">
        <f t="shared" si="132"/>
        <v>11536</v>
      </c>
      <c r="N2162" s="7">
        <f t="shared" si="133"/>
        <v>12952</v>
      </c>
      <c r="O2162" s="2">
        <v>53</v>
      </c>
      <c r="P2162" s="8">
        <f t="shared" si="134"/>
        <v>13005</v>
      </c>
      <c r="Q2162" s="8">
        <f t="shared" si="135"/>
        <v>12899</v>
      </c>
      <c r="R2162" s="2" t="s">
        <v>28</v>
      </c>
      <c r="S2162" s="9">
        <f>VLOOKUP(P2162,$T$2:U2159,2,1)</f>
        <v>0.05</v>
      </c>
    </row>
    <row r="2163" spans="1:19" x14ac:dyDescent="0.25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e">
        <f>VLOOKUP(F2163,'Customer Info'!A2155:I2654,2,0)</f>
        <v>#N/A</v>
      </c>
      <c r="H2163" s="6" t="e">
        <f>VLOOKUP(F2163,'Customer Info'!A2155:I2654,3,0)</f>
        <v>#N/A</v>
      </c>
      <c r="I2163" s="6" t="e">
        <f>VLOOKUP(F2163,'Customer Info'!A2155:I2654,5,0)</f>
        <v>#N/A</v>
      </c>
      <c r="J2163" s="2">
        <v>5848</v>
      </c>
      <c r="K2163" s="2">
        <v>5214</v>
      </c>
      <c r="L2163" s="2">
        <v>4</v>
      </c>
      <c r="M2163" s="7">
        <f t="shared" si="132"/>
        <v>20856</v>
      </c>
      <c r="N2163" s="7">
        <f t="shared" si="133"/>
        <v>23392</v>
      </c>
      <c r="O2163" s="2">
        <v>48</v>
      </c>
      <c r="P2163" s="8">
        <f t="shared" si="134"/>
        <v>23440</v>
      </c>
      <c r="Q2163" s="8">
        <f t="shared" si="135"/>
        <v>23344</v>
      </c>
      <c r="R2163" s="2" t="s">
        <v>28</v>
      </c>
      <c r="S2163" s="9">
        <f>VLOOKUP(P2163,$T$2:U2160,2,1)</f>
        <v>0.05</v>
      </c>
    </row>
    <row r="2164" spans="1:19" x14ac:dyDescent="0.25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e">
        <f>VLOOKUP(F2164,'Customer Info'!A2156:I2655,2,0)</f>
        <v>#N/A</v>
      </c>
      <c r="H2164" s="6" t="e">
        <f>VLOOKUP(F2164,'Customer Info'!A2156:I2655,3,0)</f>
        <v>#N/A</v>
      </c>
      <c r="I2164" s="6" t="e">
        <f>VLOOKUP(F2164,'Customer Info'!A2156:I2655,5,0)</f>
        <v>#N/A</v>
      </c>
      <c r="J2164" s="2">
        <v>61</v>
      </c>
      <c r="K2164" s="2">
        <v>57</v>
      </c>
      <c r="L2164" s="2">
        <v>5</v>
      </c>
      <c r="M2164" s="7">
        <f t="shared" si="132"/>
        <v>285</v>
      </c>
      <c r="N2164" s="7">
        <f t="shared" si="133"/>
        <v>305</v>
      </c>
      <c r="O2164" s="2">
        <v>10</v>
      </c>
      <c r="P2164" s="8">
        <f t="shared" si="134"/>
        <v>315</v>
      </c>
      <c r="Q2164" s="8">
        <f t="shared" si="135"/>
        <v>295</v>
      </c>
      <c r="R2164" s="2" t="s">
        <v>28</v>
      </c>
      <c r="S2164" s="9">
        <f>VLOOKUP(P2164,$T$2:U2161,2,1)</f>
        <v>0.02</v>
      </c>
    </row>
    <row r="2165" spans="1:19" x14ac:dyDescent="0.25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e">
        <f>VLOOKUP(F2165,'Customer Info'!A2157:I2656,2,0)</f>
        <v>#N/A</v>
      </c>
      <c r="H2165" s="6" t="e">
        <f>VLOOKUP(F2165,'Customer Info'!A2157:I2656,3,0)</f>
        <v>#N/A</v>
      </c>
      <c r="I2165" s="6" t="e">
        <f>VLOOKUP(F2165,'Customer Info'!A2157:I2656,5,0)</f>
        <v>#N/A</v>
      </c>
      <c r="J2165" s="2">
        <v>2243</v>
      </c>
      <c r="K2165" s="2">
        <v>2000</v>
      </c>
      <c r="L2165" s="2">
        <v>7</v>
      </c>
      <c r="M2165" s="7">
        <f t="shared" si="132"/>
        <v>14000</v>
      </c>
      <c r="N2165" s="7">
        <f t="shared" si="133"/>
        <v>15701</v>
      </c>
      <c r="O2165" s="2">
        <v>60</v>
      </c>
      <c r="P2165" s="8">
        <f t="shared" si="134"/>
        <v>15761</v>
      </c>
      <c r="Q2165" s="8">
        <f t="shared" si="135"/>
        <v>15641</v>
      </c>
      <c r="R2165" s="2" t="s">
        <v>50</v>
      </c>
      <c r="S2165" s="9">
        <f>VLOOKUP(P2165,$T$2:U2162,2,1)</f>
        <v>0.05</v>
      </c>
    </row>
    <row r="2166" spans="1:19" x14ac:dyDescent="0.25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e">
        <f>VLOOKUP(F2166,'Customer Info'!A2158:I2657,2,0)</f>
        <v>#N/A</v>
      </c>
      <c r="H2166" s="6" t="e">
        <f>VLOOKUP(F2166,'Customer Info'!A2158:I2657,3,0)</f>
        <v>#N/A</v>
      </c>
      <c r="I2166" s="6" t="e">
        <f>VLOOKUP(F2166,'Customer Info'!A2158:I2657,5,0)</f>
        <v>#N/A</v>
      </c>
      <c r="J2166" s="2">
        <v>39095</v>
      </c>
      <c r="K2166" s="2">
        <v>35516</v>
      </c>
      <c r="L2166" s="2">
        <v>5</v>
      </c>
      <c r="M2166" s="7">
        <f t="shared" si="132"/>
        <v>177580</v>
      </c>
      <c r="N2166" s="7">
        <f t="shared" si="133"/>
        <v>195475</v>
      </c>
      <c r="O2166" s="2">
        <v>77</v>
      </c>
      <c r="P2166" s="8">
        <f t="shared" si="134"/>
        <v>195552</v>
      </c>
      <c r="Q2166" s="8">
        <f t="shared" si="135"/>
        <v>195398</v>
      </c>
      <c r="R2166" s="2" t="s">
        <v>50</v>
      </c>
      <c r="S2166" s="9">
        <f>VLOOKUP(P2166,$T$2:U2163,2,1)</f>
        <v>0.12</v>
      </c>
    </row>
    <row r="2167" spans="1:19" x14ac:dyDescent="0.25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e">
        <f>VLOOKUP(F2167,'Customer Info'!A2159:I2658,2,0)</f>
        <v>#N/A</v>
      </c>
      <c r="H2167" s="6" t="e">
        <f>VLOOKUP(F2167,'Customer Info'!A2159:I2658,3,0)</f>
        <v>#N/A</v>
      </c>
      <c r="I2167" s="6" t="e">
        <f>VLOOKUP(F2167,'Customer Info'!A2159:I2658,5,0)</f>
        <v>#N/A</v>
      </c>
      <c r="J2167" s="2">
        <v>2808</v>
      </c>
      <c r="K2167" s="2">
        <v>2674</v>
      </c>
      <c r="L2167" s="2">
        <v>1</v>
      </c>
      <c r="M2167" s="7">
        <f t="shared" si="132"/>
        <v>2674</v>
      </c>
      <c r="N2167" s="7">
        <f t="shared" si="133"/>
        <v>2808</v>
      </c>
      <c r="O2167" s="2">
        <v>32</v>
      </c>
      <c r="P2167" s="8">
        <f t="shared" si="134"/>
        <v>2840</v>
      </c>
      <c r="Q2167" s="8">
        <f t="shared" si="135"/>
        <v>2776</v>
      </c>
      <c r="R2167" s="2" t="s">
        <v>28</v>
      </c>
      <c r="S2167" s="9">
        <f>VLOOKUP(P2167,$T$2:U2164,2,1)</f>
        <v>0.02</v>
      </c>
    </row>
    <row r="2168" spans="1:19" x14ac:dyDescent="0.25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e">
        <f>VLOOKUP(F2168,'Customer Info'!A2160:I2659,2,0)</f>
        <v>#N/A</v>
      </c>
      <c r="H2168" s="6" t="e">
        <f>VLOOKUP(F2168,'Customer Info'!A2160:I2659,3,0)</f>
        <v>#N/A</v>
      </c>
      <c r="I2168" s="6" t="e">
        <f>VLOOKUP(F2168,'Customer Info'!A2160:I2659,5,0)</f>
        <v>#N/A</v>
      </c>
      <c r="J2168" s="2">
        <v>4808</v>
      </c>
      <c r="K2168" s="2">
        <v>4453</v>
      </c>
      <c r="L2168" s="2">
        <v>1</v>
      </c>
      <c r="M2168" s="7">
        <f t="shared" si="132"/>
        <v>4453</v>
      </c>
      <c r="N2168" s="7">
        <f t="shared" si="133"/>
        <v>4808</v>
      </c>
      <c r="O2168" s="2">
        <v>79</v>
      </c>
      <c r="P2168" s="8">
        <f t="shared" si="134"/>
        <v>4887</v>
      </c>
      <c r="Q2168" s="8">
        <f t="shared" si="135"/>
        <v>4729</v>
      </c>
      <c r="R2168" s="2" t="s">
        <v>28</v>
      </c>
      <c r="S2168" s="9">
        <f>VLOOKUP(P2168,$T$2:U2165,2,1)</f>
        <v>0.02</v>
      </c>
    </row>
    <row r="2169" spans="1:19" x14ac:dyDescent="0.25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e">
        <f>VLOOKUP(F2169,'Customer Info'!A2161:I2660,2,0)</f>
        <v>#N/A</v>
      </c>
      <c r="H2169" s="6" t="e">
        <f>VLOOKUP(F2169,'Customer Info'!A2161:I2660,3,0)</f>
        <v>#N/A</v>
      </c>
      <c r="I2169" s="6" t="e">
        <f>VLOOKUP(F2169,'Customer Info'!A2161:I2660,5,0)</f>
        <v>#N/A</v>
      </c>
      <c r="J2169" s="2">
        <v>7534</v>
      </c>
      <c r="K2169" s="2">
        <v>7106</v>
      </c>
      <c r="L2169" s="2">
        <v>7</v>
      </c>
      <c r="M2169" s="7">
        <f t="shared" si="132"/>
        <v>49742</v>
      </c>
      <c r="N2169" s="7">
        <f t="shared" si="133"/>
        <v>52738</v>
      </c>
      <c r="O2169" s="2">
        <v>52</v>
      </c>
      <c r="P2169" s="8">
        <f t="shared" si="134"/>
        <v>52790</v>
      </c>
      <c r="Q2169" s="8">
        <f t="shared" si="135"/>
        <v>52686</v>
      </c>
      <c r="R2169" s="2" t="s">
        <v>28</v>
      </c>
      <c r="S2169" s="9">
        <f>VLOOKUP(P2169,$T$2:U2166,2,1)</f>
        <v>0.09</v>
      </c>
    </row>
    <row r="2170" spans="1:19" x14ac:dyDescent="0.25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e">
        <f>VLOOKUP(F2170,'Customer Info'!A2162:I2661,2,0)</f>
        <v>#N/A</v>
      </c>
      <c r="H2170" s="6" t="e">
        <f>VLOOKUP(F2170,'Customer Info'!A2162:I2661,3,0)</f>
        <v>#N/A</v>
      </c>
      <c r="I2170" s="6" t="e">
        <f>VLOOKUP(F2170,'Customer Info'!A2162:I2661,5,0)</f>
        <v>#N/A</v>
      </c>
      <c r="J2170" s="2">
        <v>811</v>
      </c>
      <c r="K2170" s="2">
        <v>780</v>
      </c>
      <c r="L2170" s="2">
        <v>2</v>
      </c>
      <c r="M2170" s="7">
        <f t="shared" si="132"/>
        <v>1560</v>
      </c>
      <c r="N2170" s="7">
        <f t="shared" si="133"/>
        <v>1622</v>
      </c>
      <c r="O2170" s="2">
        <v>99</v>
      </c>
      <c r="P2170" s="8">
        <f t="shared" si="134"/>
        <v>1721</v>
      </c>
      <c r="Q2170" s="8">
        <f t="shared" si="135"/>
        <v>1523</v>
      </c>
      <c r="R2170" s="2" t="s">
        <v>28</v>
      </c>
      <c r="S2170" s="9">
        <f>VLOOKUP(P2170,$T$2:U2167,2,1)</f>
        <v>0.02</v>
      </c>
    </row>
    <row r="2171" spans="1:19" x14ac:dyDescent="0.25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e">
        <f>VLOOKUP(F2171,'Customer Info'!A2163:I2662,2,0)</f>
        <v>#N/A</v>
      </c>
      <c r="H2171" s="6" t="e">
        <f>VLOOKUP(F2171,'Customer Info'!A2163:I2662,3,0)</f>
        <v>#N/A</v>
      </c>
      <c r="I2171" s="6" t="e">
        <f>VLOOKUP(F2171,'Customer Info'!A2163:I2662,5,0)</f>
        <v>#N/A</v>
      </c>
      <c r="J2171" s="2">
        <v>1146</v>
      </c>
      <c r="K2171" s="2">
        <v>1061</v>
      </c>
      <c r="L2171" s="2">
        <v>3</v>
      </c>
      <c r="M2171" s="7">
        <f t="shared" si="132"/>
        <v>3183</v>
      </c>
      <c r="N2171" s="7">
        <f t="shared" si="133"/>
        <v>3438</v>
      </c>
      <c r="O2171" s="2">
        <v>61</v>
      </c>
      <c r="P2171" s="8">
        <f t="shared" si="134"/>
        <v>3499</v>
      </c>
      <c r="Q2171" s="8">
        <f t="shared" si="135"/>
        <v>3377</v>
      </c>
      <c r="R2171" s="2" t="s">
        <v>50</v>
      </c>
      <c r="S2171" s="9">
        <f>VLOOKUP(P2171,$T$2:U2168,2,1)</f>
        <v>0.02</v>
      </c>
    </row>
    <row r="2172" spans="1:19" x14ac:dyDescent="0.25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e">
        <f>VLOOKUP(F2172,'Customer Info'!A2164:I2663,2,0)</f>
        <v>#N/A</v>
      </c>
      <c r="H2172" s="6" t="e">
        <f>VLOOKUP(F2172,'Customer Info'!A2164:I2663,3,0)</f>
        <v>#N/A</v>
      </c>
      <c r="I2172" s="6" t="e">
        <f>VLOOKUP(F2172,'Customer Info'!A2164:I2663,5,0)</f>
        <v>#N/A</v>
      </c>
      <c r="J2172" s="2">
        <v>100</v>
      </c>
      <c r="K2172" s="2">
        <v>95</v>
      </c>
      <c r="L2172" s="2">
        <v>1</v>
      </c>
      <c r="M2172" s="7">
        <f t="shared" si="132"/>
        <v>95</v>
      </c>
      <c r="N2172" s="7">
        <f t="shared" si="133"/>
        <v>100</v>
      </c>
      <c r="O2172" s="2">
        <v>10</v>
      </c>
      <c r="P2172" s="8">
        <f t="shared" si="134"/>
        <v>110</v>
      </c>
      <c r="Q2172" s="8">
        <f t="shared" si="135"/>
        <v>90</v>
      </c>
      <c r="R2172" s="2" t="s">
        <v>56</v>
      </c>
      <c r="S2172" s="9">
        <f>VLOOKUP(P2172,$T$2:U2169,2,1)</f>
        <v>0.02</v>
      </c>
    </row>
    <row r="2173" spans="1:19" x14ac:dyDescent="0.25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e">
        <f>VLOOKUP(F2173,'Customer Info'!A2165:I2664,2,0)</f>
        <v>#N/A</v>
      </c>
      <c r="H2173" s="6" t="e">
        <f>VLOOKUP(F2173,'Customer Info'!A2165:I2664,3,0)</f>
        <v>#N/A</v>
      </c>
      <c r="I2173" s="6" t="e">
        <f>VLOOKUP(F2173,'Customer Info'!A2165:I2664,5,0)</f>
        <v>#N/A</v>
      </c>
      <c r="J2173" s="2">
        <v>167</v>
      </c>
      <c r="K2173" s="2">
        <v>155</v>
      </c>
      <c r="L2173" s="2">
        <v>1</v>
      </c>
      <c r="M2173" s="7">
        <f t="shared" si="132"/>
        <v>155</v>
      </c>
      <c r="N2173" s="7">
        <f t="shared" si="133"/>
        <v>167</v>
      </c>
      <c r="O2173" s="2">
        <v>30</v>
      </c>
      <c r="P2173" s="8">
        <f t="shared" si="134"/>
        <v>197</v>
      </c>
      <c r="Q2173" s="8">
        <f t="shared" si="135"/>
        <v>137</v>
      </c>
      <c r="R2173" s="2" t="s">
        <v>50</v>
      </c>
      <c r="S2173" s="9">
        <f>VLOOKUP(P2173,$T$2:U2170,2,1)</f>
        <v>0.02</v>
      </c>
    </row>
    <row r="2174" spans="1:19" x14ac:dyDescent="0.25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e">
        <f>VLOOKUP(F2174,'Customer Info'!A2166:I2665,2,0)</f>
        <v>#N/A</v>
      </c>
      <c r="H2174" s="6" t="e">
        <f>VLOOKUP(F2174,'Customer Info'!A2166:I2665,3,0)</f>
        <v>#N/A</v>
      </c>
      <c r="I2174" s="6" t="e">
        <f>VLOOKUP(F2174,'Customer Info'!A2166:I2665,5,0)</f>
        <v>#N/A</v>
      </c>
      <c r="J2174" s="2">
        <v>28522</v>
      </c>
      <c r="K2174" s="2">
        <v>26384</v>
      </c>
      <c r="L2174" s="2">
        <v>1</v>
      </c>
      <c r="M2174" s="7">
        <f t="shared" si="132"/>
        <v>26384</v>
      </c>
      <c r="N2174" s="7">
        <f t="shared" si="133"/>
        <v>28522</v>
      </c>
      <c r="O2174" s="2">
        <v>58</v>
      </c>
      <c r="P2174" s="8">
        <f t="shared" si="134"/>
        <v>28580</v>
      </c>
      <c r="Q2174" s="8">
        <f t="shared" si="135"/>
        <v>28464</v>
      </c>
      <c r="R2174" s="2" t="s">
        <v>28</v>
      </c>
      <c r="S2174" s="9">
        <f>VLOOKUP(P2174,$T$2:U2171,2,1)</f>
        <v>7.0000000000000007E-2</v>
      </c>
    </row>
    <row r="2175" spans="1:19" x14ac:dyDescent="0.25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e">
        <f>VLOOKUP(F2175,'Customer Info'!A2167:I2666,2,0)</f>
        <v>#N/A</v>
      </c>
      <c r="H2175" s="6" t="e">
        <f>VLOOKUP(F2175,'Customer Info'!A2167:I2666,3,0)</f>
        <v>#N/A</v>
      </c>
      <c r="I2175" s="6" t="e">
        <f>VLOOKUP(F2175,'Customer Info'!A2167:I2666,5,0)</f>
        <v>#N/A</v>
      </c>
      <c r="J2175" s="2">
        <v>187</v>
      </c>
      <c r="K2175" s="2">
        <v>176</v>
      </c>
      <c r="L2175" s="2">
        <v>5</v>
      </c>
      <c r="M2175" s="7">
        <f t="shared" si="132"/>
        <v>880</v>
      </c>
      <c r="N2175" s="7">
        <f t="shared" si="133"/>
        <v>935</v>
      </c>
      <c r="O2175" s="2">
        <v>30</v>
      </c>
      <c r="P2175" s="8">
        <f t="shared" si="134"/>
        <v>965</v>
      </c>
      <c r="Q2175" s="8">
        <f t="shared" si="135"/>
        <v>905</v>
      </c>
      <c r="R2175" s="2" t="s">
        <v>28</v>
      </c>
      <c r="S2175" s="9">
        <f>VLOOKUP(P2175,$T$2:U2172,2,1)</f>
        <v>0.02</v>
      </c>
    </row>
    <row r="2176" spans="1:19" x14ac:dyDescent="0.25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e">
        <f>VLOOKUP(F2176,'Customer Info'!A2168:I2667,2,0)</f>
        <v>#N/A</v>
      </c>
      <c r="H2176" s="6" t="e">
        <f>VLOOKUP(F2176,'Customer Info'!A2168:I2667,3,0)</f>
        <v>#N/A</v>
      </c>
      <c r="I2176" s="6" t="e">
        <f>VLOOKUP(F2176,'Customer Info'!A2168:I2667,5,0)</f>
        <v>#N/A</v>
      </c>
      <c r="J2176" s="2">
        <v>144</v>
      </c>
      <c r="K2176" s="2">
        <v>133</v>
      </c>
      <c r="L2176" s="2">
        <v>4</v>
      </c>
      <c r="M2176" s="7">
        <f t="shared" si="132"/>
        <v>532</v>
      </c>
      <c r="N2176" s="7">
        <f t="shared" si="133"/>
        <v>576</v>
      </c>
      <c r="O2176" s="2">
        <v>30</v>
      </c>
      <c r="P2176" s="8">
        <f t="shared" si="134"/>
        <v>606</v>
      </c>
      <c r="Q2176" s="8">
        <f t="shared" si="135"/>
        <v>546</v>
      </c>
      <c r="R2176" s="2" t="s">
        <v>26</v>
      </c>
      <c r="S2176" s="9">
        <f>VLOOKUP(P2176,$T$2:U2173,2,1)</f>
        <v>0.02</v>
      </c>
    </row>
    <row r="2177" spans="1:19" x14ac:dyDescent="0.25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e">
        <f>VLOOKUP(F2177,'Customer Info'!A2169:I2668,2,0)</f>
        <v>#N/A</v>
      </c>
      <c r="H2177" s="6" t="e">
        <f>VLOOKUP(F2177,'Customer Info'!A2169:I2668,3,0)</f>
        <v>#N/A</v>
      </c>
      <c r="I2177" s="6" t="e">
        <f>VLOOKUP(F2177,'Customer Info'!A2169:I2668,5,0)</f>
        <v>#N/A</v>
      </c>
      <c r="J2177" s="2">
        <v>167</v>
      </c>
      <c r="K2177" s="2">
        <v>155</v>
      </c>
      <c r="L2177" s="2">
        <v>8</v>
      </c>
      <c r="M2177" s="7">
        <f t="shared" si="132"/>
        <v>1240</v>
      </c>
      <c r="N2177" s="7">
        <f t="shared" si="133"/>
        <v>1336</v>
      </c>
      <c r="O2177" s="2">
        <v>30</v>
      </c>
      <c r="P2177" s="8">
        <f t="shared" si="134"/>
        <v>1366</v>
      </c>
      <c r="Q2177" s="8">
        <f t="shared" si="135"/>
        <v>1306</v>
      </c>
      <c r="R2177" s="2" t="s">
        <v>28</v>
      </c>
      <c r="S2177" s="9">
        <f>VLOOKUP(P2177,$T$2:U2174,2,1)</f>
        <v>0.02</v>
      </c>
    </row>
    <row r="2178" spans="1:19" x14ac:dyDescent="0.25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e">
        <f>VLOOKUP(F2178,'Customer Info'!A2170:I2669,2,0)</f>
        <v>#N/A</v>
      </c>
      <c r="H2178" s="6" t="e">
        <f>VLOOKUP(F2178,'Customer Info'!A2170:I2669,3,0)</f>
        <v>#N/A</v>
      </c>
      <c r="I2178" s="6" t="e">
        <f>VLOOKUP(F2178,'Customer Info'!A2170:I2669,5,0)</f>
        <v>#N/A</v>
      </c>
      <c r="J2178" s="2">
        <v>60</v>
      </c>
      <c r="K2178" s="2">
        <v>56</v>
      </c>
      <c r="L2178" s="2">
        <v>5</v>
      </c>
      <c r="M2178" s="7">
        <f t="shared" si="132"/>
        <v>280</v>
      </c>
      <c r="N2178" s="7">
        <f t="shared" si="133"/>
        <v>300</v>
      </c>
      <c r="O2178" s="2">
        <v>10</v>
      </c>
      <c r="P2178" s="8">
        <f t="shared" si="134"/>
        <v>310</v>
      </c>
      <c r="Q2178" s="8">
        <f t="shared" si="135"/>
        <v>290</v>
      </c>
      <c r="R2178" s="2" t="s">
        <v>28</v>
      </c>
      <c r="S2178" s="9">
        <f>VLOOKUP(P2178,$T$2:U2175,2,1)</f>
        <v>0.02</v>
      </c>
    </row>
    <row r="2179" spans="1:19" x14ac:dyDescent="0.25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e">
        <f>VLOOKUP(F2179,'Customer Info'!A2171:I2670,2,0)</f>
        <v>#N/A</v>
      </c>
      <c r="H2179" s="6" t="e">
        <f>VLOOKUP(F2179,'Customer Info'!A2171:I2670,3,0)</f>
        <v>#N/A</v>
      </c>
      <c r="I2179" s="6" t="e">
        <f>VLOOKUP(F2179,'Customer Info'!A2171:I2670,5,0)</f>
        <v>#N/A</v>
      </c>
      <c r="J2179" s="2">
        <v>2681</v>
      </c>
      <c r="K2179" s="2">
        <v>2458</v>
      </c>
      <c r="L2179" s="2">
        <v>1</v>
      </c>
      <c r="M2179" s="7">
        <f t="shared" si="132"/>
        <v>2458</v>
      </c>
      <c r="N2179" s="7">
        <f t="shared" si="133"/>
        <v>2681</v>
      </c>
      <c r="O2179" s="2">
        <v>57</v>
      </c>
      <c r="P2179" s="8">
        <f t="shared" si="134"/>
        <v>2738</v>
      </c>
      <c r="Q2179" s="8">
        <f t="shared" si="135"/>
        <v>2624</v>
      </c>
      <c r="R2179" s="2" t="s">
        <v>28</v>
      </c>
      <c r="S2179" s="9">
        <f>VLOOKUP(P2179,$T$2:U2176,2,1)</f>
        <v>0.02</v>
      </c>
    </row>
    <row r="2180" spans="1:19" x14ac:dyDescent="0.25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e">
        <f>VLOOKUP(F2180,'Customer Info'!A2172:I2671,2,0)</f>
        <v>#N/A</v>
      </c>
      <c r="H2180" s="6" t="e">
        <f>VLOOKUP(F2180,'Customer Info'!A2172:I2671,3,0)</f>
        <v>#N/A</v>
      </c>
      <c r="I2180" s="6" t="e">
        <f>VLOOKUP(F2180,'Customer Info'!A2172:I2671,5,0)</f>
        <v>#N/A</v>
      </c>
      <c r="J2180" s="2">
        <v>8495</v>
      </c>
      <c r="K2180" s="2">
        <v>7647</v>
      </c>
      <c r="L2180" s="2">
        <v>3</v>
      </c>
      <c r="M2180" s="7">
        <f t="shared" si="132"/>
        <v>22941</v>
      </c>
      <c r="N2180" s="7">
        <f t="shared" si="133"/>
        <v>25485</v>
      </c>
      <c r="O2180" s="2">
        <v>79</v>
      </c>
      <c r="P2180" s="8">
        <f t="shared" si="134"/>
        <v>25564</v>
      </c>
      <c r="Q2180" s="8">
        <f t="shared" si="135"/>
        <v>25406</v>
      </c>
      <c r="R2180" s="2" t="s">
        <v>28</v>
      </c>
      <c r="S2180" s="9">
        <f>VLOOKUP(P2180,$T$2:U2177,2,1)</f>
        <v>7.0000000000000007E-2</v>
      </c>
    </row>
    <row r="2181" spans="1:19" x14ac:dyDescent="0.25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e">
        <f>VLOOKUP(F2181,'Customer Info'!A2173:I2672,2,0)</f>
        <v>#N/A</v>
      </c>
      <c r="H2181" s="6" t="e">
        <f>VLOOKUP(F2181,'Customer Info'!A2173:I2672,3,0)</f>
        <v>#N/A</v>
      </c>
      <c r="I2181" s="6" t="e">
        <f>VLOOKUP(F2181,'Customer Info'!A2173:I2672,5,0)</f>
        <v>#N/A</v>
      </c>
      <c r="J2181" s="2">
        <v>1653</v>
      </c>
      <c r="K2181" s="2">
        <v>1560</v>
      </c>
      <c r="L2181" s="2">
        <v>2</v>
      </c>
      <c r="M2181" s="7">
        <f t="shared" si="132"/>
        <v>3120</v>
      </c>
      <c r="N2181" s="7">
        <f t="shared" si="133"/>
        <v>3306</v>
      </c>
      <c r="O2181" s="2">
        <v>68</v>
      </c>
      <c r="P2181" s="8">
        <f t="shared" si="134"/>
        <v>3374</v>
      </c>
      <c r="Q2181" s="8">
        <f t="shared" si="135"/>
        <v>3238</v>
      </c>
      <c r="R2181" s="2" t="s">
        <v>28</v>
      </c>
      <c r="S2181" s="9">
        <f>VLOOKUP(P2181,$T$2:U2178,2,1)</f>
        <v>0.02</v>
      </c>
    </row>
    <row r="2182" spans="1:19" x14ac:dyDescent="0.25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e">
        <f>VLOOKUP(F2182,'Customer Info'!A2174:I2673,2,0)</f>
        <v>#N/A</v>
      </c>
      <c r="H2182" s="6" t="e">
        <f>VLOOKUP(F2182,'Customer Info'!A2174:I2673,3,0)</f>
        <v>#N/A</v>
      </c>
      <c r="I2182" s="6" t="e">
        <f>VLOOKUP(F2182,'Customer Info'!A2174:I2673,5,0)</f>
        <v>#N/A</v>
      </c>
      <c r="J2182" s="2">
        <v>2540</v>
      </c>
      <c r="K2182" s="2">
        <v>2397</v>
      </c>
      <c r="L2182" s="2">
        <v>3</v>
      </c>
      <c r="M2182" s="7">
        <f t="shared" si="132"/>
        <v>7191</v>
      </c>
      <c r="N2182" s="7">
        <f t="shared" si="133"/>
        <v>7620</v>
      </c>
      <c r="O2182" s="2">
        <v>48</v>
      </c>
      <c r="P2182" s="8">
        <f t="shared" si="134"/>
        <v>7668</v>
      </c>
      <c r="Q2182" s="8">
        <f t="shared" si="135"/>
        <v>7572</v>
      </c>
      <c r="R2182" s="2" t="s">
        <v>28</v>
      </c>
      <c r="S2182" s="9">
        <f>VLOOKUP(P2182,$T$2:U2179,2,1)</f>
        <v>0.05</v>
      </c>
    </row>
    <row r="2183" spans="1:19" x14ac:dyDescent="0.25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e">
        <f>VLOOKUP(F2183,'Customer Info'!A2175:I2674,2,0)</f>
        <v>#N/A</v>
      </c>
      <c r="H2183" s="6" t="e">
        <f>VLOOKUP(F2183,'Customer Info'!A2175:I2674,3,0)</f>
        <v>#N/A</v>
      </c>
      <c r="I2183" s="6" t="e">
        <f>VLOOKUP(F2183,'Customer Info'!A2175:I2674,5,0)</f>
        <v>#N/A</v>
      </c>
      <c r="J2183" s="2">
        <v>1925</v>
      </c>
      <c r="K2183" s="2">
        <v>1834</v>
      </c>
      <c r="L2183" s="2">
        <v>7</v>
      </c>
      <c r="M2183" s="7">
        <f t="shared" si="132"/>
        <v>12838</v>
      </c>
      <c r="N2183" s="7">
        <f t="shared" si="133"/>
        <v>13475</v>
      </c>
      <c r="O2183" s="2">
        <v>43</v>
      </c>
      <c r="P2183" s="8">
        <f t="shared" si="134"/>
        <v>13518</v>
      </c>
      <c r="Q2183" s="8">
        <f t="shared" si="135"/>
        <v>13432</v>
      </c>
      <c r="R2183" s="2" t="s">
        <v>26</v>
      </c>
      <c r="S2183" s="9">
        <f>VLOOKUP(P2183,$T$2:U2180,2,1)</f>
        <v>0.05</v>
      </c>
    </row>
    <row r="2184" spans="1:19" x14ac:dyDescent="0.25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e">
        <f>VLOOKUP(F2184,'Customer Info'!A2176:I2675,2,0)</f>
        <v>#N/A</v>
      </c>
      <c r="H2184" s="6" t="e">
        <f>VLOOKUP(F2184,'Customer Info'!A2176:I2675,3,0)</f>
        <v>#N/A</v>
      </c>
      <c r="I2184" s="6" t="e">
        <f>VLOOKUP(F2184,'Customer Info'!A2176:I2675,5,0)</f>
        <v>#N/A</v>
      </c>
      <c r="J2184" s="2">
        <v>8448</v>
      </c>
      <c r="K2184" s="2">
        <v>7822</v>
      </c>
      <c r="L2184" s="2">
        <v>1</v>
      </c>
      <c r="M2184" s="7">
        <f t="shared" si="132"/>
        <v>7822</v>
      </c>
      <c r="N2184" s="7">
        <f t="shared" si="133"/>
        <v>8448</v>
      </c>
      <c r="O2184" s="2">
        <v>76</v>
      </c>
      <c r="P2184" s="8">
        <f t="shared" si="134"/>
        <v>8524</v>
      </c>
      <c r="Q2184" s="8">
        <f t="shared" si="135"/>
        <v>8372</v>
      </c>
      <c r="R2184" s="2" t="s">
        <v>28</v>
      </c>
      <c r="S2184" s="9">
        <f>VLOOKUP(P2184,$T$2:U2181,2,1)</f>
        <v>0.05</v>
      </c>
    </row>
    <row r="2185" spans="1:19" x14ac:dyDescent="0.25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e">
        <f>VLOOKUP(F2185,'Customer Info'!A2177:I2676,2,0)</f>
        <v>#N/A</v>
      </c>
      <c r="H2185" s="6" t="e">
        <f>VLOOKUP(F2185,'Customer Info'!A2177:I2676,3,0)</f>
        <v>#N/A</v>
      </c>
      <c r="I2185" s="6" t="e">
        <f>VLOOKUP(F2185,'Customer Info'!A2177:I2676,5,0)</f>
        <v>#N/A</v>
      </c>
      <c r="J2185" s="2">
        <v>2243</v>
      </c>
      <c r="K2185" s="2">
        <v>2000</v>
      </c>
      <c r="L2185" s="2">
        <v>2</v>
      </c>
      <c r="M2185" s="7">
        <f t="shared" si="132"/>
        <v>4000</v>
      </c>
      <c r="N2185" s="7">
        <f t="shared" si="133"/>
        <v>4486</v>
      </c>
      <c r="O2185" s="2">
        <v>73</v>
      </c>
      <c r="P2185" s="8">
        <f t="shared" si="134"/>
        <v>4559</v>
      </c>
      <c r="Q2185" s="8">
        <f t="shared" si="135"/>
        <v>4413</v>
      </c>
      <c r="R2185" s="2" t="s">
        <v>50</v>
      </c>
      <c r="S2185" s="9">
        <f>VLOOKUP(P2185,$T$2:U2182,2,1)</f>
        <v>0.02</v>
      </c>
    </row>
    <row r="2186" spans="1:19" x14ac:dyDescent="0.25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e">
        <f>VLOOKUP(F2186,'Customer Info'!A2178:I2677,2,0)</f>
        <v>#N/A</v>
      </c>
      <c r="H2186" s="6" t="e">
        <f>VLOOKUP(F2186,'Customer Info'!A2178:I2677,3,0)</f>
        <v>#N/A</v>
      </c>
      <c r="I2186" s="6" t="e">
        <f>VLOOKUP(F2186,'Customer Info'!A2178:I2677,5,0)</f>
        <v>#N/A</v>
      </c>
      <c r="J2186" s="2">
        <v>3145</v>
      </c>
      <c r="K2186" s="2">
        <v>3025</v>
      </c>
      <c r="L2186" s="2">
        <v>2</v>
      </c>
      <c r="M2186" s="7">
        <f t="shared" si="132"/>
        <v>6050</v>
      </c>
      <c r="N2186" s="7">
        <f t="shared" si="133"/>
        <v>6290</v>
      </c>
      <c r="O2186" s="2">
        <v>96</v>
      </c>
      <c r="P2186" s="8">
        <f t="shared" si="134"/>
        <v>6386</v>
      </c>
      <c r="Q2186" s="8">
        <f t="shared" si="135"/>
        <v>6194</v>
      </c>
      <c r="R2186" s="2" t="s">
        <v>28</v>
      </c>
      <c r="S2186" s="9">
        <f>VLOOKUP(P2186,$T$2:U2183,2,1)</f>
        <v>0.05</v>
      </c>
    </row>
    <row r="2187" spans="1:19" x14ac:dyDescent="0.25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e">
        <f>VLOOKUP(F2187,'Customer Info'!A2179:I2678,2,0)</f>
        <v>#N/A</v>
      </c>
      <c r="H2187" s="6" t="e">
        <f>VLOOKUP(F2187,'Customer Info'!A2179:I2678,3,0)</f>
        <v>#N/A</v>
      </c>
      <c r="I2187" s="6" t="e">
        <f>VLOOKUP(F2187,'Customer Info'!A2179:I2678,5,0)</f>
        <v>#N/A</v>
      </c>
      <c r="J2187" s="2">
        <v>8617</v>
      </c>
      <c r="K2187" s="2">
        <v>7900</v>
      </c>
      <c r="L2187" s="2">
        <v>1</v>
      </c>
      <c r="M2187" s="7">
        <f t="shared" ref="M2187:M2250" si="136">K2187*L2187</f>
        <v>7900</v>
      </c>
      <c r="N2187" s="7">
        <f t="shared" ref="N2187:N2250" si="137">J2187*L2187</f>
        <v>8617</v>
      </c>
      <c r="O2187" s="2">
        <v>65</v>
      </c>
      <c r="P2187" s="8">
        <f t="shared" ref="P2187:P2250" si="138">SUM(N2187,O2187)</f>
        <v>8682</v>
      </c>
      <c r="Q2187" s="8">
        <f t="shared" ref="Q2187:Q2250" si="139">N2187-O2187</f>
        <v>8552</v>
      </c>
      <c r="R2187" s="2" t="s">
        <v>50</v>
      </c>
      <c r="S2187" s="9">
        <f>VLOOKUP(P2187,$T$2:U2184,2,1)</f>
        <v>0.05</v>
      </c>
    </row>
    <row r="2188" spans="1:19" x14ac:dyDescent="0.25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e">
        <f>VLOOKUP(F2188,'Customer Info'!A2180:I2679,2,0)</f>
        <v>#N/A</v>
      </c>
      <c r="H2188" s="6" t="e">
        <f>VLOOKUP(F2188,'Customer Info'!A2180:I2679,3,0)</f>
        <v>#N/A</v>
      </c>
      <c r="I2188" s="6" t="e">
        <f>VLOOKUP(F2188,'Customer Info'!A2180:I2679,5,0)</f>
        <v>#N/A</v>
      </c>
      <c r="J2188" s="2">
        <v>8379</v>
      </c>
      <c r="K2188" s="2">
        <v>8061</v>
      </c>
      <c r="L2188" s="2">
        <v>4</v>
      </c>
      <c r="M2188" s="7">
        <f t="shared" si="136"/>
        <v>32244</v>
      </c>
      <c r="N2188" s="7">
        <f t="shared" si="137"/>
        <v>33516</v>
      </c>
      <c r="O2188" s="2">
        <v>25</v>
      </c>
      <c r="P2188" s="8">
        <f t="shared" si="138"/>
        <v>33541</v>
      </c>
      <c r="Q2188" s="8">
        <f t="shared" si="139"/>
        <v>33491</v>
      </c>
      <c r="R2188" s="2" t="s">
        <v>28</v>
      </c>
      <c r="S2188" s="9">
        <f>VLOOKUP(P2188,$T$2:U2185,2,1)</f>
        <v>7.0000000000000007E-2</v>
      </c>
    </row>
    <row r="2189" spans="1:19" x14ac:dyDescent="0.25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e">
        <f>VLOOKUP(F2189,'Customer Info'!A2181:I2680,2,0)</f>
        <v>#N/A</v>
      </c>
      <c r="H2189" s="6" t="e">
        <f>VLOOKUP(F2189,'Customer Info'!A2181:I2680,3,0)</f>
        <v>#N/A</v>
      </c>
      <c r="I2189" s="6" t="e">
        <f>VLOOKUP(F2189,'Customer Info'!A2181:I2680,5,0)</f>
        <v>#N/A</v>
      </c>
      <c r="J2189" s="2">
        <v>1668</v>
      </c>
      <c r="K2189" s="2">
        <v>1636</v>
      </c>
      <c r="L2189" s="2">
        <v>8</v>
      </c>
      <c r="M2189" s="7">
        <f t="shared" si="136"/>
        <v>13088</v>
      </c>
      <c r="N2189" s="7">
        <f t="shared" si="137"/>
        <v>13344</v>
      </c>
      <c r="O2189" s="2">
        <v>52</v>
      </c>
      <c r="P2189" s="8">
        <f t="shared" si="138"/>
        <v>13396</v>
      </c>
      <c r="Q2189" s="8">
        <f t="shared" si="139"/>
        <v>13292</v>
      </c>
      <c r="R2189" s="2" t="s">
        <v>28</v>
      </c>
      <c r="S2189" s="9">
        <f>VLOOKUP(P2189,$T$2:U2186,2,1)</f>
        <v>0.05</v>
      </c>
    </row>
    <row r="2190" spans="1:19" x14ac:dyDescent="0.25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e">
        <f>VLOOKUP(F2190,'Customer Info'!A2182:I2681,2,0)</f>
        <v>#N/A</v>
      </c>
      <c r="H2190" s="6" t="e">
        <f>VLOOKUP(F2190,'Customer Info'!A2182:I2681,3,0)</f>
        <v>#N/A</v>
      </c>
      <c r="I2190" s="6" t="e">
        <f>VLOOKUP(F2190,'Customer Info'!A2182:I2681,5,0)</f>
        <v>#N/A</v>
      </c>
      <c r="J2190" s="2">
        <v>3017</v>
      </c>
      <c r="K2190" s="2">
        <v>2825</v>
      </c>
      <c r="L2190" s="2">
        <v>4</v>
      </c>
      <c r="M2190" s="7">
        <f t="shared" si="136"/>
        <v>11300</v>
      </c>
      <c r="N2190" s="7">
        <f t="shared" si="137"/>
        <v>12068</v>
      </c>
      <c r="O2190" s="2">
        <v>55</v>
      </c>
      <c r="P2190" s="8">
        <f t="shared" si="138"/>
        <v>12123</v>
      </c>
      <c r="Q2190" s="8">
        <f t="shared" si="139"/>
        <v>12013</v>
      </c>
      <c r="R2190" s="2" t="s">
        <v>28</v>
      </c>
      <c r="S2190" s="9">
        <f>VLOOKUP(P2190,$T$2:U2187,2,1)</f>
        <v>0.05</v>
      </c>
    </row>
    <row r="2191" spans="1:19" x14ac:dyDescent="0.25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e">
        <f>VLOOKUP(F2191,'Customer Info'!A2183:I2682,2,0)</f>
        <v>#N/A</v>
      </c>
      <c r="H2191" s="6" t="e">
        <f>VLOOKUP(F2191,'Customer Info'!A2183:I2682,3,0)</f>
        <v>#N/A</v>
      </c>
      <c r="I2191" s="6" t="e">
        <f>VLOOKUP(F2191,'Customer Info'!A2183:I2682,5,0)</f>
        <v>#N/A</v>
      </c>
      <c r="J2191" s="2">
        <v>1958</v>
      </c>
      <c r="K2191" s="2">
        <v>1846</v>
      </c>
      <c r="L2191" s="2">
        <v>3</v>
      </c>
      <c r="M2191" s="7">
        <f t="shared" si="136"/>
        <v>5538</v>
      </c>
      <c r="N2191" s="7">
        <f t="shared" si="137"/>
        <v>5874</v>
      </c>
      <c r="O2191" s="2">
        <v>64</v>
      </c>
      <c r="P2191" s="8">
        <f t="shared" si="138"/>
        <v>5938</v>
      </c>
      <c r="Q2191" s="8">
        <f t="shared" si="139"/>
        <v>5810</v>
      </c>
      <c r="R2191" s="2" t="s">
        <v>28</v>
      </c>
      <c r="S2191" s="9">
        <f>VLOOKUP(P2191,$T$2:U2188,2,1)</f>
        <v>0.05</v>
      </c>
    </row>
    <row r="2192" spans="1:19" x14ac:dyDescent="0.25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e">
        <f>VLOOKUP(F2192,'Customer Info'!A2184:I2683,2,0)</f>
        <v>#N/A</v>
      </c>
      <c r="H2192" s="6" t="e">
        <f>VLOOKUP(F2192,'Customer Info'!A2184:I2683,3,0)</f>
        <v>#N/A</v>
      </c>
      <c r="I2192" s="6" t="e">
        <f>VLOOKUP(F2192,'Customer Info'!A2184:I2683,5,0)</f>
        <v>#N/A</v>
      </c>
      <c r="J2192" s="2">
        <v>202</v>
      </c>
      <c r="K2192" s="2">
        <v>187</v>
      </c>
      <c r="L2192" s="2">
        <v>2</v>
      </c>
      <c r="M2192" s="7">
        <f t="shared" si="136"/>
        <v>374</v>
      </c>
      <c r="N2192" s="7">
        <f t="shared" si="137"/>
        <v>404</v>
      </c>
      <c r="O2192" s="2">
        <v>30</v>
      </c>
      <c r="P2192" s="8">
        <f t="shared" si="138"/>
        <v>434</v>
      </c>
      <c r="Q2192" s="8">
        <f t="shared" si="139"/>
        <v>374</v>
      </c>
      <c r="R2192" s="2" t="s">
        <v>50</v>
      </c>
      <c r="S2192" s="9">
        <f>VLOOKUP(P2192,$T$2:U2189,2,1)</f>
        <v>0.02</v>
      </c>
    </row>
    <row r="2193" spans="1:19" x14ac:dyDescent="0.25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e">
        <f>VLOOKUP(F2193,'Customer Info'!A2185:I2684,2,0)</f>
        <v>#N/A</v>
      </c>
      <c r="H2193" s="6" t="e">
        <f>VLOOKUP(F2193,'Customer Info'!A2185:I2684,3,0)</f>
        <v>#N/A</v>
      </c>
      <c r="I2193" s="6" t="e">
        <f>VLOOKUP(F2193,'Customer Info'!A2185:I2684,5,0)</f>
        <v>#N/A</v>
      </c>
      <c r="J2193" s="2">
        <v>8187</v>
      </c>
      <c r="K2193" s="2">
        <v>7799</v>
      </c>
      <c r="L2193" s="2">
        <v>3</v>
      </c>
      <c r="M2193" s="7">
        <f t="shared" si="136"/>
        <v>23397</v>
      </c>
      <c r="N2193" s="7">
        <f t="shared" si="137"/>
        <v>24561</v>
      </c>
      <c r="O2193" s="2">
        <v>62</v>
      </c>
      <c r="P2193" s="8">
        <f t="shared" si="138"/>
        <v>24623</v>
      </c>
      <c r="Q2193" s="8">
        <f t="shared" si="139"/>
        <v>24499</v>
      </c>
      <c r="R2193" s="2" t="s">
        <v>26</v>
      </c>
      <c r="S2193" s="9">
        <f>VLOOKUP(P2193,$T$2:U2190,2,1)</f>
        <v>0.05</v>
      </c>
    </row>
    <row r="2194" spans="1:19" x14ac:dyDescent="0.25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e">
        <f>VLOOKUP(F2194,'Customer Info'!A2186:I2685,2,0)</f>
        <v>#N/A</v>
      </c>
      <c r="H2194" s="6" t="e">
        <f>VLOOKUP(F2194,'Customer Info'!A2186:I2685,3,0)</f>
        <v>#N/A</v>
      </c>
      <c r="I2194" s="6" t="e">
        <f>VLOOKUP(F2194,'Customer Info'!A2186:I2685,5,0)</f>
        <v>#N/A</v>
      </c>
      <c r="J2194" s="2">
        <v>3275</v>
      </c>
      <c r="K2194" s="2">
        <v>3090</v>
      </c>
      <c r="L2194" s="2">
        <v>4</v>
      </c>
      <c r="M2194" s="7">
        <f t="shared" si="136"/>
        <v>12360</v>
      </c>
      <c r="N2194" s="7">
        <f t="shared" si="137"/>
        <v>13100</v>
      </c>
      <c r="O2194" s="2">
        <v>76</v>
      </c>
      <c r="P2194" s="8">
        <f t="shared" si="138"/>
        <v>13176</v>
      </c>
      <c r="Q2194" s="8">
        <f t="shared" si="139"/>
        <v>13024</v>
      </c>
      <c r="R2194" s="2" t="s">
        <v>28</v>
      </c>
      <c r="S2194" s="9">
        <f>VLOOKUP(P2194,$T$2:U2191,2,1)</f>
        <v>0.05</v>
      </c>
    </row>
    <row r="2195" spans="1:19" x14ac:dyDescent="0.25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e">
        <f>VLOOKUP(F2195,'Customer Info'!A2187:I2686,2,0)</f>
        <v>#N/A</v>
      </c>
      <c r="H2195" s="6" t="e">
        <f>VLOOKUP(F2195,'Customer Info'!A2187:I2686,3,0)</f>
        <v>#N/A</v>
      </c>
      <c r="I2195" s="6" t="e">
        <f>VLOOKUP(F2195,'Customer Info'!A2187:I2686,5,0)</f>
        <v>#N/A</v>
      </c>
      <c r="J2195" s="2">
        <v>531</v>
      </c>
      <c r="K2195" s="2">
        <v>487</v>
      </c>
      <c r="L2195" s="2">
        <v>7</v>
      </c>
      <c r="M2195" s="7">
        <f t="shared" si="136"/>
        <v>3409</v>
      </c>
      <c r="N2195" s="7">
        <f t="shared" si="137"/>
        <v>3717</v>
      </c>
      <c r="O2195" s="2">
        <v>65</v>
      </c>
      <c r="P2195" s="8">
        <f t="shared" si="138"/>
        <v>3782</v>
      </c>
      <c r="Q2195" s="8">
        <f t="shared" si="139"/>
        <v>3652</v>
      </c>
      <c r="R2195" s="2" t="s">
        <v>50</v>
      </c>
      <c r="S2195" s="9">
        <f>VLOOKUP(P2195,$T$2:U2192,2,1)</f>
        <v>0.02</v>
      </c>
    </row>
    <row r="2196" spans="1:19" x14ac:dyDescent="0.25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e">
        <f>VLOOKUP(F2196,'Customer Info'!A2188:I2687,2,0)</f>
        <v>#N/A</v>
      </c>
      <c r="H2196" s="6" t="e">
        <f>VLOOKUP(F2196,'Customer Info'!A2188:I2687,3,0)</f>
        <v>#N/A</v>
      </c>
      <c r="I2196" s="6" t="e">
        <f>VLOOKUP(F2196,'Customer Info'!A2188:I2687,5,0)</f>
        <v>#N/A</v>
      </c>
      <c r="J2196" s="2">
        <v>2177</v>
      </c>
      <c r="K2196" s="2">
        <v>2054</v>
      </c>
      <c r="L2196" s="2">
        <v>5</v>
      </c>
      <c r="M2196" s="7">
        <f t="shared" si="136"/>
        <v>10270</v>
      </c>
      <c r="N2196" s="7">
        <f t="shared" si="137"/>
        <v>10885</v>
      </c>
      <c r="O2196" s="2">
        <v>88</v>
      </c>
      <c r="P2196" s="8">
        <f t="shared" si="138"/>
        <v>10973</v>
      </c>
      <c r="Q2196" s="8">
        <f t="shared" si="139"/>
        <v>10797</v>
      </c>
      <c r="R2196" s="2" t="s">
        <v>28</v>
      </c>
      <c r="S2196" s="9">
        <f>VLOOKUP(P2196,$T$2:U2193,2,1)</f>
        <v>0.05</v>
      </c>
    </row>
    <row r="2197" spans="1:19" x14ac:dyDescent="0.25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e">
        <f>VLOOKUP(F2197,'Customer Info'!A2189:I2688,2,0)</f>
        <v>#N/A</v>
      </c>
      <c r="H2197" s="6" t="e">
        <f>VLOOKUP(F2197,'Customer Info'!A2189:I2688,3,0)</f>
        <v>#N/A</v>
      </c>
      <c r="I2197" s="6" t="e">
        <f>VLOOKUP(F2197,'Customer Info'!A2189:I2688,5,0)</f>
        <v>#N/A</v>
      </c>
      <c r="J2197" s="2">
        <v>4002</v>
      </c>
      <c r="K2197" s="2">
        <v>3744</v>
      </c>
      <c r="L2197" s="2">
        <v>7</v>
      </c>
      <c r="M2197" s="7">
        <f t="shared" si="136"/>
        <v>26208</v>
      </c>
      <c r="N2197" s="7">
        <f t="shared" si="137"/>
        <v>28014</v>
      </c>
      <c r="O2197" s="2">
        <v>47</v>
      </c>
      <c r="P2197" s="8">
        <f t="shared" si="138"/>
        <v>28061</v>
      </c>
      <c r="Q2197" s="8">
        <f t="shared" si="139"/>
        <v>27967</v>
      </c>
      <c r="R2197" s="2" t="s">
        <v>50</v>
      </c>
      <c r="S2197" s="9">
        <f>VLOOKUP(P2197,$T$2:U2194,2,1)</f>
        <v>7.0000000000000007E-2</v>
      </c>
    </row>
    <row r="2198" spans="1:19" x14ac:dyDescent="0.25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e">
        <f>VLOOKUP(F2198,'Customer Info'!A2190:I2689,2,0)</f>
        <v>#N/A</v>
      </c>
      <c r="H2198" s="6" t="e">
        <f>VLOOKUP(F2198,'Customer Info'!A2190:I2689,3,0)</f>
        <v>#N/A</v>
      </c>
      <c r="I2198" s="6" t="e">
        <f>VLOOKUP(F2198,'Customer Info'!A2190:I2689,5,0)</f>
        <v>#N/A</v>
      </c>
      <c r="J2198" s="2">
        <v>1619</v>
      </c>
      <c r="K2198" s="2">
        <v>1442</v>
      </c>
      <c r="L2198" s="2">
        <v>6</v>
      </c>
      <c r="M2198" s="7">
        <f t="shared" si="136"/>
        <v>8652</v>
      </c>
      <c r="N2198" s="7">
        <f t="shared" si="137"/>
        <v>9714</v>
      </c>
      <c r="O2198" s="2">
        <v>44</v>
      </c>
      <c r="P2198" s="8">
        <f t="shared" si="138"/>
        <v>9758</v>
      </c>
      <c r="Q2198" s="8">
        <f t="shared" si="139"/>
        <v>9670</v>
      </c>
      <c r="R2198" s="2" t="s">
        <v>50</v>
      </c>
      <c r="S2198" s="9">
        <f>VLOOKUP(P2198,$T$2:U2195,2,1)</f>
        <v>0.05</v>
      </c>
    </row>
    <row r="2199" spans="1:19" x14ac:dyDescent="0.25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e">
        <f>VLOOKUP(F2199,'Customer Info'!A2191:I2690,2,0)</f>
        <v>#N/A</v>
      </c>
      <c r="H2199" s="6" t="e">
        <f>VLOOKUP(F2199,'Customer Info'!A2191:I2690,3,0)</f>
        <v>#N/A</v>
      </c>
      <c r="I2199" s="6" t="e">
        <f>VLOOKUP(F2199,'Customer Info'!A2191:I2690,5,0)</f>
        <v>#N/A</v>
      </c>
      <c r="J2199" s="2">
        <v>626</v>
      </c>
      <c r="K2199" s="2">
        <v>559</v>
      </c>
      <c r="L2199" s="2">
        <v>1</v>
      </c>
      <c r="M2199" s="7">
        <f t="shared" si="136"/>
        <v>559</v>
      </c>
      <c r="N2199" s="7">
        <f t="shared" si="137"/>
        <v>626</v>
      </c>
      <c r="O2199" s="2">
        <v>55</v>
      </c>
      <c r="P2199" s="8">
        <f t="shared" si="138"/>
        <v>681</v>
      </c>
      <c r="Q2199" s="8">
        <f t="shared" si="139"/>
        <v>571</v>
      </c>
      <c r="R2199" s="2" t="s">
        <v>50</v>
      </c>
      <c r="S2199" s="9">
        <f>VLOOKUP(P2199,$T$2:U2196,2,1)</f>
        <v>0.02</v>
      </c>
    </row>
    <row r="2200" spans="1:19" x14ac:dyDescent="0.25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e">
        <f>VLOOKUP(F2200,'Customer Info'!A2192:I2691,2,0)</f>
        <v>#N/A</v>
      </c>
      <c r="H2200" s="6" t="e">
        <f>VLOOKUP(F2200,'Customer Info'!A2192:I2691,3,0)</f>
        <v>#N/A</v>
      </c>
      <c r="I2200" s="6" t="e">
        <f>VLOOKUP(F2200,'Customer Info'!A2192:I2691,5,0)</f>
        <v>#N/A</v>
      </c>
      <c r="J2200" s="2">
        <v>2453</v>
      </c>
      <c r="K2200" s="2">
        <v>2336</v>
      </c>
      <c r="L2200" s="2">
        <v>3</v>
      </c>
      <c r="M2200" s="7">
        <f t="shared" si="136"/>
        <v>7008</v>
      </c>
      <c r="N2200" s="7">
        <f t="shared" si="137"/>
        <v>7359</v>
      </c>
      <c r="O2200" s="2">
        <v>80</v>
      </c>
      <c r="P2200" s="8">
        <f t="shared" si="138"/>
        <v>7439</v>
      </c>
      <c r="Q2200" s="8">
        <f t="shared" si="139"/>
        <v>7279</v>
      </c>
      <c r="R2200" s="2" t="s">
        <v>50</v>
      </c>
      <c r="S2200" s="9">
        <f>VLOOKUP(P2200,$T$2:U2197,2,1)</f>
        <v>0.05</v>
      </c>
    </row>
    <row r="2201" spans="1:19" x14ac:dyDescent="0.25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e">
        <f>VLOOKUP(F2201,'Customer Info'!A2193:I2692,2,0)</f>
        <v>#N/A</v>
      </c>
      <c r="H2201" s="6" t="e">
        <f>VLOOKUP(F2201,'Customer Info'!A2193:I2692,3,0)</f>
        <v>#N/A</v>
      </c>
      <c r="I2201" s="6" t="e">
        <f>VLOOKUP(F2201,'Customer Info'!A2193:I2692,5,0)</f>
        <v>#N/A</v>
      </c>
      <c r="J2201" s="2">
        <v>2342</v>
      </c>
      <c r="K2201" s="2">
        <v>2210</v>
      </c>
      <c r="L2201" s="2">
        <v>2</v>
      </c>
      <c r="M2201" s="7">
        <f t="shared" si="136"/>
        <v>4420</v>
      </c>
      <c r="N2201" s="7">
        <f t="shared" si="137"/>
        <v>4684</v>
      </c>
      <c r="O2201" s="2">
        <v>91</v>
      </c>
      <c r="P2201" s="8">
        <f t="shared" si="138"/>
        <v>4775</v>
      </c>
      <c r="Q2201" s="8">
        <f t="shared" si="139"/>
        <v>4593</v>
      </c>
      <c r="R2201" s="2" t="s">
        <v>28</v>
      </c>
      <c r="S2201" s="9">
        <f>VLOOKUP(P2201,$T$2:U2198,2,1)</f>
        <v>0.02</v>
      </c>
    </row>
    <row r="2202" spans="1:19" x14ac:dyDescent="0.25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e">
        <f>VLOOKUP(F2202,'Customer Info'!A2194:I2693,2,0)</f>
        <v>#N/A</v>
      </c>
      <c r="H2202" s="6" t="e">
        <f>VLOOKUP(F2202,'Customer Info'!A2194:I2693,3,0)</f>
        <v>#N/A</v>
      </c>
      <c r="I2202" s="6" t="e">
        <f>VLOOKUP(F2202,'Customer Info'!A2194:I2693,5,0)</f>
        <v>#N/A</v>
      </c>
      <c r="J2202" s="2">
        <v>3248</v>
      </c>
      <c r="K2202" s="2">
        <v>3035</v>
      </c>
      <c r="L2202" s="2">
        <v>4</v>
      </c>
      <c r="M2202" s="7">
        <f t="shared" si="136"/>
        <v>12140</v>
      </c>
      <c r="N2202" s="7">
        <f t="shared" si="137"/>
        <v>12992</v>
      </c>
      <c r="O2202" s="2">
        <v>58</v>
      </c>
      <c r="P2202" s="8">
        <f t="shared" si="138"/>
        <v>13050</v>
      </c>
      <c r="Q2202" s="8">
        <f t="shared" si="139"/>
        <v>12934</v>
      </c>
      <c r="R2202" s="2" t="s">
        <v>50</v>
      </c>
      <c r="S2202" s="9">
        <f>VLOOKUP(P2202,$T$2:U2199,2,1)</f>
        <v>0.05</v>
      </c>
    </row>
    <row r="2203" spans="1:19" x14ac:dyDescent="0.25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e">
        <f>VLOOKUP(F2203,'Customer Info'!A2195:I2694,2,0)</f>
        <v>#N/A</v>
      </c>
      <c r="H2203" s="6" t="e">
        <f>VLOOKUP(F2203,'Customer Info'!A2195:I2694,3,0)</f>
        <v>#N/A</v>
      </c>
      <c r="I2203" s="6" t="e">
        <f>VLOOKUP(F2203,'Customer Info'!A2195:I2694,5,0)</f>
        <v>#N/A</v>
      </c>
      <c r="J2203" s="2">
        <v>2027</v>
      </c>
      <c r="K2203" s="2">
        <v>1913</v>
      </c>
      <c r="L2203" s="2">
        <v>2</v>
      </c>
      <c r="M2203" s="7">
        <f t="shared" si="136"/>
        <v>3826</v>
      </c>
      <c r="N2203" s="7">
        <f t="shared" si="137"/>
        <v>4054</v>
      </c>
      <c r="O2203" s="2">
        <v>69</v>
      </c>
      <c r="P2203" s="8">
        <f t="shared" si="138"/>
        <v>4123</v>
      </c>
      <c r="Q2203" s="8">
        <f t="shared" si="139"/>
        <v>3985</v>
      </c>
      <c r="R2203" s="2" t="s">
        <v>28</v>
      </c>
      <c r="S2203" s="9">
        <f>VLOOKUP(P2203,$T$2:U2200,2,1)</f>
        <v>0.02</v>
      </c>
    </row>
    <row r="2204" spans="1:19" x14ac:dyDescent="0.25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e">
        <f>VLOOKUP(F2204,'Customer Info'!A2196:I2695,2,0)</f>
        <v>#N/A</v>
      </c>
      <c r="H2204" s="6" t="e">
        <f>VLOOKUP(F2204,'Customer Info'!A2196:I2695,3,0)</f>
        <v>#N/A</v>
      </c>
      <c r="I2204" s="6" t="e">
        <f>VLOOKUP(F2204,'Customer Info'!A2196:I2695,5,0)</f>
        <v>#N/A</v>
      </c>
      <c r="J2204" s="2">
        <v>2205</v>
      </c>
      <c r="K2204" s="2">
        <v>2061</v>
      </c>
      <c r="L2204" s="2">
        <v>6</v>
      </c>
      <c r="M2204" s="7">
        <f t="shared" si="136"/>
        <v>12366</v>
      </c>
      <c r="N2204" s="7">
        <f t="shared" si="137"/>
        <v>13230</v>
      </c>
      <c r="O2204" s="2">
        <v>43</v>
      </c>
      <c r="P2204" s="8">
        <f t="shared" si="138"/>
        <v>13273</v>
      </c>
      <c r="Q2204" s="8">
        <f t="shared" si="139"/>
        <v>13187</v>
      </c>
      <c r="R2204" s="2" t="s">
        <v>50</v>
      </c>
      <c r="S2204" s="9">
        <f>VLOOKUP(P2204,$T$2:U2201,2,1)</f>
        <v>0.05</v>
      </c>
    </row>
    <row r="2205" spans="1:19" x14ac:dyDescent="0.25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e">
        <f>VLOOKUP(F2205,'Customer Info'!A2197:I2696,2,0)</f>
        <v>#N/A</v>
      </c>
      <c r="H2205" s="6" t="e">
        <f>VLOOKUP(F2205,'Customer Info'!A2197:I2696,3,0)</f>
        <v>#N/A</v>
      </c>
      <c r="I2205" s="6" t="e">
        <f>VLOOKUP(F2205,'Customer Info'!A2197:I2696,5,0)</f>
        <v>#N/A</v>
      </c>
      <c r="J2205" s="2">
        <v>7350</v>
      </c>
      <c r="K2205" s="2">
        <v>6743</v>
      </c>
      <c r="L2205" s="2">
        <v>1</v>
      </c>
      <c r="M2205" s="7">
        <f t="shared" si="136"/>
        <v>6743</v>
      </c>
      <c r="N2205" s="7">
        <f t="shared" si="137"/>
        <v>7350</v>
      </c>
      <c r="O2205" s="2">
        <v>78</v>
      </c>
      <c r="P2205" s="8">
        <f t="shared" si="138"/>
        <v>7428</v>
      </c>
      <c r="Q2205" s="8">
        <f t="shared" si="139"/>
        <v>7272</v>
      </c>
      <c r="R2205" s="2" t="s">
        <v>50</v>
      </c>
      <c r="S2205" s="9">
        <f>VLOOKUP(P2205,$T$2:U2202,2,1)</f>
        <v>0.05</v>
      </c>
    </row>
    <row r="2206" spans="1:19" x14ac:dyDescent="0.25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e">
        <f>VLOOKUP(F2206,'Customer Info'!A2198:I2697,2,0)</f>
        <v>#N/A</v>
      </c>
      <c r="H2206" s="6" t="e">
        <f>VLOOKUP(F2206,'Customer Info'!A2198:I2697,3,0)</f>
        <v>#N/A</v>
      </c>
      <c r="I2206" s="6" t="e">
        <f>VLOOKUP(F2206,'Customer Info'!A2198:I2697,5,0)</f>
        <v>#N/A</v>
      </c>
      <c r="J2206" s="2">
        <v>2857</v>
      </c>
      <c r="K2206" s="2">
        <v>2622</v>
      </c>
      <c r="L2206" s="2">
        <v>4</v>
      </c>
      <c r="M2206" s="7">
        <f t="shared" si="136"/>
        <v>10488</v>
      </c>
      <c r="N2206" s="7">
        <f t="shared" si="137"/>
        <v>11428</v>
      </c>
      <c r="O2206" s="2">
        <v>44</v>
      </c>
      <c r="P2206" s="8">
        <f t="shared" si="138"/>
        <v>11472</v>
      </c>
      <c r="Q2206" s="8">
        <f t="shared" si="139"/>
        <v>11384</v>
      </c>
      <c r="R2206" s="2" t="s">
        <v>50</v>
      </c>
      <c r="S2206" s="9">
        <f>VLOOKUP(P2206,$T$2:U2203,2,1)</f>
        <v>0.05</v>
      </c>
    </row>
    <row r="2207" spans="1:19" x14ac:dyDescent="0.25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e">
        <f>VLOOKUP(F2207,'Customer Info'!A2199:I2698,2,0)</f>
        <v>#N/A</v>
      </c>
      <c r="H2207" s="6" t="e">
        <f>VLOOKUP(F2207,'Customer Info'!A2199:I2698,3,0)</f>
        <v>#N/A</v>
      </c>
      <c r="I2207" s="6" t="e">
        <f>VLOOKUP(F2207,'Customer Info'!A2199:I2698,5,0)</f>
        <v>#N/A</v>
      </c>
      <c r="J2207" s="2">
        <v>1576</v>
      </c>
      <c r="K2207" s="2">
        <v>1531</v>
      </c>
      <c r="L2207" s="2">
        <v>2</v>
      </c>
      <c r="M2207" s="7">
        <f t="shared" si="136"/>
        <v>3062</v>
      </c>
      <c r="N2207" s="7">
        <f t="shared" si="137"/>
        <v>3152</v>
      </c>
      <c r="O2207" s="2">
        <v>92</v>
      </c>
      <c r="P2207" s="8">
        <f t="shared" si="138"/>
        <v>3244</v>
      </c>
      <c r="Q2207" s="8">
        <f t="shared" si="139"/>
        <v>3060</v>
      </c>
      <c r="R2207" s="2" t="s">
        <v>26</v>
      </c>
      <c r="S2207" s="9">
        <f>VLOOKUP(P2207,$T$2:U2204,2,1)</f>
        <v>0.02</v>
      </c>
    </row>
    <row r="2208" spans="1:19" x14ac:dyDescent="0.25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e">
        <f>VLOOKUP(F2208,'Customer Info'!A2200:I2699,2,0)</f>
        <v>#N/A</v>
      </c>
      <c r="H2208" s="6" t="e">
        <f>VLOOKUP(F2208,'Customer Info'!A2200:I2699,3,0)</f>
        <v>#N/A</v>
      </c>
      <c r="I2208" s="6" t="e">
        <f>VLOOKUP(F2208,'Customer Info'!A2200:I2699,5,0)</f>
        <v>#N/A</v>
      </c>
      <c r="J2208" s="2">
        <v>5848</v>
      </c>
      <c r="K2208" s="2">
        <v>5214</v>
      </c>
      <c r="L2208" s="2">
        <v>9</v>
      </c>
      <c r="M2208" s="7">
        <f t="shared" si="136"/>
        <v>46926</v>
      </c>
      <c r="N2208" s="7">
        <f t="shared" si="137"/>
        <v>52632</v>
      </c>
      <c r="O2208" s="2">
        <v>72</v>
      </c>
      <c r="P2208" s="8">
        <f t="shared" si="138"/>
        <v>52704</v>
      </c>
      <c r="Q2208" s="8">
        <f t="shared" si="139"/>
        <v>52560</v>
      </c>
      <c r="R2208" s="2" t="s">
        <v>28</v>
      </c>
      <c r="S2208" s="9">
        <f>VLOOKUP(P2208,$T$2:U2205,2,1)</f>
        <v>0.09</v>
      </c>
    </row>
    <row r="2209" spans="1:19" x14ac:dyDescent="0.25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e">
        <f>VLOOKUP(F2209,'Customer Info'!A2201:I2700,2,0)</f>
        <v>#N/A</v>
      </c>
      <c r="H2209" s="6" t="e">
        <f>VLOOKUP(F2209,'Customer Info'!A2201:I2700,3,0)</f>
        <v>#N/A</v>
      </c>
      <c r="I2209" s="6" t="e">
        <f>VLOOKUP(F2209,'Customer Info'!A2201:I2700,5,0)</f>
        <v>#N/A</v>
      </c>
      <c r="J2209" s="2">
        <v>829</v>
      </c>
      <c r="K2209" s="2">
        <v>761</v>
      </c>
      <c r="L2209" s="2">
        <v>5</v>
      </c>
      <c r="M2209" s="7">
        <f t="shared" si="136"/>
        <v>3805</v>
      </c>
      <c r="N2209" s="7">
        <f t="shared" si="137"/>
        <v>4145</v>
      </c>
      <c r="O2209" s="2">
        <v>40</v>
      </c>
      <c r="P2209" s="8">
        <f t="shared" si="138"/>
        <v>4185</v>
      </c>
      <c r="Q2209" s="8">
        <f t="shared" si="139"/>
        <v>4105</v>
      </c>
      <c r="R2209" s="2" t="s">
        <v>28</v>
      </c>
      <c r="S2209" s="9">
        <f>VLOOKUP(P2209,$T$2:U2206,2,1)</f>
        <v>0.02</v>
      </c>
    </row>
    <row r="2210" spans="1:19" x14ac:dyDescent="0.25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e">
        <f>VLOOKUP(F2210,'Customer Info'!A2202:I2701,2,0)</f>
        <v>#N/A</v>
      </c>
      <c r="H2210" s="6" t="e">
        <f>VLOOKUP(F2210,'Customer Info'!A2202:I2701,3,0)</f>
        <v>#N/A</v>
      </c>
      <c r="I2210" s="6" t="e">
        <f>VLOOKUP(F2210,'Customer Info'!A2202:I2701,5,0)</f>
        <v>#N/A</v>
      </c>
      <c r="J2210" s="2">
        <v>81</v>
      </c>
      <c r="K2210" s="2">
        <v>77</v>
      </c>
      <c r="L2210" s="2">
        <v>3</v>
      </c>
      <c r="M2210" s="7">
        <f t="shared" si="136"/>
        <v>231</v>
      </c>
      <c r="N2210" s="7">
        <f t="shared" si="137"/>
        <v>243</v>
      </c>
      <c r="O2210" s="2">
        <v>10</v>
      </c>
      <c r="P2210" s="8">
        <f t="shared" si="138"/>
        <v>253</v>
      </c>
      <c r="Q2210" s="8">
        <f t="shared" si="139"/>
        <v>233</v>
      </c>
      <c r="R2210" s="2" t="s">
        <v>28</v>
      </c>
      <c r="S2210" s="9">
        <f>VLOOKUP(P2210,$T$2:U2207,2,1)</f>
        <v>0.02</v>
      </c>
    </row>
    <row r="2211" spans="1:19" x14ac:dyDescent="0.25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e">
        <f>VLOOKUP(F2211,'Customer Info'!A2203:I2702,2,0)</f>
        <v>#N/A</v>
      </c>
      <c r="H2211" s="6" t="e">
        <f>VLOOKUP(F2211,'Customer Info'!A2203:I2702,3,0)</f>
        <v>#N/A</v>
      </c>
      <c r="I2211" s="6" t="e">
        <f>VLOOKUP(F2211,'Customer Info'!A2203:I2702,5,0)</f>
        <v>#N/A</v>
      </c>
      <c r="J2211" s="2">
        <v>445</v>
      </c>
      <c r="K2211" s="2">
        <v>415</v>
      </c>
      <c r="L2211" s="2">
        <v>2</v>
      </c>
      <c r="M2211" s="7">
        <f t="shared" si="136"/>
        <v>830</v>
      </c>
      <c r="N2211" s="7">
        <f t="shared" si="137"/>
        <v>890</v>
      </c>
      <c r="O2211" s="2">
        <v>66</v>
      </c>
      <c r="P2211" s="8">
        <f t="shared" si="138"/>
        <v>956</v>
      </c>
      <c r="Q2211" s="8">
        <f t="shared" si="139"/>
        <v>824</v>
      </c>
      <c r="R2211" s="2" t="s">
        <v>28</v>
      </c>
      <c r="S2211" s="9">
        <f>VLOOKUP(P2211,$T$2:U2208,2,1)</f>
        <v>0.02</v>
      </c>
    </row>
    <row r="2212" spans="1:19" x14ac:dyDescent="0.25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e">
        <f>VLOOKUP(F2212,'Customer Info'!A2204:I2703,2,0)</f>
        <v>#N/A</v>
      </c>
      <c r="H2212" s="6" t="e">
        <f>VLOOKUP(F2212,'Customer Info'!A2204:I2703,3,0)</f>
        <v>#N/A</v>
      </c>
      <c r="I2212" s="6" t="e">
        <f>VLOOKUP(F2212,'Customer Info'!A2204:I2703,5,0)</f>
        <v>#N/A</v>
      </c>
      <c r="J2212" s="2">
        <v>1619</v>
      </c>
      <c r="K2212" s="2">
        <v>1442</v>
      </c>
      <c r="L2212" s="2">
        <v>5</v>
      </c>
      <c r="M2212" s="7">
        <f t="shared" si="136"/>
        <v>7210</v>
      </c>
      <c r="N2212" s="7">
        <f t="shared" si="137"/>
        <v>8095</v>
      </c>
      <c r="O2212" s="2">
        <v>60</v>
      </c>
      <c r="P2212" s="8">
        <f t="shared" si="138"/>
        <v>8155</v>
      </c>
      <c r="Q2212" s="8">
        <f t="shared" si="139"/>
        <v>8035</v>
      </c>
      <c r="R2212" s="2" t="s">
        <v>26</v>
      </c>
      <c r="S2212" s="9">
        <f>VLOOKUP(P2212,$T$2:U2209,2,1)</f>
        <v>0.05</v>
      </c>
    </row>
    <row r="2213" spans="1:19" x14ac:dyDescent="0.25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e">
        <f>VLOOKUP(F2213,'Customer Info'!A2205:I2704,2,0)</f>
        <v>#N/A</v>
      </c>
      <c r="H2213" s="6" t="e">
        <f>VLOOKUP(F2213,'Customer Info'!A2205:I2704,3,0)</f>
        <v>#N/A</v>
      </c>
      <c r="I2213" s="6" t="e">
        <f>VLOOKUP(F2213,'Customer Info'!A2205:I2704,5,0)</f>
        <v>#N/A</v>
      </c>
      <c r="J2213" s="2">
        <v>2874</v>
      </c>
      <c r="K2213" s="2">
        <v>2583</v>
      </c>
      <c r="L2213" s="2">
        <v>8</v>
      </c>
      <c r="M2213" s="7">
        <f t="shared" si="136"/>
        <v>20664</v>
      </c>
      <c r="N2213" s="7">
        <f t="shared" si="137"/>
        <v>22992</v>
      </c>
      <c r="O2213" s="2">
        <v>69</v>
      </c>
      <c r="P2213" s="8">
        <f t="shared" si="138"/>
        <v>23061</v>
      </c>
      <c r="Q2213" s="8">
        <f t="shared" si="139"/>
        <v>22923</v>
      </c>
      <c r="R2213" s="2" t="s">
        <v>28</v>
      </c>
      <c r="S2213" s="9">
        <f>VLOOKUP(P2213,$T$2:U2210,2,1)</f>
        <v>0.05</v>
      </c>
    </row>
    <row r="2214" spans="1:19" x14ac:dyDescent="0.25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e">
        <f>VLOOKUP(F2214,'Customer Info'!A2206:I2705,2,0)</f>
        <v>#N/A</v>
      </c>
      <c r="H2214" s="6" t="e">
        <f>VLOOKUP(F2214,'Customer Info'!A2206:I2705,3,0)</f>
        <v>#N/A</v>
      </c>
      <c r="I2214" s="6" t="e">
        <f>VLOOKUP(F2214,'Customer Info'!A2206:I2705,5,0)</f>
        <v>#N/A</v>
      </c>
      <c r="J2214" s="2">
        <v>148</v>
      </c>
      <c r="K2214" s="2">
        <v>136</v>
      </c>
      <c r="L2214" s="2">
        <v>4</v>
      </c>
      <c r="M2214" s="7">
        <f t="shared" si="136"/>
        <v>544</v>
      </c>
      <c r="N2214" s="7">
        <f t="shared" si="137"/>
        <v>592</v>
      </c>
      <c r="O2214" s="2">
        <v>30</v>
      </c>
      <c r="P2214" s="8">
        <f t="shared" si="138"/>
        <v>622</v>
      </c>
      <c r="Q2214" s="8">
        <f t="shared" si="139"/>
        <v>562</v>
      </c>
      <c r="R2214" s="2" t="s">
        <v>28</v>
      </c>
      <c r="S2214" s="9">
        <f>VLOOKUP(P2214,$T$2:U2211,2,1)</f>
        <v>0.02</v>
      </c>
    </row>
    <row r="2215" spans="1:19" x14ac:dyDescent="0.25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e">
        <f>VLOOKUP(F2215,'Customer Info'!A2207:I2706,2,0)</f>
        <v>#N/A</v>
      </c>
      <c r="H2215" s="6" t="e">
        <f>VLOOKUP(F2215,'Customer Info'!A2207:I2706,3,0)</f>
        <v>#N/A</v>
      </c>
      <c r="I2215" s="6" t="e">
        <f>VLOOKUP(F2215,'Customer Info'!A2207:I2706,5,0)</f>
        <v>#N/A</v>
      </c>
      <c r="J2215" s="2">
        <v>60</v>
      </c>
      <c r="K2215" s="2">
        <v>58</v>
      </c>
      <c r="L2215" s="2">
        <v>3</v>
      </c>
      <c r="M2215" s="7">
        <f t="shared" si="136"/>
        <v>174</v>
      </c>
      <c r="N2215" s="7">
        <f t="shared" si="137"/>
        <v>180</v>
      </c>
      <c r="O2215" s="2">
        <v>10</v>
      </c>
      <c r="P2215" s="8">
        <f t="shared" si="138"/>
        <v>190</v>
      </c>
      <c r="Q2215" s="8">
        <f t="shared" si="139"/>
        <v>170</v>
      </c>
      <c r="R2215" s="2" t="s">
        <v>28</v>
      </c>
      <c r="S2215" s="9">
        <f>VLOOKUP(P2215,$T$2:U2212,2,1)</f>
        <v>0.02</v>
      </c>
    </row>
    <row r="2216" spans="1:19" x14ac:dyDescent="0.25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e">
        <f>VLOOKUP(F2216,'Customer Info'!A2208:I2707,2,0)</f>
        <v>#N/A</v>
      </c>
      <c r="H2216" s="6" t="e">
        <f>VLOOKUP(F2216,'Customer Info'!A2208:I2707,3,0)</f>
        <v>#N/A</v>
      </c>
      <c r="I2216" s="6" t="e">
        <f>VLOOKUP(F2216,'Customer Info'!A2208:I2707,5,0)</f>
        <v>#N/A</v>
      </c>
      <c r="J2216" s="2">
        <v>69</v>
      </c>
      <c r="K2216" s="2">
        <v>64</v>
      </c>
      <c r="L2216" s="2">
        <v>3</v>
      </c>
      <c r="M2216" s="7">
        <f t="shared" si="136"/>
        <v>192</v>
      </c>
      <c r="N2216" s="7">
        <f t="shared" si="137"/>
        <v>207</v>
      </c>
      <c r="O2216" s="2">
        <v>10</v>
      </c>
      <c r="P2216" s="8">
        <f t="shared" si="138"/>
        <v>217</v>
      </c>
      <c r="Q2216" s="8">
        <f t="shared" si="139"/>
        <v>197</v>
      </c>
      <c r="R2216" s="2" t="s">
        <v>26</v>
      </c>
      <c r="S2216" s="9">
        <f>VLOOKUP(P2216,$T$2:U2213,2,1)</f>
        <v>0.02</v>
      </c>
    </row>
    <row r="2217" spans="1:19" x14ac:dyDescent="0.25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e">
        <f>VLOOKUP(F2217,'Customer Info'!A2209:I2708,2,0)</f>
        <v>#N/A</v>
      </c>
      <c r="H2217" s="6" t="e">
        <f>VLOOKUP(F2217,'Customer Info'!A2209:I2708,3,0)</f>
        <v>#N/A</v>
      </c>
      <c r="I2217" s="6" t="e">
        <f>VLOOKUP(F2217,'Customer Info'!A2209:I2708,5,0)</f>
        <v>#N/A</v>
      </c>
      <c r="J2217" s="2">
        <v>1113</v>
      </c>
      <c r="K2217" s="2">
        <v>1040</v>
      </c>
      <c r="L2217" s="2">
        <v>2</v>
      </c>
      <c r="M2217" s="7">
        <f t="shared" si="136"/>
        <v>2080</v>
      </c>
      <c r="N2217" s="7">
        <f t="shared" si="137"/>
        <v>2226</v>
      </c>
      <c r="O2217" s="2">
        <v>60</v>
      </c>
      <c r="P2217" s="8">
        <f t="shared" si="138"/>
        <v>2286</v>
      </c>
      <c r="Q2217" s="8">
        <f t="shared" si="139"/>
        <v>2166</v>
      </c>
      <c r="R2217" s="2" t="s">
        <v>28</v>
      </c>
      <c r="S2217" s="9">
        <f>VLOOKUP(P2217,$T$2:U2214,2,1)</f>
        <v>0.02</v>
      </c>
    </row>
    <row r="2218" spans="1:19" x14ac:dyDescent="0.25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e">
        <f>VLOOKUP(F2218,'Customer Info'!A2210:I2709,2,0)</f>
        <v>#N/A</v>
      </c>
      <c r="H2218" s="6" t="e">
        <f>VLOOKUP(F2218,'Customer Info'!A2210:I2709,3,0)</f>
        <v>#N/A</v>
      </c>
      <c r="I2218" s="6" t="e">
        <f>VLOOKUP(F2218,'Customer Info'!A2210:I2709,5,0)</f>
        <v>#N/A</v>
      </c>
      <c r="J2218" s="2">
        <v>2681</v>
      </c>
      <c r="K2218" s="2">
        <v>2458</v>
      </c>
      <c r="L2218" s="2">
        <v>6</v>
      </c>
      <c r="M2218" s="7">
        <f t="shared" si="136"/>
        <v>14748</v>
      </c>
      <c r="N2218" s="7">
        <f t="shared" si="137"/>
        <v>16086</v>
      </c>
      <c r="O2218" s="2">
        <v>22</v>
      </c>
      <c r="P2218" s="8">
        <f t="shared" si="138"/>
        <v>16108</v>
      </c>
      <c r="Q2218" s="8">
        <f t="shared" si="139"/>
        <v>16064</v>
      </c>
      <c r="R2218" s="2" t="s">
        <v>26</v>
      </c>
      <c r="S2218" s="9">
        <f>VLOOKUP(P2218,$T$2:U2215,2,1)</f>
        <v>0.05</v>
      </c>
    </row>
    <row r="2219" spans="1:19" x14ac:dyDescent="0.25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e">
        <f>VLOOKUP(F2219,'Customer Info'!A2211:I2710,2,0)</f>
        <v>#N/A</v>
      </c>
      <c r="H2219" s="6" t="e">
        <f>VLOOKUP(F2219,'Customer Info'!A2211:I2710,3,0)</f>
        <v>#N/A</v>
      </c>
      <c r="I2219" s="6" t="e">
        <f>VLOOKUP(F2219,'Customer Info'!A2211:I2710,5,0)</f>
        <v>#N/A</v>
      </c>
      <c r="J2219" s="2">
        <v>100</v>
      </c>
      <c r="K2219" s="2">
        <v>95</v>
      </c>
      <c r="L2219" s="2">
        <v>1</v>
      </c>
      <c r="M2219" s="7">
        <f t="shared" si="136"/>
        <v>95</v>
      </c>
      <c r="N2219" s="7">
        <f t="shared" si="137"/>
        <v>100</v>
      </c>
      <c r="O2219" s="2">
        <v>10</v>
      </c>
      <c r="P2219" s="8">
        <f t="shared" si="138"/>
        <v>110</v>
      </c>
      <c r="Q2219" s="8">
        <f t="shared" si="139"/>
        <v>90</v>
      </c>
      <c r="R2219" s="2" t="s">
        <v>28</v>
      </c>
      <c r="S2219" s="9">
        <f>VLOOKUP(P2219,$T$2:U2216,2,1)</f>
        <v>0.02</v>
      </c>
    </row>
    <row r="2220" spans="1:19" x14ac:dyDescent="0.25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e">
        <f>VLOOKUP(F2220,'Customer Info'!A2212:I2711,2,0)</f>
        <v>#N/A</v>
      </c>
      <c r="H2220" s="6" t="e">
        <f>VLOOKUP(F2220,'Customer Info'!A2212:I2711,3,0)</f>
        <v>#N/A</v>
      </c>
      <c r="I2220" s="6" t="e">
        <f>VLOOKUP(F2220,'Customer Info'!A2212:I2711,5,0)</f>
        <v>#N/A</v>
      </c>
      <c r="J2220" s="2">
        <v>167</v>
      </c>
      <c r="K2220" s="2">
        <v>152</v>
      </c>
      <c r="L2220" s="2">
        <v>1</v>
      </c>
      <c r="M2220" s="7">
        <f t="shared" si="136"/>
        <v>152</v>
      </c>
      <c r="N2220" s="7">
        <f t="shared" si="137"/>
        <v>167</v>
      </c>
      <c r="O2220" s="2">
        <v>30</v>
      </c>
      <c r="P2220" s="8">
        <f t="shared" si="138"/>
        <v>197</v>
      </c>
      <c r="Q2220" s="8">
        <f t="shared" si="139"/>
        <v>137</v>
      </c>
      <c r="R2220" s="2" t="s">
        <v>28</v>
      </c>
      <c r="S2220" s="9">
        <f>VLOOKUP(P2220,$T$2:U2217,2,1)</f>
        <v>0.02</v>
      </c>
    </row>
    <row r="2221" spans="1:19" x14ac:dyDescent="0.25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e">
        <f>VLOOKUP(F2221,'Customer Info'!A2213:I2712,2,0)</f>
        <v>#N/A</v>
      </c>
      <c r="H2221" s="6" t="e">
        <f>VLOOKUP(F2221,'Customer Info'!A2213:I2712,3,0)</f>
        <v>#N/A</v>
      </c>
      <c r="I2221" s="6" t="e">
        <f>VLOOKUP(F2221,'Customer Info'!A2213:I2712,5,0)</f>
        <v>#N/A</v>
      </c>
      <c r="J2221" s="2">
        <v>97</v>
      </c>
      <c r="K2221" s="2">
        <v>92</v>
      </c>
      <c r="L2221" s="2">
        <v>2</v>
      </c>
      <c r="M2221" s="7">
        <f t="shared" si="136"/>
        <v>184</v>
      </c>
      <c r="N2221" s="7">
        <f t="shared" si="137"/>
        <v>194</v>
      </c>
      <c r="O2221" s="2">
        <v>10</v>
      </c>
      <c r="P2221" s="8">
        <f t="shared" si="138"/>
        <v>204</v>
      </c>
      <c r="Q2221" s="8">
        <f t="shared" si="139"/>
        <v>184</v>
      </c>
      <c r="R2221" s="2" t="s">
        <v>50</v>
      </c>
      <c r="S2221" s="9">
        <f>VLOOKUP(P2221,$T$2:U2218,2,1)</f>
        <v>0.02</v>
      </c>
    </row>
    <row r="2222" spans="1:19" x14ac:dyDescent="0.25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e">
        <f>VLOOKUP(F2222,'Customer Info'!A2214:I2713,2,0)</f>
        <v>#N/A</v>
      </c>
      <c r="H2222" s="6" t="e">
        <f>VLOOKUP(F2222,'Customer Info'!A2214:I2713,3,0)</f>
        <v>#N/A</v>
      </c>
      <c r="I2222" s="6" t="e">
        <f>VLOOKUP(F2222,'Customer Info'!A2214:I2713,5,0)</f>
        <v>#N/A</v>
      </c>
      <c r="J2222" s="2">
        <v>2706</v>
      </c>
      <c r="K2222" s="2">
        <v>2553</v>
      </c>
      <c r="L2222" s="2">
        <v>5</v>
      </c>
      <c r="M2222" s="7">
        <f t="shared" si="136"/>
        <v>12765</v>
      </c>
      <c r="N2222" s="7">
        <f t="shared" si="137"/>
        <v>13530</v>
      </c>
      <c r="O2222" s="2">
        <v>80</v>
      </c>
      <c r="P2222" s="8">
        <f t="shared" si="138"/>
        <v>13610</v>
      </c>
      <c r="Q2222" s="8">
        <f t="shared" si="139"/>
        <v>13450</v>
      </c>
      <c r="R2222" s="2" t="s">
        <v>50</v>
      </c>
      <c r="S2222" s="9">
        <f>VLOOKUP(P2222,$T$2:U2219,2,1)</f>
        <v>0.05</v>
      </c>
    </row>
    <row r="2223" spans="1:19" x14ac:dyDescent="0.25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e">
        <f>VLOOKUP(F2223,'Customer Info'!A2215:I2714,2,0)</f>
        <v>#N/A</v>
      </c>
      <c r="H2223" s="6" t="e">
        <f>VLOOKUP(F2223,'Customer Info'!A2215:I2714,3,0)</f>
        <v>#N/A</v>
      </c>
      <c r="I2223" s="6" t="e">
        <f>VLOOKUP(F2223,'Customer Info'!A2215:I2714,5,0)</f>
        <v>#N/A</v>
      </c>
      <c r="J2223" s="2">
        <v>8022</v>
      </c>
      <c r="K2223" s="2">
        <v>7868</v>
      </c>
      <c r="L2223" s="2">
        <v>1</v>
      </c>
      <c r="M2223" s="7">
        <f t="shared" si="136"/>
        <v>7868</v>
      </c>
      <c r="N2223" s="7">
        <f t="shared" si="137"/>
        <v>8022</v>
      </c>
      <c r="O2223" s="2">
        <v>38</v>
      </c>
      <c r="P2223" s="8">
        <f t="shared" si="138"/>
        <v>8060</v>
      </c>
      <c r="Q2223" s="8">
        <f t="shared" si="139"/>
        <v>7984</v>
      </c>
      <c r="R2223" s="2" t="s">
        <v>28</v>
      </c>
      <c r="S2223" s="9">
        <f>VLOOKUP(P2223,$T$2:U2220,2,1)</f>
        <v>0.05</v>
      </c>
    </row>
    <row r="2224" spans="1:19" x14ac:dyDescent="0.25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e">
        <f>VLOOKUP(F2224,'Customer Info'!A2216:I2715,2,0)</f>
        <v>#N/A</v>
      </c>
      <c r="H2224" s="6" t="e">
        <f>VLOOKUP(F2224,'Customer Info'!A2216:I2715,3,0)</f>
        <v>#N/A</v>
      </c>
      <c r="I2224" s="6" t="e">
        <f>VLOOKUP(F2224,'Customer Info'!A2216:I2715,5,0)</f>
        <v>#N/A</v>
      </c>
      <c r="J2224" s="2">
        <v>63</v>
      </c>
      <c r="K2224" s="2">
        <v>58</v>
      </c>
      <c r="L2224" s="2">
        <v>9</v>
      </c>
      <c r="M2224" s="7">
        <f t="shared" si="136"/>
        <v>522</v>
      </c>
      <c r="N2224" s="7">
        <f t="shared" si="137"/>
        <v>567</v>
      </c>
      <c r="O2224" s="2">
        <v>10</v>
      </c>
      <c r="P2224" s="8">
        <f t="shared" si="138"/>
        <v>577</v>
      </c>
      <c r="Q2224" s="8">
        <f t="shared" si="139"/>
        <v>557</v>
      </c>
      <c r="R2224" s="2" t="s">
        <v>28</v>
      </c>
      <c r="S2224" s="9">
        <f>VLOOKUP(P2224,$T$2:U2221,2,1)</f>
        <v>0.02</v>
      </c>
    </row>
    <row r="2225" spans="1:19" x14ac:dyDescent="0.25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e">
        <f>VLOOKUP(F2225,'Customer Info'!A2217:I2716,2,0)</f>
        <v>#N/A</v>
      </c>
      <c r="H2225" s="6" t="e">
        <f>VLOOKUP(F2225,'Customer Info'!A2217:I2716,3,0)</f>
        <v>#N/A</v>
      </c>
      <c r="I2225" s="6" t="e">
        <f>VLOOKUP(F2225,'Customer Info'!A2217:I2716,5,0)</f>
        <v>#N/A</v>
      </c>
      <c r="J2225" s="2">
        <v>1717</v>
      </c>
      <c r="K2225" s="2">
        <v>1652</v>
      </c>
      <c r="L2225" s="2">
        <v>2</v>
      </c>
      <c r="M2225" s="7">
        <f t="shared" si="136"/>
        <v>3304</v>
      </c>
      <c r="N2225" s="7">
        <f t="shared" si="137"/>
        <v>3434</v>
      </c>
      <c r="O2225" s="2">
        <v>24</v>
      </c>
      <c r="P2225" s="8">
        <f t="shared" si="138"/>
        <v>3458</v>
      </c>
      <c r="Q2225" s="8">
        <f t="shared" si="139"/>
        <v>3410</v>
      </c>
      <c r="R2225" s="2" t="s">
        <v>26</v>
      </c>
      <c r="S2225" s="9">
        <f>VLOOKUP(P2225,$T$2:U2222,2,1)</f>
        <v>0.02</v>
      </c>
    </row>
    <row r="2226" spans="1:19" x14ac:dyDescent="0.25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e">
        <f>VLOOKUP(F2226,'Customer Info'!A2218:I2717,2,0)</f>
        <v>#N/A</v>
      </c>
      <c r="H2226" s="6" t="e">
        <f>VLOOKUP(F2226,'Customer Info'!A2218:I2717,3,0)</f>
        <v>#N/A</v>
      </c>
      <c r="I2226" s="6" t="e">
        <f>VLOOKUP(F2226,'Customer Info'!A2218:I2717,5,0)</f>
        <v>#N/A</v>
      </c>
      <c r="J2226" s="2">
        <v>3288</v>
      </c>
      <c r="K2226" s="2">
        <v>3041</v>
      </c>
      <c r="L2226" s="2">
        <v>2</v>
      </c>
      <c r="M2226" s="7">
        <f t="shared" si="136"/>
        <v>6082</v>
      </c>
      <c r="N2226" s="7">
        <f t="shared" si="137"/>
        <v>6576</v>
      </c>
      <c r="O2226" s="2">
        <v>98</v>
      </c>
      <c r="P2226" s="8">
        <f t="shared" si="138"/>
        <v>6674</v>
      </c>
      <c r="Q2226" s="8">
        <f t="shared" si="139"/>
        <v>6478</v>
      </c>
      <c r="R2226" s="2" t="s">
        <v>28</v>
      </c>
      <c r="S2226" s="9">
        <f>VLOOKUP(P2226,$T$2:U2223,2,1)</f>
        <v>0.05</v>
      </c>
    </row>
    <row r="2227" spans="1:19" x14ac:dyDescent="0.25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e">
        <f>VLOOKUP(F2227,'Customer Info'!A2219:I2718,2,0)</f>
        <v>#N/A</v>
      </c>
      <c r="H2227" s="6" t="e">
        <f>VLOOKUP(F2227,'Customer Info'!A2219:I2718,3,0)</f>
        <v>#N/A</v>
      </c>
      <c r="I2227" s="6" t="e">
        <f>VLOOKUP(F2227,'Customer Info'!A2219:I2718,5,0)</f>
        <v>#N/A</v>
      </c>
      <c r="J2227" s="2">
        <v>1770</v>
      </c>
      <c r="K2227" s="2">
        <v>1592</v>
      </c>
      <c r="L2227" s="2">
        <v>10</v>
      </c>
      <c r="M2227" s="7">
        <f t="shared" si="136"/>
        <v>15920</v>
      </c>
      <c r="N2227" s="7">
        <f t="shared" si="137"/>
        <v>17700</v>
      </c>
      <c r="O2227" s="2">
        <v>27</v>
      </c>
      <c r="P2227" s="8">
        <f t="shared" si="138"/>
        <v>17727</v>
      </c>
      <c r="Q2227" s="8">
        <f t="shared" si="139"/>
        <v>17673</v>
      </c>
      <c r="R2227" s="2" t="s">
        <v>50</v>
      </c>
      <c r="S2227" s="9">
        <f>VLOOKUP(P2227,$T$2:U2224,2,1)</f>
        <v>0.05</v>
      </c>
    </row>
    <row r="2228" spans="1:19" x14ac:dyDescent="0.25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e">
        <f>VLOOKUP(F2228,'Customer Info'!A2220:I2719,2,0)</f>
        <v>#N/A</v>
      </c>
      <c r="H2228" s="6" t="e">
        <f>VLOOKUP(F2228,'Customer Info'!A2220:I2719,3,0)</f>
        <v>#N/A</v>
      </c>
      <c r="I2228" s="6" t="e">
        <f>VLOOKUP(F2228,'Customer Info'!A2220:I2719,5,0)</f>
        <v>#N/A</v>
      </c>
      <c r="J2228" s="2">
        <v>1916</v>
      </c>
      <c r="K2228" s="2">
        <v>1844</v>
      </c>
      <c r="L2228" s="2">
        <v>1</v>
      </c>
      <c r="M2228" s="7">
        <f t="shared" si="136"/>
        <v>1844</v>
      </c>
      <c r="N2228" s="7">
        <f t="shared" si="137"/>
        <v>1916</v>
      </c>
      <c r="O2228" s="2">
        <v>30</v>
      </c>
      <c r="P2228" s="8">
        <f t="shared" si="138"/>
        <v>1946</v>
      </c>
      <c r="Q2228" s="8">
        <f t="shared" si="139"/>
        <v>1886</v>
      </c>
      <c r="R2228" s="2" t="s">
        <v>28</v>
      </c>
      <c r="S2228" s="9">
        <f>VLOOKUP(P2228,$T$2:U2225,2,1)</f>
        <v>0.02</v>
      </c>
    </row>
    <row r="2229" spans="1:19" x14ac:dyDescent="0.25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e">
        <f>VLOOKUP(F2229,'Customer Info'!A2221:I2720,2,0)</f>
        <v>#N/A</v>
      </c>
      <c r="H2229" s="6" t="e">
        <f>VLOOKUP(F2229,'Customer Info'!A2221:I2720,3,0)</f>
        <v>#N/A</v>
      </c>
      <c r="I2229" s="6" t="e">
        <f>VLOOKUP(F2229,'Customer Info'!A2221:I2720,5,0)</f>
        <v>#N/A</v>
      </c>
      <c r="J2229" s="2">
        <v>2540</v>
      </c>
      <c r="K2229" s="2">
        <v>2397</v>
      </c>
      <c r="L2229" s="2">
        <v>1</v>
      </c>
      <c r="M2229" s="7">
        <f t="shared" si="136"/>
        <v>2397</v>
      </c>
      <c r="N2229" s="7">
        <f t="shared" si="137"/>
        <v>2540</v>
      </c>
      <c r="O2229" s="2">
        <v>97</v>
      </c>
      <c r="P2229" s="8">
        <f t="shared" si="138"/>
        <v>2637</v>
      </c>
      <c r="Q2229" s="8">
        <f t="shared" si="139"/>
        <v>2443</v>
      </c>
      <c r="R2229" s="2" t="s">
        <v>50</v>
      </c>
      <c r="S2229" s="9">
        <f>VLOOKUP(P2229,$T$2:U2226,2,1)</f>
        <v>0.02</v>
      </c>
    </row>
    <row r="2230" spans="1:19" x14ac:dyDescent="0.25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e">
        <f>VLOOKUP(F2230,'Customer Info'!A2222:I2721,2,0)</f>
        <v>#N/A</v>
      </c>
      <c r="H2230" s="6" t="e">
        <f>VLOOKUP(F2230,'Customer Info'!A2222:I2721,3,0)</f>
        <v>#N/A</v>
      </c>
      <c r="I2230" s="6" t="e">
        <f>VLOOKUP(F2230,'Customer Info'!A2222:I2721,5,0)</f>
        <v>#N/A</v>
      </c>
      <c r="J2230" s="2">
        <v>5836</v>
      </c>
      <c r="K2230" s="2">
        <v>5457</v>
      </c>
      <c r="L2230" s="2">
        <v>1</v>
      </c>
      <c r="M2230" s="7">
        <f t="shared" si="136"/>
        <v>5457</v>
      </c>
      <c r="N2230" s="7">
        <f t="shared" si="137"/>
        <v>5836</v>
      </c>
      <c r="O2230" s="2">
        <v>36</v>
      </c>
      <c r="P2230" s="8">
        <f t="shared" si="138"/>
        <v>5872</v>
      </c>
      <c r="Q2230" s="8">
        <f t="shared" si="139"/>
        <v>5800</v>
      </c>
      <c r="R2230" s="2" t="s">
        <v>50</v>
      </c>
      <c r="S2230" s="9">
        <f>VLOOKUP(P2230,$T$2:U2227,2,1)</f>
        <v>0.05</v>
      </c>
    </row>
    <row r="2231" spans="1:19" x14ac:dyDescent="0.25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e">
        <f>VLOOKUP(F2231,'Customer Info'!A2223:I2722,2,0)</f>
        <v>#N/A</v>
      </c>
      <c r="H2231" s="6" t="e">
        <f>VLOOKUP(F2231,'Customer Info'!A2223:I2722,3,0)</f>
        <v>#N/A</v>
      </c>
      <c r="I2231" s="6" t="e">
        <f>VLOOKUP(F2231,'Customer Info'!A2223:I2722,5,0)</f>
        <v>#N/A</v>
      </c>
      <c r="J2231" s="2">
        <v>992</v>
      </c>
      <c r="K2231" s="2">
        <v>928</v>
      </c>
      <c r="L2231" s="2">
        <v>2</v>
      </c>
      <c r="M2231" s="7">
        <f t="shared" si="136"/>
        <v>1856</v>
      </c>
      <c r="N2231" s="7">
        <f t="shared" si="137"/>
        <v>1984</v>
      </c>
      <c r="O2231" s="2">
        <v>100</v>
      </c>
      <c r="P2231" s="8">
        <f t="shared" si="138"/>
        <v>2084</v>
      </c>
      <c r="Q2231" s="8">
        <f t="shared" si="139"/>
        <v>1884</v>
      </c>
      <c r="R2231" s="2" t="s">
        <v>28</v>
      </c>
      <c r="S2231" s="9">
        <f>VLOOKUP(P2231,$T$2:U2228,2,1)</f>
        <v>0.02</v>
      </c>
    </row>
    <row r="2232" spans="1:19" x14ac:dyDescent="0.25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e">
        <f>VLOOKUP(F2232,'Customer Info'!A2224:I2723,2,0)</f>
        <v>#N/A</v>
      </c>
      <c r="H2232" s="6" t="e">
        <f>VLOOKUP(F2232,'Customer Info'!A2224:I2723,3,0)</f>
        <v>#N/A</v>
      </c>
      <c r="I2232" s="6" t="e">
        <f>VLOOKUP(F2232,'Customer Info'!A2224:I2723,5,0)</f>
        <v>#N/A</v>
      </c>
      <c r="J2232" s="2">
        <v>8651</v>
      </c>
      <c r="K2232" s="2">
        <v>8081</v>
      </c>
      <c r="L2232" s="2">
        <v>3</v>
      </c>
      <c r="M2232" s="7">
        <f t="shared" si="136"/>
        <v>24243</v>
      </c>
      <c r="N2232" s="7">
        <f t="shared" si="137"/>
        <v>25953</v>
      </c>
      <c r="O2232" s="2">
        <v>43</v>
      </c>
      <c r="P2232" s="8">
        <f t="shared" si="138"/>
        <v>25996</v>
      </c>
      <c r="Q2232" s="8">
        <f t="shared" si="139"/>
        <v>25910</v>
      </c>
      <c r="R2232" s="2" t="s">
        <v>28</v>
      </c>
      <c r="S2232" s="9">
        <f>VLOOKUP(P2232,$T$2:U2229,2,1)</f>
        <v>7.0000000000000007E-2</v>
      </c>
    </row>
    <row r="2233" spans="1:19" x14ac:dyDescent="0.25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e">
        <f>VLOOKUP(F2233,'Customer Info'!A2225:I2724,2,0)</f>
        <v>#N/A</v>
      </c>
      <c r="H2233" s="6" t="e">
        <f>VLOOKUP(F2233,'Customer Info'!A2225:I2724,3,0)</f>
        <v>#N/A</v>
      </c>
      <c r="I2233" s="6" t="e">
        <f>VLOOKUP(F2233,'Customer Info'!A2225:I2724,5,0)</f>
        <v>#N/A</v>
      </c>
      <c r="J2233" s="2">
        <v>2958</v>
      </c>
      <c r="K2233" s="2">
        <v>2743</v>
      </c>
      <c r="L2233" s="2">
        <v>2</v>
      </c>
      <c r="M2233" s="7">
        <f t="shared" si="136"/>
        <v>5486</v>
      </c>
      <c r="N2233" s="7">
        <f t="shared" si="137"/>
        <v>5916</v>
      </c>
      <c r="O2233" s="2">
        <v>96</v>
      </c>
      <c r="P2233" s="8">
        <f t="shared" si="138"/>
        <v>6012</v>
      </c>
      <c r="Q2233" s="8">
        <f t="shared" si="139"/>
        <v>5820</v>
      </c>
      <c r="R2233" s="2" t="s">
        <v>56</v>
      </c>
      <c r="S2233" s="9">
        <f>VLOOKUP(P2233,$T$2:U2230,2,1)</f>
        <v>0.05</v>
      </c>
    </row>
    <row r="2234" spans="1:19" x14ac:dyDescent="0.25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e">
        <f>VLOOKUP(F2234,'Customer Info'!A2226:I2725,2,0)</f>
        <v>#N/A</v>
      </c>
      <c r="H2234" s="6" t="e">
        <f>VLOOKUP(F2234,'Customer Info'!A2226:I2725,3,0)</f>
        <v>#N/A</v>
      </c>
      <c r="I2234" s="6" t="e">
        <f>VLOOKUP(F2234,'Customer Info'!A2226:I2725,5,0)</f>
        <v>#N/A</v>
      </c>
      <c r="J2234" s="2">
        <v>61</v>
      </c>
      <c r="K2234" s="2">
        <v>57</v>
      </c>
      <c r="L2234" s="2">
        <v>2</v>
      </c>
      <c r="M2234" s="7">
        <f t="shared" si="136"/>
        <v>114</v>
      </c>
      <c r="N2234" s="7">
        <f t="shared" si="137"/>
        <v>122</v>
      </c>
      <c r="O2234" s="2">
        <v>10</v>
      </c>
      <c r="P2234" s="8">
        <f t="shared" si="138"/>
        <v>132</v>
      </c>
      <c r="Q2234" s="8">
        <f t="shared" si="139"/>
        <v>112</v>
      </c>
      <c r="R2234" s="2" t="s">
        <v>28</v>
      </c>
      <c r="S2234" s="9">
        <f>VLOOKUP(P2234,$T$2:U2231,2,1)</f>
        <v>0.02</v>
      </c>
    </row>
    <row r="2235" spans="1:19" x14ac:dyDescent="0.25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e">
        <f>VLOOKUP(F2235,'Customer Info'!A2227:I2726,2,0)</f>
        <v>#N/A</v>
      </c>
      <c r="H2235" s="6" t="e">
        <f>VLOOKUP(F2235,'Customer Info'!A2227:I2726,3,0)</f>
        <v>#N/A</v>
      </c>
      <c r="I2235" s="6" t="e">
        <f>VLOOKUP(F2235,'Customer Info'!A2227:I2726,5,0)</f>
        <v>#N/A</v>
      </c>
      <c r="J2235" s="2">
        <v>2733</v>
      </c>
      <c r="K2235" s="2">
        <v>2579</v>
      </c>
      <c r="L2235" s="2">
        <v>14</v>
      </c>
      <c r="M2235" s="7">
        <f t="shared" si="136"/>
        <v>36106</v>
      </c>
      <c r="N2235" s="7">
        <f t="shared" si="137"/>
        <v>38262</v>
      </c>
      <c r="O2235" s="2">
        <v>100</v>
      </c>
      <c r="P2235" s="8">
        <f t="shared" si="138"/>
        <v>38362</v>
      </c>
      <c r="Q2235" s="8">
        <f t="shared" si="139"/>
        <v>38162</v>
      </c>
      <c r="R2235" s="2" t="s">
        <v>50</v>
      </c>
      <c r="S2235" s="9">
        <f>VLOOKUP(P2235,$T$2:U2232,2,1)</f>
        <v>7.0000000000000007E-2</v>
      </c>
    </row>
    <row r="2236" spans="1:19" x14ac:dyDescent="0.25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e">
        <f>VLOOKUP(F2236,'Customer Info'!A2228:I2727,2,0)</f>
        <v>#N/A</v>
      </c>
      <c r="H2236" s="6" t="e">
        <f>VLOOKUP(F2236,'Customer Info'!A2228:I2727,3,0)</f>
        <v>#N/A</v>
      </c>
      <c r="I2236" s="6" t="e">
        <f>VLOOKUP(F2236,'Customer Info'!A2228:I2727,5,0)</f>
        <v>#N/A</v>
      </c>
      <c r="J2236" s="2">
        <v>6611</v>
      </c>
      <c r="K2236" s="2">
        <v>5943</v>
      </c>
      <c r="L2236" s="2">
        <v>4</v>
      </c>
      <c r="M2236" s="7">
        <f t="shared" si="136"/>
        <v>23772</v>
      </c>
      <c r="N2236" s="7">
        <f t="shared" si="137"/>
        <v>26444</v>
      </c>
      <c r="O2236" s="2">
        <v>25</v>
      </c>
      <c r="P2236" s="8">
        <f t="shared" si="138"/>
        <v>26469</v>
      </c>
      <c r="Q2236" s="8">
        <f t="shared" si="139"/>
        <v>26419</v>
      </c>
      <c r="R2236" s="2" t="s">
        <v>50</v>
      </c>
      <c r="S2236" s="9">
        <f>VLOOKUP(P2236,$T$2:U2233,2,1)</f>
        <v>7.0000000000000007E-2</v>
      </c>
    </row>
    <row r="2237" spans="1:19" x14ac:dyDescent="0.25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e">
        <f>VLOOKUP(F2237,'Customer Info'!A2229:I2728,2,0)</f>
        <v>#N/A</v>
      </c>
      <c r="H2237" s="6" t="e">
        <f>VLOOKUP(F2237,'Customer Info'!A2229:I2728,3,0)</f>
        <v>#N/A</v>
      </c>
      <c r="I2237" s="6" t="e">
        <f>VLOOKUP(F2237,'Customer Info'!A2229:I2728,5,0)</f>
        <v>#N/A</v>
      </c>
      <c r="J2237" s="2">
        <v>185</v>
      </c>
      <c r="K2237" s="2">
        <v>174</v>
      </c>
      <c r="L2237" s="2">
        <v>4</v>
      </c>
      <c r="M2237" s="7">
        <f t="shared" si="136"/>
        <v>696</v>
      </c>
      <c r="N2237" s="7">
        <f t="shared" si="137"/>
        <v>740</v>
      </c>
      <c r="O2237" s="2">
        <v>30</v>
      </c>
      <c r="P2237" s="8">
        <f t="shared" si="138"/>
        <v>770</v>
      </c>
      <c r="Q2237" s="8">
        <f t="shared" si="139"/>
        <v>710</v>
      </c>
      <c r="R2237" s="2" t="s">
        <v>28</v>
      </c>
      <c r="S2237" s="9">
        <f>VLOOKUP(P2237,$T$2:U2234,2,1)</f>
        <v>0.02</v>
      </c>
    </row>
    <row r="2238" spans="1:19" x14ac:dyDescent="0.25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e">
        <f>VLOOKUP(F2238,'Customer Info'!A2230:I2729,2,0)</f>
        <v>#N/A</v>
      </c>
      <c r="H2238" s="6" t="e">
        <f>VLOOKUP(F2238,'Customer Info'!A2230:I2729,3,0)</f>
        <v>#N/A</v>
      </c>
      <c r="I2238" s="6" t="e">
        <f>VLOOKUP(F2238,'Customer Info'!A2230:I2729,5,0)</f>
        <v>#N/A</v>
      </c>
      <c r="J2238" s="2">
        <v>5906</v>
      </c>
      <c r="K2238" s="2">
        <v>5266</v>
      </c>
      <c r="L2238" s="2">
        <v>3</v>
      </c>
      <c r="M2238" s="7">
        <f t="shared" si="136"/>
        <v>15798</v>
      </c>
      <c r="N2238" s="7">
        <f t="shared" si="137"/>
        <v>17718</v>
      </c>
      <c r="O2238" s="2">
        <v>30</v>
      </c>
      <c r="P2238" s="8">
        <f t="shared" si="138"/>
        <v>17748</v>
      </c>
      <c r="Q2238" s="8">
        <f t="shared" si="139"/>
        <v>17688</v>
      </c>
      <c r="R2238" s="2" t="s">
        <v>28</v>
      </c>
      <c r="S2238" s="9">
        <f>VLOOKUP(P2238,$T$2:U2235,2,1)</f>
        <v>0.05</v>
      </c>
    </row>
    <row r="2239" spans="1:19" x14ac:dyDescent="0.25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e">
        <f>VLOOKUP(F2239,'Customer Info'!A2231:I2730,2,0)</f>
        <v>#N/A</v>
      </c>
      <c r="H2239" s="6" t="e">
        <f>VLOOKUP(F2239,'Customer Info'!A2231:I2730,3,0)</f>
        <v>#N/A</v>
      </c>
      <c r="I2239" s="6" t="e">
        <f>VLOOKUP(F2239,'Customer Info'!A2231:I2730,5,0)</f>
        <v>#N/A</v>
      </c>
      <c r="J2239" s="2">
        <v>184</v>
      </c>
      <c r="K2239" s="2">
        <v>176</v>
      </c>
      <c r="L2239" s="2">
        <v>4</v>
      </c>
      <c r="M2239" s="7">
        <f t="shared" si="136"/>
        <v>704</v>
      </c>
      <c r="N2239" s="7">
        <f t="shared" si="137"/>
        <v>736</v>
      </c>
      <c r="O2239" s="2">
        <v>30</v>
      </c>
      <c r="P2239" s="8">
        <f t="shared" si="138"/>
        <v>766</v>
      </c>
      <c r="Q2239" s="8">
        <f t="shared" si="139"/>
        <v>706</v>
      </c>
      <c r="R2239" s="2" t="s">
        <v>50</v>
      </c>
      <c r="S2239" s="9">
        <f>VLOOKUP(P2239,$T$2:U2236,2,1)</f>
        <v>0.02</v>
      </c>
    </row>
    <row r="2240" spans="1:19" x14ac:dyDescent="0.25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e">
        <f>VLOOKUP(F2240,'Customer Info'!A2232:I2731,2,0)</f>
        <v>#N/A</v>
      </c>
      <c r="H2240" s="6" t="e">
        <f>VLOOKUP(F2240,'Customer Info'!A2232:I2731,3,0)</f>
        <v>#N/A</v>
      </c>
      <c r="I2240" s="6" t="e">
        <f>VLOOKUP(F2240,'Customer Info'!A2232:I2731,5,0)</f>
        <v>#N/A</v>
      </c>
      <c r="J2240" s="2">
        <v>167</v>
      </c>
      <c r="K2240" s="2">
        <v>155</v>
      </c>
      <c r="L2240" s="2">
        <v>2</v>
      </c>
      <c r="M2240" s="7">
        <f t="shared" si="136"/>
        <v>310</v>
      </c>
      <c r="N2240" s="7">
        <f t="shared" si="137"/>
        <v>334</v>
      </c>
      <c r="O2240" s="2">
        <v>30</v>
      </c>
      <c r="P2240" s="8">
        <f t="shared" si="138"/>
        <v>364</v>
      </c>
      <c r="Q2240" s="8">
        <f t="shared" si="139"/>
        <v>304</v>
      </c>
      <c r="R2240" s="2" t="s">
        <v>50</v>
      </c>
      <c r="S2240" s="9">
        <f>VLOOKUP(P2240,$T$2:U2237,2,1)</f>
        <v>0.02</v>
      </c>
    </row>
    <row r="2241" spans="1:19" x14ac:dyDescent="0.25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e">
        <f>VLOOKUP(F2241,'Customer Info'!A2233:I2732,2,0)</f>
        <v>#N/A</v>
      </c>
      <c r="H2241" s="6" t="e">
        <f>VLOOKUP(F2241,'Customer Info'!A2233:I2732,3,0)</f>
        <v>#N/A</v>
      </c>
      <c r="I2241" s="6" t="e">
        <f>VLOOKUP(F2241,'Customer Info'!A2233:I2732,5,0)</f>
        <v>#N/A</v>
      </c>
      <c r="J2241" s="2">
        <v>3256</v>
      </c>
      <c r="K2241" s="2">
        <v>3044</v>
      </c>
      <c r="L2241" s="2">
        <v>5</v>
      </c>
      <c r="M2241" s="7">
        <f t="shared" si="136"/>
        <v>15220</v>
      </c>
      <c r="N2241" s="7">
        <f t="shared" si="137"/>
        <v>16280</v>
      </c>
      <c r="O2241" s="2">
        <v>52</v>
      </c>
      <c r="P2241" s="8">
        <f t="shared" si="138"/>
        <v>16332</v>
      </c>
      <c r="Q2241" s="8">
        <f t="shared" si="139"/>
        <v>16228</v>
      </c>
      <c r="R2241" s="2" t="s">
        <v>28</v>
      </c>
      <c r="S2241" s="9">
        <f>VLOOKUP(P2241,$T$2:U2238,2,1)</f>
        <v>0.05</v>
      </c>
    </row>
    <row r="2242" spans="1:19" x14ac:dyDescent="0.25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e">
        <f>VLOOKUP(F2242,'Customer Info'!A2234:I2733,2,0)</f>
        <v>#N/A</v>
      </c>
      <c r="H2242" s="6" t="e">
        <f>VLOOKUP(F2242,'Customer Info'!A2234:I2733,3,0)</f>
        <v>#N/A</v>
      </c>
      <c r="I2242" s="6" t="e">
        <f>VLOOKUP(F2242,'Customer Info'!A2234:I2733,5,0)</f>
        <v>#N/A</v>
      </c>
      <c r="J2242" s="2">
        <v>90</v>
      </c>
      <c r="K2242" s="2">
        <v>81</v>
      </c>
      <c r="L2242" s="2">
        <v>2</v>
      </c>
      <c r="M2242" s="7">
        <f t="shared" si="136"/>
        <v>162</v>
      </c>
      <c r="N2242" s="7">
        <f t="shared" si="137"/>
        <v>180</v>
      </c>
      <c r="O2242" s="2">
        <v>10</v>
      </c>
      <c r="P2242" s="8">
        <f t="shared" si="138"/>
        <v>190</v>
      </c>
      <c r="Q2242" s="8">
        <f t="shared" si="139"/>
        <v>170</v>
      </c>
      <c r="R2242" s="2" t="s">
        <v>26</v>
      </c>
      <c r="S2242" s="9">
        <f>VLOOKUP(P2242,$T$2:U2239,2,1)</f>
        <v>0.02</v>
      </c>
    </row>
    <row r="2243" spans="1:19" x14ac:dyDescent="0.25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e">
        <f>VLOOKUP(F2243,'Customer Info'!A2235:I2734,2,0)</f>
        <v>#N/A</v>
      </c>
      <c r="H2243" s="6" t="e">
        <f>VLOOKUP(F2243,'Customer Info'!A2235:I2734,3,0)</f>
        <v>#N/A</v>
      </c>
      <c r="I2243" s="6" t="e">
        <f>VLOOKUP(F2243,'Customer Info'!A2235:I2734,5,0)</f>
        <v>#N/A</v>
      </c>
      <c r="J2243" s="2">
        <v>4443</v>
      </c>
      <c r="K2243" s="2">
        <v>4079</v>
      </c>
      <c r="L2243" s="2">
        <v>2</v>
      </c>
      <c r="M2243" s="7">
        <f t="shared" si="136"/>
        <v>8158</v>
      </c>
      <c r="N2243" s="7">
        <f t="shared" si="137"/>
        <v>8886</v>
      </c>
      <c r="O2243" s="2">
        <v>21</v>
      </c>
      <c r="P2243" s="8">
        <f t="shared" si="138"/>
        <v>8907</v>
      </c>
      <c r="Q2243" s="8">
        <f t="shared" si="139"/>
        <v>8865</v>
      </c>
      <c r="R2243" s="2" t="s">
        <v>50</v>
      </c>
      <c r="S2243" s="9">
        <f>VLOOKUP(P2243,$T$2:U2240,2,1)</f>
        <v>0.05</v>
      </c>
    </row>
    <row r="2244" spans="1:19" x14ac:dyDescent="0.25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e">
        <f>VLOOKUP(F2244,'Customer Info'!A2236:I2735,2,0)</f>
        <v>#N/A</v>
      </c>
      <c r="H2244" s="6" t="e">
        <f>VLOOKUP(F2244,'Customer Info'!A2236:I2735,3,0)</f>
        <v>#N/A</v>
      </c>
      <c r="I2244" s="6" t="e">
        <f>VLOOKUP(F2244,'Customer Info'!A2236:I2735,5,0)</f>
        <v>#N/A</v>
      </c>
      <c r="J2244" s="2">
        <v>149</v>
      </c>
      <c r="K2244" s="2">
        <v>131</v>
      </c>
      <c r="L2244" s="2">
        <v>2</v>
      </c>
      <c r="M2244" s="7">
        <f t="shared" si="136"/>
        <v>262</v>
      </c>
      <c r="N2244" s="7">
        <f t="shared" si="137"/>
        <v>298</v>
      </c>
      <c r="O2244" s="2">
        <v>30</v>
      </c>
      <c r="P2244" s="8">
        <f t="shared" si="138"/>
        <v>328</v>
      </c>
      <c r="Q2244" s="8">
        <f t="shared" si="139"/>
        <v>268</v>
      </c>
      <c r="R2244" s="2" t="s">
        <v>50</v>
      </c>
      <c r="S2244" s="9">
        <f>VLOOKUP(P2244,$T$2:U2241,2,1)</f>
        <v>0.02</v>
      </c>
    </row>
    <row r="2245" spans="1:19" x14ac:dyDescent="0.25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e">
        <f>VLOOKUP(F2245,'Customer Info'!A2237:I2736,2,0)</f>
        <v>#N/A</v>
      </c>
      <c r="H2245" s="6" t="e">
        <f>VLOOKUP(F2245,'Customer Info'!A2237:I2736,3,0)</f>
        <v>#N/A</v>
      </c>
      <c r="I2245" s="6" t="e">
        <f>VLOOKUP(F2245,'Customer Info'!A2237:I2736,5,0)</f>
        <v>#N/A</v>
      </c>
      <c r="J2245" s="2">
        <v>4443</v>
      </c>
      <c r="K2245" s="2">
        <v>4079</v>
      </c>
      <c r="L2245" s="2">
        <v>6</v>
      </c>
      <c r="M2245" s="7">
        <f t="shared" si="136"/>
        <v>24474</v>
      </c>
      <c r="N2245" s="7">
        <f t="shared" si="137"/>
        <v>26658</v>
      </c>
      <c r="O2245" s="2">
        <v>38</v>
      </c>
      <c r="P2245" s="8">
        <f t="shared" si="138"/>
        <v>26696</v>
      </c>
      <c r="Q2245" s="8">
        <f t="shared" si="139"/>
        <v>26620</v>
      </c>
      <c r="R2245" s="2" t="s">
        <v>28</v>
      </c>
      <c r="S2245" s="9">
        <f>VLOOKUP(P2245,$T$2:U2242,2,1)</f>
        <v>7.0000000000000007E-2</v>
      </c>
    </row>
    <row r="2246" spans="1:19" x14ac:dyDescent="0.25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e">
        <f>VLOOKUP(F2246,'Customer Info'!A2238:I2737,2,0)</f>
        <v>#N/A</v>
      </c>
      <c r="H2246" s="6" t="e">
        <f>VLOOKUP(F2246,'Customer Info'!A2238:I2737,3,0)</f>
        <v>#N/A</v>
      </c>
      <c r="I2246" s="6" t="e">
        <f>VLOOKUP(F2246,'Customer Info'!A2238:I2737,5,0)</f>
        <v>#N/A</v>
      </c>
      <c r="J2246" s="2">
        <v>400</v>
      </c>
      <c r="K2246" s="2">
        <v>360</v>
      </c>
      <c r="L2246" s="2">
        <v>1</v>
      </c>
      <c r="M2246" s="7">
        <f t="shared" si="136"/>
        <v>360</v>
      </c>
      <c r="N2246" s="7">
        <f t="shared" si="137"/>
        <v>400</v>
      </c>
      <c r="O2246" s="2">
        <v>27</v>
      </c>
      <c r="P2246" s="8">
        <f t="shared" si="138"/>
        <v>427</v>
      </c>
      <c r="Q2246" s="8">
        <f t="shared" si="139"/>
        <v>373</v>
      </c>
      <c r="R2246" s="2" t="s">
        <v>28</v>
      </c>
      <c r="S2246" s="9">
        <f>VLOOKUP(P2246,$T$2:U2243,2,1)</f>
        <v>0.02</v>
      </c>
    </row>
    <row r="2247" spans="1:19" x14ac:dyDescent="0.25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e">
        <f>VLOOKUP(F2247,'Customer Info'!A2239:I2738,2,0)</f>
        <v>#N/A</v>
      </c>
      <c r="H2247" s="6" t="e">
        <f>VLOOKUP(F2247,'Customer Info'!A2239:I2738,3,0)</f>
        <v>#N/A</v>
      </c>
      <c r="I2247" s="6" t="e">
        <f>VLOOKUP(F2247,'Customer Info'!A2239:I2738,5,0)</f>
        <v>#N/A</v>
      </c>
      <c r="J2247" s="2">
        <v>1103</v>
      </c>
      <c r="K2247" s="2">
        <v>1030</v>
      </c>
      <c r="L2247" s="2">
        <v>3</v>
      </c>
      <c r="M2247" s="7">
        <f t="shared" si="136"/>
        <v>3090</v>
      </c>
      <c r="N2247" s="7">
        <f t="shared" si="137"/>
        <v>3309</v>
      </c>
      <c r="O2247" s="2">
        <v>92</v>
      </c>
      <c r="P2247" s="8">
        <f t="shared" si="138"/>
        <v>3401</v>
      </c>
      <c r="Q2247" s="8">
        <f t="shared" si="139"/>
        <v>3217</v>
      </c>
      <c r="R2247" s="2" t="s">
        <v>28</v>
      </c>
      <c r="S2247" s="9">
        <f>VLOOKUP(P2247,$T$2:U2244,2,1)</f>
        <v>0.02</v>
      </c>
    </row>
    <row r="2248" spans="1:19" x14ac:dyDescent="0.25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e">
        <f>VLOOKUP(F2248,'Customer Info'!A2240:I2739,2,0)</f>
        <v>#N/A</v>
      </c>
      <c r="H2248" s="6" t="e">
        <f>VLOOKUP(F2248,'Customer Info'!A2240:I2739,3,0)</f>
        <v>#N/A</v>
      </c>
      <c r="I2248" s="6" t="e">
        <f>VLOOKUP(F2248,'Customer Info'!A2240:I2739,5,0)</f>
        <v>#N/A</v>
      </c>
      <c r="J2248" s="2">
        <v>691</v>
      </c>
      <c r="K2248" s="2">
        <v>646</v>
      </c>
      <c r="L2248" s="2">
        <v>4</v>
      </c>
      <c r="M2248" s="7">
        <f t="shared" si="136"/>
        <v>2584</v>
      </c>
      <c r="N2248" s="7">
        <f t="shared" si="137"/>
        <v>2764</v>
      </c>
      <c r="O2248" s="2">
        <v>81</v>
      </c>
      <c r="P2248" s="8">
        <f t="shared" si="138"/>
        <v>2845</v>
      </c>
      <c r="Q2248" s="8">
        <f t="shared" si="139"/>
        <v>2683</v>
      </c>
      <c r="R2248" s="2" t="s">
        <v>50</v>
      </c>
      <c r="S2248" s="9">
        <f>VLOOKUP(P2248,$T$2:U2245,2,1)</f>
        <v>0.02</v>
      </c>
    </row>
    <row r="2249" spans="1:19" x14ac:dyDescent="0.25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e">
        <f>VLOOKUP(F2249,'Customer Info'!A2241:I2740,2,0)</f>
        <v>#N/A</v>
      </c>
      <c r="H2249" s="6" t="e">
        <f>VLOOKUP(F2249,'Customer Info'!A2241:I2740,3,0)</f>
        <v>#N/A</v>
      </c>
      <c r="I2249" s="6" t="e">
        <f>VLOOKUP(F2249,'Customer Info'!A2241:I2740,5,0)</f>
        <v>#N/A</v>
      </c>
      <c r="J2249" s="2">
        <v>58</v>
      </c>
      <c r="K2249" s="2">
        <v>56</v>
      </c>
      <c r="L2249" s="2">
        <v>2</v>
      </c>
      <c r="M2249" s="7">
        <f t="shared" si="136"/>
        <v>112</v>
      </c>
      <c r="N2249" s="7">
        <f t="shared" si="137"/>
        <v>116</v>
      </c>
      <c r="O2249" s="2">
        <v>10</v>
      </c>
      <c r="P2249" s="8">
        <f t="shared" si="138"/>
        <v>126</v>
      </c>
      <c r="Q2249" s="8">
        <f t="shared" si="139"/>
        <v>106</v>
      </c>
      <c r="R2249" s="2" t="s">
        <v>28</v>
      </c>
      <c r="S2249" s="9">
        <f>VLOOKUP(P2249,$T$2:U2246,2,1)</f>
        <v>0.02</v>
      </c>
    </row>
    <row r="2250" spans="1:19" x14ac:dyDescent="0.25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e">
        <f>VLOOKUP(F2250,'Customer Info'!A2242:I2741,2,0)</f>
        <v>#N/A</v>
      </c>
      <c r="H2250" s="6" t="e">
        <f>VLOOKUP(F2250,'Customer Info'!A2242:I2741,3,0)</f>
        <v>#N/A</v>
      </c>
      <c r="I2250" s="6" t="e">
        <f>VLOOKUP(F2250,'Customer Info'!A2242:I2741,5,0)</f>
        <v>#N/A</v>
      </c>
      <c r="J2250" s="2">
        <v>712</v>
      </c>
      <c r="K2250" s="2">
        <v>640</v>
      </c>
      <c r="L2250" s="2">
        <v>9</v>
      </c>
      <c r="M2250" s="7">
        <f t="shared" si="136"/>
        <v>5760</v>
      </c>
      <c r="N2250" s="7">
        <f t="shared" si="137"/>
        <v>6408</v>
      </c>
      <c r="O2250" s="2">
        <v>91</v>
      </c>
      <c r="P2250" s="8">
        <f t="shared" si="138"/>
        <v>6499</v>
      </c>
      <c r="Q2250" s="8">
        <f t="shared" si="139"/>
        <v>6317</v>
      </c>
      <c r="R2250" s="2" t="s">
        <v>56</v>
      </c>
      <c r="S2250" s="9">
        <f>VLOOKUP(P2250,$T$2:U2247,2,1)</f>
        <v>0.05</v>
      </c>
    </row>
    <row r="2251" spans="1:19" x14ac:dyDescent="0.25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e">
        <f>VLOOKUP(F2251,'Customer Info'!A2243:I2742,2,0)</f>
        <v>#N/A</v>
      </c>
      <c r="H2251" s="6" t="e">
        <f>VLOOKUP(F2251,'Customer Info'!A2243:I2742,3,0)</f>
        <v>#N/A</v>
      </c>
      <c r="I2251" s="6" t="e">
        <f>VLOOKUP(F2251,'Customer Info'!A2243:I2742,5,0)</f>
        <v>#N/A</v>
      </c>
      <c r="J2251" s="2">
        <v>2787</v>
      </c>
      <c r="K2251" s="2">
        <v>2681</v>
      </c>
      <c r="L2251" s="2">
        <v>9</v>
      </c>
      <c r="M2251" s="7">
        <f t="shared" ref="M2251:M2314" si="140">K2251*L2251</f>
        <v>24129</v>
      </c>
      <c r="N2251" s="7">
        <f t="shared" ref="N2251:N2314" si="141">J2251*L2251</f>
        <v>25083</v>
      </c>
      <c r="O2251" s="2">
        <v>55</v>
      </c>
      <c r="P2251" s="8">
        <f t="shared" ref="P2251:P2314" si="142">SUM(N2251,O2251)</f>
        <v>25138</v>
      </c>
      <c r="Q2251" s="8">
        <f t="shared" ref="Q2251:Q2314" si="143">N2251-O2251</f>
        <v>25028</v>
      </c>
      <c r="R2251" s="2" t="s">
        <v>28</v>
      </c>
      <c r="S2251" s="9">
        <f>VLOOKUP(P2251,$T$2:U2248,2,1)</f>
        <v>7.0000000000000007E-2</v>
      </c>
    </row>
    <row r="2252" spans="1:19" x14ac:dyDescent="0.25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e">
        <f>VLOOKUP(F2252,'Customer Info'!A2244:I2743,2,0)</f>
        <v>#N/A</v>
      </c>
      <c r="H2252" s="6" t="e">
        <f>VLOOKUP(F2252,'Customer Info'!A2244:I2743,3,0)</f>
        <v>#N/A</v>
      </c>
      <c r="I2252" s="6" t="e">
        <f>VLOOKUP(F2252,'Customer Info'!A2244:I2743,5,0)</f>
        <v>#N/A</v>
      </c>
      <c r="J2252" s="2">
        <v>2602</v>
      </c>
      <c r="K2252" s="2">
        <v>2363</v>
      </c>
      <c r="L2252" s="2">
        <v>4</v>
      </c>
      <c r="M2252" s="7">
        <f t="shared" si="140"/>
        <v>9452</v>
      </c>
      <c r="N2252" s="7">
        <f t="shared" si="141"/>
        <v>10408</v>
      </c>
      <c r="O2252" s="2">
        <v>37</v>
      </c>
      <c r="P2252" s="8">
        <f t="shared" si="142"/>
        <v>10445</v>
      </c>
      <c r="Q2252" s="8">
        <f t="shared" si="143"/>
        <v>10371</v>
      </c>
      <c r="R2252" s="2" t="s">
        <v>28</v>
      </c>
      <c r="S2252" s="9">
        <f>VLOOKUP(P2252,$T$2:U2249,2,1)</f>
        <v>0.05</v>
      </c>
    </row>
    <row r="2253" spans="1:19" x14ac:dyDescent="0.25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e">
        <f>VLOOKUP(F2253,'Customer Info'!A2245:I2744,2,0)</f>
        <v>#N/A</v>
      </c>
      <c r="H2253" s="6" t="e">
        <f>VLOOKUP(F2253,'Customer Info'!A2245:I2744,3,0)</f>
        <v>#N/A</v>
      </c>
      <c r="I2253" s="6" t="e">
        <f>VLOOKUP(F2253,'Customer Info'!A2245:I2744,5,0)</f>
        <v>#N/A</v>
      </c>
      <c r="J2253" s="2">
        <v>7327</v>
      </c>
      <c r="K2253" s="2">
        <v>6658</v>
      </c>
      <c r="L2253" s="2">
        <v>6</v>
      </c>
      <c r="M2253" s="7">
        <f t="shared" si="140"/>
        <v>39948</v>
      </c>
      <c r="N2253" s="7">
        <f t="shared" si="141"/>
        <v>43962</v>
      </c>
      <c r="O2253" s="2">
        <v>83</v>
      </c>
      <c r="P2253" s="8">
        <f t="shared" si="142"/>
        <v>44045</v>
      </c>
      <c r="Q2253" s="8">
        <f t="shared" si="143"/>
        <v>43879</v>
      </c>
      <c r="R2253" s="2" t="s">
        <v>50</v>
      </c>
      <c r="S2253" s="9">
        <f>VLOOKUP(P2253,$T$2:U2250,2,1)</f>
        <v>7.0000000000000007E-2</v>
      </c>
    </row>
    <row r="2254" spans="1:19" x14ac:dyDescent="0.25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e">
        <f>VLOOKUP(F2254,'Customer Info'!A2246:I2745,2,0)</f>
        <v>#N/A</v>
      </c>
      <c r="H2254" s="6" t="e">
        <f>VLOOKUP(F2254,'Customer Info'!A2246:I2745,3,0)</f>
        <v>#N/A</v>
      </c>
      <c r="I2254" s="6" t="e">
        <f>VLOOKUP(F2254,'Customer Info'!A2246:I2745,5,0)</f>
        <v>#N/A</v>
      </c>
      <c r="J2254" s="2">
        <v>8738</v>
      </c>
      <c r="K2254" s="2">
        <v>8162</v>
      </c>
      <c r="L2254" s="2">
        <v>2</v>
      </c>
      <c r="M2254" s="7">
        <f t="shared" si="140"/>
        <v>16324</v>
      </c>
      <c r="N2254" s="7">
        <f t="shared" si="141"/>
        <v>17476</v>
      </c>
      <c r="O2254" s="2">
        <v>69</v>
      </c>
      <c r="P2254" s="8">
        <f t="shared" si="142"/>
        <v>17545</v>
      </c>
      <c r="Q2254" s="8">
        <f t="shared" si="143"/>
        <v>17407</v>
      </c>
      <c r="R2254" s="2" t="s">
        <v>28</v>
      </c>
      <c r="S2254" s="9">
        <f>VLOOKUP(P2254,$T$2:U2251,2,1)</f>
        <v>0.05</v>
      </c>
    </row>
    <row r="2255" spans="1:19" x14ac:dyDescent="0.25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e">
        <f>VLOOKUP(F2255,'Customer Info'!A2247:I2746,2,0)</f>
        <v>#N/A</v>
      </c>
      <c r="H2255" s="6" t="e">
        <f>VLOOKUP(F2255,'Customer Info'!A2247:I2746,3,0)</f>
        <v>#N/A</v>
      </c>
      <c r="I2255" s="6" t="e">
        <f>VLOOKUP(F2255,'Customer Info'!A2247:I2746,5,0)</f>
        <v>#N/A</v>
      </c>
      <c r="J2255" s="2">
        <v>5848</v>
      </c>
      <c r="K2255" s="2">
        <v>5214</v>
      </c>
      <c r="L2255" s="2">
        <v>1</v>
      </c>
      <c r="M2255" s="7">
        <f t="shared" si="140"/>
        <v>5214</v>
      </c>
      <c r="N2255" s="7">
        <f t="shared" si="141"/>
        <v>5848</v>
      </c>
      <c r="O2255" s="2">
        <v>23</v>
      </c>
      <c r="P2255" s="8">
        <f t="shared" si="142"/>
        <v>5871</v>
      </c>
      <c r="Q2255" s="8">
        <f t="shared" si="143"/>
        <v>5825</v>
      </c>
      <c r="R2255" s="2" t="s">
        <v>26</v>
      </c>
      <c r="S2255" s="9">
        <f>VLOOKUP(P2255,$T$2:U2252,2,1)</f>
        <v>0.05</v>
      </c>
    </row>
    <row r="2256" spans="1:19" x14ac:dyDescent="0.25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e">
        <f>VLOOKUP(F2256,'Customer Info'!A2248:I2747,2,0)</f>
        <v>#N/A</v>
      </c>
      <c r="H2256" s="6" t="e">
        <f>VLOOKUP(F2256,'Customer Info'!A2248:I2747,3,0)</f>
        <v>#N/A</v>
      </c>
      <c r="I2256" s="6" t="e">
        <f>VLOOKUP(F2256,'Customer Info'!A2248:I2747,5,0)</f>
        <v>#N/A</v>
      </c>
      <c r="J2256" s="2">
        <v>6012</v>
      </c>
      <c r="K2256" s="2">
        <v>5677</v>
      </c>
      <c r="L2256" s="2">
        <v>2</v>
      </c>
      <c r="M2256" s="7">
        <f t="shared" si="140"/>
        <v>11354</v>
      </c>
      <c r="N2256" s="7">
        <f t="shared" si="141"/>
        <v>12024</v>
      </c>
      <c r="O2256" s="2">
        <v>61</v>
      </c>
      <c r="P2256" s="8">
        <f t="shared" si="142"/>
        <v>12085</v>
      </c>
      <c r="Q2256" s="8">
        <f t="shared" si="143"/>
        <v>11963</v>
      </c>
      <c r="R2256" s="2" t="s">
        <v>28</v>
      </c>
      <c r="S2256" s="9">
        <f>VLOOKUP(P2256,$T$2:U2253,2,1)</f>
        <v>0.05</v>
      </c>
    </row>
    <row r="2257" spans="1:19" x14ac:dyDescent="0.25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e">
        <f>VLOOKUP(F2257,'Customer Info'!A2249:I2748,2,0)</f>
        <v>#N/A</v>
      </c>
      <c r="H2257" s="6" t="e">
        <f>VLOOKUP(F2257,'Customer Info'!A2249:I2748,3,0)</f>
        <v>#N/A</v>
      </c>
      <c r="I2257" s="6" t="e">
        <f>VLOOKUP(F2257,'Customer Info'!A2249:I2748,5,0)</f>
        <v>#N/A</v>
      </c>
      <c r="J2257" s="2">
        <v>896</v>
      </c>
      <c r="K2257" s="2">
        <v>870</v>
      </c>
      <c r="L2257" s="2">
        <v>3</v>
      </c>
      <c r="M2257" s="7">
        <f t="shared" si="140"/>
        <v>2610</v>
      </c>
      <c r="N2257" s="7">
        <f t="shared" si="141"/>
        <v>2688</v>
      </c>
      <c r="O2257" s="2">
        <v>76</v>
      </c>
      <c r="P2257" s="8">
        <f t="shared" si="142"/>
        <v>2764</v>
      </c>
      <c r="Q2257" s="8">
        <f t="shared" si="143"/>
        <v>2612</v>
      </c>
      <c r="R2257" s="2" t="s">
        <v>28</v>
      </c>
      <c r="S2257" s="9">
        <f>VLOOKUP(P2257,$T$2:U2254,2,1)</f>
        <v>0.02</v>
      </c>
    </row>
    <row r="2258" spans="1:19" x14ac:dyDescent="0.25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e">
        <f>VLOOKUP(F2258,'Customer Info'!A2250:I2749,2,0)</f>
        <v>#N/A</v>
      </c>
      <c r="H2258" s="6" t="e">
        <f>VLOOKUP(F2258,'Customer Info'!A2250:I2749,3,0)</f>
        <v>#N/A</v>
      </c>
      <c r="I2258" s="6" t="e">
        <f>VLOOKUP(F2258,'Customer Info'!A2250:I2749,5,0)</f>
        <v>#N/A</v>
      </c>
      <c r="J2258" s="2">
        <v>1623</v>
      </c>
      <c r="K2258" s="2">
        <v>1546</v>
      </c>
      <c r="L2258" s="2">
        <v>5</v>
      </c>
      <c r="M2258" s="7">
        <f t="shared" si="140"/>
        <v>7730</v>
      </c>
      <c r="N2258" s="7">
        <f t="shared" si="141"/>
        <v>8115</v>
      </c>
      <c r="O2258" s="2">
        <v>83</v>
      </c>
      <c r="P2258" s="8">
        <f t="shared" si="142"/>
        <v>8198</v>
      </c>
      <c r="Q2258" s="8">
        <f t="shared" si="143"/>
        <v>8032</v>
      </c>
      <c r="R2258" s="2" t="s">
        <v>28</v>
      </c>
      <c r="S2258" s="9">
        <f>VLOOKUP(P2258,$T$2:U2255,2,1)</f>
        <v>0.05</v>
      </c>
    </row>
    <row r="2259" spans="1:19" x14ac:dyDescent="0.25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e">
        <f>VLOOKUP(F2259,'Customer Info'!A2251:I2750,2,0)</f>
        <v>#N/A</v>
      </c>
      <c r="H2259" s="6" t="e">
        <f>VLOOKUP(F2259,'Customer Info'!A2251:I2750,3,0)</f>
        <v>#N/A</v>
      </c>
      <c r="I2259" s="6" t="e">
        <f>VLOOKUP(F2259,'Customer Info'!A2251:I2750,5,0)</f>
        <v>#N/A</v>
      </c>
      <c r="J2259" s="2">
        <v>1512</v>
      </c>
      <c r="K2259" s="2">
        <v>1497</v>
      </c>
      <c r="L2259" s="2">
        <v>3</v>
      </c>
      <c r="M2259" s="7">
        <f t="shared" si="140"/>
        <v>4491</v>
      </c>
      <c r="N2259" s="7">
        <f t="shared" si="141"/>
        <v>4536</v>
      </c>
      <c r="O2259" s="2">
        <v>42</v>
      </c>
      <c r="P2259" s="8">
        <f t="shared" si="142"/>
        <v>4578</v>
      </c>
      <c r="Q2259" s="8">
        <f t="shared" si="143"/>
        <v>4494</v>
      </c>
      <c r="R2259" s="2" t="s">
        <v>28</v>
      </c>
      <c r="S2259" s="9">
        <f>VLOOKUP(P2259,$T$2:U2256,2,1)</f>
        <v>0.02</v>
      </c>
    </row>
    <row r="2260" spans="1:19" x14ac:dyDescent="0.25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e">
        <f>VLOOKUP(F2260,'Customer Info'!A2252:I2751,2,0)</f>
        <v>#N/A</v>
      </c>
      <c r="H2260" s="6" t="e">
        <f>VLOOKUP(F2260,'Customer Info'!A2252:I2751,3,0)</f>
        <v>#N/A</v>
      </c>
      <c r="I2260" s="6" t="e">
        <f>VLOOKUP(F2260,'Customer Info'!A2252:I2751,5,0)</f>
        <v>#N/A</v>
      </c>
      <c r="J2260" s="2">
        <v>162</v>
      </c>
      <c r="K2260" s="2">
        <v>148</v>
      </c>
      <c r="L2260" s="2">
        <v>2</v>
      </c>
      <c r="M2260" s="7">
        <f t="shared" si="140"/>
        <v>296</v>
      </c>
      <c r="N2260" s="7">
        <f t="shared" si="141"/>
        <v>324</v>
      </c>
      <c r="O2260" s="2">
        <v>30</v>
      </c>
      <c r="P2260" s="8">
        <f t="shared" si="142"/>
        <v>354</v>
      </c>
      <c r="Q2260" s="8">
        <f t="shared" si="143"/>
        <v>294</v>
      </c>
      <c r="R2260" s="2" t="s">
        <v>28</v>
      </c>
      <c r="S2260" s="9">
        <f>VLOOKUP(P2260,$T$2:U2257,2,1)</f>
        <v>0.02</v>
      </c>
    </row>
    <row r="2261" spans="1:19" x14ac:dyDescent="0.25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e">
        <f>VLOOKUP(F2261,'Customer Info'!A2253:I2752,2,0)</f>
        <v>#N/A</v>
      </c>
      <c r="H2261" s="6" t="e">
        <f>VLOOKUP(F2261,'Customer Info'!A2253:I2752,3,0)</f>
        <v>#N/A</v>
      </c>
      <c r="I2261" s="6" t="e">
        <f>VLOOKUP(F2261,'Customer Info'!A2253:I2752,5,0)</f>
        <v>#N/A</v>
      </c>
      <c r="J2261" s="2">
        <v>128</v>
      </c>
      <c r="K2261" s="2">
        <v>115</v>
      </c>
      <c r="L2261" s="2">
        <v>7</v>
      </c>
      <c r="M2261" s="7">
        <f t="shared" si="140"/>
        <v>805</v>
      </c>
      <c r="N2261" s="7">
        <f t="shared" si="141"/>
        <v>896</v>
      </c>
      <c r="O2261" s="2">
        <v>30</v>
      </c>
      <c r="P2261" s="8">
        <f t="shared" si="142"/>
        <v>926</v>
      </c>
      <c r="Q2261" s="8">
        <f t="shared" si="143"/>
        <v>866</v>
      </c>
      <c r="R2261" s="2" t="s">
        <v>50</v>
      </c>
      <c r="S2261" s="9">
        <f>VLOOKUP(P2261,$T$2:U2258,2,1)</f>
        <v>0.02</v>
      </c>
    </row>
    <row r="2262" spans="1:19" x14ac:dyDescent="0.25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e">
        <f>VLOOKUP(F2262,'Customer Info'!A2254:I2753,2,0)</f>
        <v>#N/A</v>
      </c>
      <c r="H2262" s="6" t="e">
        <f>VLOOKUP(F2262,'Customer Info'!A2254:I2753,3,0)</f>
        <v>#N/A</v>
      </c>
      <c r="I2262" s="6" t="e">
        <f>VLOOKUP(F2262,'Customer Info'!A2254:I2753,5,0)</f>
        <v>#N/A</v>
      </c>
      <c r="J2262" s="2">
        <v>691</v>
      </c>
      <c r="K2262" s="2">
        <v>646</v>
      </c>
      <c r="L2262" s="2">
        <v>2</v>
      </c>
      <c r="M2262" s="7">
        <f t="shared" si="140"/>
        <v>1292</v>
      </c>
      <c r="N2262" s="7">
        <f t="shared" si="141"/>
        <v>1382</v>
      </c>
      <c r="O2262" s="2">
        <v>81</v>
      </c>
      <c r="P2262" s="8">
        <f t="shared" si="142"/>
        <v>1463</v>
      </c>
      <c r="Q2262" s="8">
        <f t="shared" si="143"/>
        <v>1301</v>
      </c>
      <c r="R2262" s="2" t="s">
        <v>28</v>
      </c>
      <c r="S2262" s="9">
        <f>VLOOKUP(P2262,$T$2:U2259,2,1)</f>
        <v>0.02</v>
      </c>
    </row>
    <row r="2263" spans="1:19" x14ac:dyDescent="0.25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e">
        <f>VLOOKUP(F2263,'Customer Info'!A2255:I2754,2,0)</f>
        <v>#N/A</v>
      </c>
      <c r="H2263" s="6" t="e">
        <f>VLOOKUP(F2263,'Customer Info'!A2255:I2754,3,0)</f>
        <v>#N/A</v>
      </c>
      <c r="I2263" s="6" t="e">
        <f>VLOOKUP(F2263,'Customer Info'!A2255:I2754,5,0)</f>
        <v>#N/A</v>
      </c>
      <c r="J2263" s="2">
        <v>2551</v>
      </c>
      <c r="K2263" s="2">
        <v>2456</v>
      </c>
      <c r="L2263" s="2">
        <v>2</v>
      </c>
      <c r="M2263" s="7">
        <f t="shared" si="140"/>
        <v>4912</v>
      </c>
      <c r="N2263" s="7">
        <f t="shared" si="141"/>
        <v>5102</v>
      </c>
      <c r="O2263" s="2">
        <v>81</v>
      </c>
      <c r="P2263" s="8">
        <f t="shared" si="142"/>
        <v>5183</v>
      </c>
      <c r="Q2263" s="8">
        <f t="shared" si="143"/>
        <v>5021</v>
      </c>
      <c r="R2263" s="2" t="s">
        <v>28</v>
      </c>
      <c r="S2263" s="9">
        <f>VLOOKUP(P2263,$T$2:U2260,2,1)</f>
        <v>0.05</v>
      </c>
    </row>
    <row r="2264" spans="1:19" x14ac:dyDescent="0.25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e">
        <f>VLOOKUP(F2264,'Customer Info'!A2256:I2755,2,0)</f>
        <v>#N/A</v>
      </c>
      <c r="H2264" s="6" t="e">
        <f>VLOOKUP(F2264,'Customer Info'!A2256:I2755,3,0)</f>
        <v>#N/A</v>
      </c>
      <c r="I2264" s="6" t="e">
        <f>VLOOKUP(F2264,'Customer Info'!A2256:I2755,5,0)</f>
        <v>#N/A</v>
      </c>
      <c r="J2264" s="2">
        <v>8869</v>
      </c>
      <c r="K2264" s="2">
        <v>7906</v>
      </c>
      <c r="L2264" s="2">
        <v>3</v>
      </c>
      <c r="M2264" s="7">
        <f t="shared" si="140"/>
        <v>23718</v>
      </c>
      <c r="N2264" s="7">
        <f t="shared" si="141"/>
        <v>26607</v>
      </c>
      <c r="O2264" s="2">
        <v>76</v>
      </c>
      <c r="P2264" s="8">
        <f t="shared" si="142"/>
        <v>26683</v>
      </c>
      <c r="Q2264" s="8">
        <f t="shared" si="143"/>
        <v>26531</v>
      </c>
      <c r="R2264" s="2" t="s">
        <v>28</v>
      </c>
      <c r="S2264" s="9">
        <f>VLOOKUP(P2264,$T$2:U2261,2,1)</f>
        <v>7.0000000000000007E-2</v>
      </c>
    </row>
    <row r="2265" spans="1:19" x14ac:dyDescent="0.25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e">
        <f>VLOOKUP(F2265,'Customer Info'!A2257:I2756,2,0)</f>
        <v>#N/A</v>
      </c>
      <c r="H2265" s="6" t="e">
        <f>VLOOKUP(F2265,'Customer Info'!A2257:I2756,3,0)</f>
        <v>#N/A</v>
      </c>
      <c r="I2265" s="6" t="e">
        <f>VLOOKUP(F2265,'Customer Info'!A2257:I2756,5,0)</f>
        <v>#N/A</v>
      </c>
      <c r="J2265" s="2">
        <v>8686</v>
      </c>
      <c r="K2265" s="2">
        <v>8035</v>
      </c>
      <c r="L2265" s="2">
        <v>4</v>
      </c>
      <c r="M2265" s="7">
        <f t="shared" si="140"/>
        <v>32140</v>
      </c>
      <c r="N2265" s="7">
        <f t="shared" si="141"/>
        <v>34744</v>
      </c>
      <c r="O2265" s="2">
        <v>25</v>
      </c>
      <c r="P2265" s="8">
        <f t="shared" si="142"/>
        <v>34769</v>
      </c>
      <c r="Q2265" s="8">
        <f t="shared" si="143"/>
        <v>34719</v>
      </c>
      <c r="R2265" s="2" t="s">
        <v>28</v>
      </c>
      <c r="S2265" s="9">
        <f>VLOOKUP(P2265,$T$2:U2262,2,1)</f>
        <v>7.0000000000000007E-2</v>
      </c>
    </row>
    <row r="2266" spans="1:19" x14ac:dyDescent="0.25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e">
        <f>VLOOKUP(F2266,'Customer Info'!A2258:I2757,2,0)</f>
        <v>#N/A</v>
      </c>
      <c r="H2266" s="6" t="e">
        <f>VLOOKUP(F2266,'Customer Info'!A2258:I2757,3,0)</f>
        <v>#N/A</v>
      </c>
      <c r="I2266" s="6" t="e">
        <f>VLOOKUP(F2266,'Customer Info'!A2258:I2757,5,0)</f>
        <v>#N/A</v>
      </c>
      <c r="J2266" s="2">
        <v>8199</v>
      </c>
      <c r="K2266" s="2">
        <v>7523</v>
      </c>
      <c r="L2266" s="2">
        <v>1</v>
      </c>
      <c r="M2266" s="7">
        <f t="shared" si="140"/>
        <v>7523</v>
      </c>
      <c r="N2266" s="7">
        <f t="shared" si="141"/>
        <v>8199</v>
      </c>
      <c r="O2266" s="2">
        <v>47</v>
      </c>
      <c r="P2266" s="8">
        <f t="shared" si="142"/>
        <v>8246</v>
      </c>
      <c r="Q2266" s="8">
        <f t="shared" si="143"/>
        <v>8152</v>
      </c>
      <c r="R2266" s="2" t="s">
        <v>50</v>
      </c>
      <c r="S2266" s="9">
        <f>VLOOKUP(P2266,$T$2:U2263,2,1)</f>
        <v>0.05</v>
      </c>
    </row>
    <row r="2267" spans="1:19" x14ac:dyDescent="0.25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e">
        <f>VLOOKUP(F2267,'Customer Info'!A2259:I2758,2,0)</f>
        <v>#N/A</v>
      </c>
      <c r="H2267" s="6" t="e">
        <f>VLOOKUP(F2267,'Customer Info'!A2259:I2758,3,0)</f>
        <v>#N/A</v>
      </c>
      <c r="I2267" s="6" t="e">
        <f>VLOOKUP(F2267,'Customer Info'!A2259:I2758,5,0)</f>
        <v>#N/A</v>
      </c>
      <c r="J2267" s="2">
        <v>222</v>
      </c>
      <c r="K2267" s="2">
        <v>204</v>
      </c>
      <c r="L2267" s="2">
        <v>2</v>
      </c>
      <c r="M2267" s="7">
        <f t="shared" si="140"/>
        <v>408</v>
      </c>
      <c r="N2267" s="7">
        <f t="shared" si="141"/>
        <v>444</v>
      </c>
      <c r="O2267" s="2">
        <v>52</v>
      </c>
      <c r="P2267" s="8">
        <f t="shared" si="142"/>
        <v>496</v>
      </c>
      <c r="Q2267" s="8">
        <f t="shared" si="143"/>
        <v>392</v>
      </c>
      <c r="R2267" s="2" t="s">
        <v>50</v>
      </c>
      <c r="S2267" s="9">
        <f>VLOOKUP(P2267,$T$2:U2264,2,1)</f>
        <v>0.02</v>
      </c>
    </row>
    <row r="2268" spans="1:19" x14ac:dyDescent="0.25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e">
        <f>VLOOKUP(F2268,'Customer Info'!A2260:I2759,2,0)</f>
        <v>#N/A</v>
      </c>
      <c r="H2268" s="6" t="e">
        <f>VLOOKUP(F2268,'Customer Info'!A2260:I2759,3,0)</f>
        <v>#N/A</v>
      </c>
      <c r="I2268" s="6" t="e">
        <f>VLOOKUP(F2268,'Customer Info'!A2260:I2759,5,0)</f>
        <v>#N/A</v>
      </c>
      <c r="J2268" s="2">
        <v>1556</v>
      </c>
      <c r="K2268" s="2">
        <v>1414</v>
      </c>
      <c r="L2268" s="2">
        <v>3</v>
      </c>
      <c r="M2268" s="7">
        <f t="shared" si="140"/>
        <v>4242</v>
      </c>
      <c r="N2268" s="7">
        <f t="shared" si="141"/>
        <v>4668</v>
      </c>
      <c r="O2268" s="2">
        <v>95</v>
      </c>
      <c r="P2268" s="8">
        <f t="shared" si="142"/>
        <v>4763</v>
      </c>
      <c r="Q2268" s="8">
        <f t="shared" si="143"/>
        <v>4573</v>
      </c>
      <c r="R2268" s="2" t="s">
        <v>28</v>
      </c>
      <c r="S2268" s="9">
        <f>VLOOKUP(P2268,$T$2:U2265,2,1)</f>
        <v>0.02</v>
      </c>
    </row>
    <row r="2269" spans="1:19" x14ac:dyDescent="0.25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e">
        <f>VLOOKUP(F2269,'Customer Info'!A2261:I2760,2,0)</f>
        <v>#N/A</v>
      </c>
      <c r="H2269" s="6" t="e">
        <f>VLOOKUP(F2269,'Customer Info'!A2261:I2760,3,0)</f>
        <v>#N/A</v>
      </c>
      <c r="I2269" s="6" t="e">
        <f>VLOOKUP(F2269,'Customer Info'!A2261:I2760,5,0)</f>
        <v>#N/A</v>
      </c>
      <c r="J2269" s="2">
        <v>6354</v>
      </c>
      <c r="K2269" s="2">
        <v>5769</v>
      </c>
      <c r="L2269" s="2">
        <v>2</v>
      </c>
      <c r="M2269" s="7">
        <f t="shared" si="140"/>
        <v>11538</v>
      </c>
      <c r="N2269" s="7">
        <f t="shared" si="141"/>
        <v>12708</v>
      </c>
      <c r="O2269" s="2">
        <v>91</v>
      </c>
      <c r="P2269" s="8">
        <f t="shared" si="142"/>
        <v>12799</v>
      </c>
      <c r="Q2269" s="8">
        <f t="shared" si="143"/>
        <v>12617</v>
      </c>
      <c r="R2269" s="2" t="s">
        <v>28</v>
      </c>
      <c r="S2269" s="9">
        <f>VLOOKUP(P2269,$T$2:U2266,2,1)</f>
        <v>0.05</v>
      </c>
    </row>
    <row r="2270" spans="1:19" x14ac:dyDescent="0.25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e">
        <f>VLOOKUP(F2270,'Customer Info'!A2262:I2761,2,0)</f>
        <v>#N/A</v>
      </c>
      <c r="H2270" s="6" t="e">
        <f>VLOOKUP(F2270,'Customer Info'!A2262:I2761,3,0)</f>
        <v>#N/A</v>
      </c>
      <c r="I2270" s="6" t="e">
        <f>VLOOKUP(F2270,'Customer Info'!A2262:I2761,5,0)</f>
        <v>#N/A</v>
      </c>
      <c r="J2270" s="2">
        <v>184</v>
      </c>
      <c r="K2270" s="2">
        <v>176</v>
      </c>
      <c r="L2270" s="2">
        <v>2</v>
      </c>
      <c r="M2270" s="7">
        <f t="shared" si="140"/>
        <v>352</v>
      </c>
      <c r="N2270" s="7">
        <f t="shared" si="141"/>
        <v>368</v>
      </c>
      <c r="O2270" s="2">
        <v>30</v>
      </c>
      <c r="P2270" s="8">
        <f t="shared" si="142"/>
        <v>398</v>
      </c>
      <c r="Q2270" s="8">
        <f t="shared" si="143"/>
        <v>338</v>
      </c>
      <c r="R2270" s="2" t="s">
        <v>50</v>
      </c>
      <c r="S2270" s="9">
        <f>VLOOKUP(P2270,$T$2:U2267,2,1)</f>
        <v>0.02</v>
      </c>
    </row>
    <row r="2271" spans="1:19" x14ac:dyDescent="0.25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e">
        <f>VLOOKUP(F2271,'Customer Info'!A2263:I2762,2,0)</f>
        <v>#N/A</v>
      </c>
      <c r="H2271" s="6" t="e">
        <f>VLOOKUP(F2271,'Customer Info'!A2263:I2762,3,0)</f>
        <v>#N/A</v>
      </c>
      <c r="I2271" s="6" t="e">
        <f>VLOOKUP(F2271,'Customer Info'!A2263:I2762,5,0)</f>
        <v>#N/A</v>
      </c>
      <c r="J2271" s="2">
        <v>79</v>
      </c>
      <c r="K2271" s="2">
        <v>75</v>
      </c>
      <c r="L2271" s="2">
        <v>3</v>
      </c>
      <c r="M2271" s="7">
        <f t="shared" si="140"/>
        <v>225</v>
      </c>
      <c r="N2271" s="7">
        <f t="shared" si="141"/>
        <v>237</v>
      </c>
      <c r="O2271" s="2">
        <v>10</v>
      </c>
      <c r="P2271" s="8">
        <f t="shared" si="142"/>
        <v>247</v>
      </c>
      <c r="Q2271" s="8">
        <f t="shared" si="143"/>
        <v>227</v>
      </c>
      <c r="R2271" s="2" t="s">
        <v>28</v>
      </c>
      <c r="S2271" s="9">
        <f>VLOOKUP(P2271,$T$2:U2268,2,1)</f>
        <v>0.02</v>
      </c>
    </row>
    <row r="2272" spans="1:19" x14ac:dyDescent="0.25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e">
        <f>VLOOKUP(F2272,'Customer Info'!A2264:I2763,2,0)</f>
        <v>#N/A</v>
      </c>
      <c r="H2272" s="6" t="e">
        <f>VLOOKUP(F2272,'Customer Info'!A2264:I2763,3,0)</f>
        <v>#N/A</v>
      </c>
      <c r="I2272" s="6" t="e">
        <f>VLOOKUP(F2272,'Customer Info'!A2264:I2763,5,0)</f>
        <v>#N/A</v>
      </c>
      <c r="J2272" s="2">
        <v>6664</v>
      </c>
      <c r="K2272" s="2">
        <v>6473</v>
      </c>
      <c r="L2272" s="2">
        <v>2</v>
      </c>
      <c r="M2272" s="7">
        <f t="shared" si="140"/>
        <v>12946</v>
      </c>
      <c r="N2272" s="7">
        <f t="shared" si="141"/>
        <v>13328</v>
      </c>
      <c r="O2272" s="2">
        <v>45</v>
      </c>
      <c r="P2272" s="8">
        <f t="shared" si="142"/>
        <v>13373</v>
      </c>
      <c r="Q2272" s="8">
        <f t="shared" si="143"/>
        <v>13283</v>
      </c>
      <c r="R2272" s="2" t="s">
        <v>28</v>
      </c>
      <c r="S2272" s="9">
        <f>VLOOKUP(P2272,$T$2:U2269,2,1)</f>
        <v>0.05</v>
      </c>
    </row>
    <row r="2273" spans="1:19" x14ac:dyDescent="0.25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e">
        <f>VLOOKUP(F2273,'Customer Info'!A2265:I2764,2,0)</f>
        <v>#N/A</v>
      </c>
      <c r="H2273" s="6" t="e">
        <f>VLOOKUP(F2273,'Customer Info'!A2265:I2764,3,0)</f>
        <v>#N/A</v>
      </c>
      <c r="I2273" s="6" t="e">
        <f>VLOOKUP(F2273,'Customer Info'!A2265:I2764,5,0)</f>
        <v>#N/A</v>
      </c>
      <c r="J2273" s="2">
        <v>2501</v>
      </c>
      <c r="K2273" s="2">
        <v>2361</v>
      </c>
      <c r="L2273" s="2">
        <v>6</v>
      </c>
      <c r="M2273" s="7">
        <f t="shared" si="140"/>
        <v>14166</v>
      </c>
      <c r="N2273" s="7">
        <f t="shared" si="141"/>
        <v>15006</v>
      </c>
      <c r="O2273" s="2">
        <v>73</v>
      </c>
      <c r="P2273" s="8">
        <f t="shared" si="142"/>
        <v>15079</v>
      </c>
      <c r="Q2273" s="8">
        <f t="shared" si="143"/>
        <v>14933</v>
      </c>
      <c r="R2273" s="2" t="s">
        <v>28</v>
      </c>
      <c r="S2273" s="9">
        <f>VLOOKUP(P2273,$T$2:U2270,2,1)</f>
        <v>0.05</v>
      </c>
    </row>
    <row r="2274" spans="1:19" x14ac:dyDescent="0.25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e">
        <f>VLOOKUP(F2274,'Customer Info'!A2266:I2765,2,0)</f>
        <v>#N/A</v>
      </c>
      <c r="H2274" s="6" t="e">
        <f>VLOOKUP(F2274,'Customer Info'!A2266:I2765,3,0)</f>
        <v>#N/A</v>
      </c>
      <c r="I2274" s="6" t="e">
        <f>VLOOKUP(F2274,'Customer Info'!A2266:I2765,5,0)</f>
        <v>#N/A</v>
      </c>
      <c r="J2274" s="2">
        <v>130</v>
      </c>
      <c r="K2274" s="2">
        <v>122</v>
      </c>
      <c r="L2274" s="2">
        <v>1</v>
      </c>
      <c r="M2274" s="7">
        <f t="shared" si="140"/>
        <v>122</v>
      </c>
      <c r="N2274" s="7">
        <f t="shared" si="141"/>
        <v>130</v>
      </c>
      <c r="O2274" s="2">
        <v>30</v>
      </c>
      <c r="P2274" s="8">
        <f t="shared" si="142"/>
        <v>160</v>
      </c>
      <c r="Q2274" s="8">
        <f t="shared" si="143"/>
        <v>100</v>
      </c>
      <c r="R2274" s="2" t="s">
        <v>28</v>
      </c>
      <c r="S2274" s="9">
        <f>VLOOKUP(P2274,$T$2:U2271,2,1)</f>
        <v>0.02</v>
      </c>
    </row>
    <row r="2275" spans="1:19" x14ac:dyDescent="0.25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e">
        <f>VLOOKUP(F2275,'Customer Info'!A2267:I2766,2,0)</f>
        <v>#N/A</v>
      </c>
      <c r="H2275" s="6" t="e">
        <f>VLOOKUP(F2275,'Customer Info'!A2267:I2766,3,0)</f>
        <v>#N/A</v>
      </c>
      <c r="I2275" s="6" t="e">
        <f>VLOOKUP(F2275,'Customer Info'!A2267:I2766,5,0)</f>
        <v>#N/A</v>
      </c>
      <c r="J2275" s="2">
        <v>143</v>
      </c>
      <c r="K2275" s="2">
        <v>137</v>
      </c>
      <c r="L2275" s="2">
        <v>2</v>
      </c>
      <c r="M2275" s="7">
        <f t="shared" si="140"/>
        <v>274</v>
      </c>
      <c r="N2275" s="7">
        <f t="shared" si="141"/>
        <v>286</v>
      </c>
      <c r="O2275" s="2">
        <v>30</v>
      </c>
      <c r="P2275" s="8">
        <f t="shared" si="142"/>
        <v>316</v>
      </c>
      <c r="Q2275" s="8">
        <f t="shared" si="143"/>
        <v>256</v>
      </c>
      <c r="R2275" s="2" t="s">
        <v>26</v>
      </c>
      <c r="S2275" s="9">
        <f>VLOOKUP(P2275,$T$2:U2272,2,1)</f>
        <v>0.02</v>
      </c>
    </row>
    <row r="2276" spans="1:19" x14ac:dyDescent="0.25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e">
        <f>VLOOKUP(F2276,'Customer Info'!A2268:I2767,2,0)</f>
        <v>#N/A</v>
      </c>
      <c r="H2276" s="6" t="e">
        <f>VLOOKUP(F2276,'Customer Info'!A2268:I2767,3,0)</f>
        <v>#N/A</v>
      </c>
      <c r="I2276" s="6" t="e">
        <f>VLOOKUP(F2276,'Customer Info'!A2268:I2767,5,0)</f>
        <v>#N/A</v>
      </c>
      <c r="J2276" s="2">
        <v>2965</v>
      </c>
      <c r="K2276" s="2">
        <v>2694</v>
      </c>
      <c r="L2276" s="2">
        <v>1</v>
      </c>
      <c r="M2276" s="7">
        <f t="shared" si="140"/>
        <v>2694</v>
      </c>
      <c r="N2276" s="7">
        <f t="shared" si="141"/>
        <v>2965</v>
      </c>
      <c r="O2276" s="2">
        <v>89</v>
      </c>
      <c r="P2276" s="8">
        <f t="shared" si="142"/>
        <v>3054</v>
      </c>
      <c r="Q2276" s="8">
        <f t="shared" si="143"/>
        <v>2876</v>
      </c>
      <c r="R2276" s="2" t="s">
        <v>28</v>
      </c>
      <c r="S2276" s="9">
        <f>VLOOKUP(P2276,$T$2:U2273,2,1)</f>
        <v>0.02</v>
      </c>
    </row>
    <row r="2277" spans="1:19" x14ac:dyDescent="0.25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e">
        <f>VLOOKUP(F2277,'Customer Info'!A2269:I2768,2,0)</f>
        <v>#N/A</v>
      </c>
      <c r="H2277" s="6" t="e">
        <f>VLOOKUP(F2277,'Customer Info'!A2269:I2768,3,0)</f>
        <v>#N/A</v>
      </c>
      <c r="I2277" s="6" t="e">
        <f>VLOOKUP(F2277,'Customer Info'!A2269:I2768,5,0)</f>
        <v>#N/A</v>
      </c>
      <c r="J2277" s="2">
        <v>1318</v>
      </c>
      <c r="K2277" s="2">
        <v>1209</v>
      </c>
      <c r="L2277" s="2">
        <v>2</v>
      </c>
      <c r="M2277" s="7">
        <f t="shared" si="140"/>
        <v>2418</v>
      </c>
      <c r="N2277" s="7">
        <f t="shared" si="141"/>
        <v>2636</v>
      </c>
      <c r="O2277" s="2">
        <v>66</v>
      </c>
      <c r="P2277" s="8">
        <f t="shared" si="142"/>
        <v>2702</v>
      </c>
      <c r="Q2277" s="8">
        <f t="shared" si="143"/>
        <v>2570</v>
      </c>
      <c r="R2277" s="2" t="s">
        <v>26</v>
      </c>
      <c r="S2277" s="9">
        <f>VLOOKUP(P2277,$T$2:U2274,2,1)</f>
        <v>0.02</v>
      </c>
    </row>
    <row r="2278" spans="1:19" x14ac:dyDescent="0.25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e">
        <f>VLOOKUP(F2278,'Customer Info'!A2270:I2769,2,0)</f>
        <v>#N/A</v>
      </c>
      <c r="H2278" s="6" t="e">
        <f>VLOOKUP(F2278,'Customer Info'!A2270:I2769,3,0)</f>
        <v>#N/A</v>
      </c>
      <c r="I2278" s="6" t="e">
        <f>VLOOKUP(F2278,'Customer Info'!A2270:I2769,5,0)</f>
        <v>#N/A</v>
      </c>
      <c r="J2278" s="2">
        <v>5894</v>
      </c>
      <c r="K2278" s="2">
        <v>5621</v>
      </c>
      <c r="L2278" s="2">
        <v>3</v>
      </c>
      <c r="M2278" s="7">
        <f t="shared" si="140"/>
        <v>16863</v>
      </c>
      <c r="N2278" s="7">
        <f t="shared" si="141"/>
        <v>17682</v>
      </c>
      <c r="O2278" s="2">
        <v>33</v>
      </c>
      <c r="P2278" s="8">
        <f t="shared" si="142"/>
        <v>17715</v>
      </c>
      <c r="Q2278" s="8">
        <f t="shared" si="143"/>
        <v>17649</v>
      </c>
      <c r="R2278" s="2" t="s">
        <v>28</v>
      </c>
      <c r="S2278" s="9">
        <f>VLOOKUP(P2278,$T$2:U2275,2,1)</f>
        <v>0.05</v>
      </c>
    </row>
    <row r="2279" spans="1:19" x14ac:dyDescent="0.25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e">
        <f>VLOOKUP(F2279,'Customer Info'!A2271:I2770,2,0)</f>
        <v>#N/A</v>
      </c>
      <c r="H2279" s="6" t="e">
        <f>VLOOKUP(F2279,'Customer Info'!A2271:I2770,3,0)</f>
        <v>#N/A</v>
      </c>
      <c r="I2279" s="6" t="e">
        <f>VLOOKUP(F2279,'Customer Info'!A2271:I2770,5,0)</f>
        <v>#N/A</v>
      </c>
      <c r="J2279" s="2">
        <v>2083</v>
      </c>
      <c r="K2279" s="2">
        <v>2004</v>
      </c>
      <c r="L2279" s="2">
        <v>2</v>
      </c>
      <c r="M2279" s="7">
        <f t="shared" si="140"/>
        <v>4008</v>
      </c>
      <c r="N2279" s="7">
        <f t="shared" si="141"/>
        <v>4166</v>
      </c>
      <c r="O2279" s="2">
        <v>49</v>
      </c>
      <c r="P2279" s="8">
        <f t="shared" si="142"/>
        <v>4215</v>
      </c>
      <c r="Q2279" s="8">
        <f t="shared" si="143"/>
        <v>4117</v>
      </c>
      <c r="R2279" s="2" t="s">
        <v>28</v>
      </c>
      <c r="S2279" s="9">
        <f>VLOOKUP(P2279,$T$2:U2276,2,1)</f>
        <v>0.02</v>
      </c>
    </row>
    <row r="2280" spans="1:19" x14ac:dyDescent="0.25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e">
        <f>VLOOKUP(F2280,'Customer Info'!A2272:I2771,2,0)</f>
        <v>#N/A</v>
      </c>
      <c r="H2280" s="6" t="e">
        <f>VLOOKUP(F2280,'Customer Info'!A2272:I2771,3,0)</f>
        <v>#N/A</v>
      </c>
      <c r="I2280" s="6" t="e">
        <f>VLOOKUP(F2280,'Customer Info'!A2272:I2771,5,0)</f>
        <v>#N/A</v>
      </c>
      <c r="J2280" s="2">
        <v>1453</v>
      </c>
      <c r="K2280" s="2">
        <v>1411</v>
      </c>
      <c r="L2280" s="2">
        <v>3</v>
      </c>
      <c r="M2280" s="7">
        <f t="shared" si="140"/>
        <v>4233</v>
      </c>
      <c r="N2280" s="7">
        <f t="shared" si="141"/>
        <v>4359</v>
      </c>
      <c r="O2280" s="2">
        <v>63</v>
      </c>
      <c r="P2280" s="8">
        <f t="shared" si="142"/>
        <v>4422</v>
      </c>
      <c r="Q2280" s="8">
        <f t="shared" si="143"/>
        <v>4296</v>
      </c>
      <c r="R2280" s="2" t="s">
        <v>28</v>
      </c>
      <c r="S2280" s="9">
        <f>VLOOKUP(P2280,$T$2:U2277,2,1)</f>
        <v>0.02</v>
      </c>
    </row>
    <row r="2281" spans="1:19" x14ac:dyDescent="0.25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e">
        <f>VLOOKUP(F2281,'Customer Info'!A2273:I2772,2,0)</f>
        <v>#N/A</v>
      </c>
      <c r="H2281" s="6" t="e">
        <f>VLOOKUP(F2281,'Customer Info'!A2273:I2772,3,0)</f>
        <v>#N/A</v>
      </c>
      <c r="I2281" s="6" t="e">
        <f>VLOOKUP(F2281,'Customer Info'!A2273:I2772,5,0)</f>
        <v>#N/A</v>
      </c>
      <c r="J2281" s="2">
        <v>7508</v>
      </c>
      <c r="K2281" s="2">
        <v>6956</v>
      </c>
      <c r="L2281" s="2">
        <v>2</v>
      </c>
      <c r="M2281" s="7">
        <f t="shared" si="140"/>
        <v>13912</v>
      </c>
      <c r="N2281" s="7">
        <f t="shared" si="141"/>
        <v>15016</v>
      </c>
      <c r="O2281" s="2">
        <v>28</v>
      </c>
      <c r="P2281" s="8">
        <f t="shared" si="142"/>
        <v>15044</v>
      </c>
      <c r="Q2281" s="8">
        <f t="shared" si="143"/>
        <v>14988</v>
      </c>
      <c r="R2281" s="2" t="s">
        <v>28</v>
      </c>
      <c r="S2281" s="9">
        <f>VLOOKUP(P2281,$T$2:U2278,2,1)</f>
        <v>0.05</v>
      </c>
    </row>
    <row r="2282" spans="1:19" x14ac:dyDescent="0.25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e">
        <f>VLOOKUP(F2282,'Customer Info'!A2274:I2773,2,0)</f>
        <v>#N/A</v>
      </c>
      <c r="H2282" s="6" t="e">
        <f>VLOOKUP(F2282,'Customer Info'!A2274:I2773,3,0)</f>
        <v>#N/A</v>
      </c>
      <c r="I2282" s="6" t="e">
        <f>VLOOKUP(F2282,'Customer Info'!A2274:I2773,5,0)</f>
        <v>#N/A</v>
      </c>
      <c r="J2282" s="2">
        <v>1619</v>
      </c>
      <c r="K2282" s="2">
        <v>1442</v>
      </c>
      <c r="L2282" s="2">
        <v>2</v>
      </c>
      <c r="M2282" s="7">
        <f t="shared" si="140"/>
        <v>2884</v>
      </c>
      <c r="N2282" s="7">
        <f t="shared" si="141"/>
        <v>3238</v>
      </c>
      <c r="O2282" s="2">
        <v>64</v>
      </c>
      <c r="P2282" s="8">
        <f t="shared" si="142"/>
        <v>3302</v>
      </c>
      <c r="Q2282" s="8">
        <f t="shared" si="143"/>
        <v>3174</v>
      </c>
      <c r="R2282" s="2" t="s">
        <v>56</v>
      </c>
      <c r="S2282" s="9">
        <f>VLOOKUP(P2282,$T$2:U2279,2,1)</f>
        <v>0.02</v>
      </c>
    </row>
    <row r="2283" spans="1:19" x14ac:dyDescent="0.25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e">
        <f>VLOOKUP(F2283,'Customer Info'!A2275:I2774,2,0)</f>
        <v>#N/A</v>
      </c>
      <c r="H2283" s="6" t="e">
        <f>VLOOKUP(F2283,'Customer Info'!A2275:I2774,3,0)</f>
        <v>#N/A</v>
      </c>
      <c r="I2283" s="6" t="e">
        <f>VLOOKUP(F2283,'Customer Info'!A2275:I2774,5,0)</f>
        <v>#N/A</v>
      </c>
      <c r="J2283" s="2">
        <v>1385</v>
      </c>
      <c r="K2283" s="2">
        <v>1295</v>
      </c>
      <c r="L2283" s="2">
        <v>1</v>
      </c>
      <c r="M2283" s="7">
        <f t="shared" si="140"/>
        <v>1295</v>
      </c>
      <c r="N2283" s="7">
        <f t="shared" si="141"/>
        <v>1385</v>
      </c>
      <c r="O2283" s="2">
        <v>42</v>
      </c>
      <c r="P2283" s="8">
        <f t="shared" si="142"/>
        <v>1427</v>
      </c>
      <c r="Q2283" s="8">
        <f t="shared" si="143"/>
        <v>1343</v>
      </c>
      <c r="R2283" s="2" t="s">
        <v>26</v>
      </c>
      <c r="S2283" s="9">
        <f>VLOOKUP(P2283,$T$2:U2280,2,1)</f>
        <v>0.02</v>
      </c>
    </row>
    <row r="2284" spans="1:19" x14ac:dyDescent="0.25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e">
        <f>VLOOKUP(F2284,'Customer Info'!A2276:I2775,2,0)</f>
        <v>#N/A</v>
      </c>
      <c r="H2284" s="6" t="e">
        <f>VLOOKUP(F2284,'Customer Info'!A2276:I2775,3,0)</f>
        <v>#N/A</v>
      </c>
      <c r="I2284" s="6" t="e">
        <f>VLOOKUP(F2284,'Customer Info'!A2276:I2775,5,0)</f>
        <v>#N/A</v>
      </c>
      <c r="J2284" s="2">
        <v>2296</v>
      </c>
      <c r="K2284" s="2">
        <v>2146</v>
      </c>
      <c r="L2284" s="2">
        <v>2</v>
      </c>
      <c r="M2284" s="7">
        <f t="shared" si="140"/>
        <v>4292</v>
      </c>
      <c r="N2284" s="7">
        <f t="shared" si="141"/>
        <v>4592</v>
      </c>
      <c r="O2284" s="2">
        <v>55</v>
      </c>
      <c r="P2284" s="8">
        <f t="shared" si="142"/>
        <v>4647</v>
      </c>
      <c r="Q2284" s="8">
        <f t="shared" si="143"/>
        <v>4537</v>
      </c>
      <c r="R2284" s="2" t="s">
        <v>50</v>
      </c>
      <c r="S2284" s="9">
        <f>VLOOKUP(P2284,$T$2:U2281,2,1)</f>
        <v>0.02</v>
      </c>
    </row>
    <row r="2285" spans="1:19" x14ac:dyDescent="0.25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e">
        <f>VLOOKUP(F2285,'Customer Info'!A2277:I2776,2,0)</f>
        <v>#N/A</v>
      </c>
      <c r="H2285" s="6" t="e">
        <f>VLOOKUP(F2285,'Customer Info'!A2277:I2776,3,0)</f>
        <v>#N/A</v>
      </c>
      <c r="I2285" s="6" t="e">
        <f>VLOOKUP(F2285,'Customer Info'!A2277:I2776,5,0)</f>
        <v>#N/A</v>
      </c>
      <c r="J2285" s="2">
        <v>417</v>
      </c>
      <c r="K2285" s="2">
        <v>392</v>
      </c>
      <c r="L2285" s="2">
        <v>5</v>
      </c>
      <c r="M2285" s="7">
        <f t="shared" si="140"/>
        <v>1960</v>
      </c>
      <c r="N2285" s="7">
        <f t="shared" si="141"/>
        <v>2085</v>
      </c>
      <c r="O2285" s="2">
        <v>41</v>
      </c>
      <c r="P2285" s="8">
        <f t="shared" si="142"/>
        <v>2126</v>
      </c>
      <c r="Q2285" s="8">
        <f t="shared" si="143"/>
        <v>2044</v>
      </c>
      <c r="R2285" s="2" t="s">
        <v>28</v>
      </c>
      <c r="S2285" s="9">
        <f>VLOOKUP(P2285,$T$2:U2282,2,1)</f>
        <v>0.02</v>
      </c>
    </row>
    <row r="2286" spans="1:19" x14ac:dyDescent="0.25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e">
        <f>VLOOKUP(F2286,'Customer Info'!A2278:I2777,2,0)</f>
        <v>#N/A</v>
      </c>
      <c r="H2286" s="6" t="e">
        <f>VLOOKUP(F2286,'Customer Info'!A2278:I2777,3,0)</f>
        <v>#N/A</v>
      </c>
      <c r="I2286" s="6" t="e">
        <f>VLOOKUP(F2286,'Customer Info'!A2278:I2777,5,0)</f>
        <v>#N/A</v>
      </c>
      <c r="J2286" s="2">
        <v>63</v>
      </c>
      <c r="K2286" s="2">
        <v>58</v>
      </c>
      <c r="L2286" s="2">
        <v>3</v>
      </c>
      <c r="M2286" s="7">
        <f t="shared" si="140"/>
        <v>174</v>
      </c>
      <c r="N2286" s="7">
        <f t="shared" si="141"/>
        <v>189</v>
      </c>
      <c r="O2286" s="2">
        <v>10</v>
      </c>
      <c r="P2286" s="8">
        <f t="shared" si="142"/>
        <v>199</v>
      </c>
      <c r="Q2286" s="8">
        <f t="shared" si="143"/>
        <v>179</v>
      </c>
      <c r="R2286" s="2" t="s">
        <v>50</v>
      </c>
      <c r="S2286" s="9">
        <f>VLOOKUP(P2286,$T$2:U2283,2,1)</f>
        <v>0.02</v>
      </c>
    </row>
    <row r="2287" spans="1:19" x14ac:dyDescent="0.25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e">
        <f>VLOOKUP(F2287,'Customer Info'!A2279:I2778,2,0)</f>
        <v>#N/A</v>
      </c>
      <c r="H2287" s="6" t="e">
        <f>VLOOKUP(F2287,'Customer Info'!A2279:I2778,3,0)</f>
        <v>#N/A</v>
      </c>
      <c r="I2287" s="6" t="e">
        <f>VLOOKUP(F2287,'Customer Info'!A2279:I2778,5,0)</f>
        <v>#N/A</v>
      </c>
      <c r="J2287" s="2">
        <v>5882</v>
      </c>
      <c r="K2287" s="2">
        <v>5713</v>
      </c>
      <c r="L2287" s="2">
        <v>3</v>
      </c>
      <c r="M2287" s="7">
        <f t="shared" si="140"/>
        <v>17139</v>
      </c>
      <c r="N2287" s="7">
        <f t="shared" si="141"/>
        <v>17646</v>
      </c>
      <c r="O2287" s="2">
        <v>80</v>
      </c>
      <c r="P2287" s="8">
        <f t="shared" si="142"/>
        <v>17726</v>
      </c>
      <c r="Q2287" s="8">
        <f t="shared" si="143"/>
        <v>17566</v>
      </c>
      <c r="R2287" s="2" t="s">
        <v>50</v>
      </c>
      <c r="S2287" s="9">
        <f>VLOOKUP(P2287,$T$2:U2284,2,1)</f>
        <v>0.05</v>
      </c>
    </row>
    <row r="2288" spans="1:19" x14ac:dyDescent="0.25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e">
        <f>VLOOKUP(F2288,'Customer Info'!A2280:I2779,2,0)</f>
        <v>#N/A</v>
      </c>
      <c r="H2288" s="6" t="e">
        <f>VLOOKUP(F2288,'Customer Info'!A2280:I2779,3,0)</f>
        <v>#N/A</v>
      </c>
      <c r="I2288" s="6" t="e">
        <f>VLOOKUP(F2288,'Customer Info'!A2280:I2779,5,0)</f>
        <v>#N/A</v>
      </c>
      <c r="J2288" s="2">
        <v>218</v>
      </c>
      <c r="K2288" s="2">
        <v>200</v>
      </c>
      <c r="L2288" s="2">
        <v>3</v>
      </c>
      <c r="M2288" s="7">
        <f t="shared" si="140"/>
        <v>600</v>
      </c>
      <c r="N2288" s="7">
        <f t="shared" si="141"/>
        <v>654</v>
      </c>
      <c r="O2288" s="2">
        <v>74</v>
      </c>
      <c r="P2288" s="8">
        <f t="shared" si="142"/>
        <v>728</v>
      </c>
      <c r="Q2288" s="8">
        <f t="shared" si="143"/>
        <v>580</v>
      </c>
      <c r="R2288" s="2" t="s">
        <v>28</v>
      </c>
      <c r="S2288" s="9">
        <f>VLOOKUP(P2288,$T$2:U2285,2,1)</f>
        <v>0.02</v>
      </c>
    </row>
    <row r="2289" spans="1:19" x14ac:dyDescent="0.25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e">
        <f>VLOOKUP(F2289,'Customer Info'!A2281:I2780,2,0)</f>
        <v>#N/A</v>
      </c>
      <c r="H2289" s="6" t="e">
        <f>VLOOKUP(F2289,'Customer Info'!A2281:I2780,3,0)</f>
        <v>#N/A</v>
      </c>
      <c r="I2289" s="6" t="e">
        <f>VLOOKUP(F2289,'Customer Info'!A2281:I2780,5,0)</f>
        <v>#N/A</v>
      </c>
      <c r="J2289" s="2">
        <v>97</v>
      </c>
      <c r="K2289" s="2">
        <v>92</v>
      </c>
      <c r="L2289" s="2">
        <v>1</v>
      </c>
      <c r="M2289" s="7">
        <f t="shared" si="140"/>
        <v>92</v>
      </c>
      <c r="N2289" s="7">
        <f t="shared" si="141"/>
        <v>97</v>
      </c>
      <c r="O2289" s="2">
        <v>10</v>
      </c>
      <c r="P2289" s="8">
        <f t="shared" si="142"/>
        <v>107</v>
      </c>
      <c r="Q2289" s="8">
        <f t="shared" si="143"/>
        <v>87</v>
      </c>
      <c r="R2289" s="2" t="s">
        <v>26</v>
      </c>
      <c r="S2289" s="9">
        <f>VLOOKUP(P2289,$T$2:U2286,2,1)</f>
        <v>0.02</v>
      </c>
    </row>
    <row r="2290" spans="1:19" x14ac:dyDescent="0.25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e">
        <f>VLOOKUP(F2290,'Customer Info'!A2282:I2781,2,0)</f>
        <v>#N/A</v>
      </c>
      <c r="H2290" s="6" t="e">
        <f>VLOOKUP(F2290,'Customer Info'!A2282:I2781,3,0)</f>
        <v>#N/A</v>
      </c>
      <c r="I2290" s="6" t="e">
        <f>VLOOKUP(F2290,'Customer Info'!A2282:I2781,5,0)</f>
        <v>#N/A</v>
      </c>
      <c r="J2290" s="2">
        <v>6864</v>
      </c>
      <c r="K2290" s="2">
        <v>6667</v>
      </c>
      <c r="L2290" s="2">
        <v>2</v>
      </c>
      <c r="M2290" s="7">
        <f t="shared" si="140"/>
        <v>13334</v>
      </c>
      <c r="N2290" s="7">
        <f t="shared" si="141"/>
        <v>13728</v>
      </c>
      <c r="O2290" s="2">
        <v>83</v>
      </c>
      <c r="P2290" s="8">
        <f t="shared" si="142"/>
        <v>13811</v>
      </c>
      <c r="Q2290" s="8">
        <f t="shared" si="143"/>
        <v>13645</v>
      </c>
      <c r="R2290" s="2" t="s">
        <v>28</v>
      </c>
      <c r="S2290" s="9">
        <f>VLOOKUP(P2290,$T$2:U2287,2,1)</f>
        <v>0.05</v>
      </c>
    </row>
    <row r="2291" spans="1:19" x14ac:dyDescent="0.25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e">
        <f>VLOOKUP(F2291,'Customer Info'!A2283:I2782,2,0)</f>
        <v>#N/A</v>
      </c>
      <c r="H2291" s="6" t="e">
        <f>VLOOKUP(F2291,'Customer Info'!A2283:I2782,3,0)</f>
        <v>#N/A</v>
      </c>
      <c r="I2291" s="6" t="e">
        <f>VLOOKUP(F2291,'Customer Info'!A2283:I2782,5,0)</f>
        <v>#N/A</v>
      </c>
      <c r="J2291" s="2">
        <v>495</v>
      </c>
      <c r="K2291" s="2">
        <v>458</v>
      </c>
      <c r="L2291" s="2">
        <v>2</v>
      </c>
      <c r="M2291" s="7">
        <f t="shared" si="140"/>
        <v>916</v>
      </c>
      <c r="N2291" s="7">
        <f t="shared" si="141"/>
        <v>990</v>
      </c>
      <c r="O2291" s="2">
        <v>42</v>
      </c>
      <c r="P2291" s="8">
        <f t="shared" si="142"/>
        <v>1032</v>
      </c>
      <c r="Q2291" s="8">
        <f t="shared" si="143"/>
        <v>948</v>
      </c>
      <c r="R2291" s="2" t="s">
        <v>28</v>
      </c>
      <c r="S2291" s="9">
        <f>VLOOKUP(P2291,$T$2:U2288,2,1)</f>
        <v>0.02</v>
      </c>
    </row>
    <row r="2292" spans="1:19" x14ac:dyDescent="0.25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e">
        <f>VLOOKUP(F2292,'Customer Info'!A2284:I2783,2,0)</f>
        <v>#N/A</v>
      </c>
      <c r="H2292" s="6" t="e">
        <f>VLOOKUP(F2292,'Customer Info'!A2284:I2783,3,0)</f>
        <v>#N/A</v>
      </c>
      <c r="I2292" s="6" t="e">
        <f>VLOOKUP(F2292,'Customer Info'!A2284:I2783,5,0)</f>
        <v>#N/A</v>
      </c>
      <c r="J2292" s="2">
        <v>5906</v>
      </c>
      <c r="K2292" s="2">
        <v>5266</v>
      </c>
      <c r="L2292" s="2">
        <v>1</v>
      </c>
      <c r="M2292" s="7">
        <f t="shared" si="140"/>
        <v>5266</v>
      </c>
      <c r="N2292" s="7">
        <f t="shared" si="141"/>
        <v>5906</v>
      </c>
      <c r="O2292" s="2">
        <v>31</v>
      </c>
      <c r="P2292" s="8">
        <f t="shared" si="142"/>
        <v>5937</v>
      </c>
      <c r="Q2292" s="8">
        <f t="shared" si="143"/>
        <v>5875</v>
      </c>
      <c r="R2292" s="2" t="s">
        <v>28</v>
      </c>
      <c r="S2292" s="9">
        <f>VLOOKUP(P2292,$T$2:U2289,2,1)</f>
        <v>0.05</v>
      </c>
    </row>
    <row r="2293" spans="1:19" x14ac:dyDescent="0.25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e">
        <f>VLOOKUP(F2293,'Customer Info'!A2285:I2784,2,0)</f>
        <v>#N/A</v>
      </c>
      <c r="H2293" s="6" t="e">
        <f>VLOOKUP(F2293,'Customer Info'!A2285:I2784,3,0)</f>
        <v>#N/A</v>
      </c>
      <c r="I2293" s="6" t="e">
        <f>VLOOKUP(F2293,'Customer Info'!A2285:I2784,5,0)</f>
        <v>#N/A</v>
      </c>
      <c r="J2293" s="2">
        <v>7232</v>
      </c>
      <c r="K2293" s="2">
        <v>6753</v>
      </c>
      <c r="L2293" s="2">
        <v>2</v>
      </c>
      <c r="M2293" s="7">
        <f t="shared" si="140"/>
        <v>13506</v>
      </c>
      <c r="N2293" s="7">
        <f t="shared" si="141"/>
        <v>14464</v>
      </c>
      <c r="O2293" s="2">
        <v>40</v>
      </c>
      <c r="P2293" s="8">
        <f t="shared" si="142"/>
        <v>14504</v>
      </c>
      <c r="Q2293" s="8">
        <f t="shared" si="143"/>
        <v>14424</v>
      </c>
      <c r="R2293" s="2" t="s">
        <v>28</v>
      </c>
      <c r="S2293" s="9">
        <f>VLOOKUP(P2293,$T$2:U2290,2,1)</f>
        <v>0.05</v>
      </c>
    </row>
    <row r="2294" spans="1:19" x14ac:dyDescent="0.25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e">
        <f>VLOOKUP(F2294,'Customer Info'!A2286:I2785,2,0)</f>
        <v>#N/A</v>
      </c>
      <c r="H2294" s="6" t="e">
        <f>VLOOKUP(F2294,'Customer Info'!A2286:I2785,3,0)</f>
        <v>#N/A</v>
      </c>
      <c r="I2294" s="6" t="e">
        <f>VLOOKUP(F2294,'Customer Info'!A2286:I2785,5,0)</f>
        <v>#N/A</v>
      </c>
      <c r="J2294" s="2">
        <v>2273</v>
      </c>
      <c r="K2294" s="2">
        <v>2229</v>
      </c>
      <c r="L2294" s="2">
        <v>3</v>
      </c>
      <c r="M2294" s="7">
        <f t="shared" si="140"/>
        <v>6687</v>
      </c>
      <c r="N2294" s="7">
        <f t="shared" si="141"/>
        <v>6819</v>
      </c>
      <c r="O2294" s="2">
        <v>37</v>
      </c>
      <c r="P2294" s="8">
        <f t="shared" si="142"/>
        <v>6856</v>
      </c>
      <c r="Q2294" s="8">
        <f t="shared" si="143"/>
        <v>6782</v>
      </c>
      <c r="R2294" s="2" t="s">
        <v>50</v>
      </c>
      <c r="S2294" s="9">
        <f>VLOOKUP(P2294,$T$2:U2291,2,1)</f>
        <v>0.05</v>
      </c>
    </row>
    <row r="2295" spans="1:19" x14ac:dyDescent="0.25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e">
        <f>VLOOKUP(F2295,'Customer Info'!A2287:I2786,2,0)</f>
        <v>#N/A</v>
      </c>
      <c r="H2295" s="6" t="e">
        <f>VLOOKUP(F2295,'Customer Info'!A2287:I2786,3,0)</f>
        <v>#N/A</v>
      </c>
      <c r="I2295" s="6" t="e">
        <f>VLOOKUP(F2295,'Customer Info'!A2287:I2786,5,0)</f>
        <v>#N/A</v>
      </c>
      <c r="J2295" s="2">
        <v>998</v>
      </c>
      <c r="K2295" s="2">
        <v>931</v>
      </c>
      <c r="L2295" s="2">
        <v>3</v>
      </c>
      <c r="M2295" s="7">
        <f t="shared" si="140"/>
        <v>2793</v>
      </c>
      <c r="N2295" s="7">
        <f t="shared" si="141"/>
        <v>2994</v>
      </c>
      <c r="O2295" s="2">
        <v>27</v>
      </c>
      <c r="P2295" s="8">
        <f t="shared" si="142"/>
        <v>3021</v>
      </c>
      <c r="Q2295" s="8">
        <f t="shared" si="143"/>
        <v>2967</v>
      </c>
      <c r="R2295" s="2" t="s">
        <v>26</v>
      </c>
      <c r="S2295" s="9">
        <f>VLOOKUP(P2295,$T$2:U2292,2,1)</f>
        <v>0.02</v>
      </c>
    </row>
    <row r="2296" spans="1:19" x14ac:dyDescent="0.25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e">
        <f>VLOOKUP(F2296,'Customer Info'!A2288:I2787,2,0)</f>
        <v>#N/A</v>
      </c>
      <c r="H2296" s="6" t="e">
        <f>VLOOKUP(F2296,'Customer Info'!A2288:I2787,3,0)</f>
        <v>#N/A</v>
      </c>
      <c r="I2296" s="6" t="e">
        <f>VLOOKUP(F2296,'Customer Info'!A2288:I2787,5,0)</f>
        <v>#N/A</v>
      </c>
      <c r="J2296" s="2">
        <v>142</v>
      </c>
      <c r="K2296" s="2">
        <v>134</v>
      </c>
      <c r="L2296" s="2">
        <v>3</v>
      </c>
      <c r="M2296" s="7">
        <f t="shared" si="140"/>
        <v>402</v>
      </c>
      <c r="N2296" s="7">
        <f t="shared" si="141"/>
        <v>426</v>
      </c>
      <c r="O2296" s="2">
        <v>30</v>
      </c>
      <c r="P2296" s="8">
        <f t="shared" si="142"/>
        <v>456</v>
      </c>
      <c r="Q2296" s="8">
        <f t="shared" si="143"/>
        <v>396</v>
      </c>
      <c r="R2296" s="2" t="s">
        <v>28</v>
      </c>
      <c r="S2296" s="9">
        <f>VLOOKUP(P2296,$T$2:U2293,2,1)</f>
        <v>0.02</v>
      </c>
    </row>
    <row r="2297" spans="1:19" x14ac:dyDescent="0.25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e">
        <f>VLOOKUP(F2297,'Customer Info'!A2289:I2788,2,0)</f>
        <v>#N/A</v>
      </c>
      <c r="H2297" s="6" t="e">
        <f>VLOOKUP(F2297,'Customer Info'!A2289:I2788,3,0)</f>
        <v>#N/A</v>
      </c>
      <c r="I2297" s="6" t="e">
        <f>VLOOKUP(F2297,'Customer Info'!A2289:I2788,5,0)</f>
        <v>#N/A</v>
      </c>
      <c r="J2297" s="2">
        <v>3224</v>
      </c>
      <c r="K2297" s="2">
        <v>2984</v>
      </c>
      <c r="L2297" s="2">
        <v>4</v>
      </c>
      <c r="M2297" s="7">
        <f t="shared" si="140"/>
        <v>11936</v>
      </c>
      <c r="N2297" s="7">
        <f t="shared" si="141"/>
        <v>12896</v>
      </c>
      <c r="O2297" s="2">
        <v>52</v>
      </c>
      <c r="P2297" s="8">
        <f t="shared" si="142"/>
        <v>12948</v>
      </c>
      <c r="Q2297" s="8">
        <f t="shared" si="143"/>
        <v>12844</v>
      </c>
      <c r="R2297" s="2" t="s">
        <v>50</v>
      </c>
      <c r="S2297" s="9">
        <f>VLOOKUP(P2297,$T$2:U2294,2,1)</f>
        <v>0.05</v>
      </c>
    </row>
    <row r="2298" spans="1:19" x14ac:dyDescent="0.25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e">
        <f>VLOOKUP(F2298,'Customer Info'!A2290:I2789,2,0)</f>
        <v>#N/A</v>
      </c>
      <c r="H2298" s="6" t="e">
        <f>VLOOKUP(F2298,'Customer Info'!A2290:I2789,3,0)</f>
        <v>#N/A</v>
      </c>
      <c r="I2298" s="6" t="e">
        <f>VLOOKUP(F2298,'Customer Info'!A2290:I2789,5,0)</f>
        <v>#N/A</v>
      </c>
      <c r="J2298" s="2">
        <v>143</v>
      </c>
      <c r="K2298" s="2">
        <v>137</v>
      </c>
      <c r="L2298" s="2">
        <v>2</v>
      </c>
      <c r="M2298" s="7">
        <f t="shared" si="140"/>
        <v>274</v>
      </c>
      <c r="N2298" s="7">
        <f t="shared" si="141"/>
        <v>286</v>
      </c>
      <c r="O2298" s="2">
        <v>30</v>
      </c>
      <c r="P2298" s="8">
        <f t="shared" si="142"/>
        <v>316</v>
      </c>
      <c r="Q2298" s="8">
        <f t="shared" si="143"/>
        <v>256</v>
      </c>
      <c r="R2298" s="2" t="s">
        <v>28</v>
      </c>
      <c r="S2298" s="9">
        <f>VLOOKUP(P2298,$T$2:U2295,2,1)</f>
        <v>0.02</v>
      </c>
    </row>
    <row r="2299" spans="1:19" x14ac:dyDescent="0.25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e">
        <f>VLOOKUP(F2299,'Customer Info'!A2291:I2790,2,0)</f>
        <v>#N/A</v>
      </c>
      <c r="H2299" s="6" t="e">
        <f>VLOOKUP(F2299,'Customer Info'!A2291:I2790,3,0)</f>
        <v>#N/A</v>
      </c>
      <c r="I2299" s="6" t="e">
        <f>VLOOKUP(F2299,'Customer Info'!A2291:I2790,5,0)</f>
        <v>#N/A</v>
      </c>
      <c r="J2299" s="2">
        <v>63</v>
      </c>
      <c r="K2299" s="2">
        <v>58</v>
      </c>
      <c r="L2299" s="2">
        <v>9</v>
      </c>
      <c r="M2299" s="7">
        <f t="shared" si="140"/>
        <v>522</v>
      </c>
      <c r="N2299" s="7">
        <f t="shared" si="141"/>
        <v>567</v>
      </c>
      <c r="O2299" s="2">
        <v>10</v>
      </c>
      <c r="P2299" s="8">
        <f t="shared" si="142"/>
        <v>577</v>
      </c>
      <c r="Q2299" s="8">
        <f t="shared" si="143"/>
        <v>557</v>
      </c>
      <c r="R2299" s="2" t="s">
        <v>28</v>
      </c>
      <c r="S2299" s="9">
        <f>VLOOKUP(P2299,$T$2:U2296,2,1)</f>
        <v>0.02</v>
      </c>
    </row>
    <row r="2300" spans="1:19" x14ac:dyDescent="0.25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e">
        <f>VLOOKUP(F2300,'Customer Info'!A2292:I2791,2,0)</f>
        <v>#N/A</v>
      </c>
      <c r="H2300" s="6" t="e">
        <f>VLOOKUP(F2300,'Customer Info'!A2292:I2791,3,0)</f>
        <v>#N/A</v>
      </c>
      <c r="I2300" s="6" t="e">
        <f>VLOOKUP(F2300,'Customer Info'!A2292:I2791,5,0)</f>
        <v>#N/A</v>
      </c>
      <c r="J2300" s="2">
        <v>119</v>
      </c>
      <c r="K2300" s="2">
        <v>112</v>
      </c>
      <c r="L2300" s="2">
        <v>1</v>
      </c>
      <c r="M2300" s="7">
        <f t="shared" si="140"/>
        <v>112</v>
      </c>
      <c r="N2300" s="7">
        <f t="shared" si="141"/>
        <v>119</v>
      </c>
      <c r="O2300" s="2">
        <v>30</v>
      </c>
      <c r="P2300" s="8">
        <f t="shared" si="142"/>
        <v>149</v>
      </c>
      <c r="Q2300" s="8">
        <f t="shared" si="143"/>
        <v>89</v>
      </c>
      <c r="R2300" s="2" t="s">
        <v>28</v>
      </c>
      <c r="S2300" s="9">
        <f>VLOOKUP(P2300,$T$2:U2297,2,1)</f>
        <v>0.02</v>
      </c>
    </row>
    <row r="2301" spans="1:19" x14ac:dyDescent="0.25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e">
        <f>VLOOKUP(F2301,'Customer Info'!A2293:I2792,2,0)</f>
        <v>#N/A</v>
      </c>
      <c r="H2301" s="6" t="e">
        <f>VLOOKUP(F2301,'Customer Info'!A2293:I2792,3,0)</f>
        <v>#N/A</v>
      </c>
      <c r="I2301" s="6" t="e">
        <f>VLOOKUP(F2301,'Customer Info'!A2293:I2792,5,0)</f>
        <v>#N/A</v>
      </c>
      <c r="J2301" s="2">
        <v>7021</v>
      </c>
      <c r="K2301" s="2">
        <v>6686</v>
      </c>
      <c r="L2301" s="2">
        <v>2</v>
      </c>
      <c r="M2301" s="7">
        <f t="shared" si="140"/>
        <v>13372</v>
      </c>
      <c r="N2301" s="7">
        <f t="shared" si="141"/>
        <v>14042</v>
      </c>
      <c r="O2301" s="2">
        <v>57</v>
      </c>
      <c r="P2301" s="8">
        <f t="shared" si="142"/>
        <v>14099</v>
      </c>
      <c r="Q2301" s="8">
        <f t="shared" si="143"/>
        <v>13985</v>
      </c>
      <c r="R2301" s="2" t="s">
        <v>28</v>
      </c>
      <c r="S2301" s="9">
        <f>VLOOKUP(P2301,$T$2:U2298,2,1)</f>
        <v>0.05</v>
      </c>
    </row>
    <row r="2302" spans="1:19" x14ac:dyDescent="0.25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e">
        <f>VLOOKUP(F2302,'Customer Info'!A2294:I2793,2,0)</f>
        <v>#N/A</v>
      </c>
      <c r="H2302" s="6" t="e">
        <f>VLOOKUP(F2302,'Customer Info'!A2294:I2793,3,0)</f>
        <v>#N/A</v>
      </c>
      <c r="I2302" s="6" t="e">
        <f>VLOOKUP(F2302,'Customer Info'!A2294:I2793,5,0)</f>
        <v>#N/A</v>
      </c>
      <c r="J2302" s="2">
        <v>2333</v>
      </c>
      <c r="K2302" s="2">
        <v>2060</v>
      </c>
      <c r="L2302" s="2">
        <v>2</v>
      </c>
      <c r="M2302" s="7">
        <f t="shared" si="140"/>
        <v>4120</v>
      </c>
      <c r="N2302" s="7">
        <f t="shared" si="141"/>
        <v>4666</v>
      </c>
      <c r="O2302" s="2">
        <v>98</v>
      </c>
      <c r="P2302" s="8">
        <f t="shared" si="142"/>
        <v>4764</v>
      </c>
      <c r="Q2302" s="8">
        <f t="shared" si="143"/>
        <v>4568</v>
      </c>
      <c r="R2302" s="2" t="s">
        <v>28</v>
      </c>
      <c r="S2302" s="9">
        <f>VLOOKUP(P2302,$T$2:U2299,2,1)</f>
        <v>0.02</v>
      </c>
    </row>
    <row r="2303" spans="1:19" x14ac:dyDescent="0.25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e">
        <f>VLOOKUP(F2303,'Customer Info'!A2295:I2794,2,0)</f>
        <v>#N/A</v>
      </c>
      <c r="H2303" s="6" t="e">
        <f>VLOOKUP(F2303,'Customer Info'!A2295:I2794,3,0)</f>
        <v>#N/A</v>
      </c>
      <c r="I2303" s="6" t="e">
        <f>VLOOKUP(F2303,'Customer Info'!A2295:I2794,5,0)</f>
        <v>#N/A</v>
      </c>
      <c r="J2303" s="2">
        <v>4846</v>
      </c>
      <c r="K2303" s="2">
        <v>4492</v>
      </c>
      <c r="L2303" s="2">
        <v>2</v>
      </c>
      <c r="M2303" s="7">
        <f t="shared" si="140"/>
        <v>8984</v>
      </c>
      <c r="N2303" s="7">
        <f t="shared" si="141"/>
        <v>9692</v>
      </c>
      <c r="O2303" s="2">
        <v>88</v>
      </c>
      <c r="P2303" s="8">
        <f t="shared" si="142"/>
        <v>9780</v>
      </c>
      <c r="Q2303" s="8">
        <f t="shared" si="143"/>
        <v>9604</v>
      </c>
      <c r="R2303" s="2" t="s">
        <v>50</v>
      </c>
      <c r="S2303" s="9">
        <f>VLOOKUP(P2303,$T$2:U2300,2,1)</f>
        <v>0.05</v>
      </c>
    </row>
    <row r="2304" spans="1:19" x14ac:dyDescent="0.25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e">
        <f>VLOOKUP(F2304,'Customer Info'!A2296:I2795,2,0)</f>
        <v>#N/A</v>
      </c>
      <c r="H2304" s="6" t="e">
        <f>VLOOKUP(F2304,'Customer Info'!A2296:I2795,3,0)</f>
        <v>#N/A</v>
      </c>
      <c r="I2304" s="6" t="e">
        <f>VLOOKUP(F2304,'Customer Info'!A2296:I2795,5,0)</f>
        <v>#N/A</v>
      </c>
      <c r="J2304" s="2">
        <v>998</v>
      </c>
      <c r="K2304" s="2">
        <v>931</v>
      </c>
      <c r="L2304" s="2">
        <v>5</v>
      </c>
      <c r="M2304" s="7">
        <f t="shared" si="140"/>
        <v>4655</v>
      </c>
      <c r="N2304" s="7">
        <f t="shared" si="141"/>
        <v>4990</v>
      </c>
      <c r="O2304" s="2">
        <v>60</v>
      </c>
      <c r="P2304" s="8">
        <f t="shared" si="142"/>
        <v>5050</v>
      </c>
      <c r="Q2304" s="8">
        <f t="shared" si="143"/>
        <v>4930</v>
      </c>
      <c r="R2304" s="2" t="s">
        <v>28</v>
      </c>
      <c r="S2304" s="9">
        <f>VLOOKUP(P2304,$T$2:U2301,2,1)</f>
        <v>0.05</v>
      </c>
    </row>
    <row r="2305" spans="1:19" x14ac:dyDescent="0.25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e">
        <f>VLOOKUP(F2305,'Customer Info'!A2297:I2796,2,0)</f>
        <v>#N/A</v>
      </c>
      <c r="H2305" s="6" t="e">
        <f>VLOOKUP(F2305,'Customer Info'!A2297:I2796,3,0)</f>
        <v>#N/A</v>
      </c>
      <c r="I2305" s="6" t="e">
        <f>VLOOKUP(F2305,'Customer Info'!A2297:I2796,5,0)</f>
        <v>#N/A</v>
      </c>
      <c r="J2305" s="2">
        <v>1113</v>
      </c>
      <c r="K2305" s="2">
        <v>1040</v>
      </c>
      <c r="L2305" s="2">
        <v>2</v>
      </c>
      <c r="M2305" s="7">
        <f t="shared" si="140"/>
        <v>2080</v>
      </c>
      <c r="N2305" s="7">
        <f t="shared" si="141"/>
        <v>2226</v>
      </c>
      <c r="O2305" s="2">
        <v>40</v>
      </c>
      <c r="P2305" s="8">
        <f t="shared" si="142"/>
        <v>2266</v>
      </c>
      <c r="Q2305" s="8">
        <f t="shared" si="143"/>
        <v>2186</v>
      </c>
      <c r="R2305" s="2" t="s">
        <v>28</v>
      </c>
      <c r="S2305" s="9">
        <f>VLOOKUP(P2305,$T$2:U2302,2,1)</f>
        <v>0.02</v>
      </c>
    </row>
    <row r="2306" spans="1:19" x14ac:dyDescent="0.25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e">
        <f>VLOOKUP(F2306,'Customer Info'!A2298:I2797,2,0)</f>
        <v>#N/A</v>
      </c>
      <c r="H2306" s="6" t="e">
        <f>VLOOKUP(F2306,'Customer Info'!A2298:I2797,3,0)</f>
        <v>#N/A</v>
      </c>
      <c r="I2306" s="6" t="e">
        <f>VLOOKUP(F2306,'Customer Info'!A2298:I2797,5,0)</f>
        <v>#N/A</v>
      </c>
      <c r="J2306" s="2">
        <v>143</v>
      </c>
      <c r="K2306" s="2">
        <v>137</v>
      </c>
      <c r="L2306" s="2">
        <v>5</v>
      </c>
      <c r="M2306" s="7">
        <f t="shared" si="140"/>
        <v>685</v>
      </c>
      <c r="N2306" s="7">
        <f t="shared" si="141"/>
        <v>715</v>
      </c>
      <c r="O2306" s="2">
        <v>30</v>
      </c>
      <c r="P2306" s="8">
        <f t="shared" si="142"/>
        <v>745</v>
      </c>
      <c r="Q2306" s="8">
        <f t="shared" si="143"/>
        <v>685</v>
      </c>
      <c r="R2306" s="2" t="s">
        <v>28</v>
      </c>
      <c r="S2306" s="9">
        <f>VLOOKUP(P2306,$T$2:U2303,2,1)</f>
        <v>0.02</v>
      </c>
    </row>
    <row r="2307" spans="1:19" x14ac:dyDescent="0.25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e">
        <f>VLOOKUP(F2307,'Customer Info'!A2299:I2798,2,0)</f>
        <v>#N/A</v>
      </c>
      <c r="H2307" s="6" t="e">
        <f>VLOOKUP(F2307,'Customer Info'!A2299:I2798,3,0)</f>
        <v>#N/A</v>
      </c>
      <c r="I2307" s="6" t="e">
        <f>VLOOKUP(F2307,'Customer Info'!A2299:I2798,5,0)</f>
        <v>#N/A</v>
      </c>
      <c r="J2307" s="2">
        <v>1318</v>
      </c>
      <c r="K2307" s="2">
        <v>1209</v>
      </c>
      <c r="L2307" s="2">
        <v>3</v>
      </c>
      <c r="M2307" s="7">
        <f t="shared" si="140"/>
        <v>3627</v>
      </c>
      <c r="N2307" s="7">
        <f t="shared" si="141"/>
        <v>3954</v>
      </c>
      <c r="O2307" s="2">
        <v>21</v>
      </c>
      <c r="P2307" s="8">
        <f t="shared" si="142"/>
        <v>3975</v>
      </c>
      <c r="Q2307" s="8">
        <f t="shared" si="143"/>
        <v>3933</v>
      </c>
      <c r="R2307" s="2" t="s">
        <v>28</v>
      </c>
      <c r="S2307" s="9">
        <f>VLOOKUP(P2307,$T$2:U2304,2,1)</f>
        <v>0.02</v>
      </c>
    </row>
    <row r="2308" spans="1:19" x14ac:dyDescent="0.25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e">
        <f>VLOOKUP(F2308,'Customer Info'!A2300:I2799,2,0)</f>
        <v>#N/A</v>
      </c>
      <c r="H2308" s="6" t="e">
        <f>VLOOKUP(F2308,'Customer Info'!A2300:I2799,3,0)</f>
        <v>#N/A</v>
      </c>
      <c r="I2308" s="6" t="e">
        <f>VLOOKUP(F2308,'Customer Info'!A2300:I2799,5,0)</f>
        <v>#N/A</v>
      </c>
      <c r="J2308" s="2">
        <v>679</v>
      </c>
      <c r="K2308" s="2">
        <v>654</v>
      </c>
      <c r="L2308" s="2">
        <v>5</v>
      </c>
      <c r="M2308" s="7">
        <f t="shared" si="140"/>
        <v>3270</v>
      </c>
      <c r="N2308" s="7">
        <f t="shared" si="141"/>
        <v>3395</v>
      </c>
      <c r="O2308" s="2">
        <v>36</v>
      </c>
      <c r="P2308" s="8">
        <f t="shared" si="142"/>
        <v>3431</v>
      </c>
      <c r="Q2308" s="8">
        <f t="shared" si="143"/>
        <v>3359</v>
      </c>
      <c r="R2308" s="2" t="s">
        <v>26</v>
      </c>
      <c r="S2308" s="9">
        <f>VLOOKUP(P2308,$T$2:U2305,2,1)</f>
        <v>0.02</v>
      </c>
    </row>
    <row r="2309" spans="1:19" x14ac:dyDescent="0.25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e">
        <f>VLOOKUP(F2309,'Customer Info'!A2301:I2800,2,0)</f>
        <v>#N/A</v>
      </c>
      <c r="H2309" s="6" t="e">
        <f>VLOOKUP(F2309,'Customer Info'!A2301:I2800,3,0)</f>
        <v>#N/A</v>
      </c>
      <c r="I2309" s="6" t="e">
        <f>VLOOKUP(F2309,'Customer Info'!A2301:I2800,5,0)</f>
        <v>#N/A</v>
      </c>
      <c r="J2309" s="2">
        <v>1372</v>
      </c>
      <c r="K2309" s="2">
        <v>1308</v>
      </c>
      <c r="L2309" s="2">
        <v>3</v>
      </c>
      <c r="M2309" s="7">
        <f t="shared" si="140"/>
        <v>3924</v>
      </c>
      <c r="N2309" s="7">
        <f t="shared" si="141"/>
        <v>4116</v>
      </c>
      <c r="O2309" s="2">
        <v>95</v>
      </c>
      <c r="P2309" s="8">
        <f t="shared" si="142"/>
        <v>4211</v>
      </c>
      <c r="Q2309" s="8">
        <f t="shared" si="143"/>
        <v>4021</v>
      </c>
      <c r="R2309" s="2" t="s">
        <v>50</v>
      </c>
      <c r="S2309" s="9">
        <f>VLOOKUP(P2309,$T$2:U2306,2,1)</f>
        <v>0.02</v>
      </c>
    </row>
    <row r="2310" spans="1:19" x14ac:dyDescent="0.25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e">
        <f>VLOOKUP(F2310,'Customer Info'!A2302:I2801,2,0)</f>
        <v>#N/A</v>
      </c>
      <c r="H2310" s="6" t="e">
        <f>VLOOKUP(F2310,'Customer Info'!A2302:I2801,3,0)</f>
        <v>#N/A</v>
      </c>
      <c r="I2310" s="6" t="e">
        <f>VLOOKUP(F2310,'Customer Info'!A2302:I2801,5,0)</f>
        <v>#N/A</v>
      </c>
      <c r="J2310" s="2">
        <v>681</v>
      </c>
      <c r="K2310" s="2">
        <v>642</v>
      </c>
      <c r="L2310" s="2">
        <v>6</v>
      </c>
      <c r="M2310" s="7">
        <f t="shared" si="140"/>
        <v>3852</v>
      </c>
      <c r="N2310" s="7">
        <f t="shared" si="141"/>
        <v>4086</v>
      </c>
      <c r="O2310" s="2">
        <v>67</v>
      </c>
      <c r="P2310" s="8">
        <f t="shared" si="142"/>
        <v>4153</v>
      </c>
      <c r="Q2310" s="8">
        <f t="shared" si="143"/>
        <v>4019</v>
      </c>
      <c r="R2310" s="2" t="s">
        <v>28</v>
      </c>
      <c r="S2310" s="9">
        <f>VLOOKUP(P2310,$T$2:U2307,2,1)</f>
        <v>0.02</v>
      </c>
    </row>
    <row r="2311" spans="1:19" x14ac:dyDescent="0.25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e">
        <f>VLOOKUP(F2311,'Customer Info'!A2303:I2802,2,0)</f>
        <v>#N/A</v>
      </c>
      <c r="H2311" s="6" t="e">
        <f>VLOOKUP(F2311,'Customer Info'!A2303:I2802,3,0)</f>
        <v>#N/A</v>
      </c>
      <c r="I2311" s="6" t="e">
        <f>VLOOKUP(F2311,'Customer Info'!A2303:I2802,5,0)</f>
        <v>#N/A</v>
      </c>
      <c r="J2311" s="2">
        <v>695</v>
      </c>
      <c r="K2311" s="2">
        <v>661</v>
      </c>
      <c r="L2311" s="2">
        <v>3</v>
      </c>
      <c r="M2311" s="7">
        <f t="shared" si="140"/>
        <v>1983</v>
      </c>
      <c r="N2311" s="7">
        <f t="shared" si="141"/>
        <v>2085</v>
      </c>
      <c r="O2311" s="2">
        <v>99</v>
      </c>
      <c r="P2311" s="8">
        <f t="shared" si="142"/>
        <v>2184</v>
      </c>
      <c r="Q2311" s="8">
        <f t="shared" si="143"/>
        <v>1986</v>
      </c>
      <c r="R2311" s="2" t="s">
        <v>28</v>
      </c>
      <c r="S2311" s="9">
        <f>VLOOKUP(P2311,$T$2:U2308,2,1)</f>
        <v>0.02</v>
      </c>
    </row>
    <row r="2312" spans="1:19" x14ac:dyDescent="0.25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e">
        <f>VLOOKUP(F2312,'Customer Info'!A2304:I2803,2,0)</f>
        <v>#N/A</v>
      </c>
      <c r="H2312" s="6" t="e">
        <f>VLOOKUP(F2312,'Customer Info'!A2304:I2803,3,0)</f>
        <v>#N/A</v>
      </c>
      <c r="I2312" s="6" t="e">
        <f>VLOOKUP(F2312,'Customer Info'!A2304:I2803,5,0)</f>
        <v>#N/A</v>
      </c>
      <c r="J2312" s="2">
        <v>1651</v>
      </c>
      <c r="K2312" s="2">
        <v>1604</v>
      </c>
      <c r="L2312" s="2">
        <v>6</v>
      </c>
      <c r="M2312" s="7">
        <f t="shared" si="140"/>
        <v>9624</v>
      </c>
      <c r="N2312" s="7">
        <f t="shared" si="141"/>
        <v>9906</v>
      </c>
      <c r="O2312" s="2">
        <v>72</v>
      </c>
      <c r="P2312" s="8">
        <f t="shared" si="142"/>
        <v>9978</v>
      </c>
      <c r="Q2312" s="8">
        <f t="shared" si="143"/>
        <v>9834</v>
      </c>
      <c r="R2312" s="2" t="s">
        <v>26</v>
      </c>
      <c r="S2312" s="9">
        <f>VLOOKUP(P2312,$T$2:U2309,2,1)</f>
        <v>0.05</v>
      </c>
    </row>
    <row r="2313" spans="1:19" x14ac:dyDescent="0.25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e">
        <f>VLOOKUP(F2313,'Customer Info'!A2305:I2804,2,0)</f>
        <v>#N/A</v>
      </c>
      <c r="H2313" s="6" t="e">
        <f>VLOOKUP(F2313,'Customer Info'!A2305:I2804,3,0)</f>
        <v>#N/A</v>
      </c>
      <c r="I2313" s="6" t="e">
        <f>VLOOKUP(F2313,'Customer Info'!A2305:I2804,5,0)</f>
        <v>#N/A</v>
      </c>
      <c r="J2313" s="2">
        <v>127</v>
      </c>
      <c r="K2313" s="2">
        <v>116</v>
      </c>
      <c r="L2313" s="2">
        <v>1</v>
      </c>
      <c r="M2313" s="7">
        <f t="shared" si="140"/>
        <v>116</v>
      </c>
      <c r="N2313" s="7">
        <f t="shared" si="141"/>
        <v>127</v>
      </c>
      <c r="O2313" s="2">
        <v>30</v>
      </c>
      <c r="P2313" s="8">
        <f t="shared" si="142"/>
        <v>157</v>
      </c>
      <c r="Q2313" s="8">
        <f t="shared" si="143"/>
        <v>97</v>
      </c>
      <c r="R2313" s="2" t="s">
        <v>50</v>
      </c>
      <c r="S2313" s="9">
        <f>VLOOKUP(P2313,$T$2:U2310,2,1)</f>
        <v>0.02</v>
      </c>
    </row>
    <row r="2314" spans="1:19" x14ac:dyDescent="0.25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e">
        <f>VLOOKUP(F2314,'Customer Info'!A2306:I2805,2,0)</f>
        <v>#N/A</v>
      </c>
      <c r="H2314" s="6" t="e">
        <f>VLOOKUP(F2314,'Customer Info'!A2306:I2805,3,0)</f>
        <v>#N/A</v>
      </c>
      <c r="I2314" s="6" t="e">
        <f>VLOOKUP(F2314,'Customer Info'!A2306:I2805,5,0)</f>
        <v>#N/A</v>
      </c>
      <c r="J2314" s="2">
        <v>210</v>
      </c>
      <c r="K2314" s="2">
        <v>193</v>
      </c>
      <c r="L2314" s="2">
        <v>8</v>
      </c>
      <c r="M2314" s="7">
        <f t="shared" si="140"/>
        <v>1544</v>
      </c>
      <c r="N2314" s="7">
        <f t="shared" si="141"/>
        <v>1680</v>
      </c>
      <c r="O2314" s="2">
        <v>55</v>
      </c>
      <c r="P2314" s="8">
        <f t="shared" si="142"/>
        <v>1735</v>
      </c>
      <c r="Q2314" s="8">
        <f t="shared" si="143"/>
        <v>1625</v>
      </c>
      <c r="R2314" s="2" t="s">
        <v>28</v>
      </c>
      <c r="S2314" s="9">
        <f>VLOOKUP(P2314,$T$2:U2311,2,1)</f>
        <v>0.02</v>
      </c>
    </row>
    <row r="2315" spans="1:19" x14ac:dyDescent="0.25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e">
        <f>VLOOKUP(F2315,'Customer Info'!A2307:I2806,2,0)</f>
        <v>#N/A</v>
      </c>
      <c r="H2315" s="6" t="e">
        <f>VLOOKUP(F2315,'Customer Info'!A2307:I2806,3,0)</f>
        <v>#N/A</v>
      </c>
      <c r="I2315" s="6" t="e">
        <f>VLOOKUP(F2315,'Customer Info'!A2307:I2806,5,0)</f>
        <v>#N/A</v>
      </c>
      <c r="J2315" s="2">
        <v>7960</v>
      </c>
      <c r="K2315" s="2">
        <v>7375</v>
      </c>
      <c r="L2315" s="2">
        <v>2</v>
      </c>
      <c r="M2315" s="7">
        <f t="shared" ref="M2315:M2378" si="144">K2315*L2315</f>
        <v>14750</v>
      </c>
      <c r="N2315" s="7">
        <f t="shared" ref="N2315:N2378" si="145">J2315*L2315</f>
        <v>15920</v>
      </c>
      <c r="O2315" s="2">
        <v>77</v>
      </c>
      <c r="P2315" s="8">
        <f t="shared" ref="P2315:P2378" si="146">SUM(N2315,O2315)</f>
        <v>15997</v>
      </c>
      <c r="Q2315" s="8">
        <f t="shared" ref="Q2315:Q2378" si="147">N2315-O2315</f>
        <v>15843</v>
      </c>
      <c r="R2315" s="2" t="s">
        <v>28</v>
      </c>
      <c r="S2315" s="9">
        <f>VLOOKUP(P2315,$T$2:U2312,2,1)</f>
        <v>0.05</v>
      </c>
    </row>
    <row r="2316" spans="1:19" x14ac:dyDescent="0.25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e">
        <f>VLOOKUP(F2316,'Customer Info'!A2308:I2807,2,0)</f>
        <v>#N/A</v>
      </c>
      <c r="H2316" s="6" t="e">
        <f>VLOOKUP(F2316,'Customer Info'!A2308:I2807,3,0)</f>
        <v>#N/A</v>
      </c>
      <c r="I2316" s="6" t="e">
        <f>VLOOKUP(F2316,'Customer Info'!A2308:I2807,5,0)</f>
        <v>#N/A</v>
      </c>
      <c r="J2316" s="2">
        <v>21566</v>
      </c>
      <c r="K2316" s="2">
        <v>19225</v>
      </c>
      <c r="L2316" s="2">
        <v>4</v>
      </c>
      <c r="M2316" s="7">
        <f t="shared" si="144"/>
        <v>76900</v>
      </c>
      <c r="N2316" s="7">
        <f t="shared" si="145"/>
        <v>86264</v>
      </c>
      <c r="O2316" s="2">
        <v>100</v>
      </c>
      <c r="P2316" s="8">
        <f t="shared" si="146"/>
        <v>86364</v>
      </c>
      <c r="Q2316" s="8">
        <f t="shared" si="147"/>
        <v>86164</v>
      </c>
      <c r="R2316" s="2" t="s">
        <v>28</v>
      </c>
      <c r="S2316" s="9">
        <f>VLOOKUP(P2316,$T$2:U2313,2,1)</f>
        <v>0.09</v>
      </c>
    </row>
    <row r="2317" spans="1:19" x14ac:dyDescent="0.25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e">
        <f>VLOOKUP(F2317,'Customer Info'!A2309:I2808,2,0)</f>
        <v>#N/A</v>
      </c>
      <c r="H2317" s="6" t="e">
        <f>VLOOKUP(F2317,'Customer Info'!A2309:I2808,3,0)</f>
        <v>#N/A</v>
      </c>
      <c r="I2317" s="6" t="e">
        <f>VLOOKUP(F2317,'Customer Info'!A2309:I2808,5,0)</f>
        <v>#N/A</v>
      </c>
      <c r="J2317" s="2">
        <v>61</v>
      </c>
      <c r="K2317" s="2">
        <v>56</v>
      </c>
      <c r="L2317" s="2">
        <v>1</v>
      </c>
      <c r="M2317" s="7">
        <f t="shared" si="144"/>
        <v>56</v>
      </c>
      <c r="N2317" s="7">
        <f t="shared" si="145"/>
        <v>61</v>
      </c>
      <c r="O2317" s="2">
        <v>10</v>
      </c>
      <c r="P2317" s="8">
        <f t="shared" si="146"/>
        <v>71</v>
      </c>
      <c r="Q2317" s="8">
        <f t="shared" si="147"/>
        <v>51</v>
      </c>
      <c r="R2317" s="2" t="s">
        <v>28</v>
      </c>
      <c r="S2317" s="9">
        <f>VLOOKUP(P2317,$T$2:U2314,2,1)</f>
        <v>0.02</v>
      </c>
    </row>
    <row r="2318" spans="1:19" x14ac:dyDescent="0.25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e">
        <f>VLOOKUP(F2318,'Customer Info'!A2310:I2809,2,0)</f>
        <v>#N/A</v>
      </c>
      <c r="H2318" s="6" t="e">
        <f>VLOOKUP(F2318,'Customer Info'!A2310:I2809,3,0)</f>
        <v>#N/A</v>
      </c>
      <c r="I2318" s="6" t="e">
        <f>VLOOKUP(F2318,'Customer Info'!A2310:I2809,5,0)</f>
        <v>#N/A</v>
      </c>
      <c r="J2318" s="2">
        <v>167</v>
      </c>
      <c r="K2318" s="2">
        <v>152</v>
      </c>
      <c r="L2318" s="2">
        <v>4</v>
      </c>
      <c r="M2318" s="7">
        <f t="shared" si="144"/>
        <v>608</v>
      </c>
      <c r="N2318" s="7">
        <f t="shared" si="145"/>
        <v>668</v>
      </c>
      <c r="O2318" s="2">
        <v>30</v>
      </c>
      <c r="P2318" s="8">
        <f t="shared" si="146"/>
        <v>698</v>
      </c>
      <c r="Q2318" s="8">
        <f t="shared" si="147"/>
        <v>638</v>
      </c>
      <c r="R2318" s="2" t="s">
        <v>50</v>
      </c>
      <c r="S2318" s="9">
        <f>VLOOKUP(P2318,$T$2:U2315,2,1)</f>
        <v>0.02</v>
      </c>
    </row>
    <row r="2319" spans="1:19" x14ac:dyDescent="0.25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e">
        <f>VLOOKUP(F2319,'Customer Info'!A2311:I2810,2,0)</f>
        <v>#N/A</v>
      </c>
      <c r="H2319" s="6" t="e">
        <f>VLOOKUP(F2319,'Customer Info'!A2311:I2810,3,0)</f>
        <v>#N/A</v>
      </c>
      <c r="I2319" s="6" t="e">
        <f>VLOOKUP(F2319,'Customer Info'!A2311:I2810,5,0)</f>
        <v>#N/A</v>
      </c>
      <c r="J2319" s="2">
        <v>1619</v>
      </c>
      <c r="K2319" s="2">
        <v>1442</v>
      </c>
      <c r="L2319" s="2">
        <v>3</v>
      </c>
      <c r="M2319" s="7">
        <f t="shared" si="144"/>
        <v>4326</v>
      </c>
      <c r="N2319" s="7">
        <f t="shared" si="145"/>
        <v>4857</v>
      </c>
      <c r="O2319" s="2">
        <v>25</v>
      </c>
      <c r="P2319" s="8">
        <f t="shared" si="146"/>
        <v>4882</v>
      </c>
      <c r="Q2319" s="8">
        <f t="shared" si="147"/>
        <v>4832</v>
      </c>
      <c r="R2319" s="2" t="s">
        <v>28</v>
      </c>
      <c r="S2319" s="9">
        <f>VLOOKUP(P2319,$T$2:U2316,2,1)</f>
        <v>0.02</v>
      </c>
    </row>
    <row r="2320" spans="1:19" x14ac:dyDescent="0.25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e">
        <f>VLOOKUP(F2320,'Customer Info'!A2312:I2811,2,0)</f>
        <v>#N/A</v>
      </c>
      <c r="H2320" s="6" t="e">
        <f>VLOOKUP(F2320,'Customer Info'!A2312:I2811,3,0)</f>
        <v>#N/A</v>
      </c>
      <c r="I2320" s="6" t="e">
        <f>VLOOKUP(F2320,'Customer Info'!A2312:I2811,5,0)</f>
        <v>#N/A</v>
      </c>
      <c r="J2320" s="2">
        <v>7534</v>
      </c>
      <c r="K2320" s="2">
        <v>7106</v>
      </c>
      <c r="L2320" s="2">
        <v>2</v>
      </c>
      <c r="M2320" s="7">
        <f t="shared" si="144"/>
        <v>14212</v>
      </c>
      <c r="N2320" s="7">
        <f t="shared" si="145"/>
        <v>15068</v>
      </c>
      <c r="O2320" s="2">
        <v>76</v>
      </c>
      <c r="P2320" s="8">
        <f t="shared" si="146"/>
        <v>15144</v>
      </c>
      <c r="Q2320" s="8">
        <f t="shared" si="147"/>
        <v>14992</v>
      </c>
      <c r="R2320" s="2" t="s">
        <v>28</v>
      </c>
      <c r="S2320" s="9">
        <f>VLOOKUP(P2320,$T$2:U2317,2,1)</f>
        <v>0.05</v>
      </c>
    </row>
    <row r="2321" spans="1:19" x14ac:dyDescent="0.25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e">
        <f>VLOOKUP(F2321,'Customer Info'!A2313:I2812,2,0)</f>
        <v>#N/A</v>
      </c>
      <c r="H2321" s="6" t="e">
        <f>VLOOKUP(F2321,'Customer Info'!A2313:I2812,3,0)</f>
        <v>#N/A</v>
      </c>
      <c r="I2321" s="6" t="e">
        <f>VLOOKUP(F2321,'Customer Info'!A2313:I2812,5,0)</f>
        <v>#N/A</v>
      </c>
      <c r="J2321" s="2">
        <v>542</v>
      </c>
      <c r="K2321" s="2">
        <v>492</v>
      </c>
      <c r="L2321" s="2">
        <v>5</v>
      </c>
      <c r="M2321" s="7">
        <f t="shared" si="144"/>
        <v>2460</v>
      </c>
      <c r="N2321" s="7">
        <f t="shared" si="145"/>
        <v>2710</v>
      </c>
      <c r="O2321" s="2">
        <v>87</v>
      </c>
      <c r="P2321" s="8">
        <f t="shared" si="146"/>
        <v>2797</v>
      </c>
      <c r="Q2321" s="8">
        <f t="shared" si="147"/>
        <v>2623</v>
      </c>
      <c r="R2321" s="2" t="s">
        <v>56</v>
      </c>
      <c r="S2321" s="9">
        <f>VLOOKUP(P2321,$T$2:U2318,2,1)</f>
        <v>0.02</v>
      </c>
    </row>
    <row r="2322" spans="1:19" x14ac:dyDescent="0.25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e">
        <f>VLOOKUP(F2322,'Customer Info'!A2314:I2813,2,0)</f>
        <v>#N/A</v>
      </c>
      <c r="H2322" s="6" t="e">
        <f>VLOOKUP(F2322,'Customer Info'!A2314:I2813,3,0)</f>
        <v>#N/A</v>
      </c>
      <c r="I2322" s="6" t="e">
        <f>VLOOKUP(F2322,'Customer Info'!A2314:I2813,5,0)</f>
        <v>#N/A</v>
      </c>
      <c r="J2322" s="2">
        <v>1146</v>
      </c>
      <c r="K2322" s="2">
        <v>1061</v>
      </c>
      <c r="L2322" s="2">
        <v>4</v>
      </c>
      <c r="M2322" s="7">
        <f t="shared" si="144"/>
        <v>4244</v>
      </c>
      <c r="N2322" s="7">
        <f t="shared" si="145"/>
        <v>4584</v>
      </c>
      <c r="O2322" s="2">
        <v>70</v>
      </c>
      <c r="P2322" s="8">
        <f t="shared" si="146"/>
        <v>4654</v>
      </c>
      <c r="Q2322" s="8">
        <f t="shared" si="147"/>
        <v>4514</v>
      </c>
      <c r="R2322" s="2" t="s">
        <v>26</v>
      </c>
      <c r="S2322" s="9">
        <f>VLOOKUP(P2322,$T$2:U2319,2,1)</f>
        <v>0.02</v>
      </c>
    </row>
    <row r="2323" spans="1:19" x14ac:dyDescent="0.25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e">
        <f>VLOOKUP(F2323,'Customer Info'!A2315:I2814,2,0)</f>
        <v>#N/A</v>
      </c>
      <c r="H2323" s="6" t="e">
        <f>VLOOKUP(F2323,'Customer Info'!A2315:I2814,3,0)</f>
        <v>#N/A</v>
      </c>
      <c r="I2323" s="6" t="e">
        <f>VLOOKUP(F2323,'Customer Info'!A2315:I2814,5,0)</f>
        <v>#N/A</v>
      </c>
      <c r="J2323" s="2">
        <v>3091</v>
      </c>
      <c r="K2323" s="2">
        <v>2889</v>
      </c>
      <c r="L2323" s="2">
        <v>1</v>
      </c>
      <c r="M2323" s="7">
        <f t="shared" si="144"/>
        <v>2889</v>
      </c>
      <c r="N2323" s="7">
        <f t="shared" si="145"/>
        <v>3091</v>
      </c>
      <c r="O2323" s="2">
        <v>45</v>
      </c>
      <c r="P2323" s="8">
        <f t="shared" si="146"/>
        <v>3136</v>
      </c>
      <c r="Q2323" s="8">
        <f t="shared" si="147"/>
        <v>3046</v>
      </c>
      <c r="R2323" s="2" t="s">
        <v>28</v>
      </c>
      <c r="S2323" s="9">
        <f>VLOOKUP(P2323,$T$2:U2320,2,1)</f>
        <v>0.02</v>
      </c>
    </row>
    <row r="2324" spans="1:19" x14ac:dyDescent="0.25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e">
        <f>VLOOKUP(F2324,'Customer Info'!A2316:I2815,2,0)</f>
        <v>#N/A</v>
      </c>
      <c r="H2324" s="6" t="e">
        <f>VLOOKUP(F2324,'Customer Info'!A2316:I2815,3,0)</f>
        <v>#N/A</v>
      </c>
      <c r="I2324" s="6" t="e">
        <f>VLOOKUP(F2324,'Customer Info'!A2316:I2815,5,0)</f>
        <v>#N/A</v>
      </c>
      <c r="J2324" s="2">
        <v>191</v>
      </c>
      <c r="K2324" s="2">
        <v>170</v>
      </c>
      <c r="L2324" s="2">
        <v>1</v>
      </c>
      <c r="M2324" s="7">
        <f t="shared" si="144"/>
        <v>170</v>
      </c>
      <c r="N2324" s="7">
        <f t="shared" si="145"/>
        <v>191</v>
      </c>
      <c r="O2324" s="2">
        <v>30</v>
      </c>
      <c r="P2324" s="8">
        <f t="shared" si="146"/>
        <v>221</v>
      </c>
      <c r="Q2324" s="8">
        <f t="shared" si="147"/>
        <v>161</v>
      </c>
      <c r="R2324" s="2" t="s">
        <v>28</v>
      </c>
      <c r="S2324" s="9">
        <f>VLOOKUP(P2324,$T$2:U2321,2,1)</f>
        <v>0.02</v>
      </c>
    </row>
    <row r="2325" spans="1:19" x14ac:dyDescent="0.25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e">
        <f>VLOOKUP(F2325,'Customer Info'!A2317:I2816,2,0)</f>
        <v>#N/A</v>
      </c>
      <c r="H2325" s="6" t="e">
        <f>VLOOKUP(F2325,'Customer Info'!A2317:I2816,3,0)</f>
        <v>#N/A</v>
      </c>
      <c r="I2325" s="6" t="e">
        <f>VLOOKUP(F2325,'Customer Info'!A2317:I2816,5,0)</f>
        <v>#N/A</v>
      </c>
      <c r="J2325" s="2">
        <v>6027</v>
      </c>
      <c r="K2325" s="2">
        <v>5694</v>
      </c>
      <c r="L2325" s="2">
        <v>3</v>
      </c>
      <c r="M2325" s="7">
        <f t="shared" si="144"/>
        <v>17082</v>
      </c>
      <c r="N2325" s="7">
        <f t="shared" si="145"/>
        <v>18081</v>
      </c>
      <c r="O2325" s="2">
        <v>41</v>
      </c>
      <c r="P2325" s="8">
        <f t="shared" si="146"/>
        <v>18122</v>
      </c>
      <c r="Q2325" s="8">
        <f t="shared" si="147"/>
        <v>18040</v>
      </c>
      <c r="R2325" s="2" t="s">
        <v>28</v>
      </c>
      <c r="S2325" s="9">
        <f>VLOOKUP(P2325,$T$2:U2322,2,1)</f>
        <v>0.05</v>
      </c>
    </row>
    <row r="2326" spans="1:19" x14ac:dyDescent="0.25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e">
        <f>VLOOKUP(F2326,'Customer Info'!A2318:I2817,2,0)</f>
        <v>#N/A</v>
      </c>
      <c r="H2326" s="6" t="e">
        <f>VLOOKUP(F2326,'Customer Info'!A2318:I2817,3,0)</f>
        <v>#N/A</v>
      </c>
      <c r="I2326" s="6" t="e">
        <f>VLOOKUP(F2326,'Customer Info'!A2318:I2817,5,0)</f>
        <v>#N/A</v>
      </c>
      <c r="J2326" s="2">
        <v>38328</v>
      </c>
      <c r="K2326" s="2">
        <v>35164</v>
      </c>
      <c r="L2326" s="2">
        <v>1</v>
      </c>
      <c r="M2326" s="7">
        <f t="shared" si="144"/>
        <v>35164</v>
      </c>
      <c r="N2326" s="7">
        <f t="shared" si="145"/>
        <v>38328</v>
      </c>
      <c r="O2326" s="2">
        <v>34</v>
      </c>
      <c r="P2326" s="8">
        <f t="shared" si="146"/>
        <v>38362</v>
      </c>
      <c r="Q2326" s="8">
        <f t="shared" si="147"/>
        <v>38294</v>
      </c>
      <c r="R2326" s="2" t="s">
        <v>28</v>
      </c>
      <c r="S2326" s="9">
        <f>VLOOKUP(P2326,$T$2:U2323,2,1)</f>
        <v>7.0000000000000007E-2</v>
      </c>
    </row>
    <row r="2327" spans="1:19" x14ac:dyDescent="0.25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e">
        <f>VLOOKUP(F2327,'Customer Info'!A2319:I2818,2,0)</f>
        <v>#N/A</v>
      </c>
      <c r="H2327" s="6" t="e">
        <f>VLOOKUP(F2327,'Customer Info'!A2319:I2818,3,0)</f>
        <v>#N/A</v>
      </c>
      <c r="I2327" s="6" t="e">
        <f>VLOOKUP(F2327,'Customer Info'!A2319:I2818,5,0)</f>
        <v>#N/A</v>
      </c>
      <c r="J2327" s="2">
        <v>1498</v>
      </c>
      <c r="K2327" s="2">
        <v>1335</v>
      </c>
      <c r="L2327" s="2">
        <v>1</v>
      </c>
      <c r="M2327" s="7">
        <f t="shared" si="144"/>
        <v>1335</v>
      </c>
      <c r="N2327" s="7">
        <f t="shared" si="145"/>
        <v>1498</v>
      </c>
      <c r="O2327" s="2">
        <v>37</v>
      </c>
      <c r="P2327" s="8">
        <f t="shared" si="146"/>
        <v>1535</v>
      </c>
      <c r="Q2327" s="8">
        <f t="shared" si="147"/>
        <v>1461</v>
      </c>
      <c r="R2327" s="2" t="s">
        <v>28</v>
      </c>
      <c r="S2327" s="9">
        <f>VLOOKUP(P2327,$T$2:U2324,2,1)</f>
        <v>0.02</v>
      </c>
    </row>
    <row r="2328" spans="1:19" x14ac:dyDescent="0.25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e">
        <f>VLOOKUP(F2328,'Customer Info'!A2320:I2819,2,0)</f>
        <v>#N/A</v>
      </c>
      <c r="H2328" s="6" t="e">
        <f>VLOOKUP(F2328,'Customer Info'!A2320:I2819,3,0)</f>
        <v>#N/A</v>
      </c>
      <c r="I2328" s="6" t="e">
        <f>VLOOKUP(F2328,'Customer Info'!A2320:I2819,5,0)</f>
        <v>#N/A</v>
      </c>
      <c r="J2328" s="2">
        <v>3408</v>
      </c>
      <c r="K2328" s="2">
        <v>3215</v>
      </c>
      <c r="L2328" s="2">
        <v>4</v>
      </c>
      <c r="M2328" s="7">
        <f t="shared" si="144"/>
        <v>12860</v>
      </c>
      <c r="N2328" s="7">
        <f t="shared" si="145"/>
        <v>13632</v>
      </c>
      <c r="O2328" s="2">
        <v>48</v>
      </c>
      <c r="P2328" s="8">
        <f t="shared" si="146"/>
        <v>13680</v>
      </c>
      <c r="Q2328" s="8">
        <f t="shared" si="147"/>
        <v>13584</v>
      </c>
      <c r="R2328" s="2" t="s">
        <v>50</v>
      </c>
      <c r="S2328" s="9">
        <f>VLOOKUP(P2328,$T$2:U2325,2,1)</f>
        <v>0.05</v>
      </c>
    </row>
    <row r="2329" spans="1:19" x14ac:dyDescent="0.25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e">
        <f>VLOOKUP(F2329,'Customer Info'!A2321:I2820,2,0)</f>
        <v>#N/A</v>
      </c>
      <c r="H2329" s="6" t="e">
        <f>VLOOKUP(F2329,'Customer Info'!A2321:I2820,3,0)</f>
        <v>#N/A</v>
      </c>
      <c r="I2329" s="6" t="e">
        <f>VLOOKUP(F2329,'Customer Info'!A2321:I2820,5,0)</f>
        <v>#N/A</v>
      </c>
      <c r="J2329" s="2">
        <v>63</v>
      </c>
      <c r="K2329" s="2">
        <v>58</v>
      </c>
      <c r="L2329" s="2">
        <v>9</v>
      </c>
      <c r="M2329" s="7">
        <f t="shared" si="144"/>
        <v>522</v>
      </c>
      <c r="N2329" s="7">
        <f t="shared" si="145"/>
        <v>567</v>
      </c>
      <c r="O2329" s="2">
        <v>10</v>
      </c>
      <c r="P2329" s="8">
        <f t="shared" si="146"/>
        <v>577</v>
      </c>
      <c r="Q2329" s="8">
        <f t="shared" si="147"/>
        <v>557</v>
      </c>
      <c r="R2329" s="2" t="s">
        <v>28</v>
      </c>
      <c r="S2329" s="9">
        <f>VLOOKUP(P2329,$T$2:U2326,2,1)</f>
        <v>0.02</v>
      </c>
    </row>
    <row r="2330" spans="1:19" x14ac:dyDescent="0.25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e">
        <f>VLOOKUP(F2330,'Customer Info'!A2322:I2821,2,0)</f>
        <v>#N/A</v>
      </c>
      <c r="H2330" s="6" t="e">
        <f>VLOOKUP(F2330,'Customer Info'!A2322:I2821,3,0)</f>
        <v>#N/A</v>
      </c>
      <c r="I2330" s="6" t="e">
        <f>VLOOKUP(F2330,'Customer Info'!A2322:I2821,5,0)</f>
        <v>#N/A</v>
      </c>
      <c r="J2330" s="2">
        <v>1623</v>
      </c>
      <c r="K2330" s="2">
        <v>1546</v>
      </c>
      <c r="L2330" s="2">
        <v>3</v>
      </c>
      <c r="M2330" s="7">
        <f t="shared" si="144"/>
        <v>4638</v>
      </c>
      <c r="N2330" s="7">
        <f t="shared" si="145"/>
        <v>4869</v>
      </c>
      <c r="O2330" s="2">
        <v>48</v>
      </c>
      <c r="P2330" s="8">
        <f t="shared" si="146"/>
        <v>4917</v>
      </c>
      <c r="Q2330" s="8">
        <f t="shared" si="147"/>
        <v>4821</v>
      </c>
      <c r="R2330" s="2" t="s">
        <v>28</v>
      </c>
      <c r="S2330" s="9">
        <f>VLOOKUP(P2330,$T$2:U2327,2,1)</f>
        <v>0.02</v>
      </c>
    </row>
    <row r="2331" spans="1:19" x14ac:dyDescent="0.25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e">
        <f>VLOOKUP(F2331,'Customer Info'!A2323:I2822,2,0)</f>
        <v>#N/A</v>
      </c>
      <c r="H2331" s="6" t="e">
        <f>VLOOKUP(F2331,'Customer Info'!A2323:I2822,3,0)</f>
        <v>#N/A</v>
      </c>
      <c r="I2331" s="6" t="e">
        <f>VLOOKUP(F2331,'Customer Info'!A2323:I2822,5,0)</f>
        <v>#N/A</v>
      </c>
      <c r="J2331" s="2">
        <v>8379</v>
      </c>
      <c r="K2331" s="2">
        <v>8061</v>
      </c>
      <c r="L2331" s="2">
        <v>2</v>
      </c>
      <c r="M2331" s="7">
        <f t="shared" si="144"/>
        <v>16122</v>
      </c>
      <c r="N2331" s="7">
        <f t="shared" si="145"/>
        <v>16758</v>
      </c>
      <c r="O2331" s="2">
        <v>98</v>
      </c>
      <c r="P2331" s="8">
        <f t="shared" si="146"/>
        <v>16856</v>
      </c>
      <c r="Q2331" s="8">
        <f t="shared" si="147"/>
        <v>16660</v>
      </c>
      <c r="R2331" s="2" t="s">
        <v>50</v>
      </c>
      <c r="S2331" s="9">
        <f>VLOOKUP(P2331,$T$2:U2328,2,1)</f>
        <v>0.05</v>
      </c>
    </row>
    <row r="2332" spans="1:19" x14ac:dyDescent="0.25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e">
        <f>VLOOKUP(F2332,'Customer Info'!A2324:I2823,2,0)</f>
        <v>#N/A</v>
      </c>
      <c r="H2332" s="6" t="e">
        <f>VLOOKUP(F2332,'Customer Info'!A2324:I2823,3,0)</f>
        <v>#N/A</v>
      </c>
      <c r="I2332" s="6" t="e">
        <f>VLOOKUP(F2332,'Customer Info'!A2324:I2823,5,0)</f>
        <v>#N/A</v>
      </c>
      <c r="J2332" s="2">
        <v>1809</v>
      </c>
      <c r="K2332" s="2">
        <v>1691</v>
      </c>
      <c r="L2332" s="2">
        <v>1</v>
      </c>
      <c r="M2332" s="7">
        <f t="shared" si="144"/>
        <v>1691</v>
      </c>
      <c r="N2332" s="7">
        <f t="shared" si="145"/>
        <v>1809</v>
      </c>
      <c r="O2332" s="2">
        <v>32</v>
      </c>
      <c r="P2332" s="8">
        <f t="shared" si="146"/>
        <v>1841</v>
      </c>
      <c r="Q2332" s="8">
        <f t="shared" si="147"/>
        <v>1777</v>
      </c>
      <c r="R2332" s="2" t="s">
        <v>28</v>
      </c>
      <c r="S2332" s="9">
        <f>VLOOKUP(P2332,$T$2:U2329,2,1)</f>
        <v>0.02</v>
      </c>
    </row>
    <row r="2333" spans="1:19" x14ac:dyDescent="0.25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e">
        <f>VLOOKUP(F2333,'Customer Info'!A2325:I2824,2,0)</f>
        <v>#N/A</v>
      </c>
      <c r="H2333" s="6" t="e">
        <f>VLOOKUP(F2333,'Customer Info'!A2325:I2824,3,0)</f>
        <v>#N/A</v>
      </c>
      <c r="I2333" s="6" t="e">
        <f>VLOOKUP(F2333,'Customer Info'!A2325:I2824,5,0)</f>
        <v>#N/A</v>
      </c>
      <c r="J2333" s="2">
        <v>511</v>
      </c>
      <c r="K2333" s="2">
        <v>468</v>
      </c>
      <c r="L2333" s="2">
        <v>3</v>
      </c>
      <c r="M2333" s="7">
        <f t="shared" si="144"/>
        <v>1404</v>
      </c>
      <c r="N2333" s="7">
        <f t="shared" si="145"/>
        <v>1533</v>
      </c>
      <c r="O2333" s="2">
        <v>88</v>
      </c>
      <c r="P2333" s="8">
        <f t="shared" si="146"/>
        <v>1621</v>
      </c>
      <c r="Q2333" s="8">
        <f t="shared" si="147"/>
        <v>1445</v>
      </c>
      <c r="R2333" s="2" t="s">
        <v>50</v>
      </c>
      <c r="S2333" s="9">
        <f>VLOOKUP(P2333,$T$2:U2330,2,1)</f>
        <v>0.02</v>
      </c>
    </row>
    <row r="2334" spans="1:19" x14ac:dyDescent="0.25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e">
        <f>VLOOKUP(F2334,'Customer Info'!A2326:I2825,2,0)</f>
        <v>#N/A</v>
      </c>
      <c r="H2334" s="6" t="e">
        <f>VLOOKUP(F2334,'Customer Info'!A2326:I2825,3,0)</f>
        <v>#N/A</v>
      </c>
      <c r="I2334" s="6" t="e">
        <f>VLOOKUP(F2334,'Customer Info'!A2326:I2825,5,0)</f>
        <v>#N/A</v>
      </c>
      <c r="J2334" s="2">
        <v>8619</v>
      </c>
      <c r="K2334" s="2">
        <v>7759</v>
      </c>
      <c r="L2334" s="2">
        <v>5</v>
      </c>
      <c r="M2334" s="7">
        <f t="shared" si="144"/>
        <v>38795</v>
      </c>
      <c r="N2334" s="7">
        <f t="shared" si="145"/>
        <v>43095</v>
      </c>
      <c r="O2334" s="2">
        <v>73</v>
      </c>
      <c r="P2334" s="8">
        <f t="shared" si="146"/>
        <v>43168</v>
      </c>
      <c r="Q2334" s="8">
        <f t="shared" si="147"/>
        <v>43022</v>
      </c>
      <c r="R2334" s="2" t="s">
        <v>50</v>
      </c>
      <c r="S2334" s="9">
        <f>VLOOKUP(P2334,$T$2:U2331,2,1)</f>
        <v>7.0000000000000007E-2</v>
      </c>
    </row>
    <row r="2335" spans="1:19" x14ac:dyDescent="0.25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e">
        <f>VLOOKUP(F2335,'Customer Info'!A2327:I2826,2,0)</f>
        <v>#N/A</v>
      </c>
      <c r="H2335" s="6" t="e">
        <f>VLOOKUP(F2335,'Customer Info'!A2327:I2826,3,0)</f>
        <v>#N/A</v>
      </c>
      <c r="I2335" s="6" t="e">
        <f>VLOOKUP(F2335,'Customer Info'!A2327:I2826,5,0)</f>
        <v>#N/A</v>
      </c>
      <c r="J2335" s="2">
        <v>5836</v>
      </c>
      <c r="K2335" s="2">
        <v>5457</v>
      </c>
      <c r="L2335" s="2">
        <v>6</v>
      </c>
      <c r="M2335" s="7">
        <f t="shared" si="144"/>
        <v>32742</v>
      </c>
      <c r="N2335" s="7">
        <f t="shared" si="145"/>
        <v>35016</v>
      </c>
      <c r="O2335" s="2">
        <v>61</v>
      </c>
      <c r="P2335" s="8">
        <f t="shared" si="146"/>
        <v>35077</v>
      </c>
      <c r="Q2335" s="8">
        <f t="shared" si="147"/>
        <v>34955</v>
      </c>
      <c r="R2335" s="2" t="s">
        <v>28</v>
      </c>
      <c r="S2335" s="9">
        <f>VLOOKUP(P2335,$T$2:U2332,2,1)</f>
        <v>7.0000000000000007E-2</v>
      </c>
    </row>
    <row r="2336" spans="1:19" x14ac:dyDescent="0.25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e">
        <f>VLOOKUP(F2336,'Customer Info'!A2328:I2827,2,0)</f>
        <v>#N/A</v>
      </c>
      <c r="H2336" s="6" t="e">
        <f>VLOOKUP(F2336,'Customer Info'!A2328:I2827,3,0)</f>
        <v>#N/A</v>
      </c>
      <c r="I2336" s="6" t="e">
        <f>VLOOKUP(F2336,'Customer Info'!A2328:I2827,5,0)</f>
        <v>#N/A</v>
      </c>
      <c r="J2336" s="2">
        <v>2706</v>
      </c>
      <c r="K2336" s="2">
        <v>2553</v>
      </c>
      <c r="L2336" s="2">
        <v>1</v>
      </c>
      <c r="M2336" s="7">
        <f t="shared" si="144"/>
        <v>2553</v>
      </c>
      <c r="N2336" s="7">
        <f t="shared" si="145"/>
        <v>2706</v>
      </c>
      <c r="O2336" s="2">
        <v>56</v>
      </c>
      <c r="P2336" s="8">
        <f t="shared" si="146"/>
        <v>2762</v>
      </c>
      <c r="Q2336" s="8">
        <f t="shared" si="147"/>
        <v>2650</v>
      </c>
      <c r="R2336" s="2" t="s">
        <v>50</v>
      </c>
      <c r="S2336" s="9">
        <f>VLOOKUP(P2336,$T$2:U2333,2,1)</f>
        <v>0.02</v>
      </c>
    </row>
    <row r="2337" spans="1:19" x14ac:dyDescent="0.25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e">
        <f>VLOOKUP(F2337,'Customer Info'!A2329:I2828,2,0)</f>
        <v>#N/A</v>
      </c>
      <c r="H2337" s="6" t="e">
        <f>VLOOKUP(F2337,'Customer Info'!A2329:I2828,3,0)</f>
        <v>#N/A</v>
      </c>
      <c r="I2337" s="6" t="e">
        <f>VLOOKUP(F2337,'Customer Info'!A2329:I2828,5,0)</f>
        <v>#N/A</v>
      </c>
      <c r="J2337" s="2">
        <v>458</v>
      </c>
      <c r="K2337" s="2">
        <v>419</v>
      </c>
      <c r="L2337" s="2">
        <v>7</v>
      </c>
      <c r="M2337" s="7">
        <f t="shared" si="144"/>
        <v>2933</v>
      </c>
      <c r="N2337" s="7">
        <f t="shared" si="145"/>
        <v>3206</v>
      </c>
      <c r="O2337" s="2">
        <v>32</v>
      </c>
      <c r="P2337" s="8">
        <f t="shared" si="146"/>
        <v>3238</v>
      </c>
      <c r="Q2337" s="8">
        <f t="shared" si="147"/>
        <v>3174</v>
      </c>
      <c r="R2337" s="2" t="s">
        <v>28</v>
      </c>
      <c r="S2337" s="9">
        <f>VLOOKUP(P2337,$T$2:U2334,2,1)</f>
        <v>0.02</v>
      </c>
    </row>
    <row r="2338" spans="1:19" x14ac:dyDescent="0.25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e">
        <f>VLOOKUP(F2338,'Customer Info'!A2330:I2829,2,0)</f>
        <v>#N/A</v>
      </c>
      <c r="H2338" s="6" t="e">
        <f>VLOOKUP(F2338,'Customer Info'!A2330:I2829,3,0)</f>
        <v>#N/A</v>
      </c>
      <c r="I2338" s="6" t="e">
        <f>VLOOKUP(F2338,'Customer Info'!A2330:I2829,5,0)</f>
        <v>#N/A</v>
      </c>
      <c r="J2338" s="2">
        <v>8619</v>
      </c>
      <c r="K2338" s="2">
        <v>7759</v>
      </c>
      <c r="L2338" s="2">
        <v>3</v>
      </c>
      <c r="M2338" s="7">
        <f t="shared" si="144"/>
        <v>23277</v>
      </c>
      <c r="N2338" s="7">
        <f t="shared" si="145"/>
        <v>25857</v>
      </c>
      <c r="O2338" s="2">
        <v>60</v>
      </c>
      <c r="P2338" s="8">
        <f t="shared" si="146"/>
        <v>25917</v>
      </c>
      <c r="Q2338" s="8">
        <f t="shared" si="147"/>
        <v>25797</v>
      </c>
      <c r="R2338" s="2" t="s">
        <v>28</v>
      </c>
      <c r="S2338" s="9">
        <f>VLOOKUP(P2338,$T$2:U2335,2,1)</f>
        <v>7.0000000000000007E-2</v>
      </c>
    </row>
    <row r="2339" spans="1:19" x14ac:dyDescent="0.25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e">
        <f>VLOOKUP(F2339,'Customer Info'!A2331:I2830,2,0)</f>
        <v>#N/A</v>
      </c>
      <c r="H2339" s="6" t="e">
        <f>VLOOKUP(F2339,'Customer Info'!A2331:I2830,3,0)</f>
        <v>#N/A</v>
      </c>
      <c r="I2339" s="6" t="e">
        <f>VLOOKUP(F2339,'Customer Info'!A2331:I2830,5,0)</f>
        <v>#N/A</v>
      </c>
      <c r="J2339" s="2">
        <v>143</v>
      </c>
      <c r="K2339" s="2">
        <v>137</v>
      </c>
      <c r="L2339" s="2">
        <v>7</v>
      </c>
      <c r="M2339" s="7">
        <f t="shared" si="144"/>
        <v>959</v>
      </c>
      <c r="N2339" s="7">
        <f t="shared" si="145"/>
        <v>1001</v>
      </c>
      <c r="O2339" s="2">
        <v>30</v>
      </c>
      <c r="P2339" s="8">
        <f t="shared" si="146"/>
        <v>1031</v>
      </c>
      <c r="Q2339" s="8">
        <f t="shared" si="147"/>
        <v>971</v>
      </c>
      <c r="R2339" s="2" t="s">
        <v>28</v>
      </c>
      <c r="S2339" s="9">
        <f>VLOOKUP(P2339,$T$2:U2336,2,1)</f>
        <v>0.02</v>
      </c>
    </row>
    <row r="2340" spans="1:19" x14ac:dyDescent="0.25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e">
        <f>VLOOKUP(F2340,'Customer Info'!A2332:I2831,2,0)</f>
        <v>#N/A</v>
      </c>
      <c r="H2340" s="6" t="e">
        <f>VLOOKUP(F2340,'Customer Info'!A2332:I2831,3,0)</f>
        <v>#N/A</v>
      </c>
      <c r="I2340" s="6" t="e">
        <f>VLOOKUP(F2340,'Customer Info'!A2332:I2831,5,0)</f>
        <v>#N/A</v>
      </c>
      <c r="J2340" s="2">
        <v>5848</v>
      </c>
      <c r="K2340" s="2">
        <v>5214</v>
      </c>
      <c r="L2340" s="2">
        <v>1</v>
      </c>
      <c r="M2340" s="7">
        <f t="shared" si="144"/>
        <v>5214</v>
      </c>
      <c r="N2340" s="7">
        <f t="shared" si="145"/>
        <v>5848</v>
      </c>
      <c r="O2340" s="2">
        <v>61</v>
      </c>
      <c r="P2340" s="8">
        <f t="shared" si="146"/>
        <v>5909</v>
      </c>
      <c r="Q2340" s="8">
        <f t="shared" si="147"/>
        <v>5787</v>
      </c>
      <c r="R2340" s="2" t="s">
        <v>28</v>
      </c>
      <c r="S2340" s="9">
        <f>VLOOKUP(P2340,$T$2:U2337,2,1)</f>
        <v>0.05</v>
      </c>
    </row>
    <row r="2341" spans="1:19" x14ac:dyDescent="0.25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e">
        <f>VLOOKUP(F2341,'Customer Info'!A2333:I2832,2,0)</f>
        <v>#N/A</v>
      </c>
      <c r="H2341" s="6" t="e">
        <f>VLOOKUP(F2341,'Customer Info'!A2333:I2832,3,0)</f>
        <v>#N/A</v>
      </c>
      <c r="I2341" s="6" t="e">
        <f>VLOOKUP(F2341,'Customer Info'!A2333:I2832,5,0)</f>
        <v>#N/A</v>
      </c>
      <c r="J2341" s="2">
        <v>1798</v>
      </c>
      <c r="K2341" s="2">
        <v>1650</v>
      </c>
      <c r="L2341" s="2">
        <v>5</v>
      </c>
      <c r="M2341" s="7">
        <f t="shared" si="144"/>
        <v>8250</v>
      </c>
      <c r="N2341" s="7">
        <f t="shared" si="145"/>
        <v>8990</v>
      </c>
      <c r="O2341" s="2">
        <v>24</v>
      </c>
      <c r="P2341" s="8">
        <f t="shared" si="146"/>
        <v>9014</v>
      </c>
      <c r="Q2341" s="8">
        <f t="shared" si="147"/>
        <v>8966</v>
      </c>
      <c r="R2341" s="2" t="s">
        <v>26</v>
      </c>
      <c r="S2341" s="9">
        <f>VLOOKUP(P2341,$T$2:U2338,2,1)</f>
        <v>0.05</v>
      </c>
    </row>
    <row r="2342" spans="1:19" x14ac:dyDescent="0.25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e">
        <f>VLOOKUP(F2342,'Customer Info'!A2334:I2833,2,0)</f>
        <v>#N/A</v>
      </c>
      <c r="H2342" s="6" t="e">
        <f>VLOOKUP(F2342,'Customer Info'!A2334:I2833,3,0)</f>
        <v>#N/A</v>
      </c>
      <c r="I2342" s="6" t="e">
        <f>VLOOKUP(F2342,'Customer Info'!A2334:I2833,5,0)</f>
        <v>#N/A</v>
      </c>
      <c r="J2342" s="2">
        <v>194</v>
      </c>
      <c r="K2342" s="2">
        <v>176</v>
      </c>
      <c r="L2342" s="2">
        <v>2</v>
      </c>
      <c r="M2342" s="7">
        <f t="shared" si="144"/>
        <v>352</v>
      </c>
      <c r="N2342" s="7">
        <f t="shared" si="145"/>
        <v>388</v>
      </c>
      <c r="O2342" s="2">
        <v>30</v>
      </c>
      <c r="P2342" s="8">
        <f t="shared" si="146"/>
        <v>418</v>
      </c>
      <c r="Q2342" s="8">
        <f t="shared" si="147"/>
        <v>358</v>
      </c>
      <c r="R2342" s="2" t="s">
        <v>50</v>
      </c>
      <c r="S2342" s="9">
        <f>VLOOKUP(P2342,$T$2:U2339,2,1)</f>
        <v>0.02</v>
      </c>
    </row>
    <row r="2343" spans="1:19" x14ac:dyDescent="0.25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e">
        <f>VLOOKUP(F2343,'Customer Info'!A2335:I2834,2,0)</f>
        <v>#N/A</v>
      </c>
      <c r="H2343" s="6" t="e">
        <f>VLOOKUP(F2343,'Customer Info'!A2335:I2834,3,0)</f>
        <v>#N/A</v>
      </c>
      <c r="I2343" s="6" t="e">
        <f>VLOOKUP(F2343,'Customer Info'!A2335:I2834,5,0)</f>
        <v>#N/A</v>
      </c>
      <c r="J2343" s="2">
        <v>77</v>
      </c>
      <c r="K2343" s="2">
        <v>73</v>
      </c>
      <c r="L2343" s="2">
        <v>4</v>
      </c>
      <c r="M2343" s="7">
        <f t="shared" si="144"/>
        <v>292</v>
      </c>
      <c r="N2343" s="7">
        <f t="shared" si="145"/>
        <v>308</v>
      </c>
      <c r="O2343" s="2">
        <v>10</v>
      </c>
      <c r="P2343" s="8">
        <f t="shared" si="146"/>
        <v>318</v>
      </c>
      <c r="Q2343" s="8">
        <f t="shared" si="147"/>
        <v>298</v>
      </c>
      <c r="R2343" s="2" t="s">
        <v>28</v>
      </c>
      <c r="S2343" s="9">
        <f>VLOOKUP(P2343,$T$2:U2340,2,1)</f>
        <v>0.02</v>
      </c>
    </row>
    <row r="2344" spans="1:19" x14ac:dyDescent="0.25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e">
        <f>VLOOKUP(F2344,'Customer Info'!A2336:I2835,2,0)</f>
        <v>#N/A</v>
      </c>
      <c r="H2344" s="6" t="e">
        <f>VLOOKUP(F2344,'Customer Info'!A2336:I2835,3,0)</f>
        <v>#N/A</v>
      </c>
      <c r="I2344" s="6" t="e">
        <f>VLOOKUP(F2344,'Customer Info'!A2336:I2835,5,0)</f>
        <v>#N/A</v>
      </c>
      <c r="J2344" s="2">
        <v>400</v>
      </c>
      <c r="K2344" s="2">
        <v>360</v>
      </c>
      <c r="L2344" s="2">
        <v>14</v>
      </c>
      <c r="M2344" s="7">
        <f t="shared" si="144"/>
        <v>5040</v>
      </c>
      <c r="N2344" s="7">
        <f t="shared" si="145"/>
        <v>5600</v>
      </c>
      <c r="O2344" s="2">
        <v>51</v>
      </c>
      <c r="P2344" s="8">
        <f t="shared" si="146"/>
        <v>5651</v>
      </c>
      <c r="Q2344" s="8">
        <f t="shared" si="147"/>
        <v>5549</v>
      </c>
      <c r="R2344" s="2" t="s">
        <v>28</v>
      </c>
      <c r="S2344" s="9">
        <f>VLOOKUP(P2344,$T$2:U2341,2,1)</f>
        <v>0.05</v>
      </c>
    </row>
    <row r="2345" spans="1:19" x14ac:dyDescent="0.25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e">
        <f>VLOOKUP(F2345,'Customer Info'!A2337:I2836,2,0)</f>
        <v>#N/A</v>
      </c>
      <c r="H2345" s="6" t="e">
        <f>VLOOKUP(F2345,'Customer Info'!A2337:I2836,3,0)</f>
        <v>#N/A</v>
      </c>
      <c r="I2345" s="6" t="e">
        <f>VLOOKUP(F2345,'Customer Info'!A2337:I2836,5,0)</f>
        <v>#N/A</v>
      </c>
      <c r="J2345" s="2">
        <v>8351</v>
      </c>
      <c r="K2345" s="2">
        <v>8033</v>
      </c>
      <c r="L2345" s="2">
        <v>13</v>
      </c>
      <c r="M2345" s="7">
        <f t="shared" si="144"/>
        <v>104429</v>
      </c>
      <c r="N2345" s="7">
        <f t="shared" si="145"/>
        <v>108563</v>
      </c>
      <c r="O2345" s="2">
        <v>29</v>
      </c>
      <c r="P2345" s="8">
        <f t="shared" si="146"/>
        <v>108592</v>
      </c>
      <c r="Q2345" s="8">
        <f t="shared" si="147"/>
        <v>108534</v>
      </c>
      <c r="R2345" s="2" t="s">
        <v>50</v>
      </c>
      <c r="S2345" s="9">
        <f>VLOOKUP(P2345,$T$2:U2342,2,1)</f>
        <v>0.12</v>
      </c>
    </row>
    <row r="2346" spans="1:19" x14ac:dyDescent="0.25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e">
        <f>VLOOKUP(F2346,'Customer Info'!A2338:I2837,2,0)</f>
        <v>#N/A</v>
      </c>
      <c r="H2346" s="6" t="e">
        <f>VLOOKUP(F2346,'Customer Info'!A2338:I2837,3,0)</f>
        <v>#N/A</v>
      </c>
      <c r="I2346" s="6" t="e">
        <f>VLOOKUP(F2346,'Customer Info'!A2338:I2837,5,0)</f>
        <v>#N/A</v>
      </c>
      <c r="J2346" s="2">
        <v>2759</v>
      </c>
      <c r="K2346" s="2">
        <v>2628</v>
      </c>
      <c r="L2346" s="2">
        <v>11</v>
      </c>
      <c r="M2346" s="7">
        <f t="shared" si="144"/>
        <v>28908</v>
      </c>
      <c r="N2346" s="7">
        <f t="shared" si="145"/>
        <v>30349</v>
      </c>
      <c r="O2346" s="2">
        <v>95</v>
      </c>
      <c r="P2346" s="8">
        <f t="shared" si="146"/>
        <v>30444</v>
      </c>
      <c r="Q2346" s="8">
        <f t="shared" si="147"/>
        <v>30254</v>
      </c>
      <c r="R2346" s="2" t="s">
        <v>28</v>
      </c>
      <c r="S2346" s="9">
        <f>VLOOKUP(P2346,$T$2:U2343,2,1)</f>
        <v>7.0000000000000007E-2</v>
      </c>
    </row>
    <row r="2347" spans="1:19" x14ac:dyDescent="0.25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e">
        <f>VLOOKUP(F2347,'Customer Info'!A2339:I2838,2,0)</f>
        <v>#N/A</v>
      </c>
      <c r="H2347" s="6" t="e">
        <f>VLOOKUP(F2347,'Customer Info'!A2339:I2838,3,0)</f>
        <v>#N/A</v>
      </c>
      <c r="I2347" s="6" t="e">
        <f>VLOOKUP(F2347,'Customer Info'!A2339:I2838,5,0)</f>
        <v>#N/A</v>
      </c>
      <c r="J2347" s="2">
        <v>2365</v>
      </c>
      <c r="K2347" s="2">
        <v>2232</v>
      </c>
      <c r="L2347" s="2">
        <v>2</v>
      </c>
      <c r="M2347" s="7">
        <f t="shared" si="144"/>
        <v>4464</v>
      </c>
      <c r="N2347" s="7">
        <f t="shared" si="145"/>
        <v>4730</v>
      </c>
      <c r="O2347" s="2">
        <v>50</v>
      </c>
      <c r="P2347" s="8">
        <f t="shared" si="146"/>
        <v>4780</v>
      </c>
      <c r="Q2347" s="8">
        <f t="shared" si="147"/>
        <v>4680</v>
      </c>
      <c r="R2347" s="2" t="s">
        <v>26</v>
      </c>
      <c r="S2347" s="9">
        <f>VLOOKUP(P2347,$T$2:U2344,2,1)</f>
        <v>0.02</v>
      </c>
    </row>
    <row r="2348" spans="1:19" x14ac:dyDescent="0.25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e">
        <f>VLOOKUP(F2348,'Customer Info'!A2340:I2839,2,0)</f>
        <v>#N/A</v>
      </c>
      <c r="H2348" s="6" t="e">
        <f>VLOOKUP(F2348,'Customer Info'!A2340:I2839,3,0)</f>
        <v>#N/A</v>
      </c>
      <c r="I2348" s="6" t="e">
        <f>VLOOKUP(F2348,'Customer Info'!A2340:I2839,5,0)</f>
        <v>#N/A</v>
      </c>
      <c r="J2348" s="2">
        <v>63</v>
      </c>
      <c r="K2348" s="2">
        <v>58</v>
      </c>
      <c r="L2348" s="2">
        <v>9</v>
      </c>
      <c r="M2348" s="7">
        <f t="shared" si="144"/>
        <v>522</v>
      </c>
      <c r="N2348" s="7">
        <f t="shared" si="145"/>
        <v>567</v>
      </c>
      <c r="O2348" s="2">
        <v>10</v>
      </c>
      <c r="P2348" s="8">
        <f t="shared" si="146"/>
        <v>577</v>
      </c>
      <c r="Q2348" s="8">
        <f t="shared" si="147"/>
        <v>557</v>
      </c>
      <c r="R2348" s="2" t="s">
        <v>28</v>
      </c>
      <c r="S2348" s="9">
        <f>VLOOKUP(P2348,$T$2:U2345,2,1)</f>
        <v>0.02</v>
      </c>
    </row>
    <row r="2349" spans="1:19" x14ac:dyDescent="0.25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e">
        <f>VLOOKUP(F2349,'Customer Info'!A2341:I2840,2,0)</f>
        <v>#N/A</v>
      </c>
      <c r="H2349" s="6" t="e">
        <f>VLOOKUP(F2349,'Customer Info'!A2341:I2840,3,0)</f>
        <v>#N/A</v>
      </c>
      <c r="I2349" s="6" t="e">
        <f>VLOOKUP(F2349,'Customer Info'!A2341:I2840,5,0)</f>
        <v>#N/A</v>
      </c>
      <c r="J2349" s="2">
        <v>1704</v>
      </c>
      <c r="K2349" s="2">
        <v>1624</v>
      </c>
      <c r="L2349" s="2">
        <v>1</v>
      </c>
      <c r="M2349" s="7">
        <f t="shared" si="144"/>
        <v>1624</v>
      </c>
      <c r="N2349" s="7">
        <f t="shared" si="145"/>
        <v>1704</v>
      </c>
      <c r="O2349" s="2">
        <v>60</v>
      </c>
      <c r="P2349" s="8">
        <f t="shared" si="146"/>
        <v>1764</v>
      </c>
      <c r="Q2349" s="8">
        <f t="shared" si="147"/>
        <v>1644</v>
      </c>
      <c r="R2349" s="2" t="s">
        <v>26</v>
      </c>
      <c r="S2349" s="9">
        <f>VLOOKUP(P2349,$T$2:U2346,2,1)</f>
        <v>0.02</v>
      </c>
    </row>
    <row r="2350" spans="1:19" x14ac:dyDescent="0.25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e">
        <f>VLOOKUP(F2350,'Customer Info'!A2342:I2841,2,0)</f>
        <v>#N/A</v>
      </c>
      <c r="H2350" s="6" t="e">
        <f>VLOOKUP(F2350,'Customer Info'!A2342:I2841,3,0)</f>
        <v>#N/A</v>
      </c>
      <c r="I2350" s="6" t="e">
        <f>VLOOKUP(F2350,'Customer Info'!A2342:I2841,5,0)</f>
        <v>#N/A</v>
      </c>
      <c r="J2350" s="2">
        <v>170</v>
      </c>
      <c r="K2350" s="2">
        <v>160</v>
      </c>
      <c r="L2350" s="2">
        <v>4</v>
      </c>
      <c r="M2350" s="7">
        <f t="shared" si="144"/>
        <v>640</v>
      </c>
      <c r="N2350" s="7">
        <f t="shared" si="145"/>
        <v>680</v>
      </c>
      <c r="O2350" s="2">
        <v>30</v>
      </c>
      <c r="P2350" s="8">
        <f t="shared" si="146"/>
        <v>710</v>
      </c>
      <c r="Q2350" s="8">
        <f t="shared" si="147"/>
        <v>650</v>
      </c>
      <c r="R2350" s="2" t="s">
        <v>50</v>
      </c>
      <c r="S2350" s="9">
        <f>VLOOKUP(P2350,$T$2:U2347,2,1)</f>
        <v>0.02</v>
      </c>
    </row>
    <row r="2351" spans="1:19" x14ac:dyDescent="0.25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e">
        <f>VLOOKUP(F2351,'Customer Info'!A2343:I2842,2,0)</f>
        <v>#N/A</v>
      </c>
      <c r="H2351" s="6" t="e">
        <f>VLOOKUP(F2351,'Customer Info'!A2343:I2842,3,0)</f>
        <v>#N/A</v>
      </c>
      <c r="I2351" s="6" t="e">
        <f>VLOOKUP(F2351,'Customer Info'!A2343:I2842,5,0)</f>
        <v>#N/A</v>
      </c>
      <c r="J2351" s="2">
        <v>3224</v>
      </c>
      <c r="K2351" s="2">
        <v>2984</v>
      </c>
      <c r="L2351" s="2">
        <v>1</v>
      </c>
      <c r="M2351" s="7">
        <f t="shared" si="144"/>
        <v>2984</v>
      </c>
      <c r="N2351" s="7">
        <f t="shared" si="145"/>
        <v>3224</v>
      </c>
      <c r="O2351" s="2">
        <v>38</v>
      </c>
      <c r="P2351" s="8">
        <f t="shared" si="146"/>
        <v>3262</v>
      </c>
      <c r="Q2351" s="8">
        <f t="shared" si="147"/>
        <v>3186</v>
      </c>
      <c r="R2351" s="2" t="s">
        <v>26</v>
      </c>
      <c r="S2351" s="9">
        <f>VLOOKUP(P2351,$T$2:U2348,2,1)</f>
        <v>0.02</v>
      </c>
    </row>
    <row r="2352" spans="1:19" x14ac:dyDescent="0.25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e">
        <f>VLOOKUP(F2352,'Customer Info'!A2344:I2843,2,0)</f>
        <v>#N/A</v>
      </c>
      <c r="H2352" s="6" t="e">
        <f>VLOOKUP(F2352,'Customer Info'!A2344:I2843,3,0)</f>
        <v>#N/A</v>
      </c>
      <c r="I2352" s="6" t="e">
        <f>VLOOKUP(F2352,'Customer Info'!A2344:I2843,5,0)</f>
        <v>#N/A</v>
      </c>
      <c r="J2352" s="2">
        <v>220</v>
      </c>
      <c r="K2352" s="2">
        <v>206</v>
      </c>
      <c r="L2352" s="2">
        <v>4</v>
      </c>
      <c r="M2352" s="7">
        <f t="shared" si="144"/>
        <v>824</v>
      </c>
      <c r="N2352" s="7">
        <f t="shared" si="145"/>
        <v>880</v>
      </c>
      <c r="O2352" s="2">
        <v>74</v>
      </c>
      <c r="P2352" s="8">
        <f t="shared" si="146"/>
        <v>954</v>
      </c>
      <c r="Q2352" s="8">
        <f t="shared" si="147"/>
        <v>806</v>
      </c>
      <c r="R2352" s="2" t="s">
        <v>28</v>
      </c>
      <c r="S2352" s="9">
        <f>VLOOKUP(P2352,$T$2:U2349,2,1)</f>
        <v>0.02</v>
      </c>
    </row>
    <row r="2353" spans="1:19" x14ac:dyDescent="0.25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e">
        <f>VLOOKUP(F2353,'Customer Info'!A2345:I2844,2,0)</f>
        <v>#N/A</v>
      </c>
      <c r="H2353" s="6" t="e">
        <f>VLOOKUP(F2353,'Customer Info'!A2345:I2844,3,0)</f>
        <v>#N/A</v>
      </c>
      <c r="I2353" s="6" t="e">
        <f>VLOOKUP(F2353,'Customer Info'!A2345:I2844,5,0)</f>
        <v>#N/A</v>
      </c>
      <c r="J2353" s="2">
        <v>3289</v>
      </c>
      <c r="K2353" s="2">
        <v>3105</v>
      </c>
      <c r="L2353" s="2">
        <v>2</v>
      </c>
      <c r="M2353" s="7">
        <f t="shared" si="144"/>
        <v>6210</v>
      </c>
      <c r="N2353" s="7">
        <f t="shared" si="145"/>
        <v>6578</v>
      </c>
      <c r="O2353" s="2">
        <v>71</v>
      </c>
      <c r="P2353" s="8">
        <f t="shared" si="146"/>
        <v>6649</v>
      </c>
      <c r="Q2353" s="8">
        <f t="shared" si="147"/>
        <v>6507</v>
      </c>
      <c r="R2353" s="2" t="s">
        <v>28</v>
      </c>
      <c r="S2353" s="9">
        <f>VLOOKUP(P2353,$T$2:U2350,2,1)</f>
        <v>0.05</v>
      </c>
    </row>
    <row r="2354" spans="1:19" x14ac:dyDescent="0.25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e">
        <f>VLOOKUP(F2354,'Customer Info'!A2346:I2845,2,0)</f>
        <v>#N/A</v>
      </c>
      <c r="H2354" s="6" t="e">
        <f>VLOOKUP(F2354,'Customer Info'!A2346:I2845,3,0)</f>
        <v>#N/A</v>
      </c>
      <c r="I2354" s="6" t="e">
        <f>VLOOKUP(F2354,'Customer Info'!A2346:I2845,5,0)</f>
        <v>#N/A</v>
      </c>
      <c r="J2354" s="2">
        <v>6701</v>
      </c>
      <c r="K2354" s="2">
        <v>6384</v>
      </c>
      <c r="L2354" s="2">
        <v>2</v>
      </c>
      <c r="M2354" s="7">
        <f t="shared" si="144"/>
        <v>12768</v>
      </c>
      <c r="N2354" s="7">
        <f t="shared" si="145"/>
        <v>13402</v>
      </c>
      <c r="O2354" s="2">
        <v>67</v>
      </c>
      <c r="P2354" s="8">
        <f t="shared" si="146"/>
        <v>13469</v>
      </c>
      <c r="Q2354" s="8">
        <f t="shared" si="147"/>
        <v>13335</v>
      </c>
      <c r="R2354" s="2" t="s">
        <v>28</v>
      </c>
      <c r="S2354" s="9">
        <f>VLOOKUP(P2354,$T$2:U2351,2,1)</f>
        <v>0.05</v>
      </c>
    </row>
    <row r="2355" spans="1:19" x14ac:dyDescent="0.25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e">
        <f>VLOOKUP(F2355,'Customer Info'!A2347:I2846,2,0)</f>
        <v>#N/A</v>
      </c>
      <c r="H2355" s="6" t="e">
        <f>VLOOKUP(F2355,'Customer Info'!A2347:I2846,3,0)</f>
        <v>#N/A</v>
      </c>
      <c r="I2355" s="6" t="e">
        <f>VLOOKUP(F2355,'Customer Info'!A2347:I2846,5,0)</f>
        <v>#N/A</v>
      </c>
      <c r="J2355" s="2">
        <v>2310</v>
      </c>
      <c r="K2355" s="2">
        <v>2040</v>
      </c>
      <c r="L2355" s="2">
        <v>3</v>
      </c>
      <c r="M2355" s="7">
        <f t="shared" si="144"/>
        <v>6120</v>
      </c>
      <c r="N2355" s="7">
        <f t="shared" si="145"/>
        <v>6930</v>
      </c>
      <c r="O2355" s="2">
        <v>39</v>
      </c>
      <c r="P2355" s="8">
        <f t="shared" si="146"/>
        <v>6969</v>
      </c>
      <c r="Q2355" s="8">
        <f t="shared" si="147"/>
        <v>6891</v>
      </c>
      <c r="R2355" s="2" t="s">
        <v>28</v>
      </c>
      <c r="S2355" s="9">
        <f>VLOOKUP(P2355,$T$2:U2352,2,1)</f>
        <v>0.05</v>
      </c>
    </row>
    <row r="2356" spans="1:19" x14ac:dyDescent="0.25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e">
        <f>VLOOKUP(F2356,'Customer Info'!A2348:I2847,2,0)</f>
        <v>#N/A</v>
      </c>
      <c r="H2356" s="6" t="e">
        <f>VLOOKUP(F2356,'Customer Info'!A2348:I2847,3,0)</f>
        <v>#N/A</v>
      </c>
      <c r="I2356" s="6" t="e">
        <f>VLOOKUP(F2356,'Customer Info'!A2348:I2847,5,0)</f>
        <v>#N/A</v>
      </c>
      <c r="J2356" s="2">
        <v>169</v>
      </c>
      <c r="K2356" s="2">
        <v>154</v>
      </c>
      <c r="L2356" s="2">
        <v>4</v>
      </c>
      <c r="M2356" s="7">
        <f t="shared" si="144"/>
        <v>616</v>
      </c>
      <c r="N2356" s="7">
        <f t="shared" si="145"/>
        <v>676</v>
      </c>
      <c r="O2356" s="2">
        <v>30</v>
      </c>
      <c r="P2356" s="8">
        <f t="shared" si="146"/>
        <v>706</v>
      </c>
      <c r="Q2356" s="8">
        <f t="shared" si="147"/>
        <v>646</v>
      </c>
      <c r="R2356" s="2" t="s">
        <v>28</v>
      </c>
      <c r="S2356" s="9">
        <f>VLOOKUP(P2356,$T$2:U2353,2,1)</f>
        <v>0.02</v>
      </c>
    </row>
    <row r="2357" spans="1:19" x14ac:dyDescent="0.25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e">
        <f>VLOOKUP(F2357,'Customer Info'!A2349:I2848,2,0)</f>
        <v>#N/A</v>
      </c>
      <c r="H2357" s="6" t="e">
        <f>VLOOKUP(F2357,'Customer Info'!A2349:I2848,3,0)</f>
        <v>#N/A</v>
      </c>
      <c r="I2357" s="6" t="e">
        <f>VLOOKUP(F2357,'Customer Info'!A2349:I2848,5,0)</f>
        <v>#N/A</v>
      </c>
      <c r="J2357" s="2">
        <v>1809</v>
      </c>
      <c r="K2357" s="2">
        <v>1691</v>
      </c>
      <c r="L2357" s="2">
        <v>5</v>
      </c>
      <c r="M2357" s="7">
        <f t="shared" si="144"/>
        <v>8455</v>
      </c>
      <c r="N2357" s="7">
        <f t="shared" si="145"/>
        <v>9045</v>
      </c>
      <c r="O2357" s="2">
        <v>25</v>
      </c>
      <c r="P2357" s="8">
        <f t="shared" si="146"/>
        <v>9070</v>
      </c>
      <c r="Q2357" s="8">
        <f t="shared" si="147"/>
        <v>9020</v>
      </c>
      <c r="R2357" s="2" t="s">
        <v>28</v>
      </c>
      <c r="S2357" s="9">
        <f>VLOOKUP(P2357,$T$2:U2354,2,1)</f>
        <v>0.05</v>
      </c>
    </row>
    <row r="2358" spans="1:19" x14ac:dyDescent="0.25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e">
        <f>VLOOKUP(F2358,'Customer Info'!A2350:I2849,2,0)</f>
        <v>#N/A</v>
      </c>
      <c r="H2358" s="6" t="e">
        <f>VLOOKUP(F2358,'Customer Info'!A2350:I2849,3,0)</f>
        <v>#N/A</v>
      </c>
      <c r="I2358" s="6" t="e">
        <f>VLOOKUP(F2358,'Customer Info'!A2350:I2849,5,0)</f>
        <v>#N/A</v>
      </c>
      <c r="J2358" s="2">
        <v>1574</v>
      </c>
      <c r="K2358" s="2">
        <v>1458</v>
      </c>
      <c r="L2358" s="2">
        <v>3</v>
      </c>
      <c r="M2358" s="7">
        <f t="shared" si="144"/>
        <v>4374</v>
      </c>
      <c r="N2358" s="7">
        <f t="shared" si="145"/>
        <v>4722</v>
      </c>
      <c r="O2358" s="2">
        <v>36</v>
      </c>
      <c r="P2358" s="8">
        <f t="shared" si="146"/>
        <v>4758</v>
      </c>
      <c r="Q2358" s="8">
        <f t="shared" si="147"/>
        <v>4686</v>
      </c>
      <c r="R2358" s="2" t="s">
        <v>28</v>
      </c>
      <c r="S2358" s="9">
        <f>VLOOKUP(P2358,$T$2:U2355,2,1)</f>
        <v>0.02</v>
      </c>
    </row>
    <row r="2359" spans="1:19" x14ac:dyDescent="0.25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e">
        <f>VLOOKUP(F2359,'Customer Info'!A2351:I2850,2,0)</f>
        <v>#N/A</v>
      </c>
      <c r="H2359" s="6" t="e">
        <f>VLOOKUP(F2359,'Customer Info'!A2351:I2850,3,0)</f>
        <v>#N/A</v>
      </c>
      <c r="I2359" s="6" t="e">
        <f>VLOOKUP(F2359,'Customer Info'!A2351:I2850,5,0)</f>
        <v>#N/A</v>
      </c>
      <c r="J2359" s="2">
        <v>183</v>
      </c>
      <c r="K2359" s="2">
        <v>168</v>
      </c>
      <c r="L2359" s="2">
        <v>1</v>
      </c>
      <c r="M2359" s="7">
        <f t="shared" si="144"/>
        <v>168</v>
      </c>
      <c r="N2359" s="7">
        <f t="shared" si="145"/>
        <v>183</v>
      </c>
      <c r="O2359" s="2">
        <v>30</v>
      </c>
      <c r="P2359" s="8">
        <f t="shared" si="146"/>
        <v>213</v>
      </c>
      <c r="Q2359" s="8">
        <f t="shared" si="147"/>
        <v>153</v>
      </c>
      <c r="R2359" s="2" t="s">
        <v>28</v>
      </c>
      <c r="S2359" s="9">
        <f>VLOOKUP(P2359,$T$2:U2356,2,1)</f>
        <v>0.02</v>
      </c>
    </row>
    <row r="2360" spans="1:19" x14ac:dyDescent="0.25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e">
        <f>VLOOKUP(F2360,'Customer Info'!A2352:I2851,2,0)</f>
        <v>#N/A</v>
      </c>
      <c r="H2360" s="6" t="e">
        <f>VLOOKUP(F2360,'Customer Info'!A2352:I2851,3,0)</f>
        <v>#N/A</v>
      </c>
      <c r="I2360" s="6" t="e">
        <f>VLOOKUP(F2360,'Customer Info'!A2352:I2851,5,0)</f>
        <v>#N/A</v>
      </c>
      <c r="J2360" s="2">
        <v>520</v>
      </c>
      <c r="K2360" s="2">
        <v>477</v>
      </c>
      <c r="L2360" s="2">
        <v>3</v>
      </c>
      <c r="M2360" s="7">
        <f t="shared" si="144"/>
        <v>1431</v>
      </c>
      <c r="N2360" s="7">
        <f t="shared" si="145"/>
        <v>1560</v>
      </c>
      <c r="O2360" s="2">
        <v>39</v>
      </c>
      <c r="P2360" s="8">
        <f t="shared" si="146"/>
        <v>1599</v>
      </c>
      <c r="Q2360" s="8">
        <f t="shared" si="147"/>
        <v>1521</v>
      </c>
      <c r="R2360" s="2" t="s">
        <v>28</v>
      </c>
      <c r="S2360" s="9">
        <f>VLOOKUP(P2360,$T$2:U2357,2,1)</f>
        <v>0.02</v>
      </c>
    </row>
    <row r="2361" spans="1:19" x14ac:dyDescent="0.25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e">
        <f>VLOOKUP(F2361,'Customer Info'!A2353:I2852,2,0)</f>
        <v>#N/A</v>
      </c>
      <c r="H2361" s="6" t="e">
        <f>VLOOKUP(F2361,'Customer Info'!A2353:I2852,3,0)</f>
        <v>#N/A</v>
      </c>
      <c r="I2361" s="6" t="e">
        <f>VLOOKUP(F2361,'Customer Info'!A2353:I2852,5,0)</f>
        <v>#N/A</v>
      </c>
      <c r="J2361" s="2">
        <v>8399</v>
      </c>
      <c r="K2361" s="2">
        <v>8001</v>
      </c>
      <c r="L2361" s="2">
        <v>1</v>
      </c>
      <c r="M2361" s="7">
        <f t="shared" si="144"/>
        <v>8001</v>
      </c>
      <c r="N2361" s="7">
        <f t="shared" si="145"/>
        <v>8399</v>
      </c>
      <c r="O2361" s="2">
        <v>80</v>
      </c>
      <c r="P2361" s="8">
        <f t="shared" si="146"/>
        <v>8479</v>
      </c>
      <c r="Q2361" s="8">
        <f t="shared" si="147"/>
        <v>8319</v>
      </c>
      <c r="R2361" s="2" t="s">
        <v>50</v>
      </c>
      <c r="S2361" s="9">
        <f>VLOOKUP(P2361,$T$2:U2358,2,1)</f>
        <v>0.05</v>
      </c>
    </row>
    <row r="2362" spans="1:19" x14ac:dyDescent="0.25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e">
        <f>VLOOKUP(F2362,'Customer Info'!A2354:I2853,2,0)</f>
        <v>#N/A</v>
      </c>
      <c r="H2362" s="6" t="e">
        <f>VLOOKUP(F2362,'Customer Info'!A2354:I2853,3,0)</f>
        <v>#N/A</v>
      </c>
      <c r="I2362" s="6" t="e">
        <f>VLOOKUP(F2362,'Customer Info'!A2354:I2853,5,0)</f>
        <v>#N/A</v>
      </c>
      <c r="J2362" s="2">
        <v>2526</v>
      </c>
      <c r="K2362" s="2">
        <v>2408</v>
      </c>
      <c r="L2362" s="2">
        <v>9</v>
      </c>
      <c r="M2362" s="7">
        <f t="shared" si="144"/>
        <v>21672</v>
      </c>
      <c r="N2362" s="7">
        <f t="shared" si="145"/>
        <v>22734</v>
      </c>
      <c r="O2362" s="2">
        <v>82</v>
      </c>
      <c r="P2362" s="8">
        <f t="shared" si="146"/>
        <v>22816</v>
      </c>
      <c r="Q2362" s="8">
        <f t="shared" si="147"/>
        <v>22652</v>
      </c>
      <c r="R2362" s="2" t="s">
        <v>50</v>
      </c>
      <c r="S2362" s="9">
        <f>VLOOKUP(P2362,$T$2:U2359,2,1)</f>
        <v>0.05</v>
      </c>
    </row>
    <row r="2363" spans="1:19" x14ac:dyDescent="0.25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e">
        <f>VLOOKUP(F2363,'Customer Info'!A2355:I2854,2,0)</f>
        <v>#N/A</v>
      </c>
      <c r="H2363" s="6" t="e">
        <f>VLOOKUP(F2363,'Customer Info'!A2355:I2854,3,0)</f>
        <v>#N/A</v>
      </c>
      <c r="I2363" s="6" t="e">
        <f>VLOOKUP(F2363,'Customer Info'!A2355:I2854,5,0)</f>
        <v>#N/A</v>
      </c>
      <c r="J2363" s="2">
        <v>520</v>
      </c>
      <c r="K2363" s="2">
        <v>477</v>
      </c>
      <c r="L2363" s="2">
        <v>3</v>
      </c>
      <c r="M2363" s="7">
        <f t="shared" si="144"/>
        <v>1431</v>
      </c>
      <c r="N2363" s="7">
        <f t="shared" si="145"/>
        <v>1560</v>
      </c>
      <c r="O2363" s="2">
        <v>49</v>
      </c>
      <c r="P2363" s="8">
        <f t="shared" si="146"/>
        <v>1609</v>
      </c>
      <c r="Q2363" s="8">
        <f t="shared" si="147"/>
        <v>1511</v>
      </c>
      <c r="R2363" s="2" t="s">
        <v>50</v>
      </c>
      <c r="S2363" s="9">
        <f>VLOOKUP(P2363,$T$2:U2360,2,1)</f>
        <v>0.02</v>
      </c>
    </row>
    <row r="2364" spans="1:19" x14ac:dyDescent="0.25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e">
        <f>VLOOKUP(F2364,'Customer Info'!A2356:I2855,2,0)</f>
        <v>#N/A</v>
      </c>
      <c r="H2364" s="6" t="e">
        <f>VLOOKUP(F2364,'Customer Info'!A2356:I2855,3,0)</f>
        <v>#N/A</v>
      </c>
      <c r="I2364" s="6" t="e">
        <f>VLOOKUP(F2364,'Customer Info'!A2356:I2855,5,0)</f>
        <v>#N/A</v>
      </c>
      <c r="J2364" s="2">
        <v>511</v>
      </c>
      <c r="K2364" s="2">
        <v>477</v>
      </c>
      <c r="L2364" s="2">
        <v>9</v>
      </c>
      <c r="M2364" s="7">
        <f t="shared" si="144"/>
        <v>4293</v>
      </c>
      <c r="N2364" s="7">
        <f t="shared" si="145"/>
        <v>4599</v>
      </c>
      <c r="O2364" s="2">
        <v>82</v>
      </c>
      <c r="P2364" s="8">
        <f t="shared" si="146"/>
        <v>4681</v>
      </c>
      <c r="Q2364" s="8">
        <f t="shared" si="147"/>
        <v>4517</v>
      </c>
      <c r="R2364" s="2" t="s">
        <v>50</v>
      </c>
      <c r="S2364" s="9">
        <f>VLOOKUP(P2364,$T$2:U2361,2,1)</f>
        <v>0.02</v>
      </c>
    </row>
    <row r="2365" spans="1:19" x14ac:dyDescent="0.25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e">
        <f>VLOOKUP(F2365,'Customer Info'!A2357:I2856,2,0)</f>
        <v>#N/A</v>
      </c>
      <c r="H2365" s="6" t="e">
        <f>VLOOKUP(F2365,'Customer Info'!A2357:I2856,3,0)</f>
        <v>#N/A</v>
      </c>
      <c r="I2365" s="6" t="e">
        <f>VLOOKUP(F2365,'Customer Info'!A2357:I2856,5,0)</f>
        <v>#N/A</v>
      </c>
      <c r="J2365" s="2">
        <v>954</v>
      </c>
      <c r="K2365" s="2">
        <v>901</v>
      </c>
      <c r="L2365" s="2">
        <v>1</v>
      </c>
      <c r="M2365" s="7">
        <f t="shared" si="144"/>
        <v>901</v>
      </c>
      <c r="N2365" s="7">
        <f t="shared" si="145"/>
        <v>954</v>
      </c>
      <c r="O2365" s="2">
        <v>46</v>
      </c>
      <c r="P2365" s="8">
        <f t="shared" si="146"/>
        <v>1000</v>
      </c>
      <c r="Q2365" s="8">
        <f t="shared" si="147"/>
        <v>908</v>
      </c>
      <c r="R2365" s="2" t="s">
        <v>28</v>
      </c>
      <c r="S2365" s="9">
        <f>VLOOKUP(P2365,$T$2:U2362,2,1)</f>
        <v>0.02</v>
      </c>
    </row>
    <row r="2366" spans="1:19" x14ac:dyDescent="0.25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e">
        <f>VLOOKUP(F2366,'Customer Info'!A2358:I2857,2,0)</f>
        <v>#N/A</v>
      </c>
      <c r="H2366" s="6" t="e">
        <f>VLOOKUP(F2366,'Customer Info'!A2358:I2857,3,0)</f>
        <v>#N/A</v>
      </c>
      <c r="I2366" s="6" t="e">
        <f>VLOOKUP(F2366,'Customer Info'!A2358:I2857,5,0)</f>
        <v>#N/A</v>
      </c>
      <c r="J2366" s="2">
        <v>93</v>
      </c>
      <c r="K2366" s="2">
        <v>86</v>
      </c>
      <c r="L2366" s="2">
        <v>3</v>
      </c>
      <c r="M2366" s="7">
        <f t="shared" si="144"/>
        <v>258</v>
      </c>
      <c r="N2366" s="7">
        <f t="shared" si="145"/>
        <v>279</v>
      </c>
      <c r="O2366" s="2">
        <v>10</v>
      </c>
      <c r="P2366" s="8">
        <f t="shared" si="146"/>
        <v>289</v>
      </c>
      <c r="Q2366" s="8">
        <f t="shared" si="147"/>
        <v>269</v>
      </c>
      <c r="R2366" s="2" t="s">
        <v>28</v>
      </c>
      <c r="S2366" s="9">
        <f>VLOOKUP(P2366,$T$2:U2363,2,1)</f>
        <v>0.02</v>
      </c>
    </row>
    <row r="2367" spans="1:19" x14ac:dyDescent="0.25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e">
        <f>VLOOKUP(F2367,'Customer Info'!A2359:I2858,2,0)</f>
        <v>#N/A</v>
      </c>
      <c r="H2367" s="6" t="e">
        <f>VLOOKUP(F2367,'Customer Info'!A2359:I2858,3,0)</f>
        <v>#N/A</v>
      </c>
      <c r="I2367" s="6" t="e">
        <f>VLOOKUP(F2367,'Customer Info'!A2359:I2858,5,0)</f>
        <v>#N/A</v>
      </c>
      <c r="J2367" s="2">
        <v>171</v>
      </c>
      <c r="K2367" s="2">
        <v>153</v>
      </c>
      <c r="L2367" s="2">
        <v>5</v>
      </c>
      <c r="M2367" s="7">
        <f t="shared" si="144"/>
        <v>765</v>
      </c>
      <c r="N2367" s="7">
        <f t="shared" si="145"/>
        <v>855</v>
      </c>
      <c r="O2367" s="2">
        <v>30</v>
      </c>
      <c r="P2367" s="8">
        <f t="shared" si="146"/>
        <v>885</v>
      </c>
      <c r="Q2367" s="8">
        <f t="shared" si="147"/>
        <v>825</v>
      </c>
      <c r="R2367" s="2" t="s">
        <v>50</v>
      </c>
      <c r="S2367" s="9">
        <f>VLOOKUP(P2367,$T$2:U2364,2,1)</f>
        <v>0.02</v>
      </c>
    </row>
    <row r="2368" spans="1:19" x14ac:dyDescent="0.25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e">
        <f>VLOOKUP(F2368,'Customer Info'!A2360:I2859,2,0)</f>
        <v>#N/A</v>
      </c>
      <c r="H2368" s="6" t="e">
        <f>VLOOKUP(F2368,'Customer Info'!A2360:I2859,3,0)</f>
        <v>#N/A</v>
      </c>
      <c r="I2368" s="6" t="e">
        <f>VLOOKUP(F2368,'Customer Info'!A2360:I2859,5,0)</f>
        <v>#N/A</v>
      </c>
      <c r="J2368" s="2">
        <v>2778</v>
      </c>
      <c r="K2368" s="2">
        <v>2573</v>
      </c>
      <c r="L2368" s="2">
        <v>1</v>
      </c>
      <c r="M2368" s="7">
        <f t="shared" si="144"/>
        <v>2573</v>
      </c>
      <c r="N2368" s="7">
        <f t="shared" si="145"/>
        <v>2778</v>
      </c>
      <c r="O2368" s="2">
        <v>66</v>
      </c>
      <c r="P2368" s="8">
        <f t="shared" si="146"/>
        <v>2844</v>
      </c>
      <c r="Q2368" s="8">
        <f t="shared" si="147"/>
        <v>2712</v>
      </c>
      <c r="R2368" s="2" t="s">
        <v>28</v>
      </c>
      <c r="S2368" s="9">
        <f>VLOOKUP(P2368,$T$2:U2365,2,1)</f>
        <v>0.02</v>
      </c>
    </row>
    <row r="2369" spans="1:19" x14ac:dyDescent="0.25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e">
        <f>VLOOKUP(F2369,'Customer Info'!A2361:I2860,2,0)</f>
        <v>#N/A</v>
      </c>
      <c r="H2369" s="6" t="e">
        <f>VLOOKUP(F2369,'Customer Info'!A2361:I2860,3,0)</f>
        <v>#N/A</v>
      </c>
      <c r="I2369" s="6" t="e">
        <f>VLOOKUP(F2369,'Customer Info'!A2361:I2860,5,0)</f>
        <v>#N/A</v>
      </c>
      <c r="J2369" s="2">
        <v>1798</v>
      </c>
      <c r="K2369" s="2">
        <v>1666</v>
      </c>
      <c r="L2369" s="2">
        <v>1</v>
      </c>
      <c r="M2369" s="7">
        <f t="shared" si="144"/>
        <v>1666</v>
      </c>
      <c r="N2369" s="7">
        <f t="shared" si="145"/>
        <v>1798</v>
      </c>
      <c r="O2369" s="2">
        <v>26</v>
      </c>
      <c r="P2369" s="8">
        <f t="shared" si="146"/>
        <v>1824</v>
      </c>
      <c r="Q2369" s="8">
        <f t="shared" si="147"/>
        <v>1772</v>
      </c>
      <c r="R2369" s="2" t="s">
        <v>28</v>
      </c>
      <c r="S2369" s="9">
        <f>VLOOKUP(P2369,$T$2:U2366,2,1)</f>
        <v>0.02</v>
      </c>
    </row>
    <row r="2370" spans="1:19" x14ac:dyDescent="0.25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e">
        <f>VLOOKUP(F2370,'Customer Info'!A2362:I2861,2,0)</f>
        <v>#N/A</v>
      </c>
      <c r="H2370" s="6" t="e">
        <f>VLOOKUP(F2370,'Customer Info'!A2362:I2861,3,0)</f>
        <v>#N/A</v>
      </c>
      <c r="I2370" s="6" t="e">
        <f>VLOOKUP(F2370,'Customer Info'!A2362:I2861,5,0)</f>
        <v>#N/A</v>
      </c>
      <c r="J2370" s="2">
        <v>2453</v>
      </c>
      <c r="K2370" s="2">
        <v>2336</v>
      </c>
      <c r="L2370" s="2">
        <v>2</v>
      </c>
      <c r="M2370" s="7">
        <f t="shared" si="144"/>
        <v>4672</v>
      </c>
      <c r="N2370" s="7">
        <f t="shared" si="145"/>
        <v>4906</v>
      </c>
      <c r="O2370" s="2">
        <v>83</v>
      </c>
      <c r="P2370" s="8">
        <f t="shared" si="146"/>
        <v>4989</v>
      </c>
      <c r="Q2370" s="8">
        <f t="shared" si="147"/>
        <v>4823</v>
      </c>
      <c r="R2370" s="2" t="s">
        <v>28</v>
      </c>
      <c r="S2370" s="9">
        <f>VLOOKUP(P2370,$T$2:U2367,2,1)</f>
        <v>0.02</v>
      </c>
    </row>
    <row r="2371" spans="1:19" x14ac:dyDescent="0.25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e">
        <f>VLOOKUP(F2371,'Customer Info'!A2363:I2862,2,0)</f>
        <v>#N/A</v>
      </c>
      <c r="H2371" s="6" t="e">
        <f>VLOOKUP(F2371,'Customer Info'!A2363:I2862,3,0)</f>
        <v>#N/A</v>
      </c>
      <c r="I2371" s="6" t="e">
        <f>VLOOKUP(F2371,'Customer Info'!A2363:I2862,5,0)</f>
        <v>#N/A</v>
      </c>
      <c r="J2371" s="2">
        <v>1246</v>
      </c>
      <c r="K2371" s="2">
        <v>1164</v>
      </c>
      <c r="L2371" s="2">
        <v>3</v>
      </c>
      <c r="M2371" s="7">
        <f t="shared" si="144"/>
        <v>3492</v>
      </c>
      <c r="N2371" s="7">
        <f t="shared" si="145"/>
        <v>3738</v>
      </c>
      <c r="O2371" s="2">
        <v>75</v>
      </c>
      <c r="P2371" s="8">
        <f t="shared" si="146"/>
        <v>3813</v>
      </c>
      <c r="Q2371" s="8">
        <f t="shared" si="147"/>
        <v>3663</v>
      </c>
      <c r="R2371" s="2" t="s">
        <v>28</v>
      </c>
      <c r="S2371" s="9">
        <f>VLOOKUP(P2371,$T$2:U2368,2,1)</f>
        <v>0.02</v>
      </c>
    </row>
    <row r="2372" spans="1:19" x14ac:dyDescent="0.25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e">
        <f>VLOOKUP(F2372,'Customer Info'!A2364:I2863,2,0)</f>
        <v>#N/A</v>
      </c>
      <c r="H2372" s="6" t="e">
        <f>VLOOKUP(F2372,'Customer Info'!A2364:I2863,3,0)</f>
        <v>#N/A</v>
      </c>
      <c r="I2372" s="6" t="e">
        <f>VLOOKUP(F2372,'Customer Info'!A2364:I2863,5,0)</f>
        <v>#N/A</v>
      </c>
      <c r="J2372" s="2">
        <v>751</v>
      </c>
      <c r="K2372" s="2">
        <v>696</v>
      </c>
      <c r="L2372" s="2">
        <v>1</v>
      </c>
      <c r="M2372" s="7">
        <f t="shared" si="144"/>
        <v>696</v>
      </c>
      <c r="N2372" s="7">
        <f t="shared" si="145"/>
        <v>751</v>
      </c>
      <c r="O2372" s="2">
        <v>46</v>
      </c>
      <c r="P2372" s="8">
        <f t="shared" si="146"/>
        <v>797</v>
      </c>
      <c r="Q2372" s="8">
        <f t="shared" si="147"/>
        <v>705</v>
      </c>
      <c r="R2372" s="2" t="s">
        <v>50</v>
      </c>
      <c r="S2372" s="9">
        <f>VLOOKUP(P2372,$T$2:U2369,2,1)</f>
        <v>0.02</v>
      </c>
    </row>
    <row r="2373" spans="1:19" x14ac:dyDescent="0.25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e">
        <f>VLOOKUP(F2373,'Customer Info'!A2365:I2864,2,0)</f>
        <v>#N/A</v>
      </c>
      <c r="H2373" s="6" t="e">
        <f>VLOOKUP(F2373,'Customer Info'!A2365:I2864,3,0)</f>
        <v>#N/A</v>
      </c>
      <c r="I2373" s="6" t="e">
        <f>VLOOKUP(F2373,'Customer Info'!A2365:I2864,5,0)</f>
        <v>#N/A</v>
      </c>
      <c r="J2373" s="2">
        <v>2478</v>
      </c>
      <c r="K2373" s="2">
        <v>2406</v>
      </c>
      <c r="L2373" s="2">
        <v>2</v>
      </c>
      <c r="M2373" s="7">
        <f t="shared" si="144"/>
        <v>4812</v>
      </c>
      <c r="N2373" s="7">
        <f t="shared" si="145"/>
        <v>4956</v>
      </c>
      <c r="O2373" s="2">
        <v>46</v>
      </c>
      <c r="P2373" s="8">
        <f t="shared" si="146"/>
        <v>5002</v>
      </c>
      <c r="Q2373" s="8">
        <f t="shared" si="147"/>
        <v>4910</v>
      </c>
      <c r="R2373" s="2" t="s">
        <v>50</v>
      </c>
      <c r="S2373" s="9">
        <f>VLOOKUP(P2373,$T$2:U2370,2,1)</f>
        <v>0.05</v>
      </c>
    </row>
    <row r="2374" spans="1:19" x14ac:dyDescent="0.25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e">
        <f>VLOOKUP(F2374,'Customer Info'!A2366:I2865,2,0)</f>
        <v>#N/A</v>
      </c>
      <c r="H2374" s="6" t="e">
        <f>VLOOKUP(F2374,'Customer Info'!A2366:I2865,3,0)</f>
        <v>#N/A</v>
      </c>
      <c r="I2374" s="6" t="e">
        <f>VLOOKUP(F2374,'Customer Info'!A2366:I2865,5,0)</f>
        <v>#N/A</v>
      </c>
      <c r="J2374" s="2">
        <v>175</v>
      </c>
      <c r="K2374" s="2">
        <v>162</v>
      </c>
      <c r="L2374" s="2">
        <v>3</v>
      </c>
      <c r="M2374" s="7">
        <f t="shared" si="144"/>
        <v>486</v>
      </c>
      <c r="N2374" s="7">
        <f t="shared" si="145"/>
        <v>525</v>
      </c>
      <c r="O2374" s="2">
        <v>30</v>
      </c>
      <c r="P2374" s="8">
        <f t="shared" si="146"/>
        <v>555</v>
      </c>
      <c r="Q2374" s="8">
        <f t="shared" si="147"/>
        <v>495</v>
      </c>
      <c r="R2374" s="2" t="s">
        <v>28</v>
      </c>
      <c r="S2374" s="9">
        <f>VLOOKUP(P2374,$T$2:U2371,2,1)</f>
        <v>0.02</v>
      </c>
    </row>
    <row r="2375" spans="1:19" x14ac:dyDescent="0.25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e">
        <f>VLOOKUP(F2375,'Customer Info'!A2367:I2866,2,0)</f>
        <v>#N/A</v>
      </c>
      <c r="H2375" s="6" t="e">
        <f>VLOOKUP(F2375,'Customer Info'!A2367:I2866,3,0)</f>
        <v>#N/A</v>
      </c>
      <c r="I2375" s="6" t="e">
        <f>VLOOKUP(F2375,'Customer Info'!A2367:I2866,5,0)</f>
        <v>#N/A</v>
      </c>
      <c r="J2375" s="2">
        <v>2296</v>
      </c>
      <c r="K2375" s="2">
        <v>2146</v>
      </c>
      <c r="L2375" s="2">
        <v>4</v>
      </c>
      <c r="M2375" s="7">
        <f t="shared" si="144"/>
        <v>8584</v>
      </c>
      <c r="N2375" s="7">
        <f t="shared" si="145"/>
        <v>9184</v>
      </c>
      <c r="O2375" s="2">
        <v>37</v>
      </c>
      <c r="P2375" s="8">
        <f t="shared" si="146"/>
        <v>9221</v>
      </c>
      <c r="Q2375" s="8">
        <f t="shared" si="147"/>
        <v>9147</v>
      </c>
      <c r="R2375" s="2" t="s">
        <v>28</v>
      </c>
      <c r="S2375" s="9">
        <f>VLOOKUP(P2375,$T$2:U2372,2,1)</f>
        <v>0.05</v>
      </c>
    </row>
    <row r="2376" spans="1:19" x14ac:dyDescent="0.25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e">
        <f>VLOOKUP(F2376,'Customer Info'!A2368:I2867,2,0)</f>
        <v>#N/A</v>
      </c>
      <c r="H2376" s="6" t="e">
        <f>VLOOKUP(F2376,'Customer Info'!A2368:I2867,3,0)</f>
        <v>#N/A</v>
      </c>
      <c r="I2376" s="6" t="e">
        <f>VLOOKUP(F2376,'Customer Info'!A2368:I2867,5,0)</f>
        <v>#N/A</v>
      </c>
      <c r="J2376" s="2">
        <v>5941</v>
      </c>
      <c r="K2376" s="2">
        <v>5827</v>
      </c>
      <c r="L2376" s="2">
        <v>9</v>
      </c>
      <c r="M2376" s="7">
        <f t="shared" si="144"/>
        <v>52443</v>
      </c>
      <c r="N2376" s="7">
        <f t="shared" si="145"/>
        <v>53469</v>
      </c>
      <c r="O2376" s="2">
        <v>86</v>
      </c>
      <c r="P2376" s="8">
        <f t="shared" si="146"/>
        <v>53555</v>
      </c>
      <c r="Q2376" s="8">
        <f t="shared" si="147"/>
        <v>53383</v>
      </c>
      <c r="R2376" s="2" t="s">
        <v>28</v>
      </c>
      <c r="S2376" s="9">
        <f>VLOOKUP(P2376,$T$2:U2373,2,1)</f>
        <v>0.09</v>
      </c>
    </row>
    <row r="2377" spans="1:19" x14ac:dyDescent="0.25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e">
        <f>VLOOKUP(F2377,'Customer Info'!A2369:I2868,2,0)</f>
        <v>#N/A</v>
      </c>
      <c r="H2377" s="6" t="e">
        <f>VLOOKUP(F2377,'Customer Info'!A2369:I2868,3,0)</f>
        <v>#N/A</v>
      </c>
      <c r="I2377" s="6" t="e">
        <f>VLOOKUP(F2377,'Customer Info'!A2369:I2868,5,0)</f>
        <v>#N/A</v>
      </c>
      <c r="J2377" s="2">
        <v>1568</v>
      </c>
      <c r="K2377" s="2">
        <v>1495</v>
      </c>
      <c r="L2377" s="2">
        <v>3</v>
      </c>
      <c r="M2377" s="7">
        <f t="shared" si="144"/>
        <v>4485</v>
      </c>
      <c r="N2377" s="7">
        <f t="shared" si="145"/>
        <v>4704</v>
      </c>
      <c r="O2377" s="2">
        <v>36</v>
      </c>
      <c r="P2377" s="8">
        <f t="shared" si="146"/>
        <v>4740</v>
      </c>
      <c r="Q2377" s="8">
        <f t="shared" si="147"/>
        <v>4668</v>
      </c>
      <c r="R2377" s="2" t="s">
        <v>50</v>
      </c>
      <c r="S2377" s="9">
        <f>VLOOKUP(P2377,$T$2:U2374,2,1)</f>
        <v>0.02</v>
      </c>
    </row>
    <row r="2378" spans="1:19" x14ac:dyDescent="0.25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e">
        <f>VLOOKUP(F2378,'Customer Info'!A2370:I2869,2,0)</f>
        <v>#N/A</v>
      </c>
      <c r="H2378" s="6" t="e">
        <f>VLOOKUP(F2378,'Customer Info'!A2370:I2869,3,0)</f>
        <v>#N/A</v>
      </c>
      <c r="I2378" s="6" t="e">
        <f>VLOOKUP(F2378,'Customer Info'!A2370:I2869,5,0)</f>
        <v>#N/A</v>
      </c>
      <c r="J2378" s="2">
        <v>1246</v>
      </c>
      <c r="K2378" s="2">
        <v>1164</v>
      </c>
      <c r="L2378" s="2">
        <v>1</v>
      </c>
      <c r="M2378" s="7">
        <f t="shared" si="144"/>
        <v>1164</v>
      </c>
      <c r="N2378" s="7">
        <f t="shared" si="145"/>
        <v>1246</v>
      </c>
      <c r="O2378" s="2">
        <v>59</v>
      </c>
      <c r="P2378" s="8">
        <f t="shared" si="146"/>
        <v>1305</v>
      </c>
      <c r="Q2378" s="8">
        <f t="shared" si="147"/>
        <v>1187</v>
      </c>
      <c r="R2378" s="2" t="s">
        <v>28</v>
      </c>
      <c r="S2378" s="9">
        <f>VLOOKUP(P2378,$T$2:U2375,2,1)</f>
        <v>0.02</v>
      </c>
    </row>
    <row r="2379" spans="1:19" x14ac:dyDescent="0.25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e">
        <f>VLOOKUP(F2379,'Customer Info'!A2371:I2870,2,0)</f>
        <v>#N/A</v>
      </c>
      <c r="H2379" s="6" t="e">
        <f>VLOOKUP(F2379,'Customer Info'!A2371:I2870,3,0)</f>
        <v>#N/A</v>
      </c>
      <c r="I2379" s="6" t="e">
        <f>VLOOKUP(F2379,'Customer Info'!A2371:I2870,5,0)</f>
        <v>#N/A</v>
      </c>
      <c r="J2379" s="2">
        <v>139</v>
      </c>
      <c r="K2379" s="2">
        <v>133</v>
      </c>
      <c r="L2379" s="2">
        <v>4</v>
      </c>
      <c r="M2379" s="7">
        <f t="shared" ref="M2379:M2442" si="148">K2379*L2379</f>
        <v>532</v>
      </c>
      <c r="N2379" s="7">
        <f t="shared" ref="N2379:N2442" si="149">J2379*L2379</f>
        <v>556</v>
      </c>
      <c r="O2379" s="2">
        <v>30</v>
      </c>
      <c r="P2379" s="8">
        <f t="shared" ref="P2379:P2442" si="150">SUM(N2379,O2379)</f>
        <v>586</v>
      </c>
      <c r="Q2379" s="8">
        <f t="shared" ref="Q2379:Q2442" si="151">N2379-O2379</f>
        <v>526</v>
      </c>
      <c r="R2379" s="2" t="s">
        <v>28</v>
      </c>
      <c r="S2379" s="9">
        <f>VLOOKUP(P2379,$T$2:U2376,2,1)</f>
        <v>0.02</v>
      </c>
    </row>
    <row r="2380" spans="1:19" x14ac:dyDescent="0.25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e">
        <f>VLOOKUP(F2380,'Customer Info'!A2372:I2871,2,0)</f>
        <v>#N/A</v>
      </c>
      <c r="H2380" s="6" t="e">
        <f>VLOOKUP(F2380,'Customer Info'!A2372:I2871,3,0)</f>
        <v>#N/A</v>
      </c>
      <c r="I2380" s="6" t="e">
        <f>VLOOKUP(F2380,'Customer Info'!A2372:I2871,5,0)</f>
        <v>#N/A</v>
      </c>
      <c r="J2380" s="2">
        <v>2365</v>
      </c>
      <c r="K2380" s="2">
        <v>2232</v>
      </c>
      <c r="L2380" s="2">
        <v>1</v>
      </c>
      <c r="M2380" s="7">
        <f t="shared" si="148"/>
        <v>2232</v>
      </c>
      <c r="N2380" s="7">
        <f t="shared" si="149"/>
        <v>2365</v>
      </c>
      <c r="O2380" s="2">
        <v>40</v>
      </c>
      <c r="P2380" s="8">
        <f t="shared" si="150"/>
        <v>2405</v>
      </c>
      <c r="Q2380" s="8">
        <f t="shared" si="151"/>
        <v>2325</v>
      </c>
      <c r="R2380" s="2" t="s">
        <v>28</v>
      </c>
      <c r="S2380" s="9">
        <f>VLOOKUP(P2380,$T$2:U2377,2,1)</f>
        <v>0.02</v>
      </c>
    </row>
    <row r="2381" spans="1:19" x14ac:dyDescent="0.25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e">
        <f>VLOOKUP(F2381,'Customer Info'!A2373:I2872,2,0)</f>
        <v>#N/A</v>
      </c>
      <c r="H2381" s="6" t="e">
        <f>VLOOKUP(F2381,'Customer Info'!A2373:I2872,3,0)</f>
        <v>#N/A</v>
      </c>
      <c r="I2381" s="6" t="e">
        <f>VLOOKUP(F2381,'Customer Info'!A2373:I2872,5,0)</f>
        <v>#N/A</v>
      </c>
      <c r="J2381" s="2">
        <v>1528</v>
      </c>
      <c r="K2381" s="2">
        <v>1348</v>
      </c>
      <c r="L2381" s="2">
        <v>2</v>
      </c>
      <c r="M2381" s="7">
        <f t="shared" si="148"/>
        <v>2696</v>
      </c>
      <c r="N2381" s="7">
        <f t="shared" si="149"/>
        <v>3056</v>
      </c>
      <c r="O2381" s="2">
        <v>86</v>
      </c>
      <c r="P2381" s="8">
        <f t="shared" si="150"/>
        <v>3142</v>
      </c>
      <c r="Q2381" s="8">
        <f t="shared" si="151"/>
        <v>2970</v>
      </c>
      <c r="R2381" s="2" t="s">
        <v>28</v>
      </c>
      <c r="S2381" s="9">
        <f>VLOOKUP(P2381,$T$2:U2378,2,1)</f>
        <v>0.02</v>
      </c>
    </row>
    <row r="2382" spans="1:19" x14ac:dyDescent="0.25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e">
        <f>VLOOKUP(F2382,'Customer Info'!A2374:I2873,2,0)</f>
        <v>#N/A</v>
      </c>
      <c r="H2382" s="6" t="e">
        <f>VLOOKUP(F2382,'Customer Info'!A2374:I2873,3,0)</f>
        <v>#N/A</v>
      </c>
      <c r="I2382" s="6" t="e">
        <f>VLOOKUP(F2382,'Customer Info'!A2374:I2873,5,0)</f>
        <v>#N/A</v>
      </c>
      <c r="J2382" s="2">
        <v>825</v>
      </c>
      <c r="K2382" s="2">
        <v>793</v>
      </c>
      <c r="L2382" s="2">
        <v>2</v>
      </c>
      <c r="M2382" s="7">
        <f t="shared" si="148"/>
        <v>1586</v>
      </c>
      <c r="N2382" s="7">
        <f t="shared" si="149"/>
        <v>1650</v>
      </c>
      <c r="O2382" s="2">
        <v>41</v>
      </c>
      <c r="P2382" s="8">
        <f t="shared" si="150"/>
        <v>1691</v>
      </c>
      <c r="Q2382" s="8">
        <f t="shared" si="151"/>
        <v>1609</v>
      </c>
      <c r="R2382" s="2" t="s">
        <v>28</v>
      </c>
      <c r="S2382" s="9">
        <f>VLOOKUP(P2382,$T$2:U2379,2,1)</f>
        <v>0.02</v>
      </c>
    </row>
    <row r="2383" spans="1:19" x14ac:dyDescent="0.25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e">
        <f>VLOOKUP(F2383,'Customer Info'!A2375:I2874,2,0)</f>
        <v>#N/A</v>
      </c>
      <c r="H2383" s="6" t="e">
        <f>VLOOKUP(F2383,'Customer Info'!A2375:I2874,3,0)</f>
        <v>#N/A</v>
      </c>
      <c r="I2383" s="6" t="e">
        <f>VLOOKUP(F2383,'Customer Info'!A2375:I2874,5,0)</f>
        <v>#N/A</v>
      </c>
      <c r="J2383" s="2">
        <v>67</v>
      </c>
      <c r="K2383" s="2">
        <v>62</v>
      </c>
      <c r="L2383" s="2">
        <v>1</v>
      </c>
      <c r="M2383" s="7">
        <f t="shared" si="148"/>
        <v>62</v>
      </c>
      <c r="N2383" s="7">
        <f t="shared" si="149"/>
        <v>67</v>
      </c>
      <c r="O2383" s="2">
        <v>10</v>
      </c>
      <c r="P2383" s="8">
        <f t="shared" si="150"/>
        <v>77</v>
      </c>
      <c r="Q2383" s="8">
        <f t="shared" si="151"/>
        <v>57</v>
      </c>
      <c r="R2383" s="2" t="s">
        <v>26</v>
      </c>
      <c r="S2383" s="9">
        <f>VLOOKUP(P2383,$T$2:U2380,2,1)</f>
        <v>0.02</v>
      </c>
    </row>
    <row r="2384" spans="1:19" x14ac:dyDescent="0.25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e">
        <f>VLOOKUP(F2384,'Customer Info'!A2376:I2875,2,0)</f>
        <v>#N/A</v>
      </c>
      <c r="H2384" s="6" t="e">
        <f>VLOOKUP(F2384,'Customer Info'!A2376:I2875,3,0)</f>
        <v>#N/A</v>
      </c>
      <c r="I2384" s="6" t="e">
        <f>VLOOKUP(F2384,'Customer Info'!A2376:I2875,5,0)</f>
        <v>#N/A</v>
      </c>
      <c r="J2384" s="2">
        <v>2310</v>
      </c>
      <c r="K2384" s="2">
        <v>2040</v>
      </c>
      <c r="L2384" s="2">
        <v>3</v>
      </c>
      <c r="M2384" s="7">
        <f t="shared" si="148"/>
        <v>6120</v>
      </c>
      <c r="N2384" s="7">
        <f t="shared" si="149"/>
        <v>6930</v>
      </c>
      <c r="O2384" s="2">
        <v>54</v>
      </c>
      <c r="P2384" s="8">
        <f t="shared" si="150"/>
        <v>6984</v>
      </c>
      <c r="Q2384" s="8">
        <f t="shared" si="151"/>
        <v>6876</v>
      </c>
      <c r="R2384" s="2" t="s">
        <v>28</v>
      </c>
      <c r="S2384" s="9">
        <f>VLOOKUP(P2384,$T$2:U2381,2,1)</f>
        <v>0.05</v>
      </c>
    </row>
    <row r="2385" spans="1:19" x14ac:dyDescent="0.25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e">
        <f>VLOOKUP(F2385,'Customer Info'!A2377:I2876,2,0)</f>
        <v>#N/A</v>
      </c>
      <c r="H2385" s="6" t="e">
        <f>VLOOKUP(F2385,'Customer Info'!A2377:I2876,3,0)</f>
        <v>#N/A</v>
      </c>
      <c r="I2385" s="6" t="e">
        <f>VLOOKUP(F2385,'Customer Info'!A2377:I2876,5,0)</f>
        <v>#N/A</v>
      </c>
      <c r="J2385" s="2">
        <v>4577</v>
      </c>
      <c r="K2385" s="2">
        <v>4280</v>
      </c>
      <c r="L2385" s="2">
        <v>2</v>
      </c>
      <c r="M2385" s="7">
        <f t="shared" si="148"/>
        <v>8560</v>
      </c>
      <c r="N2385" s="7">
        <f t="shared" si="149"/>
        <v>9154</v>
      </c>
      <c r="O2385" s="2">
        <v>50</v>
      </c>
      <c r="P2385" s="8">
        <f t="shared" si="150"/>
        <v>9204</v>
      </c>
      <c r="Q2385" s="8">
        <f t="shared" si="151"/>
        <v>9104</v>
      </c>
      <c r="R2385" s="2" t="s">
        <v>28</v>
      </c>
      <c r="S2385" s="9">
        <f>VLOOKUP(P2385,$T$2:U2382,2,1)</f>
        <v>0.05</v>
      </c>
    </row>
    <row r="2386" spans="1:19" x14ac:dyDescent="0.25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e">
        <f>VLOOKUP(F2386,'Customer Info'!A2378:I2877,2,0)</f>
        <v>#N/A</v>
      </c>
      <c r="H2386" s="6" t="e">
        <f>VLOOKUP(F2386,'Customer Info'!A2378:I2877,3,0)</f>
        <v>#N/A</v>
      </c>
      <c r="I2386" s="6" t="e">
        <f>VLOOKUP(F2386,'Customer Info'!A2378:I2877,5,0)</f>
        <v>#N/A</v>
      </c>
      <c r="J2386" s="2">
        <v>73</v>
      </c>
      <c r="K2386" s="2">
        <v>65</v>
      </c>
      <c r="L2386" s="2">
        <v>5</v>
      </c>
      <c r="M2386" s="7">
        <f t="shared" si="148"/>
        <v>325</v>
      </c>
      <c r="N2386" s="7">
        <f t="shared" si="149"/>
        <v>365</v>
      </c>
      <c r="O2386" s="2">
        <v>10</v>
      </c>
      <c r="P2386" s="8">
        <f t="shared" si="150"/>
        <v>375</v>
      </c>
      <c r="Q2386" s="8">
        <f t="shared" si="151"/>
        <v>355</v>
      </c>
      <c r="R2386" s="2" t="s">
        <v>28</v>
      </c>
      <c r="S2386" s="9">
        <f>VLOOKUP(P2386,$T$2:U2383,2,1)</f>
        <v>0.02</v>
      </c>
    </row>
    <row r="2387" spans="1:19" x14ac:dyDescent="0.25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e">
        <f>VLOOKUP(F2387,'Customer Info'!A2379:I2878,2,0)</f>
        <v>#N/A</v>
      </c>
      <c r="H2387" s="6" t="e">
        <f>VLOOKUP(F2387,'Customer Info'!A2379:I2878,3,0)</f>
        <v>#N/A</v>
      </c>
      <c r="I2387" s="6" t="e">
        <f>VLOOKUP(F2387,'Customer Info'!A2379:I2878,5,0)</f>
        <v>#N/A</v>
      </c>
      <c r="J2387" s="2">
        <v>151</v>
      </c>
      <c r="K2387" s="2">
        <v>139</v>
      </c>
      <c r="L2387" s="2">
        <v>3</v>
      </c>
      <c r="M2387" s="7">
        <f t="shared" si="148"/>
        <v>417</v>
      </c>
      <c r="N2387" s="7">
        <f t="shared" si="149"/>
        <v>453</v>
      </c>
      <c r="O2387" s="2">
        <v>30</v>
      </c>
      <c r="P2387" s="8">
        <f t="shared" si="150"/>
        <v>483</v>
      </c>
      <c r="Q2387" s="8">
        <f t="shared" si="151"/>
        <v>423</v>
      </c>
      <c r="R2387" s="2" t="s">
        <v>50</v>
      </c>
      <c r="S2387" s="9">
        <f>VLOOKUP(P2387,$T$2:U2384,2,1)</f>
        <v>0.02</v>
      </c>
    </row>
    <row r="2388" spans="1:19" x14ac:dyDescent="0.25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e">
        <f>VLOOKUP(F2388,'Customer Info'!A2380:I2879,2,0)</f>
        <v>#N/A</v>
      </c>
      <c r="H2388" s="6" t="e">
        <f>VLOOKUP(F2388,'Customer Info'!A2380:I2879,3,0)</f>
        <v>#N/A</v>
      </c>
      <c r="I2388" s="6" t="e">
        <f>VLOOKUP(F2388,'Customer Info'!A2380:I2879,5,0)</f>
        <v>#N/A</v>
      </c>
      <c r="J2388" s="2">
        <v>184</v>
      </c>
      <c r="K2388" s="2">
        <v>176</v>
      </c>
      <c r="L2388" s="2">
        <v>5</v>
      </c>
      <c r="M2388" s="7">
        <f t="shared" si="148"/>
        <v>880</v>
      </c>
      <c r="N2388" s="7">
        <f t="shared" si="149"/>
        <v>920</v>
      </c>
      <c r="O2388" s="2">
        <v>30</v>
      </c>
      <c r="P2388" s="8">
        <f t="shared" si="150"/>
        <v>950</v>
      </c>
      <c r="Q2388" s="8">
        <f t="shared" si="151"/>
        <v>890</v>
      </c>
      <c r="R2388" s="2" t="s">
        <v>50</v>
      </c>
      <c r="S2388" s="9">
        <f>VLOOKUP(P2388,$T$2:U2385,2,1)</f>
        <v>0.02</v>
      </c>
    </row>
    <row r="2389" spans="1:19" x14ac:dyDescent="0.25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e">
        <f>VLOOKUP(F2389,'Customer Info'!A2381:I2880,2,0)</f>
        <v>#N/A</v>
      </c>
      <c r="H2389" s="6" t="e">
        <f>VLOOKUP(F2389,'Customer Info'!A2381:I2880,3,0)</f>
        <v>#N/A</v>
      </c>
      <c r="I2389" s="6" t="e">
        <f>VLOOKUP(F2389,'Customer Info'!A2381:I2880,5,0)</f>
        <v>#N/A</v>
      </c>
      <c r="J2389" s="2">
        <v>456</v>
      </c>
      <c r="K2389" s="2">
        <v>430</v>
      </c>
      <c r="L2389" s="2">
        <v>3</v>
      </c>
      <c r="M2389" s="7">
        <f t="shared" si="148"/>
        <v>1290</v>
      </c>
      <c r="N2389" s="7">
        <f t="shared" si="149"/>
        <v>1368</v>
      </c>
      <c r="O2389" s="2">
        <v>81</v>
      </c>
      <c r="P2389" s="8">
        <f t="shared" si="150"/>
        <v>1449</v>
      </c>
      <c r="Q2389" s="8">
        <f t="shared" si="151"/>
        <v>1287</v>
      </c>
      <c r="R2389" s="2" t="s">
        <v>50</v>
      </c>
      <c r="S2389" s="9">
        <f>VLOOKUP(P2389,$T$2:U2386,2,1)</f>
        <v>0.02</v>
      </c>
    </row>
    <row r="2390" spans="1:19" x14ac:dyDescent="0.25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e">
        <f>VLOOKUP(F2390,'Customer Info'!A2382:I2881,2,0)</f>
        <v>#N/A</v>
      </c>
      <c r="H2390" s="6" t="e">
        <f>VLOOKUP(F2390,'Customer Info'!A2382:I2881,3,0)</f>
        <v>#N/A</v>
      </c>
      <c r="I2390" s="6" t="e">
        <f>VLOOKUP(F2390,'Customer Info'!A2382:I2881,5,0)</f>
        <v>#N/A</v>
      </c>
      <c r="J2390" s="2">
        <v>674</v>
      </c>
      <c r="K2390" s="2">
        <v>629</v>
      </c>
      <c r="L2390" s="2">
        <v>5</v>
      </c>
      <c r="M2390" s="7">
        <f t="shared" si="148"/>
        <v>3145</v>
      </c>
      <c r="N2390" s="7">
        <f t="shared" si="149"/>
        <v>3370</v>
      </c>
      <c r="O2390" s="2">
        <v>81</v>
      </c>
      <c r="P2390" s="8">
        <f t="shared" si="150"/>
        <v>3451</v>
      </c>
      <c r="Q2390" s="8">
        <f t="shared" si="151"/>
        <v>3289</v>
      </c>
      <c r="R2390" s="2" t="s">
        <v>26</v>
      </c>
      <c r="S2390" s="9">
        <f>VLOOKUP(P2390,$T$2:U2387,2,1)</f>
        <v>0.02</v>
      </c>
    </row>
    <row r="2391" spans="1:19" x14ac:dyDescent="0.25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e">
        <f>VLOOKUP(F2391,'Customer Info'!A2383:I2882,2,0)</f>
        <v>#N/A</v>
      </c>
      <c r="H2391" s="6" t="e">
        <f>VLOOKUP(F2391,'Customer Info'!A2383:I2882,3,0)</f>
        <v>#N/A</v>
      </c>
      <c r="I2391" s="6" t="e">
        <f>VLOOKUP(F2391,'Customer Info'!A2383:I2882,5,0)</f>
        <v>#N/A</v>
      </c>
      <c r="J2391" s="2">
        <v>279</v>
      </c>
      <c r="K2391" s="2">
        <v>254</v>
      </c>
      <c r="L2391" s="2">
        <v>2</v>
      </c>
      <c r="M2391" s="7">
        <f t="shared" si="148"/>
        <v>508</v>
      </c>
      <c r="N2391" s="7">
        <f t="shared" si="149"/>
        <v>558</v>
      </c>
      <c r="O2391" s="2">
        <v>51</v>
      </c>
      <c r="P2391" s="8">
        <f t="shared" si="150"/>
        <v>609</v>
      </c>
      <c r="Q2391" s="8">
        <f t="shared" si="151"/>
        <v>507</v>
      </c>
      <c r="R2391" s="2" t="s">
        <v>26</v>
      </c>
      <c r="S2391" s="9">
        <f>VLOOKUP(P2391,$T$2:U2388,2,1)</f>
        <v>0.02</v>
      </c>
    </row>
    <row r="2392" spans="1:19" x14ac:dyDescent="0.25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e">
        <f>VLOOKUP(F2392,'Customer Info'!A2384:I2883,2,0)</f>
        <v>#N/A</v>
      </c>
      <c r="H2392" s="6" t="e">
        <f>VLOOKUP(F2392,'Customer Info'!A2384:I2883,3,0)</f>
        <v>#N/A</v>
      </c>
      <c r="I2392" s="6" t="e">
        <f>VLOOKUP(F2392,'Customer Info'!A2384:I2883,5,0)</f>
        <v>#N/A</v>
      </c>
      <c r="J2392" s="2">
        <v>214</v>
      </c>
      <c r="K2392" s="2">
        <v>199</v>
      </c>
      <c r="L2392" s="2">
        <v>2</v>
      </c>
      <c r="M2392" s="7">
        <f t="shared" si="148"/>
        <v>398</v>
      </c>
      <c r="N2392" s="7">
        <f t="shared" si="149"/>
        <v>428</v>
      </c>
      <c r="O2392" s="2">
        <v>45</v>
      </c>
      <c r="P2392" s="8">
        <f t="shared" si="150"/>
        <v>473</v>
      </c>
      <c r="Q2392" s="8">
        <f t="shared" si="151"/>
        <v>383</v>
      </c>
      <c r="R2392" s="2" t="s">
        <v>28</v>
      </c>
      <c r="S2392" s="9">
        <f>VLOOKUP(P2392,$T$2:U2389,2,1)</f>
        <v>0.02</v>
      </c>
    </row>
    <row r="2393" spans="1:19" x14ac:dyDescent="0.25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e">
        <f>VLOOKUP(F2393,'Customer Info'!A2385:I2884,2,0)</f>
        <v>#N/A</v>
      </c>
      <c r="H2393" s="6" t="e">
        <f>VLOOKUP(F2393,'Customer Info'!A2385:I2884,3,0)</f>
        <v>#N/A</v>
      </c>
      <c r="I2393" s="6" t="e">
        <f>VLOOKUP(F2393,'Customer Info'!A2385:I2884,5,0)</f>
        <v>#N/A</v>
      </c>
      <c r="J2393" s="2">
        <v>38328</v>
      </c>
      <c r="K2393" s="2">
        <v>35164</v>
      </c>
      <c r="L2393" s="2">
        <v>2</v>
      </c>
      <c r="M2393" s="7">
        <f t="shared" si="148"/>
        <v>70328</v>
      </c>
      <c r="N2393" s="7">
        <f t="shared" si="149"/>
        <v>76656</v>
      </c>
      <c r="O2393" s="2">
        <v>49</v>
      </c>
      <c r="P2393" s="8">
        <f t="shared" si="150"/>
        <v>76705</v>
      </c>
      <c r="Q2393" s="8">
        <f t="shared" si="151"/>
        <v>76607</v>
      </c>
      <c r="R2393" s="2" t="s">
        <v>26</v>
      </c>
      <c r="S2393" s="9">
        <f>VLOOKUP(P2393,$T$2:U2390,2,1)</f>
        <v>0.09</v>
      </c>
    </row>
    <row r="2394" spans="1:19" x14ac:dyDescent="0.25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e">
        <f>VLOOKUP(F2394,'Customer Info'!A2386:I2885,2,0)</f>
        <v>#N/A</v>
      </c>
      <c r="H2394" s="6" t="e">
        <f>VLOOKUP(F2394,'Customer Info'!A2386:I2885,3,0)</f>
        <v>#N/A</v>
      </c>
      <c r="I2394" s="6" t="e">
        <f>VLOOKUP(F2394,'Customer Info'!A2386:I2885,5,0)</f>
        <v>#N/A</v>
      </c>
      <c r="J2394" s="2">
        <v>1399</v>
      </c>
      <c r="K2394" s="2">
        <v>1308</v>
      </c>
      <c r="L2394" s="2">
        <v>3</v>
      </c>
      <c r="M2394" s="7">
        <f t="shared" si="148"/>
        <v>3924</v>
      </c>
      <c r="N2394" s="7">
        <f t="shared" si="149"/>
        <v>4197</v>
      </c>
      <c r="O2394" s="2">
        <v>42</v>
      </c>
      <c r="P2394" s="8">
        <f t="shared" si="150"/>
        <v>4239</v>
      </c>
      <c r="Q2394" s="8">
        <f t="shared" si="151"/>
        <v>4155</v>
      </c>
      <c r="R2394" s="2" t="s">
        <v>50</v>
      </c>
      <c r="S2394" s="9">
        <f>VLOOKUP(P2394,$T$2:U2391,2,1)</f>
        <v>0.02</v>
      </c>
    </row>
    <row r="2395" spans="1:19" x14ac:dyDescent="0.25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e">
        <f>VLOOKUP(F2395,'Customer Info'!A2387:I2886,2,0)</f>
        <v>#N/A</v>
      </c>
      <c r="H2395" s="6" t="e">
        <f>VLOOKUP(F2395,'Customer Info'!A2387:I2886,3,0)</f>
        <v>#N/A</v>
      </c>
      <c r="I2395" s="6" t="e">
        <f>VLOOKUP(F2395,'Customer Info'!A2387:I2886,5,0)</f>
        <v>#N/A</v>
      </c>
      <c r="J2395" s="2">
        <v>542</v>
      </c>
      <c r="K2395" s="2">
        <v>492</v>
      </c>
      <c r="L2395" s="2">
        <v>7</v>
      </c>
      <c r="M2395" s="7">
        <f t="shared" si="148"/>
        <v>3444</v>
      </c>
      <c r="N2395" s="7">
        <f t="shared" si="149"/>
        <v>3794</v>
      </c>
      <c r="O2395" s="2">
        <v>53</v>
      </c>
      <c r="P2395" s="8">
        <f t="shared" si="150"/>
        <v>3847</v>
      </c>
      <c r="Q2395" s="8">
        <f t="shared" si="151"/>
        <v>3741</v>
      </c>
      <c r="R2395" s="2" t="s">
        <v>56</v>
      </c>
      <c r="S2395" s="9">
        <f>VLOOKUP(P2395,$T$2:U2392,2,1)</f>
        <v>0.02</v>
      </c>
    </row>
    <row r="2396" spans="1:19" x14ac:dyDescent="0.25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e">
        <f>VLOOKUP(F2396,'Customer Info'!A2388:I2887,2,0)</f>
        <v>#N/A</v>
      </c>
      <c r="H2396" s="6" t="e">
        <f>VLOOKUP(F2396,'Customer Info'!A2388:I2887,3,0)</f>
        <v>#N/A</v>
      </c>
      <c r="I2396" s="6" t="e">
        <f>VLOOKUP(F2396,'Customer Info'!A2388:I2887,5,0)</f>
        <v>#N/A</v>
      </c>
      <c r="J2396" s="2">
        <v>5051</v>
      </c>
      <c r="K2396" s="2">
        <v>4634</v>
      </c>
      <c r="L2396" s="2">
        <v>4</v>
      </c>
      <c r="M2396" s="7">
        <f t="shared" si="148"/>
        <v>18536</v>
      </c>
      <c r="N2396" s="7">
        <f t="shared" si="149"/>
        <v>20204</v>
      </c>
      <c r="O2396" s="2">
        <v>59</v>
      </c>
      <c r="P2396" s="8">
        <f t="shared" si="150"/>
        <v>20263</v>
      </c>
      <c r="Q2396" s="8">
        <f t="shared" si="151"/>
        <v>20145</v>
      </c>
      <c r="R2396" s="2" t="s">
        <v>26</v>
      </c>
      <c r="S2396" s="9">
        <f>VLOOKUP(P2396,$T$2:U2393,2,1)</f>
        <v>0.05</v>
      </c>
    </row>
    <row r="2397" spans="1:19" x14ac:dyDescent="0.25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e">
        <f>VLOOKUP(F2397,'Customer Info'!A2389:I2888,2,0)</f>
        <v>#N/A</v>
      </c>
      <c r="H2397" s="6" t="e">
        <f>VLOOKUP(F2397,'Customer Info'!A2389:I2888,3,0)</f>
        <v>#N/A</v>
      </c>
      <c r="I2397" s="6" t="e">
        <f>VLOOKUP(F2397,'Customer Info'!A2389:I2888,5,0)</f>
        <v>#N/A</v>
      </c>
      <c r="J2397" s="2">
        <v>1790</v>
      </c>
      <c r="K2397" s="2">
        <v>1706</v>
      </c>
      <c r="L2397" s="2">
        <v>3</v>
      </c>
      <c r="M2397" s="7">
        <f t="shared" si="148"/>
        <v>5118</v>
      </c>
      <c r="N2397" s="7">
        <f t="shared" si="149"/>
        <v>5370</v>
      </c>
      <c r="O2397" s="2">
        <v>50</v>
      </c>
      <c r="P2397" s="8">
        <f t="shared" si="150"/>
        <v>5420</v>
      </c>
      <c r="Q2397" s="8">
        <f t="shared" si="151"/>
        <v>5320</v>
      </c>
      <c r="R2397" s="2" t="s">
        <v>28</v>
      </c>
      <c r="S2397" s="9">
        <f>VLOOKUP(P2397,$T$2:U2394,2,1)</f>
        <v>0.05</v>
      </c>
    </row>
    <row r="2398" spans="1:19" x14ac:dyDescent="0.25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e">
        <f>VLOOKUP(F2398,'Customer Info'!A2390:I2889,2,0)</f>
        <v>#N/A</v>
      </c>
      <c r="H2398" s="6" t="e">
        <f>VLOOKUP(F2398,'Customer Info'!A2390:I2889,3,0)</f>
        <v>#N/A</v>
      </c>
      <c r="I2398" s="6" t="e">
        <f>VLOOKUP(F2398,'Customer Info'!A2390:I2889,5,0)</f>
        <v>#N/A</v>
      </c>
      <c r="J2398" s="2">
        <v>2907</v>
      </c>
      <c r="K2398" s="2">
        <v>2667</v>
      </c>
      <c r="L2398" s="2">
        <v>4</v>
      </c>
      <c r="M2398" s="7">
        <f t="shared" si="148"/>
        <v>10668</v>
      </c>
      <c r="N2398" s="7">
        <f t="shared" si="149"/>
        <v>11628</v>
      </c>
      <c r="O2398" s="2">
        <v>91</v>
      </c>
      <c r="P2398" s="8">
        <f t="shared" si="150"/>
        <v>11719</v>
      </c>
      <c r="Q2398" s="8">
        <f t="shared" si="151"/>
        <v>11537</v>
      </c>
      <c r="R2398" s="2" t="s">
        <v>28</v>
      </c>
      <c r="S2398" s="9">
        <f>VLOOKUP(P2398,$T$2:U2395,2,1)</f>
        <v>0.05</v>
      </c>
    </row>
    <row r="2399" spans="1:19" x14ac:dyDescent="0.25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e">
        <f>VLOOKUP(F2399,'Customer Info'!A2391:I2890,2,0)</f>
        <v>#N/A</v>
      </c>
      <c r="H2399" s="6" t="e">
        <f>VLOOKUP(F2399,'Customer Info'!A2391:I2890,3,0)</f>
        <v>#N/A</v>
      </c>
      <c r="I2399" s="6" t="e">
        <f>VLOOKUP(F2399,'Customer Info'!A2391:I2890,5,0)</f>
        <v>#N/A</v>
      </c>
      <c r="J2399" s="2">
        <v>2981</v>
      </c>
      <c r="K2399" s="2">
        <v>2870</v>
      </c>
      <c r="L2399" s="2">
        <v>2</v>
      </c>
      <c r="M2399" s="7">
        <f t="shared" si="148"/>
        <v>5740</v>
      </c>
      <c r="N2399" s="7">
        <f t="shared" si="149"/>
        <v>5962</v>
      </c>
      <c r="O2399" s="2">
        <v>21</v>
      </c>
      <c r="P2399" s="8">
        <f t="shared" si="150"/>
        <v>5983</v>
      </c>
      <c r="Q2399" s="8">
        <f t="shared" si="151"/>
        <v>5941</v>
      </c>
      <c r="R2399" s="2" t="s">
        <v>26</v>
      </c>
      <c r="S2399" s="9">
        <f>VLOOKUP(P2399,$T$2:U2396,2,1)</f>
        <v>0.05</v>
      </c>
    </row>
    <row r="2400" spans="1:19" x14ac:dyDescent="0.25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e">
        <f>VLOOKUP(F2400,'Customer Info'!A2392:I2891,2,0)</f>
        <v>#N/A</v>
      </c>
      <c r="H2400" s="6" t="e">
        <f>VLOOKUP(F2400,'Customer Info'!A2392:I2891,3,0)</f>
        <v>#N/A</v>
      </c>
      <c r="I2400" s="6" t="e">
        <f>VLOOKUP(F2400,'Customer Info'!A2392:I2891,5,0)</f>
        <v>#N/A</v>
      </c>
      <c r="J2400" s="2">
        <v>1205</v>
      </c>
      <c r="K2400" s="2">
        <v>1159</v>
      </c>
      <c r="L2400" s="2">
        <v>14</v>
      </c>
      <c r="M2400" s="7">
        <f t="shared" si="148"/>
        <v>16226</v>
      </c>
      <c r="N2400" s="7">
        <f t="shared" si="149"/>
        <v>16870</v>
      </c>
      <c r="O2400" s="2">
        <v>57</v>
      </c>
      <c r="P2400" s="8">
        <f t="shared" si="150"/>
        <v>16927</v>
      </c>
      <c r="Q2400" s="8">
        <f t="shared" si="151"/>
        <v>16813</v>
      </c>
      <c r="R2400" s="2" t="s">
        <v>28</v>
      </c>
      <c r="S2400" s="9">
        <f>VLOOKUP(P2400,$T$2:U2397,2,1)</f>
        <v>0.05</v>
      </c>
    </row>
    <row r="2401" spans="1:19" x14ac:dyDescent="0.25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e">
        <f>VLOOKUP(F2401,'Customer Info'!A2393:I2892,2,0)</f>
        <v>#N/A</v>
      </c>
      <c r="H2401" s="6" t="e">
        <f>VLOOKUP(F2401,'Customer Info'!A2393:I2892,3,0)</f>
        <v>#N/A</v>
      </c>
      <c r="I2401" s="6" t="e">
        <f>VLOOKUP(F2401,'Customer Info'!A2393:I2892,5,0)</f>
        <v>#N/A</v>
      </c>
      <c r="J2401" s="2">
        <v>2951</v>
      </c>
      <c r="K2401" s="2">
        <v>2786</v>
      </c>
      <c r="L2401" s="2">
        <v>1</v>
      </c>
      <c r="M2401" s="7">
        <f t="shared" si="148"/>
        <v>2786</v>
      </c>
      <c r="N2401" s="7">
        <f t="shared" si="149"/>
        <v>2951</v>
      </c>
      <c r="O2401" s="2">
        <v>28</v>
      </c>
      <c r="P2401" s="8">
        <f t="shared" si="150"/>
        <v>2979</v>
      </c>
      <c r="Q2401" s="8">
        <f t="shared" si="151"/>
        <v>2923</v>
      </c>
      <c r="R2401" s="2" t="s">
        <v>28</v>
      </c>
      <c r="S2401" s="9">
        <f>VLOOKUP(P2401,$T$2:U2398,2,1)</f>
        <v>0.02</v>
      </c>
    </row>
    <row r="2402" spans="1:19" x14ac:dyDescent="0.25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e">
        <f>VLOOKUP(F2402,'Customer Info'!A2394:I2893,2,0)</f>
        <v>#N/A</v>
      </c>
      <c r="H2402" s="6" t="e">
        <f>VLOOKUP(F2402,'Customer Info'!A2394:I2893,3,0)</f>
        <v>#N/A</v>
      </c>
      <c r="I2402" s="6" t="e">
        <f>VLOOKUP(F2402,'Customer Info'!A2394:I2893,5,0)</f>
        <v>#N/A</v>
      </c>
      <c r="J2402" s="2">
        <v>1774</v>
      </c>
      <c r="K2402" s="2">
        <v>1642</v>
      </c>
      <c r="L2402" s="2">
        <v>3</v>
      </c>
      <c r="M2402" s="7">
        <f t="shared" si="148"/>
        <v>4926</v>
      </c>
      <c r="N2402" s="7">
        <f t="shared" si="149"/>
        <v>5322</v>
      </c>
      <c r="O2402" s="2">
        <v>65</v>
      </c>
      <c r="P2402" s="8">
        <f t="shared" si="150"/>
        <v>5387</v>
      </c>
      <c r="Q2402" s="8">
        <f t="shared" si="151"/>
        <v>5257</v>
      </c>
      <c r="R2402" s="2" t="s">
        <v>28</v>
      </c>
      <c r="S2402" s="9">
        <f>VLOOKUP(P2402,$T$2:U2399,2,1)</f>
        <v>0.05</v>
      </c>
    </row>
    <row r="2403" spans="1:19" x14ac:dyDescent="0.25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e">
        <f>VLOOKUP(F2403,'Customer Info'!A2395:I2894,2,0)</f>
        <v>#N/A</v>
      </c>
      <c r="H2403" s="6" t="e">
        <f>VLOOKUP(F2403,'Customer Info'!A2395:I2894,3,0)</f>
        <v>#N/A</v>
      </c>
      <c r="I2403" s="6" t="e">
        <f>VLOOKUP(F2403,'Customer Info'!A2395:I2894,5,0)</f>
        <v>#N/A</v>
      </c>
      <c r="J2403" s="2">
        <v>789</v>
      </c>
      <c r="K2403" s="2">
        <v>739</v>
      </c>
      <c r="L2403" s="2">
        <v>3</v>
      </c>
      <c r="M2403" s="7">
        <f t="shared" si="148"/>
        <v>2217</v>
      </c>
      <c r="N2403" s="7">
        <f t="shared" si="149"/>
        <v>2367</v>
      </c>
      <c r="O2403" s="2">
        <v>61</v>
      </c>
      <c r="P2403" s="8">
        <f t="shared" si="150"/>
        <v>2428</v>
      </c>
      <c r="Q2403" s="8">
        <f t="shared" si="151"/>
        <v>2306</v>
      </c>
      <c r="R2403" s="2" t="s">
        <v>26</v>
      </c>
      <c r="S2403" s="9">
        <f>VLOOKUP(P2403,$T$2:U2400,2,1)</f>
        <v>0.02</v>
      </c>
    </row>
    <row r="2404" spans="1:19" x14ac:dyDescent="0.25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e">
        <f>VLOOKUP(F2404,'Customer Info'!A2396:I2895,2,0)</f>
        <v>#N/A</v>
      </c>
      <c r="H2404" s="6" t="e">
        <f>VLOOKUP(F2404,'Customer Info'!A2396:I2895,3,0)</f>
        <v>#N/A</v>
      </c>
      <c r="I2404" s="6" t="e">
        <f>VLOOKUP(F2404,'Customer Info'!A2396:I2895,5,0)</f>
        <v>#N/A</v>
      </c>
      <c r="J2404" s="2">
        <v>1283</v>
      </c>
      <c r="K2404" s="2">
        <v>1187</v>
      </c>
      <c r="L2404" s="2">
        <v>1</v>
      </c>
      <c r="M2404" s="7">
        <f t="shared" si="148"/>
        <v>1187</v>
      </c>
      <c r="N2404" s="7">
        <f t="shared" si="149"/>
        <v>1283</v>
      </c>
      <c r="O2404" s="2">
        <v>83</v>
      </c>
      <c r="P2404" s="8">
        <f t="shared" si="150"/>
        <v>1366</v>
      </c>
      <c r="Q2404" s="8">
        <f t="shared" si="151"/>
        <v>1200</v>
      </c>
      <c r="R2404" s="2" t="s">
        <v>28</v>
      </c>
      <c r="S2404" s="9">
        <f>VLOOKUP(P2404,$T$2:U2401,2,1)</f>
        <v>0.02</v>
      </c>
    </row>
    <row r="2405" spans="1:19" x14ac:dyDescent="0.25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e">
        <f>VLOOKUP(F2405,'Customer Info'!A2397:I2896,2,0)</f>
        <v>#N/A</v>
      </c>
      <c r="H2405" s="6" t="e">
        <f>VLOOKUP(F2405,'Customer Info'!A2397:I2896,3,0)</f>
        <v>#N/A</v>
      </c>
      <c r="I2405" s="6" t="e">
        <f>VLOOKUP(F2405,'Customer Info'!A2397:I2896,5,0)</f>
        <v>#N/A</v>
      </c>
      <c r="J2405" s="2">
        <v>61</v>
      </c>
      <c r="K2405" s="2">
        <v>56</v>
      </c>
      <c r="L2405" s="2">
        <v>5</v>
      </c>
      <c r="M2405" s="7">
        <f t="shared" si="148"/>
        <v>280</v>
      </c>
      <c r="N2405" s="7">
        <f t="shared" si="149"/>
        <v>305</v>
      </c>
      <c r="O2405" s="2">
        <v>10</v>
      </c>
      <c r="P2405" s="8">
        <f t="shared" si="150"/>
        <v>315</v>
      </c>
      <c r="Q2405" s="8">
        <f t="shared" si="151"/>
        <v>295</v>
      </c>
      <c r="R2405" s="2" t="s">
        <v>28</v>
      </c>
      <c r="S2405" s="9">
        <f>VLOOKUP(P2405,$T$2:U2402,2,1)</f>
        <v>0.02</v>
      </c>
    </row>
    <row r="2406" spans="1:19" x14ac:dyDescent="0.25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e">
        <f>VLOOKUP(F2406,'Customer Info'!A2398:I2897,2,0)</f>
        <v>#N/A</v>
      </c>
      <c r="H2406" s="6" t="e">
        <f>VLOOKUP(F2406,'Customer Info'!A2398:I2897,3,0)</f>
        <v>#N/A</v>
      </c>
      <c r="I2406" s="6" t="e">
        <f>VLOOKUP(F2406,'Customer Info'!A2398:I2897,5,0)</f>
        <v>#N/A</v>
      </c>
      <c r="J2406" s="2">
        <v>8022</v>
      </c>
      <c r="K2406" s="2">
        <v>7868</v>
      </c>
      <c r="L2406" s="2">
        <v>1</v>
      </c>
      <c r="M2406" s="7">
        <f t="shared" si="148"/>
        <v>7868</v>
      </c>
      <c r="N2406" s="7">
        <f t="shared" si="149"/>
        <v>8022</v>
      </c>
      <c r="O2406" s="2">
        <v>86</v>
      </c>
      <c r="P2406" s="8">
        <f t="shared" si="150"/>
        <v>8108</v>
      </c>
      <c r="Q2406" s="8">
        <f t="shared" si="151"/>
        <v>7936</v>
      </c>
      <c r="R2406" s="2" t="s">
        <v>28</v>
      </c>
      <c r="S2406" s="9">
        <f>VLOOKUP(P2406,$T$2:U2403,2,1)</f>
        <v>0.05</v>
      </c>
    </row>
    <row r="2407" spans="1:19" x14ac:dyDescent="0.25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e">
        <f>VLOOKUP(F2407,'Customer Info'!A2399:I2898,2,0)</f>
        <v>#N/A</v>
      </c>
      <c r="H2407" s="6" t="e">
        <f>VLOOKUP(F2407,'Customer Info'!A2399:I2898,3,0)</f>
        <v>#N/A</v>
      </c>
      <c r="I2407" s="6" t="e">
        <f>VLOOKUP(F2407,'Customer Info'!A2399:I2898,5,0)</f>
        <v>#N/A</v>
      </c>
      <c r="J2407" s="2">
        <v>7474</v>
      </c>
      <c r="K2407" s="2">
        <v>6858</v>
      </c>
      <c r="L2407" s="2">
        <v>4</v>
      </c>
      <c r="M2407" s="7">
        <f t="shared" si="148"/>
        <v>27432</v>
      </c>
      <c r="N2407" s="7">
        <f t="shared" si="149"/>
        <v>29896</v>
      </c>
      <c r="O2407" s="2">
        <v>52</v>
      </c>
      <c r="P2407" s="8">
        <f t="shared" si="150"/>
        <v>29948</v>
      </c>
      <c r="Q2407" s="8">
        <f t="shared" si="151"/>
        <v>29844</v>
      </c>
      <c r="R2407" s="2" t="s">
        <v>28</v>
      </c>
      <c r="S2407" s="9">
        <f>VLOOKUP(P2407,$T$2:U2404,2,1)</f>
        <v>7.0000000000000007E-2</v>
      </c>
    </row>
    <row r="2408" spans="1:19" x14ac:dyDescent="0.25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e">
        <f>VLOOKUP(F2408,'Customer Info'!A2400:I2899,2,0)</f>
        <v>#N/A</v>
      </c>
      <c r="H2408" s="6" t="e">
        <f>VLOOKUP(F2408,'Customer Info'!A2400:I2899,3,0)</f>
        <v>#N/A</v>
      </c>
      <c r="I2408" s="6" t="e">
        <f>VLOOKUP(F2408,'Customer Info'!A2400:I2899,5,0)</f>
        <v>#N/A</v>
      </c>
      <c r="J2408" s="2">
        <v>67</v>
      </c>
      <c r="K2408" s="2">
        <v>62</v>
      </c>
      <c r="L2408" s="2">
        <v>2</v>
      </c>
      <c r="M2408" s="7">
        <f t="shared" si="148"/>
        <v>124</v>
      </c>
      <c r="N2408" s="7">
        <f t="shared" si="149"/>
        <v>134</v>
      </c>
      <c r="O2408" s="2">
        <v>10</v>
      </c>
      <c r="P2408" s="8">
        <f t="shared" si="150"/>
        <v>144</v>
      </c>
      <c r="Q2408" s="8">
        <f t="shared" si="151"/>
        <v>124</v>
      </c>
      <c r="R2408" s="2" t="s">
        <v>28</v>
      </c>
      <c r="S2408" s="9">
        <f>VLOOKUP(P2408,$T$2:U2405,2,1)</f>
        <v>0.02</v>
      </c>
    </row>
    <row r="2409" spans="1:19" x14ac:dyDescent="0.25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e">
        <f>VLOOKUP(F2409,'Customer Info'!A2401:I2900,2,0)</f>
        <v>#N/A</v>
      </c>
      <c r="H2409" s="6" t="e">
        <f>VLOOKUP(F2409,'Customer Info'!A2401:I2900,3,0)</f>
        <v>#N/A</v>
      </c>
      <c r="I2409" s="6" t="e">
        <f>VLOOKUP(F2409,'Customer Info'!A2401:I2900,5,0)</f>
        <v>#N/A</v>
      </c>
      <c r="J2409" s="2">
        <v>140</v>
      </c>
      <c r="K2409" s="2">
        <v>137</v>
      </c>
      <c r="L2409" s="2">
        <v>2</v>
      </c>
      <c r="M2409" s="7">
        <f t="shared" si="148"/>
        <v>274</v>
      </c>
      <c r="N2409" s="7">
        <f t="shared" si="149"/>
        <v>280</v>
      </c>
      <c r="O2409" s="2">
        <v>30</v>
      </c>
      <c r="P2409" s="8">
        <f t="shared" si="150"/>
        <v>310</v>
      </c>
      <c r="Q2409" s="8">
        <f t="shared" si="151"/>
        <v>250</v>
      </c>
      <c r="R2409" s="2" t="s">
        <v>28</v>
      </c>
      <c r="S2409" s="9">
        <f>VLOOKUP(P2409,$T$2:U2406,2,1)</f>
        <v>0.02</v>
      </c>
    </row>
    <row r="2410" spans="1:19" x14ac:dyDescent="0.25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e">
        <f>VLOOKUP(F2410,'Customer Info'!A2402:I2901,2,0)</f>
        <v>#N/A</v>
      </c>
      <c r="H2410" s="6" t="e">
        <f>VLOOKUP(F2410,'Customer Info'!A2402:I2901,3,0)</f>
        <v>#N/A</v>
      </c>
      <c r="I2410" s="6" t="e">
        <f>VLOOKUP(F2410,'Customer Info'!A2402:I2901,5,0)</f>
        <v>#N/A</v>
      </c>
      <c r="J2410" s="2">
        <v>8022</v>
      </c>
      <c r="K2410" s="2">
        <v>7868</v>
      </c>
      <c r="L2410" s="2">
        <v>2</v>
      </c>
      <c r="M2410" s="7">
        <f t="shared" si="148"/>
        <v>15736</v>
      </c>
      <c r="N2410" s="7">
        <f t="shared" si="149"/>
        <v>16044</v>
      </c>
      <c r="O2410" s="2">
        <v>96</v>
      </c>
      <c r="P2410" s="8">
        <f t="shared" si="150"/>
        <v>16140</v>
      </c>
      <c r="Q2410" s="8">
        <f t="shared" si="151"/>
        <v>15948</v>
      </c>
      <c r="R2410" s="2" t="s">
        <v>50</v>
      </c>
      <c r="S2410" s="9">
        <f>VLOOKUP(P2410,$T$2:U2407,2,1)</f>
        <v>0.05</v>
      </c>
    </row>
    <row r="2411" spans="1:19" x14ac:dyDescent="0.25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e">
        <f>VLOOKUP(F2411,'Customer Info'!A2403:I2902,2,0)</f>
        <v>#N/A</v>
      </c>
      <c r="H2411" s="6" t="e">
        <f>VLOOKUP(F2411,'Customer Info'!A2403:I2902,3,0)</f>
        <v>#N/A</v>
      </c>
      <c r="I2411" s="6" t="e">
        <f>VLOOKUP(F2411,'Customer Info'!A2403:I2902,5,0)</f>
        <v>#N/A</v>
      </c>
      <c r="J2411" s="2">
        <v>8967</v>
      </c>
      <c r="K2411" s="2">
        <v>8151</v>
      </c>
      <c r="L2411" s="2">
        <v>1</v>
      </c>
      <c r="M2411" s="7">
        <f t="shared" si="148"/>
        <v>8151</v>
      </c>
      <c r="N2411" s="7">
        <f t="shared" si="149"/>
        <v>8967</v>
      </c>
      <c r="O2411" s="2">
        <v>41</v>
      </c>
      <c r="P2411" s="8">
        <f t="shared" si="150"/>
        <v>9008</v>
      </c>
      <c r="Q2411" s="8">
        <f t="shared" si="151"/>
        <v>8926</v>
      </c>
      <c r="R2411" s="2" t="s">
        <v>28</v>
      </c>
      <c r="S2411" s="9">
        <f>VLOOKUP(P2411,$T$2:U2408,2,1)</f>
        <v>0.05</v>
      </c>
    </row>
    <row r="2412" spans="1:19" x14ac:dyDescent="0.25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e">
        <f>VLOOKUP(F2412,'Customer Info'!A2404:I2903,2,0)</f>
        <v>#N/A</v>
      </c>
      <c r="H2412" s="6" t="e">
        <f>VLOOKUP(F2412,'Customer Info'!A2404:I2903,3,0)</f>
        <v>#N/A</v>
      </c>
      <c r="I2412" s="6" t="e">
        <f>VLOOKUP(F2412,'Customer Info'!A2404:I2903,5,0)</f>
        <v>#N/A</v>
      </c>
      <c r="J2412" s="2">
        <v>2007</v>
      </c>
      <c r="K2412" s="2">
        <v>1839</v>
      </c>
      <c r="L2412" s="2">
        <v>1</v>
      </c>
      <c r="M2412" s="7">
        <f t="shared" si="148"/>
        <v>1839</v>
      </c>
      <c r="N2412" s="7">
        <f t="shared" si="149"/>
        <v>2007</v>
      </c>
      <c r="O2412" s="2">
        <v>97</v>
      </c>
      <c r="P2412" s="8">
        <f t="shared" si="150"/>
        <v>2104</v>
      </c>
      <c r="Q2412" s="8">
        <f t="shared" si="151"/>
        <v>1910</v>
      </c>
      <c r="R2412" s="2" t="s">
        <v>26</v>
      </c>
      <c r="S2412" s="9">
        <f>VLOOKUP(P2412,$T$2:U2409,2,1)</f>
        <v>0.02</v>
      </c>
    </row>
    <row r="2413" spans="1:19" x14ac:dyDescent="0.25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e">
        <f>VLOOKUP(F2413,'Customer Info'!A2405:I2904,2,0)</f>
        <v>#N/A</v>
      </c>
      <c r="H2413" s="6" t="e">
        <f>VLOOKUP(F2413,'Customer Info'!A2405:I2904,3,0)</f>
        <v>#N/A</v>
      </c>
      <c r="I2413" s="6" t="e">
        <f>VLOOKUP(F2413,'Customer Info'!A2405:I2904,5,0)</f>
        <v>#N/A</v>
      </c>
      <c r="J2413" s="2">
        <v>658</v>
      </c>
      <c r="K2413" s="2">
        <v>615</v>
      </c>
      <c r="L2413" s="2">
        <v>3</v>
      </c>
      <c r="M2413" s="7">
        <f t="shared" si="148"/>
        <v>1845</v>
      </c>
      <c r="N2413" s="7">
        <f t="shared" si="149"/>
        <v>1974</v>
      </c>
      <c r="O2413" s="2">
        <v>73</v>
      </c>
      <c r="P2413" s="8">
        <f t="shared" si="150"/>
        <v>2047</v>
      </c>
      <c r="Q2413" s="8">
        <f t="shared" si="151"/>
        <v>1901</v>
      </c>
      <c r="R2413" s="2" t="s">
        <v>28</v>
      </c>
      <c r="S2413" s="9">
        <f>VLOOKUP(P2413,$T$2:U2410,2,1)</f>
        <v>0.02</v>
      </c>
    </row>
    <row r="2414" spans="1:19" x14ac:dyDescent="0.25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e">
        <f>VLOOKUP(F2414,'Customer Info'!A2406:I2905,2,0)</f>
        <v>#N/A</v>
      </c>
      <c r="H2414" s="6" t="e">
        <f>VLOOKUP(F2414,'Customer Info'!A2406:I2905,3,0)</f>
        <v>#N/A</v>
      </c>
      <c r="I2414" s="6" t="e">
        <f>VLOOKUP(F2414,'Customer Info'!A2406:I2905,5,0)</f>
        <v>#N/A</v>
      </c>
      <c r="J2414" s="2">
        <v>2242</v>
      </c>
      <c r="K2414" s="2">
        <v>2075</v>
      </c>
      <c r="L2414" s="2">
        <v>6</v>
      </c>
      <c r="M2414" s="7">
        <f t="shared" si="148"/>
        <v>12450</v>
      </c>
      <c r="N2414" s="7">
        <f t="shared" si="149"/>
        <v>13452</v>
      </c>
      <c r="O2414" s="2">
        <v>57</v>
      </c>
      <c r="P2414" s="8">
        <f t="shared" si="150"/>
        <v>13509</v>
      </c>
      <c r="Q2414" s="8">
        <f t="shared" si="151"/>
        <v>13395</v>
      </c>
      <c r="R2414" s="2" t="s">
        <v>28</v>
      </c>
      <c r="S2414" s="9">
        <f>VLOOKUP(P2414,$T$2:U2411,2,1)</f>
        <v>0.05</v>
      </c>
    </row>
    <row r="2415" spans="1:19" x14ac:dyDescent="0.25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e">
        <f>VLOOKUP(F2415,'Customer Info'!A2407:I2906,2,0)</f>
        <v>#N/A</v>
      </c>
      <c r="H2415" s="6" t="e">
        <f>VLOOKUP(F2415,'Customer Info'!A2407:I2906,3,0)</f>
        <v>#N/A</v>
      </c>
      <c r="I2415" s="6" t="e">
        <f>VLOOKUP(F2415,'Customer Info'!A2407:I2906,5,0)</f>
        <v>#N/A</v>
      </c>
      <c r="J2415" s="2">
        <v>5909</v>
      </c>
      <c r="K2415" s="2">
        <v>5528</v>
      </c>
      <c r="L2415" s="2">
        <v>3</v>
      </c>
      <c r="M2415" s="7">
        <f t="shared" si="148"/>
        <v>16584</v>
      </c>
      <c r="N2415" s="7">
        <f t="shared" si="149"/>
        <v>17727</v>
      </c>
      <c r="O2415" s="2">
        <v>57</v>
      </c>
      <c r="P2415" s="8">
        <f t="shared" si="150"/>
        <v>17784</v>
      </c>
      <c r="Q2415" s="8">
        <f t="shared" si="151"/>
        <v>17670</v>
      </c>
      <c r="R2415" s="2" t="s">
        <v>28</v>
      </c>
      <c r="S2415" s="9">
        <f>VLOOKUP(P2415,$T$2:U2412,2,1)</f>
        <v>0.05</v>
      </c>
    </row>
    <row r="2416" spans="1:19" x14ac:dyDescent="0.25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e">
        <f>VLOOKUP(F2416,'Customer Info'!A2408:I2907,2,0)</f>
        <v>#N/A</v>
      </c>
      <c r="H2416" s="6" t="e">
        <f>VLOOKUP(F2416,'Customer Info'!A2408:I2907,3,0)</f>
        <v>#N/A</v>
      </c>
      <c r="I2416" s="6" t="e">
        <f>VLOOKUP(F2416,'Customer Info'!A2408:I2907,5,0)</f>
        <v>#N/A</v>
      </c>
      <c r="J2416" s="2">
        <v>1306</v>
      </c>
      <c r="K2416" s="2">
        <v>1197</v>
      </c>
      <c r="L2416" s="2">
        <v>7</v>
      </c>
      <c r="M2416" s="7">
        <f t="shared" si="148"/>
        <v>8379</v>
      </c>
      <c r="N2416" s="7">
        <f t="shared" si="149"/>
        <v>9142</v>
      </c>
      <c r="O2416" s="2">
        <v>81</v>
      </c>
      <c r="P2416" s="8">
        <f t="shared" si="150"/>
        <v>9223</v>
      </c>
      <c r="Q2416" s="8">
        <f t="shared" si="151"/>
        <v>9061</v>
      </c>
      <c r="R2416" s="2" t="s">
        <v>28</v>
      </c>
      <c r="S2416" s="9">
        <f>VLOOKUP(P2416,$T$2:U2413,2,1)</f>
        <v>0.05</v>
      </c>
    </row>
    <row r="2417" spans="1:19" x14ac:dyDescent="0.25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e">
        <f>VLOOKUP(F2417,'Customer Info'!A2409:I2908,2,0)</f>
        <v>#N/A</v>
      </c>
      <c r="H2417" s="6" t="e">
        <f>VLOOKUP(F2417,'Customer Info'!A2409:I2908,3,0)</f>
        <v>#N/A</v>
      </c>
      <c r="I2417" s="6" t="e">
        <f>VLOOKUP(F2417,'Customer Info'!A2409:I2908,5,0)</f>
        <v>#N/A</v>
      </c>
      <c r="J2417" s="2">
        <v>9214</v>
      </c>
      <c r="K2417" s="2">
        <v>8295</v>
      </c>
      <c r="L2417" s="2">
        <v>1</v>
      </c>
      <c r="M2417" s="7">
        <f t="shared" si="148"/>
        <v>8295</v>
      </c>
      <c r="N2417" s="7">
        <f t="shared" si="149"/>
        <v>9214</v>
      </c>
      <c r="O2417" s="2">
        <v>68</v>
      </c>
      <c r="P2417" s="8">
        <f t="shared" si="150"/>
        <v>9282</v>
      </c>
      <c r="Q2417" s="8">
        <f t="shared" si="151"/>
        <v>9146</v>
      </c>
      <c r="R2417" s="2" t="s">
        <v>56</v>
      </c>
      <c r="S2417" s="9">
        <f>VLOOKUP(P2417,$T$2:U2414,2,1)</f>
        <v>0.05</v>
      </c>
    </row>
    <row r="2418" spans="1:19" x14ac:dyDescent="0.25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e">
        <f>VLOOKUP(F2418,'Customer Info'!A2410:I2909,2,0)</f>
        <v>#N/A</v>
      </c>
      <c r="H2418" s="6" t="e">
        <f>VLOOKUP(F2418,'Customer Info'!A2410:I2909,3,0)</f>
        <v>#N/A</v>
      </c>
      <c r="I2418" s="6" t="e">
        <f>VLOOKUP(F2418,'Customer Info'!A2410:I2909,5,0)</f>
        <v>#N/A</v>
      </c>
      <c r="J2418" s="2">
        <v>2808</v>
      </c>
      <c r="K2418" s="2">
        <v>2674</v>
      </c>
      <c r="L2418" s="2">
        <v>10</v>
      </c>
      <c r="M2418" s="7">
        <f t="shared" si="148"/>
        <v>26740</v>
      </c>
      <c r="N2418" s="7">
        <f t="shared" si="149"/>
        <v>28080</v>
      </c>
      <c r="O2418" s="2">
        <v>52</v>
      </c>
      <c r="P2418" s="8">
        <f t="shared" si="150"/>
        <v>28132</v>
      </c>
      <c r="Q2418" s="8">
        <f t="shared" si="151"/>
        <v>28028</v>
      </c>
      <c r="R2418" s="2" t="s">
        <v>50</v>
      </c>
      <c r="S2418" s="9">
        <f>VLOOKUP(P2418,$T$2:U2415,2,1)</f>
        <v>7.0000000000000007E-2</v>
      </c>
    </row>
    <row r="2419" spans="1:19" x14ac:dyDescent="0.25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e">
        <f>VLOOKUP(F2419,'Customer Info'!A2411:I2910,2,0)</f>
        <v>#N/A</v>
      </c>
      <c r="H2419" s="6" t="e">
        <f>VLOOKUP(F2419,'Customer Info'!A2411:I2910,3,0)</f>
        <v>#N/A</v>
      </c>
      <c r="I2419" s="6" t="e">
        <f>VLOOKUP(F2419,'Customer Info'!A2411:I2910,5,0)</f>
        <v>#N/A</v>
      </c>
      <c r="J2419" s="2">
        <v>851</v>
      </c>
      <c r="K2419" s="2">
        <v>773</v>
      </c>
      <c r="L2419" s="2">
        <v>3</v>
      </c>
      <c r="M2419" s="7">
        <f t="shared" si="148"/>
        <v>2319</v>
      </c>
      <c r="N2419" s="7">
        <f t="shared" si="149"/>
        <v>2553</v>
      </c>
      <c r="O2419" s="2">
        <v>20</v>
      </c>
      <c r="P2419" s="8">
        <f t="shared" si="150"/>
        <v>2573</v>
      </c>
      <c r="Q2419" s="8">
        <f t="shared" si="151"/>
        <v>2533</v>
      </c>
      <c r="R2419" s="2" t="s">
        <v>28</v>
      </c>
      <c r="S2419" s="9">
        <f>VLOOKUP(P2419,$T$2:U2416,2,1)</f>
        <v>0.02</v>
      </c>
    </row>
    <row r="2420" spans="1:19" x14ac:dyDescent="0.25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e">
        <f>VLOOKUP(F2420,'Customer Info'!A2412:I2911,2,0)</f>
        <v>#N/A</v>
      </c>
      <c r="H2420" s="6" t="e">
        <f>VLOOKUP(F2420,'Customer Info'!A2412:I2911,3,0)</f>
        <v>#N/A</v>
      </c>
      <c r="I2420" s="6" t="e">
        <f>VLOOKUP(F2420,'Customer Info'!A2412:I2911,5,0)</f>
        <v>#N/A</v>
      </c>
      <c r="J2420" s="2">
        <v>2503</v>
      </c>
      <c r="K2420" s="2">
        <v>2454</v>
      </c>
      <c r="L2420" s="2">
        <v>1</v>
      </c>
      <c r="M2420" s="7">
        <f t="shared" si="148"/>
        <v>2454</v>
      </c>
      <c r="N2420" s="7">
        <f t="shared" si="149"/>
        <v>2503</v>
      </c>
      <c r="O2420" s="2">
        <v>93</v>
      </c>
      <c r="P2420" s="8">
        <f t="shared" si="150"/>
        <v>2596</v>
      </c>
      <c r="Q2420" s="8">
        <f t="shared" si="151"/>
        <v>2410</v>
      </c>
      <c r="R2420" s="2" t="s">
        <v>28</v>
      </c>
      <c r="S2420" s="9">
        <f>VLOOKUP(P2420,$T$2:U2417,2,1)</f>
        <v>0.02</v>
      </c>
    </row>
    <row r="2421" spans="1:19" x14ac:dyDescent="0.25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e">
        <f>VLOOKUP(F2421,'Customer Info'!A2413:I2912,2,0)</f>
        <v>#N/A</v>
      </c>
      <c r="H2421" s="6" t="e">
        <f>VLOOKUP(F2421,'Customer Info'!A2413:I2912,3,0)</f>
        <v>#N/A</v>
      </c>
      <c r="I2421" s="6" t="e">
        <f>VLOOKUP(F2421,'Customer Info'!A2413:I2912,5,0)</f>
        <v>#N/A</v>
      </c>
      <c r="J2421" s="2">
        <v>1186</v>
      </c>
      <c r="K2421" s="2">
        <v>1141</v>
      </c>
      <c r="L2421" s="2">
        <v>2</v>
      </c>
      <c r="M2421" s="7">
        <f t="shared" si="148"/>
        <v>2282</v>
      </c>
      <c r="N2421" s="7">
        <f t="shared" si="149"/>
        <v>2372</v>
      </c>
      <c r="O2421" s="2">
        <v>83</v>
      </c>
      <c r="P2421" s="8">
        <f t="shared" si="150"/>
        <v>2455</v>
      </c>
      <c r="Q2421" s="8">
        <f t="shared" si="151"/>
        <v>2289</v>
      </c>
      <c r="R2421" s="2" t="s">
        <v>50</v>
      </c>
      <c r="S2421" s="9">
        <f>VLOOKUP(P2421,$T$2:U2418,2,1)</f>
        <v>0.02</v>
      </c>
    </row>
    <row r="2422" spans="1:19" x14ac:dyDescent="0.25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e">
        <f>VLOOKUP(F2422,'Customer Info'!A2414:I2913,2,0)</f>
        <v>#N/A</v>
      </c>
      <c r="H2422" s="6" t="e">
        <f>VLOOKUP(F2422,'Customer Info'!A2414:I2913,3,0)</f>
        <v>#N/A</v>
      </c>
      <c r="I2422" s="6" t="e">
        <f>VLOOKUP(F2422,'Customer Info'!A2414:I2913,5,0)</f>
        <v>#N/A</v>
      </c>
      <c r="J2422" s="2">
        <v>7922</v>
      </c>
      <c r="K2422" s="2">
        <v>7328</v>
      </c>
      <c r="L2422" s="2">
        <v>5</v>
      </c>
      <c r="M2422" s="7">
        <f t="shared" si="148"/>
        <v>36640</v>
      </c>
      <c r="N2422" s="7">
        <f t="shared" si="149"/>
        <v>39610</v>
      </c>
      <c r="O2422" s="2">
        <v>42</v>
      </c>
      <c r="P2422" s="8">
        <f t="shared" si="150"/>
        <v>39652</v>
      </c>
      <c r="Q2422" s="8">
        <f t="shared" si="151"/>
        <v>39568</v>
      </c>
      <c r="R2422" s="2" t="s">
        <v>50</v>
      </c>
      <c r="S2422" s="9">
        <f>VLOOKUP(P2422,$T$2:U2419,2,1)</f>
        <v>7.0000000000000007E-2</v>
      </c>
    </row>
    <row r="2423" spans="1:19" x14ac:dyDescent="0.25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e">
        <f>VLOOKUP(F2423,'Customer Info'!A2415:I2914,2,0)</f>
        <v>#N/A</v>
      </c>
      <c r="H2423" s="6" t="e">
        <f>VLOOKUP(F2423,'Customer Info'!A2415:I2914,3,0)</f>
        <v>#N/A</v>
      </c>
      <c r="I2423" s="6" t="e">
        <f>VLOOKUP(F2423,'Customer Info'!A2415:I2914,5,0)</f>
        <v>#N/A</v>
      </c>
      <c r="J2423" s="2">
        <v>896</v>
      </c>
      <c r="K2423" s="2">
        <v>870</v>
      </c>
      <c r="L2423" s="2">
        <v>1</v>
      </c>
      <c r="M2423" s="7">
        <f t="shared" si="148"/>
        <v>870</v>
      </c>
      <c r="N2423" s="7">
        <f t="shared" si="149"/>
        <v>896</v>
      </c>
      <c r="O2423" s="2">
        <v>25</v>
      </c>
      <c r="P2423" s="8">
        <f t="shared" si="150"/>
        <v>921</v>
      </c>
      <c r="Q2423" s="8">
        <f t="shared" si="151"/>
        <v>871</v>
      </c>
      <c r="R2423" s="2" t="s">
        <v>50</v>
      </c>
      <c r="S2423" s="9">
        <f>VLOOKUP(P2423,$T$2:U2420,2,1)</f>
        <v>0.02</v>
      </c>
    </row>
    <row r="2424" spans="1:19" x14ac:dyDescent="0.25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e">
        <f>VLOOKUP(F2424,'Customer Info'!A2416:I2915,2,0)</f>
        <v>#N/A</v>
      </c>
      <c r="H2424" s="6" t="e">
        <f>VLOOKUP(F2424,'Customer Info'!A2416:I2915,3,0)</f>
        <v>#N/A</v>
      </c>
      <c r="I2424" s="6" t="e">
        <f>VLOOKUP(F2424,'Customer Info'!A2416:I2915,5,0)</f>
        <v>#N/A</v>
      </c>
      <c r="J2424" s="2">
        <v>1060</v>
      </c>
      <c r="K2424" s="2">
        <v>964</v>
      </c>
      <c r="L2424" s="2">
        <v>3</v>
      </c>
      <c r="M2424" s="7">
        <f t="shared" si="148"/>
        <v>2892</v>
      </c>
      <c r="N2424" s="7">
        <f t="shared" si="149"/>
        <v>3180</v>
      </c>
      <c r="O2424" s="2">
        <v>60</v>
      </c>
      <c r="P2424" s="8">
        <f t="shared" si="150"/>
        <v>3240</v>
      </c>
      <c r="Q2424" s="8">
        <f t="shared" si="151"/>
        <v>3120</v>
      </c>
      <c r="R2424" s="2" t="s">
        <v>56</v>
      </c>
      <c r="S2424" s="9">
        <f>VLOOKUP(P2424,$T$2:U2421,2,1)</f>
        <v>0.02</v>
      </c>
    </row>
    <row r="2425" spans="1:19" x14ac:dyDescent="0.25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e">
        <f>VLOOKUP(F2425,'Customer Info'!A2417:I2916,2,0)</f>
        <v>#N/A</v>
      </c>
      <c r="H2425" s="6" t="e">
        <f>VLOOKUP(F2425,'Customer Info'!A2417:I2916,3,0)</f>
        <v>#N/A</v>
      </c>
      <c r="I2425" s="6" t="e">
        <f>VLOOKUP(F2425,'Customer Info'!A2417:I2916,5,0)</f>
        <v>#N/A</v>
      </c>
      <c r="J2425" s="2">
        <v>1359</v>
      </c>
      <c r="K2425" s="2">
        <v>1221</v>
      </c>
      <c r="L2425" s="2">
        <v>4</v>
      </c>
      <c r="M2425" s="7">
        <f t="shared" si="148"/>
        <v>4884</v>
      </c>
      <c r="N2425" s="7">
        <f t="shared" si="149"/>
        <v>5436</v>
      </c>
      <c r="O2425" s="2">
        <v>57</v>
      </c>
      <c r="P2425" s="8">
        <f t="shared" si="150"/>
        <v>5493</v>
      </c>
      <c r="Q2425" s="8">
        <f t="shared" si="151"/>
        <v>5379</v>
      </c>
      <c r="R2425" s="2" t="s">
        <v>50</v>
      </c>
      <c r="S2425" s="9">
        <f>VLOOKUP(P2425,$T$2:U2422,2,1)</f>
        <v>0.05</v>
      </c>
    </row>
    <row r="2426" spans="1:19" x14ac:dyDescent="0.25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e">
        <f>VLOOKUP(F2426,'Customer Info'!A2418:I2917,2,0)</f>
        <v>#N/A</v>
      </c>
      <c r="H2426" s="6" t="e">
        <f>VLOOKUP(F2426,'Customer Info'!A2418:I2917,3,0)</f>
        <v>#N/A</v>
      </c>
      <c r="I2426" s="6" t="e">
        <f>VLOOKUP(F2426,'Customer Info'!A2418:I2917,5,0)</f>
        <v>#N/A</v>
      </c>
      <c r="J2426" s="2">
        <v>169</v>
      </c>
      <c r="K2426" s="2">
        <v>160</v>
      </c>
      <c r="L2426" s="2">
        <v>5</v>
      </c>
      <c r="M2426" s="7">
        <f t="shared" si="148"/>
        <v>800</v>
      </c>
      <c r="N2426" s="7">
        <f t="shared" si="149"/>
        <v>845</v>
      </c>
      <c r="O2426" s="2">
        <v>30</v>
      </c>
      <c r="P2426" s="8">
        <f t="shared" si="150"/>
        <v>875</v>
      </c>
      <c r="Q2426" s="8">
        <f t="shared" si="151"/>
        <v>815</v>
      </c>
      <c r="R2426" s="2" t="s">
        <v>50</v>
      </c>
      <c r="S2426" s="9">
        <f>VLOOKUP(P2426,$T$2:U2423,2,1)</f>
        <v>0.02</v>
      </c>
    </row>
    <row r="2427" spans="1:19" x14ac:dyDescent="0.25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e">
        <f>VLOOKUP(F2427,'Customer Info'!A2419:I2918,2,0)</f>
        <v>#N/A</v>
      </c>
      <c r="H2427" s="6" t="e">
        <f>VLOOKUP(F2427,'Customer Info'!A2419:I2918,3,0)</f>
        <v>#N/A</v>
      </c>
      <c r="I2427" s="6" t="e">
        <f>VLOOKUP(F2427,'Customer Info'!A2419:I2918,5,0)</f>
        <v>#N/A</v>
      </c>
      <c r="J2427" s="2">
        <v>1399</v>
      </c>
      <c r="K2427" s="2">
        <v>1308</v>
      </c>
      <c r="L2427" s="2">
        <v>3</v>
      </c>
      <c r="M2427" s="7">
        <f t="shared" si="148"/>
        <v>3924</v>
      </c>
      <c r="N2427" s="7">
        <f t="shared" si="149"/>
        <v>4197</v>
      </c>
      <c r="O2427" s="2">
        <v>74</v>
      </c>
      <c r="P2427" s="8">
        <f t="shared" si="150"/>
        <v>4271</v>
      </c>
      <c r="Q2427" s="8">
        <f t="shared" si="151"/>
        <v>4123</v>
      </c>
      <c r="R2427" s="2" t="s">
        <v>28</v>
      </c>
      <c r="S2427" s="9">
        <f>VLOOKUP(P2427,$T$2:U2424,2,1)</f>
        <v>0.02</v>
      </c>
    </row>
    <row r="2428" spans="1:19" x14ac:dyDescent="0.25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e">
        <f>VLOOKUP(F2428,'Customer Info'!A2420:I2919,2,0)</f>
        <v>#N/A</v>
      </c>
      <c r="H2428" s="6" t="e">
        <f>VLOOKUP(F2428,'Customer Info'!A2420:I2919,3,0)</f>
        <v>#N/A</v>
      </c>
      <c r="I2428" s="6" t="e">
        <f>VLOOKUP(F2428,'Customer Info'!A2420:I2919,5,0)</f>
        <v>#N/A</v>
      </c>
      <c r="J2428" s="2">
        <v>142</v>
      </c>
      <c r="K2428" s="2">
        <v>134</v>
      </c>
      <c r="L2428" s="2">
        <v>4</v>
      </c>
      <c r="M2428" s="7">
        <f t="shared" si="148"/>
        <v>536</v>
      </c>
      <c r="N2428" s="7">
        <f t="shared" si="149"/>
        <v>568</v>
      </c>
      <c r="O2428" s="2">
        <v>30</v>
      </c>
      <c r="P2428" s="8">
        <f t="shared" si="150"/>
        <v>598</v>
      </c>
      <c r="Q2428" s="8">
        <f t="shared" si="151"/>
        <v>538</v>
      </c>
      <c r="R2428" s="2" t="s">
        <v>26</v>
      </c>
      <c r="S2428" s="9">
        <f>VLOOKUP(P2428,$T$2:U2425,2,1)</f>
        <v>0.02</v>
      </c>
    </row>
    <row r="2429" spans="1:19" x14ac:dyDescent="0.25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e">
        <f>VLOOKUP(F2429,'Customer Info'!A2421:I2920,2,0)</f>
        <v>#N/A</v>
      </c>
      <c r="H2429" s="6" t="e">
        <f>VLOOKUP(F2429,'Customer Info'!A2421:I2920,3,0)</f>
        <v>#N/A</v>
      </c>
      <c r="I2429" s="6" t="e">
        <f>VLOOKUP(F2429,'Customer Info'!A2421:I2920,5,0)</f>
        <v>#N/A</v>
      </c>
      <c r="J2429" s="2">
        <v>5894</v>
      </c>
      <c r="K2429" s="2">
        <v>5621</v>
      </c>
      <c r="L2429" s="2">
        <v>3</v>
      </c>
      <c r="M2429" s="7">
        <f t="shared" si="148"/>
        <v>16863</v>
      </c>
      <c r="N2429" s="7">
        <f t="shared" si="149"/>
        <v>17682</v>
      </c>
      <c r="O2429" s="2">
        <v>80</v>
      </c>
      <c r="P2429" s="8">
        <f t="shared" si="150"/>
        <v>17762</v>
      </c>
      <c r="Q2429" s="8">
        <f t="shared" si="151"/>
        <v>17602</v>
      </c>
      <c r="R2429" s="2" t="s">
        <v>50</v>
      </c>
      <c r="S2429" s="9">
        <f>VLOOKUP(P2429,$T$2:U2426,2,1)</f>
        <v>0.05</v>
      </c>
    </row>
    <row r="2430" spans="1:19" x14ac:dyDescent="0.25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e">
        <f>VLOOKUP(F2430,'Customer Info'!A2422:I2921,2,0)</f>
        <v>#N/A</v>
      </c>
      <c r="H2430" s="6" t="e">
        <f>VLOOKUP(F2430,'Customer Info'!A2422:I2921,3,0)</f>
        <v>#N/A</v>
      </c>
      <c r="I2430" s="6" t="e">
        <f>VLOOKUP(F2430,'Customer Info'!A2422:I2921,5,0)</f>
        <v>#N/A</v>
      </c>
      <c r="J2430" s="2">
        <v>992</v>
      </c>
      <c r="K2430" s="2">
        <v>928</v>
      </c>
      <c r="L2430" s="2">
        <v>1</v>
      </c>
      <c r="M2430" s="7">
        <f t="shared" si="148"/>
        <v>928</v>
      </c>
      <c r="N2430" s="7">
        <f t="shared" si="149"/>
        <v>992</v>
      </c>
      <c r="O2430" s="2">
        <v>80</v>
      </c>
      <c r="P2430" s="8">
        <f t="shared" si="150"/>
        <v>1072</v>
      </c>
      <c r="Q2430" s="8">
        <f t="shared" si="151"/>
        <v>912</v>
      </c>
      <c r="R2430" s="2" t="s">
        <v>28</v>
      </c>
      <c r="S2430" s="9">
        <f>VLOOKUP(P2430,$T$2:U2427,2,1)</f>
        <v>0.02</v>
      </c>
    </row>
    <row r="2431" spans="1:19" x14ac:dyDescent="0.25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e">
        <f>VLOOKUP(F2431,'Customer Info'!A2423:I2922,2,0)</f>
        <v>#N/A</v>
      </c>
      <c r="H2431" s="6" t="e">
        <f>VLOOKUP(F2431,'Customer Info'!A2423:I2922,3,0)</f>
        <v>#N/A</v>
      </c>
      <c r="I2431" s="6" t="e">
        <f>VLOOKUP(F2431,'Customer Info'!A2423:I2922,5,0)</f>
        <v>#N/A</v>
      </c>
      <c r="J2431" s="2">
        <v>4784</v>
      </c>
      <c r="K2431" s="2">
        <v>4518</v>
      </c>
      <c r="L2431" s="2">
        <v>3</v>
      </c>
      <c r="M2431" s="7">
        <f t="shared" si="148"/>
        <v>13554</v>
      </c>
      <c r="N2431" s="7">
        <f t="shared" si="149"/>
        <v>14352</v>
      </c>
      <c r="O2431" s="2">
        <v>76</v>
      </c>
      <c r="P2431" s="8">
        <f t="shared" si="150"/>
        <v>14428</v>
      </c>
      <c r="Q2431" s="8">
        <f t="shared" si="151"/>
        <v>14276</v>
      </c>
      <c r="R2431" s="2" t="s">
        <v>28</v>
      </c>
      <c r="S2431" s="9">
        <f>VLOOKUP(P2431,$T$2:U2428,2,1)</f>
        <v>0.05</v>
      </c>
    </row>
    <row r="2432" spans="1:19" x14ac:dyDescent="0.25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e">
        <f>VLOOKUP(F2432,'Customer Info'!A2424:I2923,2,0)</f>
        <v>#N/A</v>
      </c>
      <c r="H2432" s="6" t="e">
        <f>VLOOKUP(F2432,'Customer Info'!A2424:I2923,3,0)</f>
        <v>#N/A</v>
      </c>
      <c r="I2432" s="6" t="e">
        <f>VLOOKUP(F2432,'Customer Info'!A2424:I2923,5,0)</f>
        <v>#N/A</v>
      </c>
      <c r="J2432" s="2">
        <v>914</v>
      </c>
      <c r="K2432" s="2">
        <v>830</v>
      </c>
      <c r="L2432" s="2">
        <v>2</v>
      </c>
      <c r="M2432" s="7">
        <f t="shared" si="148"/>
        <v>1660</v>
      </c>
      <c r="N2432" s="7">
        <f t="shared" si="149"/>
        <v>1828</v>
      </c>
      <c r="O2432" s="2">
        <v>86</v>
      </c>
      <c r="P2432" s="8">
        <f t="shared" si="150"/>
        <v>1914</v>
      </c>
      <c r="Q2432" s="8">
        <f t="shared" si="151"/>
        <v>1742</v>
      </c>
      <c r="R2432" s="2" t="s">
        <v>50</v>
      </c>
      <c r="S2432" s="9">
        <f>VLOOKUP(P2432,$T$2:U2429,2,1)</f>
        <v>0.02</v>
      </c>
    </row>
    <row r="2433" spans="1:19" x14ac:dyDescent="0.25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e">
        <f>VLOOKUP(F2433,'Customer Info'!A2425:I2924,2,0)</f>
        <v>#N/A</v>
      </c>
      <c r="H2433" s="6" t="e">
        <f>VLOOKUP(F2433,'Customer Info'!A2425:I2924,3,0)</f>
        <v>#N/A</v>
      </c>
      <c r="I2433" s="6" t="e">
        <f>VLOOKUP(F2433,'Customer Info'!A2425:I2924,5,0)</f>
        <v>#N/A</v>
      </c>
      <c r="J2433" s="2">
        <v>1703</v>
      </c>
      <c r="K2433" s="2">
        <v>1639</v>
      </c>
      <c r="L2433" s="2">
        <v>4</v>
      </c>
      <c r="M2433" s="7">
        <f t="shared" si="148"/>
        <v>6556</v>
      </c>
      <c r="N2433" s="7">
        <f t="shared" si="149"/>
        <v>6812</v>
      </c>
      <c r="O2433" s="2">
        <v>91</v>
      </c>
      <c r="P2433" s="8">
        <f t="shared" si="150"/>
        <v>6903</v>
      </c>
      <c r="Q2433" s="8">
        <f t="shared" si="151"/>
        <v>6721</v>
      </c>
      <c r="R2433" s="2" t="s">
        <v>28</v>
      </c>
      <c r="S2433" s="9">
        <f>VLOOKUP(P2433,$T$2:U2430,2,1)</f>
        <v>0.05</v>
      </c>
    </row>
    <row r="2434" spans="1:19" x14ac:dyDescent="0.25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e">
        <f>VLOOKUP(F2434,'Customer Info'!A2426:I2925,2,0)</f>
        <v>#N/A</v>
      </c>
      <c r="H2434" s="6" t="e">
        <f>VLOOKUP(F2434,'Customer Info'!A2426:I2925,3,0)</f>
        <v>#N/A</v>
      </c>
      <c r="I2434" s="6" t="e">
        <f>VLOOKUP(F2434,'Customer Info'!A2426:I2925,5,0)</f>
        <v>#N/A</v>
      </c>
      <c r="J2434" s="2">
        <v>811</v>
      </c>
      <c r="K2434" s="2">
        <v>780</v>
      </c>
      <c r="L2434" s="2">
        <v>5</v>
      </c>
      <c r="M2434" s="7">
        <f t="shared" si="148"/>
        <v>3900</v>
      </c>
      <c r="N2434" s="7">
        <f t="shared" si="149"/>
        <v>4055</v>
      </c>
      <c r="O2434" s="2">
        <v>20</v>
      </c>
      <c r="P2434" s="8">
        <f t="shared" si="150"/>
        <v>4075</v>
      </c>
      <c r="Q2434" s="8">
        <f t="shared" si="151"/>
        <v>4035</v>
      </c>
      <c r="R2434" s="2" t="s">
        <v>26</v>
      </c>
      <c r="S2434" s="9">
        <f>VLOOKUP(P2434,$T$2:U2431,2,1)</f>
        <v>0.02</v>
      </c>
    </row>
    <row r="2435" spans="1:19" x14ac:dyDescent="0.25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e">
        <f>VLOOKUP(F2435,'Customer Info'!A2427:I2926,2,0)</f>
        <v>#N/A</v>
      </c>
      <c r="H2435" s="6" t="e">
        <f>VLOOKUP(F2435,'Customer Info'!A2427:I2926,3,0)</f>
        <v>#N/A</v>
      </c>
      <c r="I2435" s="6" t="e">
        <f>VLOOKUP(F2435,'Customer Info'!A2427:I2926,5,0)</f>
        <v>#N/A</v>
      </c>
      <c r="J2435" s="2">
        <v>1332</v>
      </c>
      <c r="K2435" s="2">
        <v>1209</v>
      </c>
      <c r="L2435" s="2">
        <v>4</v>
      </c>
      <c r="M2435" s="7">
        <f t="shared" si="148"/>
        <v>4836</v>
      </c>
      <c r="N2435" s="7">
        <f t="shared" si="149"/>
        <v>5328</v>
      </c>
      <c r="O2435" s="2">
        <v>57</v>
      </c>
      <c r="P2435" s="8">
        <f t="shared" si="150"/>
        <v>5385</v>
      </c>
      <c r="Q2435" s="8">
        <f t="shared" si="151"/>
        <v>5271</v>
      </c>
      <c r="R2435" s="2" t="s">
        <v>28</v>
      </c>
      <c r="S2435" s="9">
        <f>VLOOKUP(P2435,$T$2:U2432,2,1)</f>
        <v>0.05</v>
      </c>
    </row>
    <row r="2436" spans="1:19" x14ac:dyDescent="0.25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e">
        <f>VLOOKUP(F2436,'Customer Info'!A2428:I2927,2,0)</f>
        <v>#N/A</v>
      </c>
      <c r="H2436" s="6" t="e">
        <f>VLOOKUP(F2436,'Customer Info'!A2428:I2927,3,0)</f>
        <v>#N/A</v>
      </c>
      <c r="I2436" s="6" t="e">
        <f>VLOOKUP(F2436,'Customer Info'!A2428:I2927,5,0)</f>
        <v>#N/A</v>
      </c>
      <c r="J2436" s="2">
        <v>4487</v>
      </c>
      <c r="K2436" s="2">
        <v>4201</v>
      </c>
      <c r="L2436" s="2">
        <v>4</v>
      </c>
      <c r="M2436" s="7">
        <f t="shared" si="148"/>
        <v>16804</v>
      </c>
      <c r="N2436" s="7">
        <f t="shared" si="149"/>
        <v>17948</v>
      </c>
      <c r="O2436" s="2">
        <v>52</v>
      </c>
      <c r="P2436" s="8">
        <f t="shared" si="150"/>
        <v>18000</v>
      </c>
      <c r="Q2436" s="8">
        <f t="shared" si="151"/>
        <v>17896</v>
      </c>
      <c r="R2436" s="2" t="s">
        <v>28</v>
      </c>
      <c r="S2436" s="9">
        <f>VLOOKUP(P2436,$T$2:U2433,2,1)</f>
        <v>0.05</v>
      </c>
    </row>
    <row r="2437" spans="1:19" x14ac:dyDescent="0.25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e">
        <f>VLOOKUP(F2437,'Customer Info'!A2429:I2928,2,0)</f>
        <v>#N/A</v>
      </c>
      <c r="H2437" s="6" t="e">
        <f>VLOOKUP(F2437,'Customer Info'!A2429:I2928,3,0)</f>
        <v>#N/A</v>
      </c>
      <c r="I2437" s="6" t="e">
        <f>VLOOKUP(F2437,'Customer Info'!A2429:I2928,5,0)</f>
        <v>#N/A</v>
      </c>
      <c r="J2437" s="2">
        <v>67</v>
      </c>
      <c r="K2437" s="2">
        <v>62</v>
      </c>
      <c r="L2437" s="2">
        <v>2</v>
      </c>
      <c r="M2437" s="7">
        <f t="shared" si="148"/>
        <v>124</v>
      </c>
      <c r="N2437" s="7">
        <f t="shared" si="149"/>
        <v>134</v>
      </c>
      <c r="O2437" s="2">
        <v>10</v>
      </c>
      <c r="P2437" s="8">
        <f t="shared" si="150"/>
        <v>144</v>
      </c>
      <c r="Q2437" s="8">
        <f t="shared" si="151"/>
        <v>124</v>
      </c>
      <c r="R2437" s="2" t="s">
        <v>26</v>
      </c>
      <c r="S2437" s="9">
        <f>VLOOKUP(P2437,$T$2:U2434,2,1)</f>
        <v>0.02</v>
      </c>
    </row>
    <row r="2438" spans="1:19" x14ac:dyDescent="0.25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e">
        <f>VLOOKUP(F2438,'Customer Info'!A2430:I2929,2,0)</f>
        <v>#N/A</v>
      </c>
      <c r="H2438" s="6" t="e">
        <f>VLOOKUP(F2438,'Customer Info'!A2430:I2929,3,0)</f>
        <v>#N/A</v>
      </c>
      <c r="I2438" s="6" t="e">
        <f>VLOOKUP(F2438,'Customer Info'!A2430:I2929,5,0)</f>
        <v>#N/A</v>
      </c>
      <c r="J2438" s="2">
        <v>193</v>
      </c>
      <c r="K2438" s="2">
        <v>173</v>
      </c>
      <c r="L2438" s="2">
        <v>3</v>
      </c>
      <c r="M2438" s="7">
        <f t="shared" si="148"/>
        <v>519</v>
      </c>
      <c r="N2438" s="7">
        <f t="shared" si="149"/>
        <v>579</v>
      </c>
      <c r="O2438" s="2">
        <v>30</v>
      </c>
      <c r="P2438" s="8">
        <f t="shared" si="150"/>
        <v>609</v>
      </c>
      <c r="Q2438" s="8">
        <f t="shared" si="151"/>
        <v>549</v>
      </c>
      <c r="R2438" s="2" t="s">
        <v>50</v>
      </c>
      <c r="S2438" s="9">
        <f>VLOOKUP(P2438,$T$2:U2435,2,1)</f>
        <v>0.02</v>
      </c>
    </row>
    <row r="2439" spans="1:19" x14ac:dyDescent="0.25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e">
        <f>VLOOKUP(F2439,'Customer Info'!A2431:I2930,2,0)</f>
        <v>#N/A</v>
      </c>
      <c r="H2439" s="6" t="e">
        <f>VLOOKUP(F2439,'Customer Info'!A2431:I2930,3,0)</f>
        <v>#N/A</v>
      </c>
      <c r="I2439" s="6" t="e">
        <f>VLOOKUP(F2439,'Customer Info'!A2431:I2930,5,0)</f>
        <v>#N/A</v>
      </c>
      <c r="J2439" s="2">
        <v>1125</v>
      </c>
      <c r="K2439" s="2">
        <v>1040</v>
      </c>
      <c r="L2439" s="2">
        <v>2</v>
      </c>
      <c r="M2439" s="7">
        <f t="shared" si="148"/>
        <v>2080</v>
      </c>
      <c r="N2439" s="7">
        <f t="shared" si="149"/>
        <v>2250</v>
      </c>
      <c r="O2439" s="2">
        <v>83</v>
      </c>
      <c r="P2439" s="8">
        <f t="shared" si="150"/>
        <v>2333</v>
      </c>
      <c r="Q2439" s="8">
        <f t="shared" si="151"/>
        <v>2167</v>
      </c>
      <c r="R2439" s="2" t="s">
        <v>28</v>
      </c>
      <c r="S2439" s="9">
        <f>VLOOKUP(P2439,$T$2:U2436,2,1)</f>
        <v>0.02</v>
      </c>
    </row>
    <row r="2440" spans="1:19" x14ac:dyDescent="0.25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e">
        <f>VLOOKUP(F2440,'Customer Info'!A2432:I2931,2,0)</f>
        <v>#N/A</v>
      </c>
      <c r="H2440" s="6" t="e">
        <f>VLOOKUP(F2440,'Customer Info'!A2432:I2931,3,0)</f>
        <v>#N/A</v>
      </c>
      <c r="I2440" s="6" t="e">
        <f>VLOOKUP(F2440,'Customer Info'!A2432:I2931,5,0)</f>
        <v>#N/A</v>
      </c>
      <c r="J2440" s="2">
        <v>170</v>
      </c>
      <c r="K2440" s="2">
        <v>160</v>
      </c>
      <c r="L2440" s="2">
        <v>1</v>
      </c>
      <c r="M2440" s="7">
        <f t="shared" si="148"/>
        <v>160</v>
      </c>
      <c r="N2440" s="7">
        <f t="shared" si="149"/>
        <v>170</v>
      </c>
      <c r="O2440" s="2">
        <v>30</v>
      </c>
      <c r="P2440" s="8">
        <f t="shared" si="150"/>
        <v>200</v>
      </c>
      <c r="Q2440" s="8">
        <f t="shared" si="151"/>
        <v>140</v>
      </c>
      <c r="R2440" s="2" t="s">
        <v>50</v>
      </c>
      <c r="S2440" s="9">
        <f>VLOOKUP(P2440,$T$2:U2437,2,1)</f>
        <v>0.02</v>
      </c>
    </row>
    <row r="2441" spans="1:19" x14ac:dyDescent="0.25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e">
        <f>VLOOKUP(F2441,'Customer Info'!A2433:I2932,2,0)</f>
        <v>#N/A</v>
      </c>
      <c r="H2441" s="6" t="e">
        <f>VLOOKUP(F2441,'Customer Info'!A2433:I2932,3,0)</f>
        <v>#N/A</v>
      </c>
      <c r="I2441" s="6" t="e">
        <f>VLOOKUP(F2441,'Customer Info'!A2433:I2932,5,0)</f>
        <v>#N/A</v>
      </c>
      <c r="J2441" s="2">
        <v>1585</v>
      </c>
      <c r="K2441" s="2">
        <v>1495</v>
      </c>
      <c r="L2441" s="2">
        <v>4</v>
      </c>
      <c r="M2441" s="7">
        <f t="shared" si="148"/>
        <v>5980</v>
      </c>
      <c r="N2441" s="7">
        <f t="shared" si="149"/>
        <v>6340</v>
      </c>
      <c r="O2441" s="2">
        <v>60</v>
      </c>
      <c r="P2441" s="8">
        <f t="shared" si="150"/>
        <v>6400</v>
      </c>
      <c r="Q2441" s="8">
        <f t="shared" si="151"/>
        <v>6280</v>
      </c>
      <c r="R2441" s="2" t="s">
        <v>28</v>
      </c>
      <c r="S2441" s="9">
        <f>VLOOKUP(P2441,$T$2:U2438,2,1)</f>
        <v>0.05</v>
      </c>
    </row>
    <row r="2442" spans="1:19" x14ac:dyDescent="0.25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e">
        <f>VLOOKUP(F2442,'Customer Info'!A2434:I2933,2,0)</f>
        <v>#N/A</v>
      </c>
      <c r="H2442" s="6" t="e">
        <f>VLOOKUP(F2442,'Customer Info'!A2434:I2933,3,0)</f>
        <v>#N/A</v>
      </c>
      <c r="I2442" s="6" t="e">
        <f>VLOOKUP(F2442,'Customer Info'!A2434:I2933,5,0)</f>
        <v>#N/A</v>
      </c>
      <c r="J2442" s="2">
        <v>63</v>
      </c>
      <c r="K2442" s="2">
        <v>58</v>
      </c>
      <c r="L2442" s="2">
        <v>2</v>
      </c>
      <c r="M2442" s="7">
        <f t="shared" si="148"/>
        <v>116</v>
      </c>
      <c r="N2442" s="7">
        <f t="shared" si="149"/>
        <v>126</v>
      </c>
      <c r="O2442" s="2">
        <v>10</v>
      </c>
      <c r="P2442" s="8">
        <f t="shared" si="150"/>
        <v>136</v>
      </c>
      <c r="Q2442" s="8">
        <f t="shared" si="151"/>
        <v>116</v>
      </c>
      <c r="R2442" s="2" t="s">
        <v>50</v>
      </c>
      <c r="S2442" s="9">
        <f>VLOOKUP(P2442,$T$2:U2439,2,1)</f>
        <v>0.02</v>
      </c>
    </row>
    <row r="2443" spans="1:19" x14ac:dyDescent="0.25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e">
        <f>VLOOKUP(F2443,'Customer Info'!A2435:I2934,2,0)</f>
        <v>#N/A</v>
      </c>
      <c r="H2443" s="6" t="e">
        <f>VLOOKUP(F2443,'Customer Info'!A2435:I2934,3,0)</f>
        <v>#N/A</v>
      </c>
      <c r="I2443" s="6" t="e">
        <f>VLOOKUP(F2443,'Customer Info'!A2435:I2934,5,0)</f>
        <v>#N/A</v>
      </c>
      <c r="J2443" s="2">
        <v>1071</v>
      </c>
      <c r="K2443" s="2">
        <v>1010</v>
      </c>
      <c r="L2443" s="2">
        <v>2</v>
      </c>
      <c r="M2443" s="7">
        <f t="shared" ref="M2443:M2506" si="152">K2443*L2443</f>
        <v>2020</v>
      </c>
      <c r="N2443" s="7">
        <f t="shared" ref="N2443:N2506" si="153">J2443*L2443</f>
        <v>2142</v>
      </c>
      <c r="O2443" s="2">
        <v>41</v>
      </c>
      <c r="P2443" s="8">
        <f t="shared" ref="P2443:P2506" si="154">SUM(N2443,O2443)</f>
        <v>2183</v>
      </c>
      <c r="Q2443" s="8">
        <f t="shared" ref="Q2443:Q2506" si="155">N2443-O2443</f>
        <v>2101</v>
      </c>
      <c r="R2443" s="2" t="s">
        <v>28</v>
      </c>
      <c r="S2443" s="9">
        <f>VLOOKUP(P2443,$T$2:U2440,2,1)</f>
        <v>0.02</v>
      </c>
    </row>
    <row r="2444" spans="1:19" x14ac:dyDescent="0.25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e">
        <f>VLOOKUP(F2444,'Customer Info'!A2436:I2935,2,0)</f>
        <v>#N/A</v>
      </c>
      <c r="H2444" s="6" t="e">
        <f>VLOOKUP(F2444,'Customer Info'!A2436:I2935,3,0)</f>
        <v>#N/A</v>
      </c>
      <c r="I2444" s="6" t="e">
        <f>VLOOKUP(F2444,'Customer Info'!A2436:I2935,5,0)</f>
        <v>#N/A</v>
      </c>
      <c r="J2444" s="2">
        <v>8878</v>
      </c>
      <c r="K2444" s="2">
        <v>7914</v>
      </c>
      <c r="L2444" s="2">
        <v>4</v>
      </c>
      <c r="M2444" s="7">
        <f t="shared" si="152"/>
        <v>31656</v>
      </c>
      <c r="N2444" s="7">
        <f t="shared" si="153"/>
        <v>35512</v>
      </c>
      <c r="O2444" s="2">
        <v>99</v>
      </c>
      <c r="P2444" s="8">
        <f t="shared" si="154"/>
        <v>35611</v>
      </c>
      <c r="Q2444" s="8">
        <f t="shared" si="155"/>
        <v>35413</v>
      </c>
      <c r="R2444" s="2" t="s">
        <v>26</v>
      </c>
      <c r="S2444" s="9">
        <f>VLOOKUP(P2444,$T$2:U2441,2,1)</f>
        <v>7.0000000000000007E-2</v>
      </c>
    </row>
    <row r="2445" spans="1:19" x14ac:dyDescent="0.25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e">
        <f>VLOOKUP(F2445,'Customer Info'!A2437:I2936,2,0)</f>
        <v>#N/A</v>
      </c>
      <c r="H2445" s="6" t="e">
        <f>VLOOKUP(F2445,'Customer Info'!A2437:I2936,3,0)</f>
        <v>#N/A</v>
      </c>
      <c r="I2445" s="6" t="e">
        <f>VLOOKUP(F2445,'Customer Info'!A2437:I2936,5,0)</f>
        <v>#N/A</v>
      </c>
      <c r="J2445" s="2">
        <v>78</v>
      </c>
      <c r="K2445" s="2">
        <v>74</v>
      </c>
      <c r="L2445" s="2">
        <v>4</v>
      </c>
      <c r="M2445" s="7">
        <f t="shared" si="152"/>
        <v>296</v>
      </c>
      <c r="N2445" s="7">
        <f t="shared" si="153"/>
        <v>312</v>
      </c>
      <c r="O2445" s="2">
        <v>10</v>
      </c>
      <c r="P2445" s="8">
        <f t="shared" si="154"/>
        <v>322</v>
      </c>
      <c r="Q2445" s="8">
        <f t="shared" si="155"/>
        <v>302</v>
      </c>
      <c r="R2445" s="2" t="s">
        <v>50</v>
      </c>
      <c r="S2445" s="9">
        <f>VLOOKUP(P2445,$T$2:U2442,2,1)</f>
        <v>0.02</v>
      </c>
    </row>
    <row r="2446" spans="1:19" x14ac:dyDescent="0.25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e">
        <f>VLOOKUP(F2446,'Customer Info'!A2438:I2937,2,0)</f>
        <v>#N/A</v>
      </c>
      <c r="H2446" s="6" t="e">
        <f>VLOOKUP(F2446,'Customer Info'!A2438:I2937,3,0)</f>
        <v>#N/A</v>
      </c>
      <c r="I2446" s="6" t="e">
        <f>VLOOKUP(F2446,'Customer Info'!A2438:I2937,5,0)</f>
        <v>#N/A</v>
      </c>
      <c r="J2446" s="2">
        <v>63</v>
      </c>
      <c r="K2446" s="2">
        <v>58</v>
      </c>
      <c r="L2446" s="2">
        <v>2</v>
      </c>
      <c r="M2446" s="7">
        <f t="shared" si="152"/>
        <v>116</v>
      </c>
      <c r="N2446" s="7">
        <f t="shared" si="153"/>
        <v>126</v>
      </c>
      <c r="O2446" s="2">
        <v>10</v>
      </c>
      <c r="P2446" s="8">
        <f t="shared" si="154"/>
        <v>136</v>
      </c>
      <c r="Q2446" s="8">
        <f t="shared" si="155"/>
        <v>116</v>
      </c>
      <c r="R2446" s="2" t="s">
        <v>50</v>
      </c>
      <c r="S2446" s="9">
        <f>VLOOKUP(P2446,$T$2:U2443,2,1)</f>
        <v>0.02</v>
      </c>
    </row>
    <row r="2447" spans="1:19" x14ac:dyDescent="0.25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e">
        <f>VLOOKUP(F2447,'Customer Info'!A2439:I2938,2,0)</f>
        <v>#N/A</v>
      </c>
      <c r="H2447" s="6" t="e">
        <f>VLOOKUP(F2447,'Customer Info'!A2439:I2938,3,0)</f>
        <v>#N/A</v>
      </c>
      <c r="I2447" s="6" t="e">
        <f>VLOOKUP(F2447,'Customer Info'!A2439:I2938,5,0)</f>
        <v>#N/A</v>
      </c>
      <c r="J2447" s="2">
        <v>1518</v>
      </c>
      <c r="K2447" s="2">
        <v>1392</v>
      </c>
      <c r="L2447" s="2">
        <v>5</v>
      </c>
      <c r="M2447" s="7">
        <f t="shared" si="152"/>
        <v>6960</v>
      </c>
      <c r="N2447" s="7">
        <f t="shared" si="153"/>
        <v>7590</v>
      </c>
      <c r="O2447" s="2">
        <v>28</v>
      </c>
      <c r="P2447" s="8">
        <f t="shared" si="154"/>
        <v>7618</v>
      </c>
      <c r="Q2447" s="8">
        <f t="shared" si="155"/>
        <v>7562</v>
      </c>
      <c r="R2447" s="2" t="s">
        <v>28</v>
      </c>
      <c r="S2447" s="9">
        <f>VLOOKUP(P2447,$T$2:U2444,2,1)</f>
        <v>0.05</v>
      </c>
    </row>
    <row r="2448" spans="1:19" x14ac:dyDescent="0.25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e">
        <f>VLOOKUP(F2448,'Customer Info'!A2440:I2939,2,0)</f>
        <v>#N/A</v>
      </c>
      <c r="H2448" s="6" t="e">
        <f>VLOOKUP(F2448,'Customer Info'!A2440:I2939,3,0)</f>
        <v>#N/A</v>
      </c>
      <c r="I2448" s="6" t="e">
        <f>VLOOKUP(F2448,'Customer Info'!A2440:I2939,5,0)</f>
        <v>#N/A</v>
      </c>
      <c r="J2448" s="2">
        <v>1717</v>
      </c>
      <c r="K2448" s="2">
        <v>1652</v>
      </c>
      <c r="L2448" s="2">
        <v>2</v>
      </c>
      <c r="M2448" s="7">
        <f t="shared" si="152"/>
        <v>3304</v>
      </c>
      <c r="N2448" s="7">
        <f t="shared" si="153"/>
        <v>3434</v>
      </c>
      <c r="O2448" s="2">
        <v>26</v>
      </c>
      <c r="P2448" s="8">
        <f t="shared" si="154"/>
        <v>3460</v>
      </c>
      <c r="Q2448" s="8">
        <f t="shared" si="155"/>
        <v>3408</v>
      </c>
      <c r="R2448" s="2" t="s">
        <v>28</v>
      </c>
      <c r="S2448" s="9">
        <f>VLOOKUP(P2448,$T$2:U2445,2,1)</f>
        <v>0.02</v>
      </c>
    </row>
    <row r="2449" spans="1:19" x14ac:dyDescent="0.25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e">
        <f>VLOOKUP(F2449,'Customer Info'!A2441:I2940,2,0)</f>
        <v>#N/A</v>
      </c>
      <c r="H2449" s="6" t="e">
        <f>VLOOKUP(F2449,'Customer Info'!A2441:I2940,3,0)</f>
        <v>#N/A</v>
      </c>
      <c r="I2449" s="6" t="e">
        <f>VLOOKUP(F2449,'Customer Info'!A2441:I2940,5,0)</f>
        <v>#N/A</v>
      </c>
      <c r="J2449" s="2">
        <v>914</v>
      </c>
      <c r="K2449" s="2">
        <v>830</v>
      </c>
      <c r="L2449" s="2">
        <v>4</v>
      </c>
      <c r="M2449" s="7">
        <f t="shared" si="152"/>
        <v>3320</v>
      </c>
      <c r="N2449" s="7">
        <f t="shared" si="153"/>
        <v>3656</v>
      </c>
      <c r="O2449" s="2">
        <v>41</v>
      </c>
      <c r="P2449" s="8">
        <f t="shared" si="154"/>
        <v>3697</v>
      </c>
      <c r="Q2449" s="8">
        <f t="shared" si="155"/>
        <v>3615</v>
      </c>
      <c r="R2449" s="2" t="s">
        <v>28</v>
      </c>
      <c r="S2449" s="9">
        <f>VLOOKUP(P2449,$T$2:U2446,2,1)</f>
        <v>0.02</v>
      </c>
    </row>
    <row r="2450" spans="1:19" x14ac:dyDescent="0.25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e">
        <f>VLOOKUP(F2450,'Customer Info'!A2442:I2941,2,0)</f>
        <v>#N/A</v>
      </c>
      <c r="H2450" s="6" t="e">
        <f>VLOOKUP(F2450,'Customer Info'!A2442:I2941,3,0)</f>
        <v>#N/A</v>
      </c>
      <c r="I2450" s="6" t="e">
        <f>VLOOKUP(F2450,'Customer Info'!A2442:I2941,5,0)</f>
        <v>#N/A</v>
      </c>
      <c r="J2450" s="2">
        <v>542</v>
      </c>
      <c r="K2450" s="2">
        <v>492</v>
      </c>
      <c r="L2450" s="2">
        <v>1</v>
      </c>
      <c r="M2450" s="7">
        <f t="shared" si="152"/>
        <v>492</v>
      </c>
      <c r="N2450" s="7">
        <f t="shared" si="153"/>
        <v>542</v>
      </c>
      <c r="O2450" s="2">
        <v>23</v>
      </c>
      <c r="P2450" s="8">
        <f t="shared" si="154"/>
        <v>565</v>
      </c>
      <c r="Q2450" s="8">
        <f t="shared" si="155"/>
        <v>519</v>
      </c>
      <c r="R2450" s="2" t="s">
        <v>50</v>
      </c>
      <c r="S2450" s="9">
        <f>VLOOKUP(P2450,$T$2:U2447,2,1)</f>
        <v>0.02</v>
      </c>
    </row>
    <row r="2451" spans="1:19" x14ac:dyDescent="0.25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e">
        <f>VLOOKUP(F2451,'Customer Info'!A2443:I2942,2,0)</f>
        <v>#N/A</v>
      </c>
      <c r="H2451" s="6" t="e">
        <f>VLOOKUP(F2451,'Customer Info'!A2443:I2942,3,0)</f>
        <v>#N/A</v>
      </c>
      <c r="I2451" s="6" t="e">
        <f>VLOOKUP(F2451,'Customer Info'!A2443:I2942,5,0)</f>
        <v>#N/A</v>
      </c>
      <c r="J2451" s="2">
        <v>179</v>
      </c>
      <c r="K2451" s="2">
        <v>166</v>
      </c>
      <c r="L2451" s="2">
        <v>5</v>
      </c>
      <c r="M2451" s="7">
        <f t="shared" si="152"/>
        <v>830</v>
      </c>
      <c r="N2451" s="7">
        <f t="shared" si="153"/>
        <v>895</v>
      </c>
      <c r="O2451" s="2">
        <v>30</v>
      </c>
      <c r="P2451" s="8">
        <f t="shared" si="154"/>
        <v>925</v>
      </c>
      <c r="Q2451" s="8">
        <f t="shared" si="155"/>
        <v>865</v>
      </c>
      <c r="R2451" s="2" t="s">
        <v>56</v>
      </c>
      <c r="S2451" s="9">
        <f>VLOOKUP(P2451,$T$2:U2448,2,1)</f>
        <v>0.02</v>
      </c>
    </row>
    <row r="2452" spans="1:19" x14ac:dyDescent="0.25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e">
        <f>VLOOKUP(F2452,'Customer Info'!A2444:I2943,2,0)</f>
        <v>#N/A</v>
      </c>
      <c r="H2452" s="6" t="e">
        <f>VLOOKUP(F2452,'Customer Info'!A2444:I2943,3,0)</f>
        <v>#N/A</v>
      </c>
      <c r="I2452" s="6" t="e">
        <f>VLOOKUP(F2452,'Customer Info'!A2444:I2943,5,0)</f>
        <v>#N/A</v>
      </c>
      <c r="J2452" s="2">
        <v>2296</v>
      </c>
      <c r="K2452" s="2">
        <v>2146</v>
      </c>
      <c r="L2452" s="2">
        <v>2</v>
      </c>
      <c r="M2452" s="7">
        <f t="shared" si="152"/>
        <v>4292</v>
      </c>
      <c r="N2452" s="7">
        <f t="shared" si="153"/>
        <v>4592</v>
      </c>
      <c r="O2452" s="2">
        <v>50</v>
      </c>
      <c r="P2452" s="8">
        <f t="shared" si="154"/>
        <v>4642</v>
      </c>
      <c r="Q2452" s="8">
        <f t="shared" si="155"/>
        <v>4542</v>
      </c>
      <c r="R2452" s="2" t="s">
        <v>28</v>
      </c>
      <c r="S2452" s="9">
        <f>VLOOKUP(P2452,$T$2:U2449,2,1)</f>
        <v>0.02</v>
      </c>
    </row>
    <row r="2453" spans="1:19" x14ac:dyDescent="0.25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e">
        <f>VLOOKUP(F2453,'Customer Info'!A2445:I2944,2,0)</f>
        <v>#N/A</v>
      </c>
      <c r="H2453" s="6" t="e">
        <f>VLOOKUP(F2453,'Customer Info'!A2445:I2944,3,0)</f>
        <v>#N/A</v>
      </c>
      <c r="I2453" s="6" t="e">
        <f>VLOOKUP(F2453,'Customer Info'!A2445:I2944,5,0)</f>
        <v>#N/A</v>
      </c>
      <c r="J2453" s="2">
        <v>4737</v>
      </c>
      <c r="K2453" s="2">
        <v>4473</v>
      </c>
      <c r="L2453" s="2">
        <v>4</v>
      </c>
      <c r="M2453" s="7">
        <f t="shared" si="152"/>
        <v>17892</v>
      </c>
      <c r="N2453" s="7">
        <f t="shared" si="153"/>
        <v>18948</v>
      </c>
      <c r="O2453" s="2">
        <v>62</v>
      </c>
      <c r="P2453" s="8">
        <f t="shared" si="154"/>
        <v>19010</v>
      </c>
      <c r="Q2453" s="8">
        <f t="shared" si="155"/>
        <v>18886</v>
      </c>
      <c r="R2453" s="2" t="s">
        <v>28</v>
      </c>
      <c r="S2453" s="9">
        <f>VLOOKUP(P2453,$T$2:U2450,2,1)</f>
        <v>0.05</v>
      </c>
    </row>
    <row r="2454" spans="1:19" x14ac:dyDescent="0.25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e">
        <f>VLOOKUP(F2454,'Customer Info'!A2446:I2945,2,0)</f>
        <v>#N/A</v>
      </c>
      <c r="H2454" s="6" t="e">
        <f>VLOOKUP(F2454,'Customer Info'!A2446:I2945,3,0)</f>
        <v>#N/A</v>
      </c>
      <c r="I2454" s="6" t="e">
        <f>VLOOKUP(F2454,'Customer Info'!A2446:I2945,5,0)</f>
        <v>#N/A</v>
      </c>
      <c r="J2454" s="2">
        <v>765</v>
      </c>
      <c r="K2454" s="2">
        <v>701</v>
      </c>
      <c r="L2454" s="2">
        <v>3</v>
      </c>
      <c r="M2454" s="7">
        <f t="shared" si="152"/>
        <v>2103</v>
      </c>
      <c r="N2454" s="7">
        <f t="shared" si="153"/>
        <v>2295</v>
      </c>
      <c r="O2454" s="2">
        <v>82</v>
      </c>
      <c r="P2454" s="8">
        <f t="shared" si="154"/>
        <v>2377</v>
      </c>
      <c r="Q2454" s="8">
        <f t="shared" si="155"/>
        <v>2213</v>
      </c>
      <c r="R2454" s="2" t="s">
        <v>26</v>
      </c>
      <c r="S2454" s="9">
        <f>VLOOKUP(P2454,$T$2:U2451,2,1)</f>
        <v>0.02</v>
      </c>
    </row>
    <row r="2455" spans="1:19" x14ac:dyDescent="0.25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e">
        <f>VLOOKUP(F2455,'Customer Info'!A2447:I2946,2,0)</f>
        <v>#N/A</v>
      </c>
      <c r="H2455" s="6" t="e">
        <f>VLOOKUP(F2455,'Customer Info'!A2447:I2946,3,0)</f>
        <v>#N/A</v>
      </c>
      <c r="I2455" s="6" t="e">
        <f>VLOOKUP(F2455,'Customer Info'!A2447:I2946,5,0)</f>
        <v>#N/A</v>
      </c>
      <c r="J2455" s="2">
        <v>4246</v>
      </c>
      <c r="K2455" s="2">
        <v>3857</v>
      </c>
      <c r="L2455" s="2">
        <v>5</v>
      </c>
      <c r="M2455" s="7">
        <f t="shared" si="152"/>
        <v>19285</v>
      </c>
      <c r="N2455" s="7">
        <f t="shared" si="153"/>
        <v>21230</v>
      </c>
      <c r="O2455" s="2">
        <v>94</v>
      </c>
      <c r="P2455" s="8">
        <f t="shared" si="154"/>
        <v>21324</v>
      </c>
      <c r="Q2455" s="8">
        <f t="shared" si="155"/>
        <v>21136</v>
      </c>
      <c r="R2455" s="2" t="s">
        <v>28</v>
      </c>
      <c r="S2455" s="9">
        <f>VLOOKUP(P2455,$T$2:U2452,2,1)</f>
        <v>0.05</v>
      </c>
    </row>
    <row r="2456" spans="1:19" x14ac:dyDescent="0.25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e">
        <f>VLOOKUP(F2456,'Customer Info'!A2448:I2947,2,0)</f>
        <v>#N/A</v>
      </c>
      <c r="H2456" s="6" t="e">
        <f>VLOOKUP(F2456,'Customer Info'!A2448:I2947,3,0)</f>
        <v>#N/A</v>
      </c>
      <c r="I2456" s="6" t="e">
        <f>VLOOKUP(F2456,'Customer Info'!A2448:I2947,5,0)</f>
        <v>#N/A</v>
      </c>
      <c r="J2456" s="2">
        <v>142</v>
      </c>
      <c r="K2456" s="2">
        <v>134</v>
      </c>
      <c r="L2456" s="2">
        <v>1</v>
      </c>
      <c r="M2456" s="7">
        <f t="shared" si="152"/>
        <v>134</v>
      </c>
      <c r="N2456" s="7">
        <f t="shared" si="153"/>
        <v>142</v>
      </c>
      <c r="O2456" s="2">
        <v>30</v>
      </c>
      <c r="P2456" s="8">
        <f t="shared" si="154"/>
        <v>172</v>
      </c>
      <c r="Q2456" s="8">
        <f t="shared" si="155"/>
        <v>112</v>
      </c>
      <c r="R2456" s="2" t="s">
        <v>28</v>
      </c>
      <c r="S2456" s="9">
        <f>VLOOKUP(P2456,$T$2:U2453,2,1)</f>
        <v>0.02</v>
      </c>
    </row>
    <row r="2457" spans="1:19" x14ac:dyDescent="0.25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e">
        <f>VLOOKUP(F2457,'Customer Info'!A2449:I2948,2,0)</f>
        <v>#N/A</v>
      </c>
      <c r="H2457" s="6" t="e">
        <f>VLOOKUP(F2457,'Customer Info'!A2449:I2948,3,0)</f>
        <v>#N/A</v>
      </c>
      <c r="I2457" s="6" t="e">
        <f>VLOOKUP(F2457,'Customer Info'!A2449:I2948,5,0)</f>
        <v>#N/A</v>
      </c>
      <c r="J2457" s="2">
        <v>1283</v>
      </c>
      <c r="K2457" s="2">
        <v>1187</v>
      </c>
      <c r="L2457" s="2">
        <v>6</v>
      </c>
      <c r="M2457" s="7">
        <f t="shared" si="152"/>
        <v>7122</v>
      </c>
      <c r="N2457" s="7">
        <f t="shared" si="153"/>
        <v>7698</v>
      </c>
      <c r="O2457" s="2">
        <v>49</v>
      </c>
      <c r="P2457" s="8">
        <f t="shared" si="154"/>
        <v>7747</v>
      </c>
      <c r="Q2457" s="8">
        <f t="shared" si="155"/>
        <v>7649</v>
      </c>
      <c r="R2457" s="2" t="s">
        <v>28</v>
      </c>
      <c r="S2457" s="9">
        <f>VLOOKUP(P2457,$T$2:U2454,2,1)</f>
        <v>0.05</v>
      </c>
    </row>
    <row r="2458" spans="1:19" x14ac:dyDescent="0.25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e">
        <f>VLOOKUP(F2458,'Customer Info'!A2450:I2949,2,0)</f>
        <v>#N/A</v>
      </c>
      <c r="H2458" s="6" t="e">
        <f>VLOOKUP(F2458,'Customer Info'!A2450:I2949,3,0)</f>
        <v>#N/A</v>
      </c>
      <c r="I2458" s="6" t="e">
        <f>VLOOKUP(F2458,'Customer Info'!A2450:I2949,5,0)</f>
        <v>#N/A</v>
      </c>
      <c r="J2458" s="2">
        <v>2418</v>
      </c>
      <c r="K2458" s="2">
        <v>2282</v>
      </c>
      <c r="L2458" s="2">
        <v>3</v>
      </c>
      <c r="M2458" s="7">
        <f t="shared" si="152"/>
        <v>6846</v>
      </c>
      <c r="N2458" s="7">
        <f t="shared" si="153"/>
        <v>7254</v>
      </c>
      <c r="O2458" s="2">
        <v>52</v>
      </c>
      <c r="P2458" s="8">
        <f t="shared" si="154"/>
        <v>7306</v>
      </c>
      <c r="Q2458" s="8">
        <f t="shared" si="155"/>
        <v>7202</v>
      </c>
      <c r="R2458" s="2" t="s">
        <v>28</v>
      </c>
      <c r="S2458" s="9">
        <f>VLOOKUP(P2458,$T$2:U2455,2,1)</f>
        <v>0.05</v>
      </c>
    </row>
    <row r="2459" spans="1:19" x14ac:dyDescent="0.25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e">
        <f>VLOOKUP(F2459,'Customer Info'!A2451:I2950,2,0)</f>
        <v>#N/A</v>
      </c>
      <c r="H2459" s="6" t="e">
        <f>VLOOKUP(F2459,'Customer Info'!A2451:I2950,3,0)</f>
        <v>#N/A</v>
      </c>
      <c r="I2459" s="6" t="e">
        <f>VLOOKUP(F2459,'Customer Info'!A2451:I2950,5,0)</f>
        <v>#N/A</v>
      </c>
      <c r="J2459" s="2">
        <v>1816</v>
      </c>
      <c r="K2459" s="2">
        <v>1699</v>
      </c>
      <c r="L2459" s="2">
        <v>1</v>
      </c>
      <c r="M2459" s="7">
        <f t="shared" si="152"/>
        <v>1699</v>
      </c>
      <c r="N2459" s="7">
        <f t="shared" si="153"/>
        <v>1816</v>
      </c>
      <c r="O2459" s="2">
        <v>63</v>
      </c>
      <c r="P2459" s="8">
        <f t="shared" si="154"/>
        <v>1879</v>
      </c>
      <c r="Q2459" s="8">
        <f t="shared" si="155"/>
        <v>1753</v>
      </c>
      <c r="R2459" s="2" t="s">
        <v>50</v>
      </c>
      <c r="S2459" s="9">
        <f>VLOOKUP(P2459,$T$2:U2456,2,1)</f>
        <v>0.02</v>
      </c>
    </row>
    <row r="2460" spans="1:19" x14ac:dyDescent="0.25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e">
        <f>VLOOKUP(F2460,'Customer Info'!A2452:I2951,2,0)</f>
        <v>#N/A</v>
      </c>
      <c r="H2460" s="6" t="e">
        <f>VLOOKUP(F2460,'Customer Info'!A2452:I2951,3,0)</f>
        <v>#N/A</v>
      </c>
      <c r="I2460" s="6" t="e">
        <f>VLOOKUP(F2460,'Customer Info'!A2452:I2951,5,0)</f>
        <v>#N/A</v>
      </c>
      <c r="J2460" s="2">
        <v>224</v>
      </c>
      <c r="K2460" s="2">
        <v>210</v>
      </c>
      <c r="L2460" s="2">
        <v>1</v>
      </c>
      <c r="M2460" s="7">
        <f t="shared" si="152"/>
        <v>210</v>
      </c>
      <c r="N2460" s="7">
        <f t="shared" si="153"/>
        <v>224</v>
      </c>
      <c r="O2460" s="2">
        <v>86</v>
      </c>
      <c r="P2460" s="8">
        <f t="shared" si="154"/>
        <v>310</v>
      </c>
      <c r="Q2460" s="8">
        <f t="shared" si="155"/>
        <v>138</v>
      </c>
      <c r="R2460" s="2" t="s">
        <v>28</v>
      </c>
      <c r="S2460" s="9">
        <f>VLOOKUP(P2460,$T$2:U2457,2,1)</f>
        <v>0.02</v>
      </c>
    </row>
    <row r="2461" spans="1:19" x14ac:dyDescent="0.25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e">
        <f>VLOOKUP(F2461,'Customer Info'!A2453:I2952,2,0)</f>
        <v>#N/A</v>
      </c>
      <c r="H2461" s="6" t="e">
        <f>VLOOKUP(F2461,'Customer Info'!A2453:I2952,3,0)</f>
        <v>#N/A</v>
      </c>
      <c r="I2461" s="6" t="e">
        <f>VLOOKUP(F2461,'Customer Info'!A2453:I2952,5,0)</f>
        <v>#N/A</v>
      </c>
      <c r="J2461" s="2">
        <v>5051</v>
      </c>
      <c r="K2461" s="2">
        <v>4634</v>
      </c>
      <c r="L2461" s="2">
        <v>5</v>
      </c>
      <c r="M2461" s="7">
        <f t="shared" si="152"/>
        <v>23170</v>
      </c>
      <c r="N2461" s="7">
        <f t="shared" si="153"/>
        <v>25255</v>
      </c>
      <c r="O2461" s="2">
        <v>67</v>
      </c>
      <c r="P2461" s="8">
        <f t="shared" si="154"/>
        <v>25322</v>
      </c>
      <c r="Q2461" s="8">
        <f t="shared" si="155"/>
        <v>25188</v>
      </c>
      <c r="R2461" s="2" t="s">
        <v>28</v>
      </c>
      <c r="S2461" s="9">
        <f>VLOOKUP(P2461,$T$2:U2458,2,1)</f>
        <v>7.0000000000000007E-2</v>
      </c>
    </row>
    <row r="2462" spans="1:19" x14ac:dyDescent="0.25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e">
        <f>VLOOKUP(F2462,'Customer Info'!A2454:I2953,2,0)</f>
        <v>#N/A</v>
      </c>
      <c r="H2462" s="6" t="e">
        <f>VLOOKUP(F2462,'Customer Info'!A2454:I2953,3,0)</f>
        <v>#N/A</v>
      </c>
      <c r="I2462" s="6" t="e">
        <f>VLOOKUP(F2462,'Customer Info'!A2454:I2953,5,0)</f>
        <v>#N/A</v>
      </c>
      <c r="J2462" s="2">
        <v>1246</v>
      </c>
      <c r="K2462" s="2">
        <v>1164</v>
      </c>
      <c r="L2462" s="2">
        <v>2</v>
      </c>
      <c r="M2462" s="7">
        <f t="shared" si="152"/>
        <v>2328</v>
      </c>
      <c r="N2462" s="7">
        <f t="shared" si="153"/>
        <v>2492</v>
      </c>
      <c r="O2462" s="2">
        <v>79</v>
      </c>
      <c r="P2462" s="8">
        <f t="shared" si="154"/>
        <v>2571</v>
      </c>
      <c r="Q2462" s="8">
        <f t="shared" si="155"/>
        <v>2413</v>
      </c>
      <c r="R2462" s="2" t="s">
        <v>28</v>
      </c>
      <c r="S2462" s="9">
        <f>VLOOKUP(P2462,$T$2:U2459,2,1)</f>
        <v>0.02</v>
      </c>
    </row>
    <row r="2463" spans="1:19" x14ac:dyDescent="0.25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e">
        <f>VLOOKUP(F2463,'Customer Info'!A2455:I2954,2,0)</f>
        <v>#N/A</v>
      </c>
      <c r="H2463" s="6" t="e">
        <f>VLOOKUP(F2463,'Customer Info'!A2455:I2954,3,0)</f>
        <v>#N/A</v>
      </c>
      <c r="I2463" s="6" t="e">
        <f>VLOOKUP(F2463,'Customer Info'!A2455:I2954,5,0)</f>
        <v>#N/A</v>
      </c>
      <c r="J2463" s="2">
        <v>4577</v>
      </c>
      <c r="K2463" s="2">
        <v>4280</v>
      </c>
      <c r="L2463" s="2">
        <v>3</v>
      </c>
      <c r="M2463" s="7">
        <f t="shared" si="152"/>
        <v>12840</v>
      </c>
      <c r="N2463" s="7">
        <f t="shared" si="153"/>
        <v>13731</v>
      </c>
      <c r="O2463" s="2">
        <v>81</v>
      </c>
      <c r="P2463" s="8">
        <f t="shared" si="154"/>
        <v>13812</v>
      </c>
      <c r="Q2463" s="8">
        <f t="shared" si="155"/>
        <v>13650</v>
      </c>
      <c r="R2463" s="2" t="s">
        <v>50</v>
      </c>
      <c r="S2463" s="9">
        <f>VLOOKUP(P2463,$T$2:U2460,2,1)</f>
        <v>0.05</v>
      </c>
    </row>
    <row r="2464" spans="1:19" x14ac:dyDescent="0.25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e">
        <f>VLOOKUP(F2464,'Customer Info'!A2456:I2955,2,0)</f>
        <v>#N/A</v>
      </c>
      <c r="H2464" s="6" t="e">
        <f>VLOOKUP(F2464,'Customer Info'!A2456:I2955,3,0)</f>
        <v>#N/A</v>
      </c>
      <c r="I2464" s="6" t="e">
        <f>VLOOKUP(F2464,'Customer Info'!A2456:I2955,5,0)</f>
        <v>#N/A</v>
      </c>
      <c r="J2464" s="2">
        <v>2249</v>
      </c>
      <c r="K2464" s="2">
        <v>2102</v>
      </c>
      <c r="L2464" s="2">
        <v>3</v>
      </c>
      <c r="M2464" s="7">
        <f t="shared" si="152"/>
        <v>6306</v>
      </c>
      <c r="N2464" s="7">
        <f t="shared" si="153"/>
        <v>6747</v>
      </c>
      <c r="O2464" s="2">
        <v>36</v>
      </c>
      <c r="P2464" s="8">
        <f t="shared" si="154"/>
        <v>6783</v>
      </c>
      <c r="Q2464" s="8">
        <f t="shared" si="155"/>
        <v>6711</v>
      </c>
      <c r="R2464" s="2" t="s">
        <v>56</v>
      </c>
      <c r="S2464" s="9">
        <f>VLOOKUP(P2464,$T$2:U2461,2,1)</f>
        <v>0.05</v>
      </c>
    </row>
    <row r="2465" spans="1:19" x14ac:dyDescent="0.25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e">
        <f>VLOOKUP(F2465,'Customer Info'!A2457:I2956,2,0)</f>
        <v>#N/A</v>
      </c>
      <c r="H2465" s="6" t="e">
        <f>VLOOKUP(F2465,'Customer Info'!A2457:I2956,3,0)</f>
        <v>#N/A</v>
      </c>
      <c r="I2465" s="6" t="e">
        <f>VLOOKUP(F2465,'Customer Info'!A2457:I2956,5,0)</f>
        <v>#N/A</v>
      </c>
      <c r="J2465" s="2">
        <v>90</v>
      </c>
      <c r="K2465" s="2">
        <v>81</v>
      </c>
      <c r="L2465" s="2">
        <v>3</v>
      </c>
      <c r="M2465" s="7">
        <f t="shared" si="152"/>
        <v>243</v>
      </c>
      <c r="N2465" s="7">
        <f t="shared" si="153"/>
        <v>270</v>
      </c>
      <c r="O2465" s="2">
        <v>10</v>
      </c>
      <c r="P2465" s="8">
        <f t="shared" si="154"/>
        <v>280</v>
      </c>
      <c r="Q2465" s="8">
        <f t="shared" si="155"/>
        <v>260</v>
      </c>
      <c r="R2465" s="2" t="s">
        <v>26</v>
      </c>
      <c r="S2465" s="9">
        <f>VLOOKUP(P2465,$T$2:U2462,2,1)</f>
        <v>0.02</v>
      </c>
    </row>
    <row r="2466" spans="1:19" x14ac:dyDescent="0.25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e">
        <f>VLOOKUP(F2466,'Customer Info'!A2458:I2957,2,0)</f>
        <v>#N/A</v>
      </c>
      <c r="H2466" s="6" t="e">
        <f>VLOOKUP(F2466,'Customer Info'!A2458:I2957,3,0)</f>
        <v>#N/A</v>
      </c>
      <c r="I2466" s="6" t="e">
        <f>VLOOKUP(F2466,'Customer Info'!A2458:I2957,5,0)</f>
        <v>#N/A</v>
      </c>
      <c r="J2466" s="2">
        <v>63</v>
      </c>
      <c r="K2466" s="2">
        <v>58</v>
      </c>
      <c r="L2466" s="2">
        <v>9</v>
      </c>
      <c r="M2466" s="7">
        <f t="shared" si="152"/>
        <v>522</v>
      </c>
      <c r="N2466" s="7">
        <f t="shared" si="153"/>
        <v>567</v>
      </c>
      <c r="O2466" s="2">
        <v>10</v>
      </c>
      <c r="P2466" s="8">
        <f t="shared" si="154"/>
        <v>577</v>
      </c>
      <c r="Q2466" s="8">
        <f t="shared" si="155"/>
        <v>557</v>
      </c>
      <c r="R2466" s="2" t="s">
        <v>28</v>
      </c>
      <c r="S2466" s="9">
        <f>VLOOKUP(P2466,$T$2:U2463,2,1)</f>
        <v>0.02</v>
      </c>
    </row>
    <row r="2467" spans="1:19" x14ac:dyDescent="0.25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e">
        <f>VLOOKUP(F2467,'Customer Info'!A2459:I2958,2,0)</f>
        <v>#N/A</v>
      </c>
      <c r="H2467" s="6" t="e">
        <f>VLOOKUP(F2467,'Customer Info'!A2459:I2958,3,0)</f>
        <v>#N/A</v>
      </c>
      <c r="I2467" s="6" t="e">
        <f>VLOOKUP(F2467,'Customer Info'!A2459:I2958,5,0)</f>
        <v>#N/A</v>
      </c>
      <c r="J2467" s="2">
        <v>5894</v>
      </c>
      <c r="K2467" s="2">
        <v>5621</v>
      </c>
      <c r="L2467" s="2">
        <v>3</v>
      </c>
      <c r="M2467" s="7">
        <f t="shared" si="152"/>
        <v>16863</v>
      </c>
      <c r="N2467" s="7">
        <f t="shared" si="153"/>
        <v>17682</v>
      </c>
      <c r="O2467" s="2">
        <v>96</v>
      </c>
      <c r="P2467" s="8">
        <f t="shared" si="154"/>
        <v>17778</v>
      </c>
      <c r="Q2467" s="8">
        <f t="shared" si="155"/>
        <v>17586</v>
      </c>
      <c r="R2467" s="2" t="s">
        <v>28</v>
      </c>
      <c r="S2467" s="9">
        <f>VLOOKUP(P2467,$T$2:U2464,2,1)</f>
        <v>0.05</v>
      </c>
    </row>
    <row r="2468" spans="1:19" x14ac:dyDescent="0.25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e">
        <f>VLOOKUP(F2468,'Customer Info'!A2460:I2959,2,0)</f>
        <v>#N/A</v>
      </c>
      <c r="H2468" s="6" t="e">
        <f>VLOOKUP(F2468,'Customer Info'!A2460:I2959,3,0)</f>
        <v>#N/A</v>
      </c>
      <c r="I2468" s="6" t="e">
        <f>VLOOKUP(F2468,'Customer Info'!A2460:I2959,5,0)</f>
        <v>#N/A</v>
      </c>
      <c r="J2468" s="2">
        <v>6864</v>
      </c>
      <c r="K2468" s="2">
        <v>6667</v>
      </c>
      <c r="L2468" s="2">
        <v>8</v>
      </c>
      <c r="M2468" s="7">
        <f t="shared" si="152"/>
        <v>53336</v>
      </c>
      <c r="N2468" s="7">
        <f t="shared" si="153"/>
        <v>54912</v>
      </c>
      <c r="O2468" s="2">
        <v>37</v>
      </c>
      <c r="P2468" s="8">
        <f t="shared" si="154"/>
        <v>54949</v>
      </c>
      <c r="Q2468" s="8">
        <f t="shared" si="155"/>
        <v>54875</v>
      </c>
      <c r="R2468" s="2" t="s">
        <v>28</v>
      </c>
      <c r="S2468" s="9">
        <f>VLOOKUP(P2468,$T$2:U2465,2,1)</f>
        <v>0.09</v>
      </c>
    </row>
    <row r="2469" spans="1:19" x14ac:dyDescent="0.25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e">
        <f>VLOOKUP(F2469,'Customer Info'!A2461:I2960,2,0)</f>
        <v>#N/A</v>
      </c>
      <c r="H2469" s="6" t="e">
        <f>VLOOKUP(F2469,'Customer Info'!A2461:I2960,3,0)</f>
        <v>#N/A</v>
      </c>
      <c r="I2469" s="6" t="e">
        <f>VLOOKUP(F2469,'Customer Info'!A2461:I2960,5,0)</f>
        <v>#N/A</v>
      </c>
      <c r="J2469" s="2">
        <v>1798</v>
      </c>
      <c r="K2469" s="2">
        <v>1666</v>
      </c>
      <c r="L2469" s="2">
        <v>2</v>
      </c>
      <c r="M2469" s="7">
        <f t="shared" si="152"/>
        <v>3332</v>
      </c>
      <c r="N2469" s="7">
        <f t="shared" si="153"/>
        <v>3596</v>
      </c>
      <c r="O2469" s="2">
        <v>88</v>
      </c>
      <c r="P2469" s="8">
        <f t="shared" si="154"/>
        <v>3684</v>
      </c>
      <c r="Q2469" s="8">
        <f t="shared" si="155"/>
        <v>3508</v>
      </c>
      <c r="R2469" s="2" t="s">
        <v>50</v>
      </c>
      <c r="S2469" s="9">
        <f>VLOOKUP(P2469,$T$2:U2466,2,1)</f>
        <v>0.02</v>
      </c>
    </row>
    <row r="2470" spans="1:19" x14ac:dyDescent="0.25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e">
        <f>VLOOKUP(F2470,'Customer Info'!A2462:I2961,2,0)</f>
        <v>#N/A</v>
      </c>
      <c r="H2470" s="6" t="e">
        <f>VLOOKUP(F2470,'Customer Info'!A2462:I2961,3,0)</f>
        <v>#N/A</v>
      </c>
      <c r="I2470" s="6" t="e">
        <f>VLOOKUP(F2470,'Customer Info'!A2462:I2961,5,0)</f>
        <v>#N/A</v>
      </c>
      <c r="J2470" s="2">
        <v>4714</v>
      </c>
      <c r="K2470" s="2">
        <v>4323</v>
      </c>
      <c r="L2470" s="2">
        <v>1</v>
      </c>
      <c r="M2470" s="7">
        <f t="shared" si="152"/>
        <v>4323</v>
      </c>
      <c r="N2470" s="7">
        <f t="shared" si="153"/>
        <v>4714</v>
      </c>
      <c r="O2470" s="2">
        <v>77</v>
      </c>
      <c r="P2470" s="8">
        <f t="shared" si="154"/>
        <v>4791</v>
      </c>
      <c r="Q2470" s="8">
        <f t="shared" si="155"/>
        <v>4637</v>
      </c>
      <c r="R2470" s="2" t="s">
        <v>26</v>
      </c>
      <c r="S2470" s="9">
        <f>VLOOKUP(P2470,$T$2:U2467,2,1)</f>
        <v>0.02</v>
      </c>
    </row>
    <row r="2471" spans="1:19" x14ac:dyDescent="0.25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e">
        <f>VLOOKUP(F2471,'Customer Info'!A2463:I2962,2,0)</f>
        <v>#N/A</v>
      </c>
      <c r="H2471" s="6" t="e">
        <f>VLOOKUP(F2471,'Customer Info'!A2463:I2962,3,0)</f>
        <v>#N/A</v>
      </c>
      <c r="I2471" s="6" t="e">
        <f>VLOOKUP(F2471,'Customer Info'!A2463:I2962,5,0)</f>
        <v>#N/A</v>
      </c>
      <c r="J2471" s="2">
        <v>7960</v>
      </c>
      <c r="K2471" s="2">
        <v>7375</v>
      </c>
      <c r="L2471" s="2">
        <v>3</v>
      </c>
      <c r="M2471" s="7">
        <f t="shared" si="152"/>
        <v>22125</v>
      </c>
      <c r="N2471" s="7">
        <f t="shared" si="153"/>
        <v>23880</v>
      </c>
      <c r="O2471" s="2">
        <v>32</v>
      </c>
      <c r="P2471" s="8">
        <f t="shared" si="154"/>
        <v>23912</v>
      </c>
      <c r="Q2471" s="8">
        <f t="shared" si="155"/>
        <v>23848</v>
      </c>
      <c r="R2471" s="2" t="s">
        <v>50</v>
      </c>
      <c r="S2471" s="9">
        <f>VLOOKUP(P2471,$T$2:U2468,2,1)</f>
        <v>0.05</v>
      </c>
    </row>
    <row r="2472" spans="1:19" x14ac:dyDescent="0.25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e">
        <f>VLOOKUP(F2472,'Customer Info'!A2464:I2963,2,0)</f>
        <v>#N/A</v>
      </c>
      <c r="H2472" s="6" t="e">
        <f>VLOOKUP(F2472,'Customer Info'!A2464:I2963,3,0)</f>
        <v>#N/A</v>
      </c>
      <c r="I2472" s="6" t="e">
        <f>VLOOKUP(F2472,'Customer Info'!A2464:I2963,5,0)</f>
        <v>#N/A</v>
      </c>
      <c r="J2472" s="2">
        <v>222</v>
      </c>
      <c r="K2472" s="2">
        <v>208</v>
      </c>
      <c r="L2472" s="2">
        <v>3</v>
      </c>
      <c r="M2472" s="7">
        <f t="shared" si="152"/>
        <v>624</v>
      </c>
      <c r="N2472" s="7">
        <f t="shared" si="153"/>
        <v>666</v>
      </c>
      <c r="O2472" s="2">
        <v>74</v>
      </c>
      <c r="P2472" s="8">
        <f t="shared" si="154"/>
        <v>740</v>
      </c>
      <c r="Q2472" s="8">
        <f t="shared" si="155"/>
        <v>592</v>
      </c>
      <c r="R2472" s="2" t="s">
        <v>50</v>
      </c>
      <c r="S2472" s="9">
        <f>VLOOKUP(P2472,$T$2:U2469,2,1)</f>
        <v>0.02</v>
      </c>
    </row>
    <row r="2473" spans="1:19" x14ac:dyDescent="0.25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e">
        <f>VLOOKUP(F2473,'Customer Info'!A2465:I2964,2,0)</f>
        <v>#N/A</v>
      </c>
      <c r="H2473" s="6" t="e">
        <f>VLOOKUP(F2473,'Customer Info'!A2465:I2964,3,0)</f>
        <v>#N/A</v>
      </c>
      <c r="I2473" s="6" t="e">
        <f>VLOOKUP(F2473,'Customer Info'!A2465:I2964,5,0)</f>
        <v>#N/A</v>
      </c>
      <c r="J2473" s="2">
        <v>3321</v>
      </c>
      <c r="K2473" s="2">
        <v>2989</v>
      </c>
      <c r="L2473" s="2">
        <v>1</v>
      </c>
      <c r="M2473" s="7">
        <f t="shared" si="152"/>
        <v>2989</v>
      </c>
      <c r="N2473" s="7">
        <f t="shared" si="153"/>
        <v>3321</v>
      </c>
      <c r="O2473" s="2">
        <v>56</v>
      </c>
      <c r="P2473" s="8">
        <f t="shared" si="154"/>
        <v>3377</v>
      </c>
      <c r="Q2473" s="8">
        <f t="shared" si="155"/>
        <v>3265</v>
      </c>
      <c r="R2473" s="2" t="s">
        <v>28</v>
      </c>
      <c r="S2473" s="9">
        <f>VLOOKUP(P2473,$T$2:U2470,2,1)</f>
        <v>0.02</v>
      </c>
    </row>
    <row r="2474" spans="1:19" x14ac:dyDescent="0.25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e">
        <f>VLOOKUP(F2474,'Customer Info'!A2466:I2965,2,0)</f>
        <v>#N/A</v>
      </c>
      <c r="H2474" s="6" t="e">
        <f>VLOOKUP(F2474,'Customer Info'!A2466:I2965,3,0)</f>
        <v>#N/A</v>
      </c>
      <c r="I2474" s="6" t="e">
        <f>VLOOKUP(F2474,'Customer Info'!A2466:I2965,5,0)</f>
        <v>#N/A</v>
      </c>
      <c r="J2474" s="2">
        <v>1717</v>
      </c>
      <c r="K2474" s="2">
        <v>1652</v>
      </c>
      <c r="L2474" s="2">
        <v>4</v>
      </c>
      <c r="M2474" s="7">
        <f t="shared" si="152"/>
        <v>6608</v>
      </c>
      <c r="N2474" s="7">
        <f t="shared" si="153"/>
        <v>6868</v>
      </c>
      <c r="O2474" s="2">
        <v>97</v>
      </c>
      <c r="P2474" s="8">
        <f t="shared" si="154"/>
        <v>6965</v>
      </c>
      <c r="Q2474" s="8">
        <f t="shared" si="155"/>
        <v>6771</v>
      </c>
      <c r="R2474" s="2" t="s">
        <v>28</v>
      </c>
      <c r="S2474" s="9">
        <f>VLOOKUP(P2474,$T$2:U2471,2,1)</f>
        <v>0.05</v>
      </c>
    </row>
    <row r="2475" spans="1:19" x14ac:dyDescent="0.25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e">
        <f>VLOOKUP(F2475,'Customer Info'!A2467:I2966,2,0)</f>
        <v>#N/A</v>
      </c>
      <c r="H2475" s="6" t="e">
        <f>VLOOKUP(F2475,'Customer Info'!A2467:I2966,3,0)</f>
        <v>#N/A</v>
      </c>
      <c r="I2475" s="6" t="e">
        <f>VLOOKUP(F2475,'Customer Info'!A2467:I2966,5,0)</f>
        <v>#N/A</v>
      </c>
      <c r="J2475" s="2">
        <v>8399</v>
      </c>
      <c r="K2475" s="2">
        <v>8001</v>
      </c>
      <c r="L2475" s="2">
        <v>1</v>
      </c>
      <c r="M2475" s="7">
        <f t="shared" si="152"/>
        <v>8001</v>
      </c>
      <c r="N2475" s="7">
        <f t="shared" si="153"/>
        <v>8399</v>
      </c>
      <c r="O2475" s="2">
        <v>85</v>
      </c>
      <c r="P2475" s="8">
        <f t="shared" si="154"/>
        <v>8484</v>
      </c>
      <c r="Q2475" s="8">
        <f t="shared" si="155"/>
        <v>8314</v>
      </c>
      <c r="R2475" s="2" t="s">
        <v>28</v>
      </c>
      <c r="S2475" s="9">
        <f>VLOOKUP(P2475,$T$2:U2472,2,1)</f>
        <v>0.05</v>
      </c>
    </row>
    <row r="2476" spans="1:19" x14ac:dyDescent="0.25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e">
        <f>VLOOKUP(F2476,'Customer Info'!A2468:I2967,2,0)</f>
        <v>#N/A</v>
      </c>
      <c r="H2476" s="6" t="e">
        <f>VLOOKUP(F2476,'Customer Info'!A2468:I2967,3,0)</f>
        <v>#N/A</v>
      </c>
      <c r="I2476" s="6" t="e">
        <f>VLOOKUP(F2476,'Customer Info'!A2468:I2967,5,0)</f>
        <v>#N/A</v>
      </c>
      <c r="J2476" s="2">
        <v>183</v>
      </c>
      <c r="K2476" s="2">
        <v>168</v>
      </c>
      <c r="L2476" s="2">
        <v>6</v>
      </c>
      <c r="M2476" s="7">
        <f t="shared" si="152"/>
        <v>1008</v>
      </c>
      <c r="N2476" s="7">
        <f t="shared" si="153"/>
        <v>1098</v>
      </c>
      <c r="O2476" s="2">
        <v>30</v>
      </c>
      <c r="P2476" s="8">
        <f t="shared" si="154"/>
        <v>1128</v>
      </c>
      <c r="Q2476" s="8">
        <f t="shared" si="155"/>
        <v>1068</v>
      </c>
      <c r="R2476" s="2" t="s">
        <v>28</v>
      </c>
      <c r="S2476" s="9">
        <f>VLOOKUP(P2476,$T$2:U2473,2,1)</f>
        <v>0.02</v>
      </c>
    </row>
    <row r="2477" spans="1:19" x14ac:dyDescent="0.25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e">
        <f>VLOOKUP(F2477,'Customer Info'!A2469:I2968,2,0)</f>
        <v>#N/A</v>
      </c>
      <c r="H2477" s="6" t="e">
        <f>VLOOKUP(F2477,'Customer Info'!A2469:I2968,3,0)</f>
        <v>#N/A</v>
      </c>
      <c r="I2477" s="6" t="e">
        <f>VLOOKUP(F2477,'Customer Info'!A2469:I2968,5,0)</f>
        <v>#N/A</v>
      </c>
      <c r="J2477" s="2">
        <v>3321</v>
      </c>
      <c r="K2477" s="2">
        <v>2989</v>
      </c>
      <c r="L2477" s="2">
        <v>1</v>
      </c>
      <c r="M2477" s="7">
        <f t="shared" si="152"/>
        <v>2989</v>
      </c>
      <c r="N2477" s="7">
        <f t="shared" si="153"/>
        <v>3321</v>
      </c>
      <c r="O2477" s="2">
        <v>76</v>
      </c>
      <c r="P2477" s="8">
        <f t="shared" si="154"/>
        <v>3397</v>
      </c>
      <c r="Q2477" s="8">
        <f t="shared" si="155"/>
        <v>3245</v>
      </c>
      <c r="R2477" s="2" t="s">
        <v>26</v>
      </c>
      <c r="S2477" s="9">
        <f>VLOOKUP(P2477,$T$2:U2474,2,1)</f>
        <v>0.02</v>
      </c>
    </row>
    <row r="2478" spans="1:19" x14ac:dyDescent="0.25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e">
        <f>VLOOKUP(F2478,'Customer Info'!A2470:I2969,2,0)</f>
        <v>#N/A</v>
      </c>
      <c r="H2478" s="6" t="e">
        <f>VLOOKUP(F2478,'Customer Info'!A2470:I2969,3,0)</f>
        <v>#N/A</v>
      </c>
      <c r="I2478" s="6" t="e">
        <f>VLOOKUP(F2478,'Customer Info'!A2470:I2969,5,0)</f>
        <v>#N/A</v>
      </c>
      <c r="J2478" s="2">
        <v>877</v>
      </c>
      <c r="K2478" s="2">
        <v>788</v>
      </c>
      <c r="L2478" s="2">
        <v>4</v>
      </c>
      <c r="M2478" s="7">
        <f t="shared" si="152"/>
        <v>3152</v>
      </c>
      <c r="N2478" s="7">
        <f t="shared" si="153"/>
        <v>3508</v>
      </c>
      <c r="O2478" s="2">
        <v>51</v>
      </c>
      <c r="P2478" s="8">
        <f t="shared" si="154"/>
        <v>3559</v>
      </c>
      <c r="Q2478" s="8">
        <f t="shared" si="155"/>
        <v>3457</v>
      </c>
      <c r="R2478" s="2" t="s">
        <v>50</v>
      </c>
      <c r="S2478" s="9">
        <f>VLOOKUP(P2478,$T$2:U2475,2,1)</f>
        <v>0.02</v>
      </c>
    </row>
    <row r="2479" spans="1:19" x14ac:dyDescent="0.25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e">
        <f>VLOOKUP(F2479,'Customer Info'!A2471:I2970,2,0)</f>
        <v>#N/A</v>
      </c>
      <c r="H2479" s="6" t="e">
        <f>VLOOKUP(F2479,'Customer Info'!A2471:I2970,3,0)</f>
        <v>#N/A</v>
      </c>
      <c r="I2479" s="6" t="e">
        <f>VLOOKUP(F2479,'Customer Info'!A2471:I2970,5,0)</f>
        <v>#N/A</v>
      </c>
      <c r="J2479" s="2">
        <v>2540</v>
      </c>
      <c r="K2479" s="2">
        <v>2397</v>
      </c>
      <c r="L2479" s="2">
        <v>2</v>
      </c>
      <c r="M2479" s="7">
        <f t="shared" si="152"/>
        <v>4794</v>
      </c>
      <c r="N2479" s="7">
        <f t="shared" si="153"/>
        <v>5080</v>
      </c>
      <c r="O2479" s="2">
        <v>96</v>
      </c>
      <c r="P2479" s="8">
        <f t="shared" si="154"/>
        <v>5176</v>
      </c>
      <c r="Q2479" s="8">
        <f t="shared" si="155"/>
        <v>4984</v>
      </c>
      <c r="R2479" s="2" t="s">
        <v>28</v>
      </c>
      <c r="S2479" s="9">
        <f>VLOOKUP(P2479,$T$2:U2476,2,1)</f>
        <v>0.05</v>
      </c>
    </row>
    <row r="2480" spans="1:19" x14ac:dyDescent="0.25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e">
        <f>VLOOKUP(F2480,'Customer Info'!A2472:I2971,2,0)</f>
        <v>#N/A</v>
      </c>
      <c r="H2480" s="6" t="e">
        <f>VLOOKUP(F2480,'Customer Info'!A2472:I2971,3,0)</f>
        <v>#N/A</v>
      </c>
      <c r="I2480" s="6" t="e">
        <f>VLOOKUP(F2480,'Customer Info'!A2472:I2971,5,0)</f>
        <v>#N/A</v>
      </c>
      <c r="J2480" s="2">
        <v>5848</v>
      </c>
      <c r="K2480" s="2">
        <v>5214</v>
      </c>
      <c r="L2480" s="2">
        <v>1</v>
      </c>
      <c r="M2480" s="7">
        <f t="shared" si="152"/>
        <v>5214</v>
      </c>
      <c r="N2480" s="7">
        <f t="shared" si="153"/>
        <v>5848</v>
      </c>
      <c r="O2480" s="2">
        <v>94</v>
      </c>
      <c r="P2480" s="8">
        <f t="shared" si="154"/>
        <v>5942</v>
      </c>
      <c r="Q2480" s="8">
        <f t="shared" si="155"/>
        <v>5754</v>
      </c>
      <c r="R2480" s="2" t="s">
        <v>28</v>
      </c>
      <c r="S2480" s="9">
        <f>VLOOKUP(P2480,$T$2:U2477,2,1)</f>
        <v>0.05</v>
      </c>
    </row>
    <row r="2481" spans="1:19" x14ac:dyDescent="0.25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e">
        <f>VLOOKUP(F2481,'Customer Info'!A2473:I2972,2,0)</f>
        <v>#N/A</v>
      </c>
      <c r="H2481" s="6" t="e">
        <f>VLOOKUP(F2481,'Customer Info'!A2473:I2972,3,0)</f>
        <v>#N/A</v>
      </c>
      <c r="I2481" s="6" t="e">
        <f>VLOOKUP(F2481,'Customer Info'!A2473:I2972,5,0)</f>
        <v>#N/A</v>
      </c>
      <c r="J2481" s="2">
        <v>79</v>
      </c>
      <c r="K2481" s="2">
        <v>75</v>
      </c>
      <c r="L2481" s="2">
        <v>2</v>
      </c>
      <c r="M2481" s="7">
        <f t="shared" si="152"/>
        <v>150</v>
      </c>
      <c r="N2481" s="7">
        <f t="shared" si="153"/>
        <v>158</v>
      </c>
      <c r="O2481" s="2">
        <v>10</v>
      </c>
      <c r="P2481" s="8">
        <f t="shared" si="154"/>
        <v>168</v>
      </c>
      <c r="Q2481" s="8">
        <f t="shared" si="155"/>
        <v>148</v>
      </c>
      <c r="R2481" s="2" t="s">
        <v>50</v>
      </c>
      <c r="S2481" s="9">
        <f>VLOOKUP(P2481,$T$2:U2478,2,1)</f>
        <v>0.02</v>
      </c>
    </row>
    <row r="2482" spans="1:19" x14ac:dyDescent="0.25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e">
        <f>VLOOKUP(F2482,'Customer Info'!A2474:I2973,2,0)</f>
        <v>#N/A</v>
      </c>
      <c r="H2482" s="6" t="e">
        <f>VLOOKUP(F2482,'Customer Info'!A2474:I2973,3,0)</f>
        <v>#N/A</v>
      </c>
      <c r="I2482" s="6" t="e">
        <f>VLOOKUP(F2482,'Customer Info'!A2474:I2973,5,0)</f>
        <v>#N/A</v>
      </c>
      <c r="J2482" s="2">
        <v>1834</v>
      </c>
      <c r="K2482" s="2">
        <v>1716</v>
      </c>
      <c r="L2482" s="2">
        <v>1</v>
      </c>
      <c r="M2482" s="7">
        <f t="shared" si="152"/>
        <v>1716</v>
      </c>
      <c r="N2482" s="7">
        <f t="shared" si="153"/>
        <v>1834</v>
      </c>
      <c r="O2482" s="2">
        <v>20</v>
      </c>
      <c r="P2482" s="8">
        <f t="shared" si="154"/>
        <v>1854</v>
      </c>
      <c r="Q2482" s="8">
        <f t="shared" si="155"/>
        <v>1814</v>
      </c>
      <c r="R2482" s="2" t="s">
        <v>28</v>
      </c>
      <c r="S2482" s="9">
        <f>VLOOKUP(P2482,$T$2:U2479,2,1)</f>
        <v>0.02</v>
      </c>
    </row>
    <row r="2483" spans="1:19" x14ac:dyDescent="0.25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e">
        <f>VLOOKUP(F2483,'Customer Info'!A2475:I2974,2,0)</f>
        <v>#N/A</v>
      </c>
      <c r="H2483" s="6" t="e">
        <f>VLOOKUP(F2483,'Customer Info'!A2475:I2974,3,0)</f>
        <v>#N/A</v>
      </c>
      <c r="I2483" s="6" t="e">
        <f>VLOOKUP(F2483,'Customer Info'!A2475:I2974,5,0)</f>
        <v>#N/A</v>
      </c>
      <c r="J2483" s="2">
        <v>183</v>
      </c>
      <c r="K2483" s="2">
        <v>168</v>
      </c>
      <c r="L2483" s="2">
        <v>1</v>
      </c>
      <c r="M2483" s="7">
        <f t="shared" si="152"/>
        <v>168</v>
      </c>
      <c r="N2483" s="7">
        <f t="shared" si="153"/>
        <v>183</v>
      </c>
      <c r="O2483" s="2">
        <v>30</v>
      </c>
      <c r="P2483" s="8">
        <f t="shared" si="154"/>
        <v>213</v>
      </c>
      <c r="Q2483" s="8">
        <f t="shared" si="155"/>
        <v>153</v>
      </c>
      <c r="R2483" s="2" t="s">
        <v>28</v>
      </c>
      <c r="S2483" s="9">
        <f>VLOOKUP(P2483,$T$2:U2480,2,1)</f>
        <v>0.02</v>
      </c>
    </row>
    <row r="2484" spans="1:19" x14ac:dyDescent="0.25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e">
        <f>VLOOKUP(F2484,'Customer Info'!A2476:I2975,2,0)</f>
        <v>#N/A</v>
      </c>
      <c r="H2484" s="6" t="e">
        <f>VLOOKUP(F2484,'Customer Info'!A2476:I2975,3,0)</f>
        <v>#N/A</v>
      </c>
      <c r="I2484" s="6" t="e">
        <f>VLOOKUP(F2484,'Customer Info'!A2476:I2975,5,0)</f>
        <v>#N/A</v>
      </c>
      <c r="J2484" s="2">
        <v>2333</v>
      </c>
      <c r="K2484" s="2">
        <v>2060</v>
      </c>
      <c r="L2484" s="2">
        <v>3</v>
      </c>
      <c r="M2484" s="7">
        <f t="shared" si="152"/>
        <v>6180</v>
      </c>
      <c r="N2484" s="7">
        <f t="shared" si="153"/>
        <v>6999</v>
      </c>
      <c r="O2484" s="2">
        <v>37</v>
      </c>
      <c r="P2484" s="8">
        <f t="shared" si="154"/>
        <v>7036</v>
      </c>
      <c r="Q2484" s="8">
        <f t="shared" si="155"/>
        <v>6962</v>
      </c>
      <c r="R2484" s="2" t="s">
        <v>28</v>
      </c>
      <c r="S2484" s="9">
        <f>VLOOKUP(P2484,$T$2:U2481,2,1)</f>
        <v>0.05</v>
      </c>
    </row>
    <row r="2485" spans="1:19" x14ac:dyDescent="0.25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e">
        <f>VLOOKUP(F2485,'Customer Info'!A2477:I2976,2,0)</f>
        <v>#N/A</v>
      </c>
      <c r="H2485" s="6" t="e">
        <f>VLOOKUP(F2485,'Customer Info'!A2477:I2976,3,0)</f>
        <v>#N/A</v>
      </c>
      <c r="I2485" s="6" t="e">
        <f>VLOOKUP(F2485,'Customer Info'!A2477:I2976,5,0)</f>
        <v>#N/A</v>
      </c>
      <c r="J2485" s="2">
        <v>2960</v>
      </c>
      <c r="K2485" s="2">
        <v>2635</v>
      </c>
      <c r="L2485" s="2">
        <v>4</v>
      </c>
      <c r="M2485" s="7">
        <f t="shared" si="152"/>
        <v>10540</v>
      </c>
      <c r="N2485" s="7">
        <f t="shared" si="153"/>
        <v>11840</v>
      </c>
      <c r="O2485" s="2">
        <v>37</v>
      </c>
      <c r="P2485" s="8">
        <f t="shared" si="154"/>
        <v>11877</v>
      </c>
      <c r="Q2485" s="8">
        <f t="shared" si="155"/>
        <v>11803</v>
      </c>
      <c r="R2485" s="2" t="s">
        <v>50</v>
      </c>
      <c r="S2485" s="9">
        <f>VLOOKUP(P2485,$T$2:U2482,2,1)</f>
        <v>0.05</v>
      </c>
    </row>
    <row r="2486" spans="1:19" x14ac:dyDescent="0.25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e">
        <f>VLOOKUP(F2486,'Customer Info'!A2478:I2977,2,0)</f>
        <v>#N/A</v>
      </c>
      <c r="H2486" s="6" t="e">
        <f>VLOOKUP(F2486,'Customer Info'!A2478:I2977,3,0)</f>
        <v>#N/A</v>
      </c>
      <c r="I2486" s="6" t="e">
        <f>VLOOKUP(F2486,'Customer Info'!A2478:I2977,5,0)</f>
        <v>#N/A</v>
      </c>
      <c r="J2486" s="2">
        <v>1413</v>
      </c>
      <c r="K2486" s="2">
        <v>1334</v>
      </c>
      <c r="L2486" s="2">
        <v>6</v>
      </c>
      <c r="M2486" s="7">
        <f t="shared" si="152"/>
        <v>8004</v>
      </c>
      <c r="N2486" s="7">
        <f t="shared" si="153"/>
        <v>8478</v>
      </c>
      <c r="O2486" s="2">
        <v>21</v>
      </c>
      <c r="P2486" s="8">
        <f t="shared" si="154"/>
        <v>8499</v>
      </c>
      <c r="Q2486" s="8">
        <f t="shared" si="155"/>
        <v>8457</v>
      </c>
      <c r="R2486" s="2" t="s">
        <v>28</v>
      </c>
      <c r="S2486" s="9">
        <f>VLOOKUP(P2486,$T$2:U2483,2,1)</f>
        <v>0.05</v>
      </c>
    </row>
    <row r="2487" spans="1:19" x14ac:dyDescent="0.25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e">
        <f>VLOOKUP(F2487,'Customer Info'!A2479:I2978,2,0)</f>
        <v>#N/A</v>
      </c>
      <c r="H2487" s="6" t="e">
        <f>VLOOKUP(F2487,'Customer Info'!A2479:I2978,3,0)</f>
        <v>#N/A</v>
      </c>
      <c r="I2487" s="6" t="e">
        <f>VLOOKUP(F2487,'Customer Info'!A2479:I2978,5,0)</f>
        <v>#N/A</v>
      </c>
      <c r="J2487" s="2">
        <v>825</v>
      </c>
      <c r="K2487" s="2">
        <v>793</v>
      </c>
      <c r="L2487" s="2">
        <v>2</v>
      </c>
      <c r="M2487" s="7">
        <f t="shared" si="152"/>
        <v>1586</v>
      </c>
      <c r="N2487" s="7">
        <f t="shared" si="153"/>
        <v>1650</v>
      </c>
      <c r="O2487" s="2">
        <v>87</v>
      </c>
      <c r="P2487" s="8">
        <f t="shared" si="154"/>
        <v>1737</v>
      </c>
      <c r="Q2487" s="8">
        <f t="shared" si="155"/>
        <v>1563</v>
      </c>
      <c r="R2487" s="2" t="s">
        <v>28</v>
      </c>
      <c r="S2487" s="9">
        <f>VLOOKUP(P2487,$T$2:U2484,2,1)</f>
        <v>0.02</v>
      </c>
    </row>
    <row r="2488" spans="1:19" x14ac:dyDescent="0.25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e">
        <f>VLOOKUP(F2488,'Customer Info'!A2480:I2979,2,0)</f>
        <v>#N/A</v>
      </c>
      <c r="H2488" s="6" t="e">
        <f>VLOOKUP(F2488,'Customer Info'!A2480:I2979,3,0)</f>
        <v>#N/A</v>
      </c>
      <c r="I2488" s="6" t="e">
        <f>VLOOKUP(F2488,'Customer Info'!A2480:I2979,5,0)</f>
        <v>#N/A</v>
      </c>
      <c r="J2488" s="2">
        <v>7474</v>
      </c>
      <c r="K2488" s="2">
        <v>6858</v>
      </c>
      <c r="L2488" s="2">
        <v>1</v>
      </c>
      <c r="M2488" s="7">
        <f t="shared" si="152"/>
        <v>6858</v>
      </c>
      <c r="N2488" s="7">
        <f t="shared" si="153"/>
        <v>7474</v>
      </c>
      <c r="O2488" s="2">
        <v>79</v>
      </c>
      <c r="P2488" s="8">
        <f t="shared" si="154"/>
        <v>7553</v>
      </c>
      <c r="Q2488" s="8">
        <f t="shared" si="155"/>
        <v>7395</v>
      </c>
      <c r="R2488" s="2" t="s">
        <v>56</v>
      </c>
      <c r="S2488" s="9">
        <f>VLOOKUP(P2488,$T$2:U2485,2,1)</f>
        <v>0.05</v>
      </c>
    </row>
    <row r="2489" spans="1:19" x14ac:dyDescent="0.25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e">
        <f>VLOOKUP(F2489,'Customer Info'!A2481:I2980,2,0)</f>
        <v>#N/A</v>
      </c>
      <c r="H2489" s="6" t="e">
        <f>VLOOKUP(F2489,'Customer Info'!A2481:I2980,3,0)</f>
        <v>#N/A</v>
      </c>
      <c r="I2489" s="6" t="e">
        <f>VLOOKUP(F2489,'Customer Info'!A2481:I2980,5,0)</f>
        <v>#N/A</v>
      </c>
      <c r="J2489" s="2">
        <v>5848</v>
      </c>
      <c r="K2489" s="2">
        <v>5214</v>
      </c>
      <c r="L2489" s="2">
        <v>6</v>
      </c>
      <c r="M2489" s="7">
        <f t="shared" si="152"/>
        <v>31284</v>
      </c>
      <c r="N2489" s="7">
        <f t="shared" si="153"/>
        <v>35088</v>
      </c>
      <c r="O2489" s="2">
        <v>90</v>
      </c>
      <c r="P2489" s="8">
        <f t="shared" si="154"/>
        <v>35178</v>
      </c>
      <c r="Q2489" s="8">
        <f t="shared" si="155"/>
        <v>34998</v>
      </c>
      <c r="R2489" s="2" t="s">
        <v>28</v>
      </c>
      <c r="S2489" s="9">
        <f>VLOOKUP(P2489,$T$2:U2486,2,1)</f>
        <v>7.0000000000000007E-2</v>
      </c>
    </row>
    <row r="2490" spans="1:19" x14ac:dyDescent="0.25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e">
        <f>VLOOKUP(F2490,'Customer Info'!A2482:I2981,2,0)</f>
        <v>#N/A</v>
      </c>
      <c r="H2490" s="6" t="e">
        <f>VLOOKUP(F2490,'Customer Info'!A2482:I2981,3,0)</f>
        <v>#N/A</v>
      </c>
      <c r="I2490" s="6" t="e">
        <f>VLOOKUP(F2490,'Customer Info'!A2482:I2981,5,0)</f>
        <v>#N/A</v>
      </c>
      <c r="J2490" s="2">
        <v>2706</v>
      </c>
      <c r="K2490" s="2">
        <v>2553</v>
      </c>
      <c r="L2490" s="2">
        <v>3</v>
      </c>
      <c r="M2490" s="7">
        <f t="shared" si="152"/>
        <v>7659</v>
      </c>
      <c r="N2490" s="7">
        <f t="shared" si="153"/>
        <v>8118</v>
      </c>
      <c r="O2490" s="2">
        <v>77</v>
      </c>
      <c r="P2490" s="8">
        <f t="shared" si="154"/>
        <v>8195</v>
      </c>
      <c r="Q2490" s="8">
        <f t="shared" si="155"/>
        <v>8041</v>
      </c>
      <c r="R2490" s="2" t="s">
        <v>28</v>
      </c>
      <c r="S2490" s="9">
        <f>VLOOKUP(P2490,$T$2:U2487,2,1)</f>
        <v>0.05</v>
      </c>
    </row>
    <row r="2491" spans="1:19" x14ac:dyDescent="0.25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e">
        <f>VLOOKUP(F2491,'Customer Info'!A2483:I2982,2,0)</f>
        <v>#N/A</v>
      </c>
      <c r="H2491" s="6" t="e">
        <f>VLOOKUP(F2491,'Customer Info'!A2483:I2982,3,0)</f>
        <v>#N/A</v>
      </c>
      <c r="I2491" s="6" t="e">
        <f>VLOOKUP(F2491,'Customer Info'!A2483:I2982,5,0)</f>
        <v>#N/A</v>
      </c>
      <c r="J2491" s="2">
        <v>138</v>
      </c>
      <c r="K2491" s="2">
        <v>128</v>
      </c>
      <c r="L2491" s="2">
        <v>2</v>
      </c>
      <c r="M2491" s="7">
        <f t="shared" si="152"/>
        <v>256</v>
      </c>
      <c r="N2491" s="7">
        <f t="shared" si="153"/>
        <v>276</v>
      </c>
      <c r="O2491" s="2">
        <v>30</v>
      </c>
      <c r="P2491" s="8">
        <f t="shared" si="154"/>
        <v>306</v>
      </c>
      <c r="Q2491" s="8">
        <f t="shared" si="155"/>
        <v>246</v>
      </c>
      <c r="R2491" s="2" t="s">
        <v>28</v>
      </c>
      <c r="S2491" s="9">
        <f>VLOOKUP(P2491,$T$2:U2488,2,1)</f>
        <v>0.02</v>
      </c>
    </row>
    <row r="2492" spans="1:19" x14ac:dyDescent="0.25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e">
        <f>VLOOKUP(F2492,'Customer Info'!A2484:I2983,2,0)</f>
        <v>#N/A</v>
      </c>
      <c r="H2492" s="6" t="e">
        <f>VLOOKUP(F2492,'Customer Info'!A2484:I2983,3,0)</f>
        <v>#N/A</v>
      </c>
      <c r="I2492" s="6" t="e">
        <f>VLOOKUP(F2492,'Customer Info'!A2484:I2983,5,0)</f>
        <v>#N/A</v>
      </c>
      <c r="J2492" s="2">
        <v>9135</v>
      </c>
      <c r="K2492" s="2">
        <v>8143</v>
      </c>
      <c r="L2492" s="2">
        <v>1</v>
      </c>
      <c r="M2492" s="7">
        <f t="shared" si="152"/>
        <v>8143</v>
      </c>
      <c r="N2492" s="7">
        <f t="shared" si="153"/>
        <v>9135</v>
      </c>
      <c r="O2492" s="2">
        <v>73</v>
      </c>
      <c r="P2492" s="8">
        <f t="shared" si="154"/>
        <v>9208</v>
      </c>
      <c r="Q2492" s="8">
        <f t="shared" si="155"/>
        <v>9062</v>
      </c>
      <c r="R2492" s="2" t="s">
        <v>50</v>
      </c>
      <c r="S2492" s="9">
        <f>VLOOKUP(P2492,$T$2:U2489,2,1)</f>
        <v>0.05</v>
      </c>
    </row>
    <row r="2493" spans="1:19" x14ac:dyDescent="0.25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e">
        <f>VLOOKUP(F2493,'Customer Info'!A2485:I2984,2,0)</f>
        <v>#N/A</v>
      </c>
      <c r="H2493" s="6" t="e">
        <f>VLOOKUP(F2493,'Customer Info'!A2485:I2984,3,0)</f>
        <v>#N/A</v>
      </c>
      <c r="I2493" s="6" t="e">
        <f>VLOOKUP(F2493,'Customer Info'!A2485:I2984,5,0)</f>
        <v>#N/A</v>
      </c>
      <c r="J2493" s="2">
        <v>973</v>
      </c>
      <c r="K2493" s="2">
        <v>910</v>
      </c>
      <c r="L2493" s="2">
        <v>5</v>
      </c>
      <c r="M2493" s="7">
        <f t="shared" si="152"/>
        <v>4550</v>
      </c>
      <c r="N2493" s="7">
        <f t="shared" si="153"/>
        <v>4865</v>
      </c>
      <c r="O2493" s="2">
        <v>80</v>
      </c>
      <c r="P2493" s="8">
        <f t="shared" si="154"/>
        <v>4945</v>
      </c>
      <c r="Q2493" s="8">
        <f t="shared" si="155"/>
        <v>4785</v>
      </c>
      <c r="R2493" s="2" t="s">
        <v>50</v>
      </c>
      <c r="S2493" s="9">
        <f>VLOOKUP(P2493,$T$2:U2490,2,1)</f>
        <v>0.02</v>
      </c>
    </row>
    <row r="2494" spans="1:19" x14ac:dyDescent="0.25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e">
        <f>VLOOKUP(F2494,'Customer Info'!A2486:I2985,2,0)</f>
        <v>#N/A</v>
      </c>
      <c r="H2494" s="6" t="e">
        <f>VLOOKUP(F2494,'Customer Info'!A2486:I2985,3,0)</f>
        <v>#N/A</v>
      </c>
      <c r="I2494" s="6" t="e">
        <f>VLOOKUP(F2494,'Customer Info'!A2486:I2985,5,0)</f>
        <v>#N/A</v>
      </c>
      <c r="J2494" s="2">
        <v>954</v>
      </c>
      <c r="K2494" s="2">
        <v>901</v>
      </c>
      <c r="L2494" s="2">
        <v>4</v>
      </c>
      <c r="M2494" s="7">
        <f t="shared" si="152"/>
        <v>3604</v>
      </c>
      <c r="N2494" s="7">
        <f t="shared" si="153"/>
        <v>3816</v>
      </c>
      <c r="O2494" s="2">
        <v>52</v>
      </c>
      <c r="P2494" s="8">
        <f t="shared" si="154"/>
        <v>3868</v>
      </c>
      <c r="Q2494" s="8">
        <f t="shared" si="155"/>
        <v>3764</v>
      </c>
      <c r="R2494" s="2" t="s">
        <v>50</v>
      </c>
      <c r="S2494" s="9">
        <f>VLOOKUP(P2494,$T$2:U2491,2,1)</f>
        <v>0.02</v>
      </c>
    </row>
    <row r="2495" spans="1:19" x14ac:dyDescent="0.25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e">
        <f>VLOOKUP(F2495,'Customer Info'!A2487:I2986,2,0)</f>
        <v>#N/A</v>
      </c>
      <c r="H2495" s="6" t="e">
        <f>VLOOKUP(F2495,'Customer Info'!A2487:I2986,3,0)</f>
        <v>#N/A</v>
      </c>
      <c r="I2495" s="6" t="e">
        <f>VLOOKUP(F2495,'Customer Info'!A2487:I2986,5,0)</f>
        <v>#N/A</v>
      </c>
      <c r="J2495" s="2">
        <v>61</v>
      </c>
      <c r="K2495" s="2">
        <v>56</v>
      </c>
      <c r="L2495" s="2">
        <v>1</v>
      </c>
      <c r="M2495" s="7">
        <f t="shared" si="152"/>
        <v>56</v>
      </c>
      <c r="N2495" s="7">
        <f t="shared" si="153"/>
        <v>61</v>
      </c>
      <c r="O2495" s="2">
        <v>10</v>
      </c>
      <c r="P2495" s="8">
        <f t="shared" si="154"/>
        <v>71</v>
      </c>
      <c r="Q2495" s="8">
        <f t="shared" si="155"/>
        <v>51</v>
      </c>
      <c r="R2495" s="2" t="s">
        <v>28</v>
      </c>
      <c r="S2495" s="9">
        <f>VLOOKUP(P2495,$T$2:U2492,2,1)</f>
        <v>0.02</v>
      </c>
    </row>
    <row r="2496" spans="1:19" x14ac:dyDescent="0.25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e">
        <f>VLOOKUP(F2496,'Customer Info'!A2488:I2987,2,0)</f>
        <v>#N/A</v>
      </c>
      <c r="H2496" s="6" t="e">
        <f>VLOOKUP(F2496,'Customer Info'!A2488:I2987,3,0)</f>
        <v>#N/A</v>
      </c>
      <c r="I2496" s="6" t="e">
        <f>VLOOKUP(F2496,'Customer Info'!A2488:I2987,5,0)</f>
        <v>#N/A</v>
      </c>
      <c r="J2496" s="2">
        <v>1399</v>
      </c>
      <c r="K2496" s="2">
        <v>1308</v>
      </c>
      <c r="L2496" s="2">
        <v>2</v>
      </c>
      <c r="M2496" s="7">
        <f t="shared" si="152"/>
        <v>2616</v>
      </c>
      <c r="N2496" s="7">
        <f t="shared" si="153"/>
        <v>2798</v>
      </c>
      <c r="O2496" s="2">
        <v>35</v>
      </c>
      <c r="P2496" s="8">
        <f t="shared" si="154"/>
        <v>2833</v>
      </c>
      <c r="Q2496" s="8">
        <f t="shared" si="155"/>
        <v>2763</v>
      </c>
      <c r="R2496" s="2" t="s">
        <v>28</v>
      </c>
      <c r="S2496" s="9">
        <f>VLOOKUP(P2496,$T$2:U2493,2,1)</f>
        <v>0.02</v>
      </c>
    </row>
    <row r="2497" spans="1:19" x14ac:dyDescent="0.25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e">
        <f>VLOOKUP(F2497,'Customer Info'!A2489:I2988,2,0)</f>
        <v>#N/A</v>
      </c>
      <c r="H2497" s="6" t="e">
        <f>VLOOKUP(F2497,'Customer Info'!A2489:I2988,3,0)</f>
        <v>#N/A</v>
      </c>
      <c r="I2497" s="6" t="e">
        <f>VLOOKUP(F2497,'Customer Info'!A2489:I2988,5,0)</f>
        <v>#N/A</v>
      </c>
      <c r="J2497" s="2">
        <v>626</v>
      </c>
      <c r="K2497" s="2">
        <v>559</v>
      </c>
      <c r="L2497" s="2">
        <v>8</v>
      </c>
      <c r="M2497" s="7">
        <f t="shared" si="152"/>
        <v>4472</v>
      </c>
      <c r="N2497" s="7">
        <f t="shared" si="153"/>
        <v>5008</v>
      </c>
      <c r="O2497" s="2">
        <v>90</v>
      </c>
      <c r="P2497" s="8">
        <f t="shared" si="154"/>
        <v>5098</v>
      </c>
      <c r="Q2497" s="8">
        <f t="shared" si="155"/>
        <v>4918</v>
      </c>
      <c r="R2497" s="2" t="s">
        <v>28</v>
      </c>
      <c r="S2497" s="9">
        <f>VLOOKUP(P2497,$T$2:U2494,2,1)</f>
        <v>0.05</v>
      </c>
    </row>
    <row r="2498" spans="1:19" x14ac:dyDescent="0.25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e">
        <f>VLOOKUP(F2498,'Customer Info'!A2490:I2989,2,0)</f>
        <v>#N/A</v>
      </c>
      <c r="H2498" s="6" t="e">
        <f>VLOOKUP(F2498,'Customer Info'!A2490:I2989,3,0)</f>
        <v>#N/A</v>
      </c>
      <c r="I2498" s="6" t="e">
        <f>VLOOKUP(F2498,'Customer Info'!A2490:I2989,5,0)</f>
        <v>#N/A</v>
      </c>
      <c r="J2498" s="2">
        <v>3108</v>
      </c>
      <c r="K2498" s="2">
        <v>2882</v>
      </c>
      <c r="L2498" s="2">
        <v>2</v>
      </c>
      <c r="M2498" s="7">
        <f t="shared" si="152"/>
        <v>5764</v>
      </c>
      <c r="N2498" s="7">
        <f t="shared" si="153"/>
        <v>6216</v>
      </c>
      <c r="O2498" s="2">
        <v>28</v>
      </c>
      <c r="P2498" s="8">
        <f t="shared" si="154"/>
        <v>6244</v>
      </c>
      <c r="Q2498" s="8">
        <f t="shared" si="155"/>
        <v>6188</v>
      </c>
      <c r="R2498" s="2" t="s">
        <v>28</v>
      </c>
      <c r="S2498" s="9">
        <f>VLOOKUP(P2498,$T$2:U2495,2,1)</f>
        <v>0.05</v>
      </c>
    </row>
    <row r="2499" spans="1:19" x14ac:dyDescent="0.25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e">
        <f>VLOOKUP(F2499,'Customer Info'!A2491:I2990,2,0)</f>
        <v>#N/A</v>
      </c>
      <c r="H2499" s="6" t="e">
        <f>VLOOKUP(F2499,'Customer Info'!A2491:I2990,3,0)</f>
        <v>#N/A</v>
      </c>
      <c r="I2499" s="6" t="e">
        <f>VLOOKUP(F2499,'Customer Info'!A2491:I2990,5,0)</f>
        <v>#N/A</v>
      </c>
      <c r="J2499" s="2">
        <v>1772</v>
      </c>
      <c r="K2499" s="2">
        <v>1656</v>
      </c>
      <c r="L2499" s="2">
        <v>5</v>
      </c>
      <c r="M2499" s="7">
        <f t="shared" si="152"/>
        <v>8280</v>
      </c>
      <c r="N2499" s="7">
        <f t="shared" si="153"/>
        <v>8860</v>
      </c>
      <c r="O2499" s="2">
        <v>20</v>
      </c>
      <c r="P2499" s="8">
        <f t="shared" si="154"/>
        <v>8880</v>
      </c>
      <c r="Q2499" s="8">
        <f t="shared" si="155"/>
        <v>8840</v>
      </c>
      <c r="R2499" s="2" t="s">
        <v>28</v>
      </c>
      <c r="S2499" s="9">
        <f>VLOOKUP(P2499,$T$2:U2496,2,1)</f>
        <v>0.05</v>
      </c>
    </row>
    <row r="2500" spans="1:19" x14ac:dyDescent="0.25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e">
        <f>VLOOKUP(F2500,'Customer Info'!A2492:I2991,2,0)</f>
        <v>#N/A</v>
      </c>
      <c r="H2500" s="6" t="e">
        <f>VLOOKUP(F2500,'Customer Info'!A2492:I2991,3,0)</f>
        <v>#N/A</v>
      </c>
      <c r="I2500" s="6" t="e">
        <f>VLOOKUP(F2500,'Customer Info'!A2492:I2991,5,0)</f>
        <v>#N/A</v>
      </c>
      <c r="J2500" s="2">
        <v>3184</v>
      </c>
      <c r="K2500" s="2">
        <v>2947</v>
      </c>
      <c r="L2500" s="2">
        <v>1</v>
      </c>
      <c r="M2500" s="7">
        <f t="shared" si="152"/>
        <v>2947</v>
      </c>
      <c r="N2500" s="7">
        <f t="shared" si="153"/>
        <v>3184</v>
      </c>
      <c r="O2500" s="2">
        <v>90</v>
      </c>
      <c r="P2500" s="8">
        <f t="shared" si="154"/>
        <v>3274</v>
      </c>
      <c r="Q2500" s="8">
        <f t="shared" si="155"/>
        <v>3094</v>
      </c>
      <c r="R2500" s="2" t="s">
        <v>50</v>
      </c>
      <c r="S2500" s="9">
        <f>VLOOKUP(P2500,$T$2:U2497,2,1)</f>
        <v>0.02</v>
      </c>
    </row>
    <row r="2501" spans="1:19" x14ac:dyDescent="0.25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e">
        <f>VLOOKUP(F2501,'Customer Info'!A2493:I2992,2,0)</f>
        <v>#N/A</v>
      </c>
      <c r="H2501" s="6" t="e">
        <f>VLOOKUP(F2501,'Customer Info'!A2493:I2992,3,0)</f>
        <v>#N/A</v>
      </c>
      <c r="I2501" s="6" t="e">
        <f>VLOOKUP(F2501,'Customer Info'!A2493:I2992,5,0)</f>
        <v>#N/A</v>
      </c>
      <c r="J2501" s="2">
        <v>542</v>
      </c>
      <c r="K2501" s="2">
        <v>492</v>
      </c>
      <c r="L2501" s="2">
        <v>4</v>
      </c>
      <c r="M2501" s="7">
        <f t="shared" si="152"/>
        <v>1968</v>
      </c>
      <c r="N2501" s="7">
        <f t="shared" si="153"/>
        <v>2168</v>
      </c>
      <c r="O2501" s="2">
        <v>72</v>
      </c>
      <c r="P2501" s="8">
        <f t="shared" si="154"/>
        <v>2240</v>
      </c>
      <c r="Q2501" s="8">
        <f t="shared" si="155"/>
        <v>2096</v>
      </c>
      <c r="R2501" s="2" t="s">
        <v>50</v>
      </c>
      <c r="S2501" s="9">
        <f>VLOOKUP(P2501,$T$2:U2498,2,1)</f>
        <v>0.02</v>
      </c>
    </row>
    <row r="2502" spans="1:19" x14ac:dyDescent="0.25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e">
        <f>VLOOKUP(F2502,'Customer Info'!A2494:I2993,2,0)</f>
        <v>#N/A</v>
      </c>
      <c r="H2502" s="6" t="e">
        <f>VLOOKUP(F2502,'Customer Info'!A2494:I2993,3,0)</f>
        <v>#N/A</v>
      </c>
      <c r="I2502" s="6" t="e">
        <f>VLOOKUP(F2502,'Customer Info'!A2494:I2993,5,0)</f>
        <v>#N/A</v>
      </c>
      <c r="J2502" s="2">
        <v>1637</v>
      </c>
      <c r="K2502" s="2">
        <v>1591</v>
      </c>
      <c r="L2502" s="2">
        <v>1</v>
      </c>
      <c r="M2502" s="7">
        <f t="shared" si="152"/>
        <v>1591</v>
      </c>
      <c r="N2502" s="7">
        <f t="shared" si="153"/>
        <v>1637</v>
      </c>
      <c r="O2502" s="2">
        <v>99</v>
      </c>
      <c r="P2502" s="8">
        <f t="shared" si="154"/>
        <v>1736</v>
      </c>
      <c r="Q2502" s="8">
        <f t="shared" si="155"/>
        <v>1538</v>
      </c>
      <c r="R2502" s="2" t="s">
        <v>50</v>
      </c>
      <c r="S2502" s="9">
        <f>VLOOKUP(P2502,$T$2:U2499,2,1)</f>
        <v>0.02</v>
      </c>
    </row>
    <row r="2503" spans="1:19" x14ac:dyDescent="0.25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e">
        <f>VLOOKUP(F2503,'Customer Info'!A2495:I2994,2,0)</f>
        <v>#N/A</v>
      </c>
      <c r="H2503" s="6" t="e">
        <f>VLOOKUP(F2503,'Customer Info'!A2495:I2994,3,0)</f>
        <v>#N/A</v>
      </c>
      <c r="I2503" s="6" t="e">
        <f>VLOOKUP(F2503,'Customer Info'!A2495:I2994,5,0)</f>
        <v>#N/A</v>
      </c>
      <c r="J2503" s="2">
        <v>166</v>
      </c>
      <c r="K2503" s="2">
        <v>157</v>
      </c>
      <c r="L2503" s="2">
        <v>2</v>
      </c>
      <c r="M2503" s="7">
        <f t="shared" si="152"/>
        <v>314</v>
      </c>
      <c r="N2503" s="7">
        <f t="shared" si="153"/>
        <v>332</v>
      </c>
      <c r="O2503" s="2">
        <v>30</v>
      </c>
      <c r="P2503" s="8">
        <f t="shared" si="154"/>
        <v>362</v>
      </c>
      <c r="Q2503" s="8">
        <f t="shared" si="155"/>
        <v>302</v>
      </c>
      <c r="R2503" s="2" t="s">
        <v>28</v>
      </c>
      <c r="S2503" s="9">
        <f>VLOOKUP(P2503,$T$2:U2500,2,1)</f>
        <v>0.02</v>
      </c>
    </row>
    <row r="2504" spans="1:19" x14ac:dyDescent="0.25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e">
        <f>VLOOKUP(F2504,'Customer Info'!A2496:I2995,2,0)</f>
        <v>#N/A</v>
      </c>
      <c r="H2504" s="6" t="e">
        <f>VLOOKUP(F2504,'Customer Info'!A2496:I2995,3,0)</f>
        <v>#N/A</v>
      </c>
      <c r="I2504" s="6" t="e">
        <f>VLOOKUP(F2504,'Customer Info'!A2496:I2995,5,0)</f>
        <v>#N/A</v>
      </c>
      <c r="J2504" s="2">
        <v>2222</v>
      </c>
      <c r="K2504" s="2">
        <v>2081</v>
      </c>
      <c r="L2504" s="2">
        <v>2</v>
      </c>
      <c r="M2504" s="7">
        <f t="shared" si="152"/>
        <v>4162</v>
      </c>
      <c r="N2504" s="7">
        <f t="shared" si="153"/>
        <v>4444</v>
      </c>
      <c r="O2504" s="2">
        <v>75</v>
      </c>
      <c r="P2504" s="8">
        <f t="shared" si="154"/>
        <v>4519</v>
      </c>
      <c r="Q2504" s="8">
        <f t="shared" si="155"/>
        <v>4369</v>
      </c>
      <c r="R2504" s="2" t="s">
        <v>50</v>
      </c>
      <c r="S2504" s="9">
        <f>VLOOKUP(P2504,$T$2:U2501,2,1)</f>
        <v>0.02</v>
      </c>
    </row>
    <row r="2505" spans="1:19" x14ac:dyDescent="0.25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e">
        <f>VLOOKUP(F2505,'Customer Info'!A2497:I2996,2,0)</f>
        <v>#N/A</v>
      </c>
      <c r="H2505" s="6" t="e">
        <f>VLOOKUP(F2505,'Customer Info'!A2497:I2996,3,0)</f>
        <v>#N/A</v>
      </c>
      <c r="I2505" s="6" t="e">
        <f>VLOOKUP(F2505,'Customer Info'!A2497:I2996,5,0)</f>
        <v>#N/A</v>
      </c>
      <c r="J2505" s="2">
        <v>7065</v>
      </c>
      <c r="K2505" s="2">
        <v>6545</v>
      </c>
      <c r="L2505" s="2">
        <v>2</v>
      </c>
      <c r="M2505" s="7">
        <f t="shared" si="152"/>
        <v>13090</v>
      </c>
      <c r="N2505" s="7">
        <f t="shared" si="153"/>
        <v>14130</v>
      </c>
      <c r="O2505" s="2">
        <v>37</v>
      </c>
      <c r="P2505" s="8">
        <f t="shared" si="154"/>
        <v>14167</v>
      </c>
      <c r="Q2505" s="8">
        <f t="shared" si="155"/>
        <v>14093</v>
      </c>
      <c r="R2505" s="2" t="s">
        <v>28</v>
      </c>
      <c r="S2505" s="9">
        <f>VLOOKUP(P2505,$T$2:U2502,2,1)</f>
        <v>0.05</v>
      </c>
    </row>
    <row r="2506" spans="1:19" x14ac:dyDescent="0.25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e">
        <f>VLOOKUP(F2506,'Customer Info'!A2498:I2997,2,0)</f>
        <v>#N/A</v>
      </c>
      <c r="H2506" s="6" t="e">
        <f>VLOOKUP(F2506,'Customer Info'!A2498:I2997,3,0)</f>
        <v>#N/A</v>
      </c>
      <c r="I2506" s="6" t="e">
        <f>VLOOKUP(F2506,'Customer Info'!A2498:I2997,5,0)</f>
        <v>#N/A</v>
      </c>
      <c r="J2506" s="2">
        <v>1911</v>
      </c>
      <c r="K2506" s="2">
        <v>1785</v>
      </c>
      <c r="L2506" s="2">
        <v>1</v>
      </c>
      <c r="M2506" s="7">
        <f t="shared" si="152"/>
        <v>1785</v>
      </c>
      <c r="N2506" s="7">
        <f t="shared" si="153"/>
        <v>1911</v>
      </c>
      <c r="O2506" s="2">
        <v>97</v>
      </c>
      <c r="P2506" s="8">
        <f t="shared" si="154"/>
        <v>2008</v>
      </c>
      <c r="Q2506" s="8">
        <f t="shared" si="155"/>
        <v>1814</v>
      </c>
      <c r="R2506" s="2" t="s">
        <v>28</v>
      </c>
      <c r="S2506" s="9">
        <f>VLOOKUP(P2506,$T$2:U2503,2,1)</f>
        <v>0.02</v>
      </c>
    </row>
    <row r="2507" spans="1:19" x14ac:dyDescent="0.25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e">
        <f>VLOOKUP(F2507,'Customer Info'!A2499:I2998,2,0)</f>
        <v>#N/A</v>
      </c>
      <c r="H2507" s="6" t="e">
        <f>VLOOKUP(F2507,'Customer Info'!A2499:I2998,3,0)</f>
        <v>#N/A</v>
      </c>
      <c r="I2507" s="6" t="e">
        <f>VLOOKUP(F2507,'Customer Info'!A2499:I2998,5,0)</f>
        <v>#N/A</v>
      </c>
      <c r="J2507" s="2">
        <v>1512</v>
      </c>
      <c r="K2507" s="2">
        <v>1497</v>
      </c>
      <c r="L2507" s="2">
        <v>3</v>
      </c>
      <c r="M2507" s="7">
        <f t="shared" ref="M2507:M2570" si="156">K2507*L2507</f>
        <v>4491</v>
      </c>
      <c r="N2507" s="7">
        <f t="shared" ref="N2507:N2570" si="157">J2507*L2507</f>
        <v>4536</v>
      </c>
      <c r="O2507" s="2">
        <v>82</v>
      </c>
      <c r="P2507" s="8">
        <f t="shared" ref="P2507:P2570" si="158">SUM(N2507,O2507)</f>
        <v>4618</v>
      </c>
      <c r="Q2507" s="8">
        <f t="shared" ref="Q2507:Q2570" si="159">N2507-O2507</f>
        <v>4454</v>
      </c>
      <c r="R2507" s="2" t="s">
        <v>28</v>
      </c>
      <c r="S2507" s="9">
        <f>VLOOKUP(P2507,$T$2:U2504,2,1)</f>
        <v>0.02</v>
      </c>
    </row>
    <row r="2508" spans="1:19" x14ac:dyDescent="0.25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e">
        <f>VLOOKUP(F2508,'Customer Info'!A2500:I2999,2,0)</f>
        <v>#N/A</v>
      </c>
      <c r="H2508" s="6" t="e">
        <f>VLOOKUP(F2508,'Customer Info'!A2500:I2999,3,0)</f>
        <v>#N/A</v>
      </c>
      <c r="I2508" s="6" t="e">
        <f>VLOOKUP(F2508,'Customer Info'!A2500:I2999,5,0)</f>
        <v>#N/A</v>
      </c>
      <c r="J2508" s="2">
        <v>7508</v>
      </c>
      <c r="K2508" s="2">
        <v>6956</v>
      </c>
      <c r="L2508" s="2">
        <v>5</v>
      </c>
      <c r="M2508" s="7">
        <f t="shared" si="156"/>
        <v>34780</v>
      </c>
      <c r="N2508" s="7">
        <f t="shared" si="157"/>
        <v>37540</v>
      </c>
      <c r="O2508" s="2">
        <v>90</v>
      </c>
      <c r="P2508" s="8">
        <f t="shared" si="158"/>
        <v>37630</v>
      </c>
      <c r="Q2508" s="8">
        <f t="shared" si="159"/>
        <v>37450</v>
      </c>
      <c r="R2508" s="2" t="s">
        <v>28</v>
      </c>
      <c r="S2508" s="9">
        <f>VLOOKUP(P2508,$T$2:U2505,2,1)</f>
        <v>7.0000000000000007E-2</v>
      </c>
    </row>
    <row r="2509" spans="1:19" x14ac:dyDescent="0.25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e">
        <f>VLOOKUP(F2509,'Customer Info'!A2501:I3000,2,0)</f>
        <v>#N/A</v>
      </c>
      <c r="H2509" s="6" t="e">
        <f>VLOOKUP(F2509,'Customer Info'!A2501:I3000,3,0)</f>
        <v>#N/A</v>
      </c>
      <c r="I2509" s="6" t="e">
        <f>VLOOKUP(F2509,'Customer Info'!A2501:I3000,5,0)</f>
        <v>#N/A</v>
      </c>
      <c r="J2509" s="2">
        <v>7534</v>
      </c>
      <c r="K2509" s="2">
        <v>7106</v>
      </c>
      <c r="L2509" s="2">
        <v>2</v>
      </c>
      <c r="M2509" s="7">
        <f t="shared" si="156"/>
        <v>14212</v>
      </c>
      <c r="N2509" s="7">
        <f t="shared" si="157"/>
        <v>15068</v>
      </c>
      <c r="O2509" s="2">
        <v>47</v>
      </c>
      <c r="P2509" s="8">
        <f t="shared" si="158"/>
        <v>15115</v>
      </c>
      <c r="Q2509" s="8">
        <f t="shared" si="159"/>
        <v>15021</v>
      </c>
      <c r="R2509" s="2" t="s">
        <v>28</v>
      </c>
      <c r="S2509" s="9">
        <f>VLOOKUP(P2509,$T$2:U2506,2,1)</f>
        <v>0.05</v>
      </c>
    </row>
    <row r="2510" spans="1:19" x14ac:dyDescent="0.25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e">
        <f>VLOOKUP(F2510,'Customer Info'!A2502:I3001,2,0)</f>
        <v>#N/A</v>
      </c>
      <c r="H2510" s="6" t="e">
        <f>VLOOKUP(F2510,'Customer Info'!A2502:I3001,3,0)</f>
        <v>#N/A</v>
      </c>
      <c r="I2510" s="6" t="e">
        <f>VLOOKUP(F2510,'Customer Info'!A2502:I3001,5,0)</f>
        <v>#N/A</v>
      </c>
      <c r="J2510" s="2">
        <v>3341</v>
      </c>
      <c r="K2510" s="2">
        <v>3152</v>
      </c>
      <c r="L2510" s="2">
        <v>2</v>
      </c>
      <c r="M2510" s="7">
        <f t="shared" si="156"/>
        <v>6304</v>
      </c>
      <c r="N2510" s="7">
        <f t="shared" si="157"/>
        <v>6682</v>
      </c>
      <c r="O2510" s="2">
        <v>61</v>
      </c>
      <c r="P2510" s="8">
        <f t="shared" si="158"/>
        <v>6743</v>
      </c>
      <c r="Q2510" s="8">
        <f t="shared" si="159"/>
        <v>6621</v>
      </c>
      <c r="R2510" s="2" t="s">
        <v>26</v>
      </c>
      <c r="S2510" s="9">
        <f>VLOOKUP(P2510,$T$2:U2507,2,1)</f>
        <v>0.05</v>
      </c>
    </row>
    <row r="2511" spans="1:19" x14ac:dyDescent="0.25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e">
        <f>VLOOKUP(F2511,'Customer Info'!A2503:I3002,2,0)</f>
        <v>#N/A</v>
      </c>
      <c r="H2511" s="6" t="e">
        <f>VLOOKUP(F2511,'Customer Info'!A2503:I3002,3,0)</f>
        <v>#N/A</v>
      </c>
      <c r="I2511" s="6" t="e">
        <f>VLOOKUP(F2511,'Customer Info'!A2503:I3002,5,0)</f>
        <v>#N/A</v>
      </c>
      <c r="J2511" s="2">
        <v>1283</v>
      </c>
      <c r="K2511" s="2">
        <v>1187</v>
      </c>
      <c r="L2511" s="2">
        <v>2</v>
      </c>
      <c r="M2511" s="7">
        <f t="shared" si="156"/>
        <v>2374</v>
      </c>
      <c r="N2511" s="7">
        <f t="shared" si="157"/>
        <v>2566</v>
      </c>
      <c r="O2511" s="2">
        <v>63</v>
      </c>
      <c r="P2511" s="8">
        <f t="shared" si="158"/>
        <v>2629</v>
      </c>
      <c r="Q2511" s="8">
        <f t="shared" si="159"/>
        <v>2503</v>
      </c>
      <c r="R2511" s="2" t="s">
        <v>50</v>
      </c>
      <c r="S2511" s="9">
        <f>VLOOKUP(P2511,$T$2:U2508,2,1)</f>
        <v>0.02</v>
      </c>
    </row>
    <row r="2512" spans="1:19" x14ac:dyDescent="0.25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e">
        <f>VLOOKUP(F2512,'Customer Info'!A2504:I3003,2,0)</f>
        <v>#N/A</v>
      </c>
      <c r="H2512" s="6" t="e">
        <f>VLOOKUP(F2512,'Customer Info'!A2504:I3003,3,0)</f>
        <v>#N/A</v>
      </c>
      <c r="I2512" s="6" t="e">
        <f>VLOOKUP(F2512,'Customer Info'!A2504:I3003,5,0)</f>
        <v>#N/A</v>
      </c>
      <c r="J2512" s="2">
        <v>9214</v>
      </c>
      <c r="K2512" s="2">
        <v>8295</v>
      </c>
      <c r="L2512" s="2">
        <v>2</v>
      </c>
      <c r="M2512" s="7">
        <f t="shared" si="156"/>
        <v>16590</v>
      </c>
      <c r="N2512" s="7">
        <f t="shared" si="157"/>
        <v>18428</v>
      </c>
      <c r="O2512" s="2">
        <v>57</v>
      </c>
      <c r="P2512" s="8">
        <f t="shared" si="158"/>
        <v>18485</v>
      </c>
      <c r="Q2512" s="8">
        <f t="shared" si="159"/>
        <v>18371</v>
      </c>
      <c r="R2512" s="2" t="s">
        <v>28</v>
      </c>
      <c r="S2512" s="9">
        <f>VLOOKUP(P2512,$T$2:U2509,2,1)</f>
        <v>0.05</v>
      </c>
    </row>
    <row r="2513" spans="1:19" x14ac:dyDescent="0.25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e">
        <f>VLOOKUP(F2513,'Customer Info'!A2505:I3004,2,0)</f>
        <v>#N/A</v>
      </c>
      <c r="H2513" s="6" t="e">
        <f>VLOOKUP(F2513,'Customer Info'!A2505:I3004,3,0)</f>
        <v>#N/A</v>
      </c>
      <c r="I2513" s="6" t="e">
        <f>VLOOKUP(F2513,'Customer Info'!A2505:I3004,5,0)</f>
        <v>#N/A</v>
      </c>
      <c r="J2513" s="2">
        <v>773</v>
      </c>
      <c r="K2513" s="2">
        <v>708</v>
      </c>
      <c r="L2513" s="2">
        <v>3</v>
      </c>
      <c r="M2513" s="7">
        <f t="shared" si="156"/>
        <v>2124</v>
      </c>
      <c r="N2513" s="7">
        <f t="shared" si="157"/>
        <v>2319</v>
      </c>
      <c r="O2513" s="2">
        <v>57</v>
      </c>
      <c r="P2513" s="8">
        <f t="shared" si="158"/>
        <v>2376</v>
      </c>
      <c r="Q2513" s="8">
        <f t="shared" si="159"/>
        <v>2262</v>
      </c>
      <c r="R2513" s="2" t="s">
        <v>28</v>
      </c>
      <c r="S2513" s="9">
        <f>VLOOKUP(P2513,$T$2:U2510,2,1)</f>
        <v>0.02</v>
      </c>
    </row>
    <row r="2514" spans="1:19" x14ac:dyDescent="0.25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e">
        <f>VLOOKUP(F2514,'Customer Info'!A2506:I3005,2,0)</f>
        <v>#N/A</v>
      </c>
      <c r="H2514" s="6" t="e">
        <f>VLOOKUP(F2514,'Customer Info'!A2506:I3005,3,0)</f>
        <v>#N/A</v>
      </c>
      <c r="I2514" s="6" t="e">
        <f>VLOOKUP(F2514,'Customer Info'!A2506:I3005,5,0)</f>
        <v>#N/A</v>
      </c>
      <c r="J2514" s="2">
        <v>932</v>
      </c>
      <c r="K2514" s="2">
        <v>838</v>
      </c>
      <c r="L2514" s="2">
        <v>7</v>
      </c>
      <c r="M2514" s="7">
        <f t="shared" si="156"/>
        <v>5866</v>
      </c>
      <c r="N2514" s="7">
        <f t="shared" si="157"/>
        <v>6524</v>
      </c>
      <c r="O2514" s="2">
        <v>94</v>
      </c>
      <c r="P2514" s="8">
        <f t="shared" si="158"/>
        <v>6618</v>
      </c>
      <c r="Q2514" s="8">
        <f t="shared" si="159"/>
        <v>6430</v>
      </c>
      <c r="R2514" s="2" t="s">
        <v>28</v>
      </c>
      <c r="S2514" s="9">
        <f>VLOOKUP(P2514,$T$2:U2511,2,1)</f>
        <v>0.05</v>
      </c>
    </row>
    <row r="2515" spans="1:19" x14ac:dyDescent="0.25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e">
        <f>VLOOKUP(F2515,'Customer Info'!A2507:I3006,2,0)</f>
        <v>#N/A</v>
      </c>
      <c r="H2515" s="6" t="e">
        <f>VLOOKUP(F2515,'Customer Info'!A2507:I3006,3,0)</f>
        <v>#N/A</v>
      </c>
      <c r="I2515" s="6" t="e">
        <f>VLOOKUP(F2515,'Customer Info'!A2507:I3006,5,0)</f>
        <v>#N/A</v>
      </c>
      <c r="J2515" s="2">
        <v>6027</v>
      </c>
      <c r="K2515" s="2">
        <v>5694</v>
      </c>
      <c r="L2515" s="2">
        <v>5</v>
      </c>
      <c r="M2515" s="7">
        <f t="shared" si="156"/>
        <v>28470</v>
      </c>
      <c r="N2515" s="7">
        <f t="shared" si="157"/>
        <v>30135</v>
      </c>
      <c r="O2515" s="2">
        <v>36</v>
      </c>
      <c r="P2515" s="8">
        <f t="shared" si="158"/>
        <v>30171</v>
      </c>
      <c r="Q2515" s="8">
        <f t="shared" si="159"/>
        <v>30099</v>
      </c>
      <c r="R2515" s="2" t="s">
        <v>28</v>
      </c>
      <c r="S2515" s="9">
        <f>VLOOKUP(P2515,$T$2:U2512,2,1)</f>
        <v>7.0000000000000007E-2</v>
      </c>
    </row>
    <row r="2516" spans="1:19" x14ac:dyDescent="0.25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e">
        <f>VLOOKUP(F2516,'Customer Info'!A2508:I3007,2,0)</f>
        <v>#N/A</v>
      </c>
      <c r="H2516" s="6" t="e">
        <f>VLOOKUP(F2516,'Customer Info'!A2508:I3007,3,0)</f>
        <v>#N/A</v>
      </c>
      <c r="I2516" s="6" t="e">
        <f>VLOOKUP(F2516,'Customer Info'!A2508:I3007,5,0)</f>
        <v>#N/A</v>
      </c>
      <c r="J2516" s="2">
        <v>1169</v>
      </c>
      <c r="K2516" s="2">
        <v>1103</v>
      </c>
      <c r="L2516" s="2">
        <v>5</v>
      </c>
      <c r="M2516" s="7">
        <f t="shared" si="156"/>
        <v>5515</v>
      </c>
      <c r="N2516" s="7">
        <f t="shared" si="157"/>
        <v>5845</v>
      </c>
      <c r="O2516" s="2">
        <v>25</v>
      </c>
      <c r="P2516" s="8">
        <f t="shared" si="158"/>
        <v>5870</v>
      </c>
      <c r="Q2516" s="8">
        <f t="shared" si="159"/>
        <v>5820</v>
      </c>
      <c r="R2516" s="2" t="s">
        <v>50</v>
      </c>
      <c r="S2516" s="9">
        <f>VLOOKUP(P2516,$T$2:U2513,2,1)</f>
        <v>0.05</v>
      </c>
    </row>
    <row r="2517" spans="1:19" x14ac:dyDescent="0.25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e">
        <f>VLOOKUP(F2517,'Customer Info'!A2509:I3008,2,0)</f>
        <v>#N/A</v>
      </c>
      <c r="H2517" s="6" t="e">
        <f>VLOOKUP(F2517,'Customer Info'!A2509:I3008,3,0)</f>
        <v>#N/A</v>
      </c>
      <c r="I2517" s="6" t="e">
        <f>VLOOKUP(F2517,'Customer Info'!A2509:I3008,5,0)</f>
        <v>#N/A</v>
      </c>
      <c r="J2517" s="2">
        <v>1512</v>
      </c>
      <c r="K2517" s="2">
        <v>1497</v>
      </c>
      <c r="L2517" s="2">
        <v>2</v>
      </c>
      <c r="M2517" s="7">
        <f t="shared" si="156"/>
        <v>2994</v>
      </c>
      <c r="N2517" s="7">
        <f t="shared" si="157"/>
        <v>3024</v>
      </c>
      <c r="O2517" s="2">
        <v>88</v>
      </c>
      <c r="P2517" s="8">
        <f t="shared" si="158"/>
        <v>3112</v>
      </c>
      <c r="Q2517" s="8">
        <f t="shared" si="159"/>
        <v>2936</v>
      </c>
      <c r="R2517" s="2" t="s">
        <v>28</v>
      </c>
      <c r="S2517" s="9">
        <f>VLOOKUP(P2517,$T$2:U2514,2,1)</f>
        <v>0.02</v>
      </c>
    </row>
    <row r="2518" spans="1:19" x14ac:dyDescent="0.25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e">
        <f>VLOOKUP(F2518,'Customer Info'!A2510:I3009,2,0)</f>
        <v>#N/A</v>
      </c>
      <c r="H2518" s="6" t="e">
        <f>VLOOKUP(F2518,'Customer Info'!A2510:I3009,3,0)</f>
        <v>#N/A</v>
      </c>
      <c r="I2518" s="6" t="e">
        <f>VLOOKUP(F2518,'Customer Info'!A2510:I3009,5,0)</f>
        <v>#N/A</v>
      </c>
      <c r="J2518" s="2">
        <v>173</v>
      </c>
      <c r="K2518" s="2">
        <v>155</v>
      </c>
      <c r="L2518" s="2">
        <v>1</v>
      </c>
      <c r="M2518" s="7">
        <f t="shared" si="156"/>
        <v>155</v>
      </c>
      <c r="N2518" s="7">
        <f t="shared" si="157"/>
        <v>173</v>
      </c>
      <c r="O2518" s="2">
        <v>30</v>
      </c>
      <c r="P2518" s="8">
        <f t="shared" si="158"/>
        <v>203</v>
      </c>
      <c r="Q2518" s="8">
        <f t="shared" si="159"/>
        <v>143</v>
      </c>
      <c r="R2518" s="2" t="s">
        <v>28</v>
      </c>
      <c r="S2518" s="9">
        <f>VLOOKUP(P2518,$T$2:U2515,2,1)</f>
        <v>0.02</v>
      </c>
    </row>
    <row r="2519" spans="1:19" x14ac:dyDescent="0.25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e">
        <f>VLOOKUP(F2519,'Customer Info'!A2511:I3010,2,0)</f>
        <v>#N/A</v>
      </c>
      <c r="H2519" s="6" t="e">
        <f>VLOOKUP(F2519,'Customer Info'!A2511:I3010,3,0)</f>
        <v>#N/A</v>
      </c>
      <c r="I2519" s="6" t="e">
        <f>VLOOKUP(F2519,'Customer Info'!A2511:I3010,5,0)</f>
        <v>#N/A</v>
      </c>
      <c r="J2519" s="2">
        <v>456</v>
      </c>
      <c r="K2519" s="2">
        <v>430</v>
      </c>
      <c r="L2519" s="2">
        <v>2</v>
      </c>
      <c r="M2519" s="7">
        <f t="shared" si="156"/>
        <v>860</v>
      </c>
      <c r="N2519" s="7">
        <f t="shared" si="157"/>
        <v>912</v>
      </c>
      <c r="O2519" s="2">
        <v>55</v>
      </c>
      <c r="P2519" s="8">
        <f t="shared" si="158"/>
        <v>967</v>
      </c>
      <c r="Q2519" s="8">
        <f t="shared" si="159"/>
        <v>857</v>
      </c>
      <c r="R2519" s="2" t="s">
        <v>26</v>
      </c>
      <c r="S2519" s="9">
        <f>VLOOKUP(P2519,$T$2:U2516,2,1)</f>
        <v>0.02</v>
      </c>
    </row>
    <row r="2520" spans="1:19" x14ac:dyDescent="0.25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e">
        <f>VLOOKUP(F2520,'Customer Info'!A2512:I3011,2,0)</f>
        <v>#N/A</v>
      </c>
      <c r="H2520" s="6" t="e">
        <f>VLOOKUP(F2520,'Customer Info'!A2512:I3011,3,0)</f>
        <v>#N/A</v>
      </c>
      <c r="I2520" s="6" t="e">
        <f>VLOOKUP(F2520,'Customer Info'!A2512:I3011,5,0)</f>
        <v>#N/A</v>
      </c>
      <c r="J2520" s="2">
        <v>1413</v>
      </c>
      <c r="K2520" s="2">
        <v>1334</v>
      </c>
      <c r="L2520" s="2">
        <v>3</v>
      </c>
      <c r="M2520" s="7">
        <f t="shared" si="156"/>
        <v>4002</v>
      </c>
      <c r="N2520" s="7">
        <f t="shared" si="157"/>
        <v>4239</v>
      </c>
      <c r="O2520" s="2">
        <v>57</v>
      </c>
      <c r="P2520" s="8">
        <f t="shared" si="158"/>
        <v>4296</v>
      </c>
      <c r="Q2520" s="8">
        <f t="shared" si="159"/>
        <v>4182</v>
      </c>
      <c r="R2520" s="2" t="s">
        <v>28</v>
      </c>
      <c r="S2520" s="9">
        <f>VLOOKUP(P2520,$T$2:U2517,2,1)</f>
        <v>0.02</v>
      </c>
    </row>
    <row r="2521" spans="1:19" x14ac:dyDescent="0.25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e">
        <f>VLOOKUP(F2521,'Customer Info'!A2513:I3012,2,0)</f>
        <v>#N/A</v>
      </c>
      <c r="H2521" s="6" t="e">
        <f>VLOOKUP(F2521,'Customer Info'!A2513:I3012,3,0)</f>
        <v>#N/A</v>
      </c>
      <c r="I2521" s="6" t="e">
        <f>VLOOKUP(F2521,'Customer Info'!A2513:I3012,5,0)</f>
        <v>#N/A</v>
      </c>
      <c r="J2521" s="2">
        <v>185</v>
      </c>
      <c r="K2521" s="2">
        <v>174</v>
      </c>
      <c r="L2521" s="2">
        <v>2</v>
      </c>
      <c r="M2521" s="7">
        <f t="shared" si="156"/>
        <v>348</v>
      </c>
      <c r="N2521" s="7">
        <f t="shared" si="157"/>
        <v>370</v>
      </c>
      <c r="O2521" s="2">
        <v>30</v>
      </c>
      <c r="P2521" s="8">
        <f t="shared" si="158"/>
        <v>400</v>
      </c>
      <c r="Q2521" s="8">
        <f t="shared" si="159"/>
        <v>340</v>
      </c>
      <c r="R2521" s="2" t="s">
        <v>28</v>
      </c>
      <c r="S2521" s="9">
        <f>VLOOKUP(P2521,$T$2:U2518,2,1)</f>
        <v>0.02</v>
      </c>
    </row>
    <row r="2522" spans="1:19" x14ac:dyDescent="0.25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e">
        <f>VLOOKUP(F2522,'Customer Info'!A2514:I3013,2,0)</f>
        <v>#N/A</v>
      </c>
      <c r="H2522" s="6" t="e">
        <f>VLOOKUP(F2522,'Customer Info'!A2514:I3013,3,0)</f>
        <v>#N/A</v>
      </c>
      <c r="I2522" s="6" t="e">
        <f>VLOOKUP(F2522,'Customer Info'!A2514:I3013,5,0)</f>
        <v>#N/A</v>
      </c>
      <c r="J2522" s="2">
        <v>1816</v>
      </c>
      <c r="K2522" s="2">
        <v>1700</v>
      </c>
      <c r="L2522" s="2">
        <v>1</v>
      </c>
      <c r="M2522" s="7">
        <f t="shared" si="156"/>
        <v>1700</v>
      </c>
      <c r="N2522" s="7">
        <f t="shared" si="157"/>
        <v>1816</v>
      </c>
      <c r="O2522" s="2">
        <v>28</v>
      </c>
      <c r="P2522" s="8">
        <f t="shared" si="158"/>
        <v>1844</v>
      </c>
      <c r="Q2522" s="8">
        <f t="shared" si="159"/>
        <v>1788</v>
      </c>
      <c r="R2522" s="2" t="s">
        <v>28</v>
      </c>
      <c r="S2522" s="9">
        <f>VLOOKUP(P2522,$T$2:U2519,2,1)</f>
        <v>0.02</v>
      </c>
    </row>
    <row r="2523" spans="1:19" x14ac:dyDescent="0.25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e">
        <f>VLOOKUP(F2523,'Customer Info'!A2515:I3014,2,0)</f>
        <v>#N/A</v>
      </c>
      <c r="H2523" s="6" t="e">
        <f>VLOOKUP(F2523,'Customer Info'!A2515:I3014,3,0)</f>
        <v>#N/A</v>
      </c>
      <c r="I2523" s="6" t="e">
        <f>VLOOKUP(F2523,'Customer Info'!A2515:I3014,5,0)</f>
        <v>#N/A</v>
      </c>
      <c r="J2523" s="2">
        <v>1637</v>
      </c>
      <c r="K2523" s="2">
        <v>1532</v>
      </c>
      <c r="L2523" s="2">
        <v>1</v>
      </c>
      <c r="M2523" s="7">
        <f t="shared" si="156"/>
        <v>1532</v>
      </c>
      <c r="N2523" s="7">
        <f t="shared" si="157"/>
        <v>1637</v>
      </c>
      <c r="O2523" s="2">
        <v>34</v>
      </c>
      <c r="P2523" s="8">
        <f t="shared" si="158"/>
        <v>1671</v>
      </c>
      <c r="Q2523" s="8">
        <f t="shared" si="159"/>
        <v>1603</v>
      </c>
      <c r="R2523" s="2" t="s">
        <v>28</v>
      </c>
      <c r="S2523" s="9">
        <f>VLOOKUP(P2523,$T$2:U2520,2,1)</f>
        <v>0.02</v>
      </c>
    </row>
    <row r="2524" spans="1:19" x14ac:dyDescent="0.25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e">
        <f>VLOOKUP(F2524,'Customer Info'!A2516:I3015,2,0)</f>
        <v>#N/A</v>
      </c>
      <c r="H2524" s="6" t="e">
        <f>VLOOKUP(F2524,'Customer Info'!A2516:I3015,3,0)</f>
        <v>#N/A</v>
      </c>
      <c r="I2524" s="6" t="e">
        <f>VLOOKUP(F2524,'Customer Info'!A2516:I3015,5,0)</f>
        <v>#N/A</v>
      </c>
      <c r="J2524" s="2">
        <v>167</v>
      </c>
      <c r="K2524" s="2">
        <v>155</v>
      </c>
      <c r="L2524" s="2">
        <v>1</v>
      </c>
      <c r="M2524" s="7">
        <f t="shared" si="156"/>
        <v>155</v>
      </c>
      <c r="N2524" s="7">
        <f t="shared" si="157"/>
        <v>167</v>
      </c>
      <c r="O2524" s="2">
        <v>30</v>
      </c>
      <c r="P2524" s="8">
        <f t="shared" si="158"/>
        <v>197</v>
      </c>
      <c r="Q2524" s="8">
        <f t="shared" si="159"/>
        <v>137</v>
      </c>
      <c r="R2524" s="2" t="s">
        <v>28</v>
      </c>
      <c r="S2524" s="9">
        <f>VLOOKUP(P2524,$T$2:U2521,2,1)</f>
        <v>0.02</v>
      </c>
    </row>
    <row r="2525" spans="1:19" x14ac:dyDescent="0.25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e">
        <f>VLOOKUP(F2525,'Customer Info'!A2517:I3016,2,0)</f>
        <v>#N/A</v>
      </c>
      <c r="H2525" s="6" t="e">
        <f>VLOOKUP(F2525,'Customer Info'!A2517:I3016,3,0)</f>
        <v>#N/A</v>
      </c>
      <c r="I2525" s="6" t="e">
        <f>VLOOKUP(F2525,'Customer Info'!A2517:I3016,5,0)</f>
        <v>#N/A</v>
      </c>
      <c r="J2525" s="2">
        <v>2981</v>
      </c>
      <c r="K2525" s="2">
        <v>2870</v>
      </c>
      <c r="L2525" s="2">
        <v>3</v>
      </c>
      <c r="M2525" s="7">
        <f t="shared" si="156"/>
        <v>8610</v>
      </c>
      <c r="N2525" s="7">
        <f t="shared" si="157"/>
        <v>8943</v>
      </c>
      <c r="O2525" s="2">
        <v>45</v>
      </c>
      <c r="P2525" s="8">
        <f t="shared" si="158"/>
        <v>8988</v>
      </c>
      <c r="Q2525" s="8">
        <f t="shared" si="159"/>
        <v>8898</v>
      </c>
      <c r="R2525" s="2" t="s">
        <v>28</v>
      </c>
      <c r="S2525" s="9">
        <f>VLOOKUP(P2525,$T$2:U2522,2,1)</f>
        <v>0.05</v>
      </c>
    </row>
    <row r="2526" spans="1:19" x14ac:dyDescent="0.25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e">
        <f>VLOOKUP(F2526,'Customer Info'!A2518:I3017,2,0)</f>
        <v>#N/A</v>
      </c>
      <c r="H2526" s="6" t="e">
        <f>VLOOKUP(F2526,'Customer Info'!A2518:I3017,3,0)</f>
        <v>#N/A</v>
      </c>
      <c r="I2526" s="6" t="e">
        <f>VLOOKUP(F2526,'Customer Info'!A2518:I3017,5,0)</f>
        <v>#N/A</v>
      </c>
      <c r="J2526" s="2">
        <v>100</v>
      </c>
      <c r="K2526" s="2">
        <v>95</v>
      </c>
      <c r="L2526" s="2">
        <v>6</v>
      </c>
      <c r="M2526" s="7">
        <f t="shared" si="156"/>
        <v>570</v>
      </c>
      <c r="N2526" s="7">
        <f t="shared" si="157"/>
        <v>600</v>
      </c>
      <c r="O2526" s="2">
        <v>10</v>
      </c>
      <c r="P2526" s="8">
        <f t="shared" si="158"/>
        <v>610</v>
      </c>
      <c r="Q2526" s="8">
        <f t="shared" si="159"/>
        <v>590</v>
      </c>
      <c r="R2526" s="2" t="s">
        <v>28</v>
      </c>
      <c r="S2526" s="9">
        <f>VLOOKUP(P2526,$T$2:U2523,2,1)</f>
        <v>0.02</v>
      </c>
    </row>
    <row r="2527" spans="1:19" x14ac:dyDescent="0.25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e">
        <f>VLOOKUP(F2527,'Customer Info'!A2519:I3018,2,0)</f>
        <v>#N/A</v>
      </c>
      <c r="H2527" s="6" t="e">
        <f>VLOOKUP(F2527,'Customer Info'!A2519:I3018,3,0)</f>
        <v>#N/A</v>
      </c>
      <c r="I2527" s="6" t="e">
        <f>VLOOKUP(F2527,'Customer Info'!A2519:I3018,5,0)</f>
        <v>#N/A</v>
      </c>
      <c r="J2527" s="2">
        <v>7350</v>
      </c>
      <c r="K2527" s="2">
        <v>6743</v>
      </c>
      <c r="L2527" s="2">
        <v>6</v>
      </c>
      <c r="M2527" s="7">
        <f t="shared" si="156"/>
        <v>40458</v>
      </c>
      <c r="N2527" s="7">
        <f t="shared" si="157"/>
        <v>44100</v>
      </c>
      <c r="O2527" s="2">
        <v>23</v>
      </c>
      <c r="P2527" s="8">
        <f t="shared" si="158"/>
        <v>44123</v>
      </c>
      <c r="Q2527" s="8">
        <f t="shared" si="159"/>
        <v>44077</v>
      </c>
      <c r="R2527" s="2" t="s">
        <v>28</v>
      </c>
      <c r="S2527" s="9">
        <f>VLOOKUP(P2527,$T$2:U2524,2,1)</f>
        <v>7.0000000000000007E-2</v>
      </c>
    </row>
    <row r="2528" spans="1:19" x14ac:dyDescent="0.25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e">
        <f>VLOOKUP(F2528,'Customer Info'!A2520:I3019,2,0)</f>
        <v>#N/A</v>
      </c>
      <c r="H2528" s="6" t="e">
        <f>VLOOKUP(F2528,'Customer Info'!A2520:I3019,3,0)</f>
        <v>#N/A</v>
      </c>
      <c r="I2528" s="6" t="e">
        <f>VLOOKUP(F2528,'Customer Info'!A2520:I3019,5,0)</f>
        <v>#N/A</v>
      </c>
      <c r="J2528" s="2">
        <v>7065</v>
      </c>
      <c r="K2528" s="2">
        <v>6545</v>
      </c>
      <c r="L2528" s="2">
        <v>4</v>
      </c>
      <c r="M2528" s="7">
        <f t="shared" si="156"/>
        <v>26180</v>
      </c>
      <c r="N2528" s="7">
        <f t="shared" si="157"/>
        <v>28260</v>
      </c>
      <c r="O2528" s="2">
        <v>39</v>
      </c>
      <c r="P2528" s="8">
        <f t="shared" si="158"/>
        <v>28299</v>
      </c>
      <c r="Q2528" s="8">
        <f t="shared" si="159"/>
        <v>28221</v>
      </c>
      <c r="R2528" s="2" t="s">
        <v>28</v>
      </c>
      <c r="S2528" s="9">
        <f>VLOOKUP(P2528,$T$2:U2525,2,1)</f>
        <v>7.0000000000000007E-2</v>
      </c>
    </row>
    <row r="2529" spans="1:19" x14ac:dyDescent="0.25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e">
        <f>VLOOKUP(F2529,'Customer Info'!A2521:I3020,2,0)</f>
        <v>#N/A</v>
      </c>
      <c r="H2529" s="6" t="e">
        <f>VLOOKUP(F2529,'Customer Info'!A2521:I3020,3,0)</f>
        <v>#N/A</v>
      </c>
      <c r="I2529" s="6" t="e">
        <f>VLOOKUP(F2529,'Customer Info'!A2521:I3020,5,0)</f>
        <v>#N/A</v>
      </c>
      <c r="J2529" s="2">
        <v>8878</v>
      </c>
      <c r="K2529" s="2">
        <v>7914</v>
      </c>
      <c r="L2529" s="2">
        <v>3</v>
      </c>
      <c r="M2529" s="7">
        <f t="shared" si="156"/>
        <v>23742</v>
      </c>
      <c r="N2529" s="7">
        <f t="shared" si="157"/>
        <v>26634</v>
      </c>
      <c r="O2529" s="2">
        <v>75</v>
      </c>
      <c r="P2529" s="8">
        <f t="shared" si="158"/>
        <v>26709</v>
      </c>
      <c r="Q2529" s="8">
        <f t="shared" si="159"/>
        <v>26559</v>
      </c>
      <c r="R2529" s="2" t="s">
        <v>50</v>
      </c>
      <c r="S2529" s="9">
        <f>VLOOKUP(P2529,$T$2:U2526,2,1)</f>
        <v>7.0000000000000007E-2</v>
      </c>
    </row>
    <row r="2530" spans="1:19" x14ac:dyDescent="0.25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e">
        <f>VLOOKUP(F2530,'Customer Info'!A2522:I3021,2,0)</f>
        <v>#N/A</v>
      </c>
      <c r="H2530" s="6" t="e">
        <f>VLOOKUP(F2530,'Customer Info'!A2522:I3021,3,0)</f>
        <v>#N/A</v>
      </c>
      <c r="I2530" s="6" t="e">
        <f>VLOOKUP(F2530,'Customer Info'!A2522:I3021,5,0)</f>
        <v>#N/A</v>
      </c>
      <c r="J2530" s="2">
        <v>67</v>
      </c>
      <c r="K2530" s="2">
        <v>62</v>
      </c>
      <c r="L2530" s="2">
        <v>3</v>
      </c>
      <c r="M2530" s="7">
        <f t="shared" si="156"/>
        <v>186</v>
      </c>
      <c r="N2530" s="7">
        <f t="shared" si="157"/>
        <v>201</v>
      </c>
      <c r="O2530" s="2">
        <v>10</v>
      </c>
      <c r="P2530" s="8">
        <f t="shared" si="158"/>
        <v>211</v>
      </c>
      <c r="Q2530" s="8">
        <f t="shared" si="159"/>
        <v>191</v>
      </c>
      <c r="R2530" s="2" t="s">
        <v>28</v>
      </c>
      <c r="S2530" s="9">
        <f>VLOOKUP(P2530,$T$2:U2527,2,1)</f>
        <v>0.02</v>
      </c>
    </row>
    <row r="2531" spans="1:19" x14ac:dyDescent="0.25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e">
        <f>VLOOKUP(F2531,'Customer Info'!A2523:I3022,2,0)</f>
        <v>#N/A</v>
      </c>
      <c r="H2531" s="6" t="e">
        <f>VLOOKUP(F2531,'Customer Info'!A2523:I3022,3,0)</f>
        <v>#N/A</v>
      </c>
      <c r="I2531" s="6" t="e">
        <f>VLOOKUP(F2531,'Customer Info'!A2523:I3022,5,0)</f>
        <v>#N/A</v>
      </c>
      <c r="J2531" s="2">
        <v>773</v>
      </c>
      <c r="K2531" s="2">
        <v>708</v>
      </c>
      <c r="L2531" s="2">
        <v>5</v>
      </c>
      <c r="M2531" s="7">
        <f t="shared" si="156"/>
        <v>3540</v>
      </c>
      <c r="N2531" s="7">
        <f t="shared" si="157"/>
        <v>3865</v>
      </c>
      <c r="O2531" s="2">
        <v>99</v>
      </c>
      <c r="P2531" s="8">
        <f t="shared" si="158"/>
        <v>3964</v>
      </c>
      <c r="Q2531" s="8">
        <f t="shared" si="159"/>
        <v>3766</v>
      </c>
      <c r="R2531" s="2" t="s">
        <v>56</v>
      </c>
      <c r="S2531" s="9">
        <f>VLOOKUP(P2531,$T$2:U2528,2,1)</f>
        <v>0.02</v>
      </c>
    </row>
    <row r="2532" spans="1:19" x14ac:dyDescent="0.25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e">
        <f>VLOOKUP(F2532,'Customer Info'!A2524:I3023,2,0)</f>
        <v>#N/A</v>
      </c>
      <c r="H2532" s="6" t="e">
        <f>VLOOKUP(F2532,'Customer Info'!A2524:I3023,3,0)</f>
        <v>#N/A</v>
      </c>
      <c r="I2532" s="6" t="e">
        <f>VLOOKUP(F2532,'Customer Info'!A2524:I3023,5,0)</f>
        <v>#N/A</v>
      </c>
      <c r="J2532" s="2">
        <v>8433</v>
      </c>
      <c r="K2532" s="2">
        <v>7801</v>
      </c>
      <c r="L2532" s="2">
        <v>6</v>
      </c>
      <c r="M2532" s="7">
        <f t="shared" si="156"/>
        <v>46806</v>
      </c>
      <c r="N2532" s="7">
        <f t="shared" si="157"/>
        <v>50598</v>
      </c>
      <c r="O2532" s="2">
        <v>42</v>
      </c>
      <c r="P2532" s="8">
        <f t="shared" si="158"/>
        <v>50640</v>
      </c>
      <c r="Q2532" s="8">
        <f t="shared" si="159"/>
        <v>50556</v>
      </c>
      <c r="R2532" s="2" t="s">
        <v>28</v>
      </c>
      <c r="S2532" s="9">
        <f>VLOOKUP(P2532,$T$2:U2529,2,1)</f>
        <v>0.09</v>
      </c>
    </row>
    <row r="2533" spans="1:19" x14ac:dyDescent="0.25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e">
        <f>VLOOKUP(F2533,'Customer Info'!A2525:I3024,2,0)</f>
        <v>#N/A</v>
      </c>
      <c r="H2533" s="6" t="e">
        <f>VLOOKUP(F2533,'Customer Info'!A2525:I3024,3,0)</f>
        <v>#N/A</v>
      </c>
      <c r="I2533" s="6" t="e">
        <f>VLOOKUP(F2533,'Customer Info'!A2525:I3024,5,0)</f>
        <v>#N/A</v>
      </c>
      <c r="J2533" s="2">
        <v>1834</v>
      </c>
      <c r="K2533" s="2">
        <v>1716</v>
      </c>
      <c r="L2533" s="2">
        <v>2</v>
      </c>
      <c r="M2533" s="7">
        <f t="shared" si="156"/>
        <v>3432</v>
      </c>
      <c r="N2533" s="7">
        <f t="shared" si="157"/>
        <v>3668</v>
      </c>
      <c r="O2533" s="2">
        <v>63</v>
      </c>
      <c r="P2533" s="8">
        <f t="shared" si="158"/>
        <v>3731</v>
      </c>
      <c r="Q2533" s="8">
        <f t="shared" si="159"/>
        <v>3605</v>
      </c>
      <c r="R2533" s="2" t="s">
        <v>28</v>
      </c>
      <c r="S2533" s="9">
        <f>VLOOKUP(P2533,$T$2:U2530,2,1)</f>
        <v>0.02</v>
      </c>
    </row>
    <row r="2534" spans="1:19" x14ac:dyDescent="0.25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e">
        <f>VLOOKUP(F2534,'Customer Info'!A2526:I3025,2,0)</f>
        <v>#N/A</v>
      </c>
      <c r="H2534" s="6" t="e">
        <f>VLOOKUP(F2534,'Customer Info'!A2526:I3025,3,0)</f>
        <v>#N/A</v>
      </c>
      <c r="I2534" s="6" t="e">
        <f>VLOOKUP(F2534,'Customer Info'!A2526:I3025,5,0)</f>
        <v>#N/A</v>
      </c>
      <c r="J2534" s="2">
        <v>693</v>
      </c>
      <c r="K2534" s="2">
        <v>667</v>
      </c>
      <c r="L2534" s="2">
        <v>4</v>
      </c>
      <c r="M2534" s="7">
        <f t="shared" si="156"/>
        <v>2668</v>
      </c>
      <c r="N2534" s="7">
        <f t="shared" si="157"/>
        <v>2772</v>
      </c>
      <c r="O2534" s="2">
        <v>64</v>
      </c>
      <c r="P2534" s="8">
        <f t="shared" si="158"/>
        <v>2836</v>
      </c>
      <c r="Q2534" s="8">
        <f t="shared" si="159"/>
        <v>2708</v>
      </c>
      <c r="R2534" s="2" t="s">
        <v>50</v>
      </c>
      <c r="S2534" s="9">
        <f>VLOOKUP(P2534,$T$2:U2531,2,1)</f>
        <v>0.02</v>
      </c>
    </row>
    <row r="2535" spans="1:19" x14ac:dyDescent="0.25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e">
        <f>VLOOKUP(F2535,'Customer Info'!A2527:I3026,2,0)</f>
        <v>#N/A</v>
      </c>
      <c r="H2535" s="6" t="e">
        <f>VLOOKUP(F2535,'Customer Info'!A2527:I3026,3,0)</f>
        <v>#N/A</v>
      </c>
      <c r="I2535" s="6" t="e">
        <f>VLOOKUP(F2535,'Customer Info'!A2527:I3026,5,0)</f>
        <v>#N/A</v>
      </c>
      <c r="J2535" s="2">
        <v>1017</v>
      </c>
      <c r="K2535" s="2">
        <v>950</v>
      </c>
      <c r="L2535" s="2">
        <v>2</v>
      </c>
      <c r="M2535" s="7">
        <f t="shared" si="156"/>
        <v>1900</v>
      </c>
      <c r="N2535" s="7">
        <f t="shared" si="157"/>
        <v>2034</v>
      </c>
      <c r="O2535" s="2">
        <v>92</v>
      </c>
      <c r="P2535" s="8">
        <f t="shared" si="158"/>
        <v>2126</v>
      </c>
      <c r="Q2535" s="8">
        <f t="shared" si="159"/>
        <v>1942</v>
      </c>
      <c r="R2535" s="2" t="s">
        <v>28</v>
      </c>
      <c r="S2535" s="9">
        <f>VLOOKUP(P2535,$T$2:U2532,2,1)</f>
        <v>0.02</v>
      </c>
    </row>
    <row r="2536" spans="1:19" x14ac:dyDescent="0.25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e">
        <f>VLOOKUP(F2536,'Customer Info'!A2528:I3027,2,0)</f>
        <v>#N/A</v>
      </c>
      <c r="H2536" s="6" t="e">
        <f>VLOOKUP(F2536,'Customer Info'!A2528:I3027,3,0)</f>
        <v>#N/A</v>
      </c>
      <c r="I2536" s="6" t="e">
        <f>VLOOKUP(F2536,'Customer Info'!A2528:I3027,5,0)</f>
        <v>#N/A</v>
      </c>
      <c r="J2536" s="2">
        <v>188</v>
      </c>
      <c r="K2536" s="2">
        <v>173</v>
      </c>
      <c r="L2536" s="2">
        <v>3</v>
      </c>
      <c r="M2536" s="7">
        <f t="shared" si="156"/>
        <v>519</v>
      </c>
      <c r="N2536" s="7">
        <f t="shared" si="157"/>
        <v>564</v>
      </c>
      <c r="O2536" s="2">
        <v>30</v>
      </c>
      <c r="P2536" s="8">
        <f t="shared" si="158"/>
        <v>594</v>
      </c>
      <c r="Q2536" s="8">
        <f t="shared" si="159"/>
        <v>534</v>
      </c>
      <c r="R2536" s="2" t="s">
        <v>28</v>
      </c>
      <c r="S2536" s="9">
        <f>VLOOKUP(P2536,$T$2:U2533,2,1)</f>
        <v>0.02</v>
      </c>
    </row>
    <row r="2537" spans="1:19" x14ac:dyDescent="0.25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e">
        <f>VLOOKUP(F2537,'Customer Info'!A2529:I3028,2,0)</f>
        <v>#N/A</v>
      </c>
      <c r="H2537" s="6" t="e">
        <f>VLOOKUP(F2537,'Customer Info'!A2529:I3028,3,0)</f>
        <v>#N/A</v>
      </c>
      <c r="I2537" s="6" t="e">
        <f>VLOOKUP(F2537,'Customer Info'!A2529:I3028,5,0)</f>
        <v>#N/A</v>
      </c>
      <c r="J2537" s="2">
        <v>224</v>
      </c>
      <c r="K2537" s="2">
        <v>210</v>
      </c>
      <c r="L2537" s="2">
        <v>2</v>
      </c>
      <c r="M2537" s="7">
        <f t="shared" si="156"/>
        <v>420</v>
      </c>
      <c r="N2537" s="7">
        <f t="shared" si="157"/>
        <v>448</v>
      </c>
      <c r="O2537" s="2">
        <v>80</v>
      </c>
      <c r="P2537" s="8">
        <f t="shared" si="158"/>
        <v>528</v>
      </c>
      <c r="Q2537" s="8">
        <f t="shared" si="159"/>
        <v>368</v>
      </c>
      <c r="R2537" s="2" t="s">
        <v>28</v>
      </c>
      <c r="S2537" s="9">
        <f>VLOOKUP(P2537,$T$2:U2534,2,1)</f>
        <v>0.02</v>
      </c>
    </row>
    <row r="2538" spans="1:19" x14ac:dyDescent="0.25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e">
        <f>VLOOKUP(F2538,'Customer Info'!A2530:I3029,2,0)</f>
        <v>#N/A</v>
      </c>
      <c r="H2538" s="6" t="e">
        <f>VLOOKUP(F2538,'Customer Info'!A2530:I3029,3,0)</f>
        <v>#N/A</v>
      </c>
      <c r="I2538" s="6" t="e">
        <f>VLOOKUP(F2538,'Customer Info'!A2530:I3029,5,0)</f>
        <v>#N/A</v>
      </c>
      <c r="J2538" s="2">
        <v>392</v>
      </c>
      <c r="K2538" s="2">
        <v>356</v>
      </c>
      <c r="L2538" s="2">
        <v>6</v>
      </c>
      <c r="M2538" s="7">
        <f t="shared" si="156"/>
        <v>2136</v>
      </c>
      <c r="N2538" s="7">
        <f t="shared" si="157"/>
        <v>2352</v>
      </c>
      <c r="O2538" s="2">
        <v>61</v>
      </c>
      <c r="P2538" s="8">
        <f t="shared" si="158"/>
        <v>2413</v>
      </c>
      <c r="Q2538" s="8">
        <f t="shared" si="159"/>
        <v>2291</v>
      </c>
      <c r="R2538" s="2" t="s">
        <v>28</v>
      </c>
      <c r="S2538" s="9">
        <f>VLOOKUP(P2538,$T$2:U2535,2,1)</f>
        <v>0.02</v>
      </c>
    </row>
    <row r="2539" spans="1:19" x14ac:dyDescent="0.25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e">
        <f>VLOOKUP(F2539,'Customer Info'!A2531:I3030,2,0)</f>
        <v>#N/A</v>
      </c>
      <c r="H2539" s="6" t="e">
        <f>VLOOKUP(F2539,'Customer Info'!A2531:I3030,3,0)</f>
        <v>#N/A</v>
      </c>
      <c r="I2539" s="6" t="e">
        <f>VLOOKUP(F2539,'Customer Info'!A2531:I3030,5,0)</f>
        <v>#N/A</v>
      </c>
      <c r="J2539" s="2">
        <v>1447</v>
      </c>
      <c r="K2539" s="2">
        <v>1326</v>
      </c>
      <c r="L2539" s="2">
        <v>3</v>
      </c>
      <c r="M2539" s="7">
        <f t="shared" si="156"/>
        <v>3978</v>
      </c>
      <c r="N2539" s="7">
        <f t="shared" si="157"/>
        <v>4341</v>
      </c>
      <c r="O2539" s="2">
        <v>76</v>
      </c>
      <c r="P2539" s="8">
        <f t="shared" si="158"/>
        <v>4417</v>
      </c>
      <c r="Q2539" s="8">
        <f t="shared" si="159"/>
        <v>4265</v>
      </c>
      <c r="R2539" s="2" t="s">
        <v>50</v>
      </c>
      <c r="S2539" s="9">
        <f>VLOOKUP(P2539,$T$2:U2536,2,1)</f>
        <v>0.02</v>
      </c>
    </row>
    <row r="2540" spans="1:19" x14ac:dyDescent="0.25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e">
        <f>VLOOKUP(F2540,'Customer Info'!A2532:I3031,2,0)</f>
        <v>#N/A</v>
      </c>
      <c r="H2540" s="6" t="e">
        <f>VLOOKUP(F2540,'Customer Info'!A2532:I3031,3,0)</f>
        <v>#N/A</v>
      </c>
      <c r="I2540" s="6" t="e">
        <f>VLOOKUP(F2540,'Customer Info'!A2532:I3031,5,0)</f>
        <v>#N/A</v>
      </c>
      <c r="J2540" s="2">
        <v>2151</v>
      </c>
      <c r="K2540" s="2">
        <v>2009</v>
      </c>
      <c r="L2540" s="2">
        <v>4</v>
      </c>
      <c r="M2540" s="7">
        <f t="shared" si="156"/>
        <v>8036</v>
      </c>
      <c r="N2540" s="7">
        <f t="shared" si="157"/>
        <v>8604</v>
      </c>
      <c r="O2540" s="2">
        <v>56</v>
      </c>
      <c r="P2540" s="8">
        <f t="shared" si="158"/>
        <v>8660</v>
      </c>
      <c r="Q2540" s="8">
        <f t="shared" si="159"/>
        <v>8548</v>
      </c>
      <c r="R2540" s="2" t="s">
        <v>28</v>
      </c>
      <c r="S2540" s="9">
        <f>VLOOKUP(P2540,$T$2:U2537,2,1)</f>
        <v>0.05</v>
      </c>
    </row>
    <row r="2541" spans="1:19" x14ac:dyDescent="0.25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e">
        <f>VLOOKUP(F2541,'Customer Info'!A2533:I3032,2,0)</f>
        <v>#N/A</v>
      </c>
      <c r="H2541" s="6" t="e">
        <f>VLOOKUP(F2541,'Customer Info'!A2533:I3032,3,0)</f>
        <v>#N/A</v>
      </c>
      <c r="I2541" s="6" t="e">
        <f>VLOOKUP(F2541,'Customer Info'!A2533:I3032,5,0)</f>
        <v>#N/A</v>
      </c>
      <c r="J2541" s="2">
        <v>1668</v>
      </c>
      <c r="K2541" s="2">
        <v>1636</v>
      </c>
      <c r="L2541" s="2">
        <v>6</v>
      </c>
      <c r="M2541" s="7">
        <f t="shared" si="156"/>
        <v>9816</v>
      </c>
      <c r="N2541" s="7">
        <f t="shared" si="157"/>
        <v>10008</v>
      </c>
      <c r="O2541" s="2">
        <v>56</v>
      </c>
      <c r="P2541" s="8">
        <f t="shared" si="158"/>
        <v>10064</v>
      </c>
      <c r="Q2541" s="8">
        <f t="shared" si="159"/>
        <v>9952</v>
      </c>
      <c r="R2541" s="2" t="s">
        <v>28</v>
      </c>
      <c r="S2541" s="9">
        <f>VLOOKUP(P2541,$T$2:U2538,2,1)</f>
        <v>0.05</v>
      </c>
    </row>
    <row r="2542" spans="1:19" x14ac:dyDescent="0.25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e">
        <f>VLOOKUP(F2542,'Customer Info'!A2534:I3033,2,0)</f>
        <v>#N/A</v>
      </c>
      <c r="H2542" s="6" t="e">
        <f>VLOOKUP(F2542,'Customer Info'!A2534:I3033,3,0)</f>
        <v>#N/A</v>
      </c>
      <c r="I2542" s="6" t="e">
        <f>VLOOKUP(F2542,'Customer Info'!A2534:I3033,5,0)</f>
        <v>#N/A</v>
      </c>
      <c r="J2542" s="2">
        <v>185</v>
      </c>
      <c r="K2542" s="2">
        <v>174</v>
      </c>
      <c r="L2542" s="2">
        <v>2</v>
      </c>
      <c r="M2542" s="7">
        <f t="shared" si="156"/>
        <v>348</v>
      </c>
      <c r="N2542" s="7">
        <f t="shared" si="157"/>
        <v>370</v>
      </c>
      <c r="O2542" s="2">
        <v>30</v>
      </c>
      <c r="P2542" s="8">
        <f t="shared" si="158"/>
        <v>400</v>
      </c>
      <c r="Q2542" s="8">
        <f t="shared" si="159"/>
        <v>340</v>
      </c>
      <c r="R2542" s="2" t="s">
        <v>28</v>
      </c>
      <c r="S2542" s="9">
        <f>VLOOKUP(P2542,$T$2:U2539,2,1)</f>
        <v>0.02</v>
      </c>
    </row>
    <row r="2543" spans="1:19" x14ac:dyDescent="0.25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e">
        <f>VLOOKUP(F2543,'Customer Info'!A2535:I3034,2,0)</f>
        <v>#N/A</v>
      </c>
      <c r="H2543" s="6" t="e">
        <f>VLOOKUP(F2543,'Customer Info'!A2535:I3034,3,0)</f>
        <v>#N/A</v>
      </c>
      <c r="I2543" s="6" t="e">
        <f>VLOOKUP(F2543,'Customer Info'!A2535:I3034,5,0)</f>
        <v>#N/A</v>
      </c>
      <c r="J2543" s="2">
        <v>1718</v>
      </c>
      <c r="K2543" s="2">
        <v>1545</v>
      </c>
      <c r="L2543" s="2">
        <v>9</v>
      </c>
      <c r="M2543" s="7">
        <f t="shared" si="156"/>
        <v>13905</v>
      </c>
      <c r="N2543" s="7">
        <f t="shared" si="157"/>
        <v>15462</v>
      </c>
      <c r="O2543" s="2">
        <v>78</v>
      </c>
      <c r="P2543" s="8">
        <f t="shared" si="158"/>
        <v>15540</v>
      </c>
      <c r="Q2543" s="8">
        <f t="shared" si="159"/>
        <v>15384</v>
      </c>
      <c r="R2543" s="2" t="s">
        <v>28</v>
      </c>
      <c r="S2543" s="9">
        <f>VLOOKUP(P2543,$T$2:U2540,2,1)</f>
        <v>0.05</v>
      </c>
    </row>
    <row r="2544" spans="1:19" x14ac:dyDescent="0.25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e">
        <f>VLOOKUP(F2544,'Customer Info'!A2536:I3035,2,0)</f>
        <v>#N/A</v>
      </c>
      <c r="H2544" s="6" t="e">
        <f>VLOOKUP(F2544,'Customer Info'!A2536:I3035,3,0)</f>
        <v>#N/A</v>
      </c>
      <c r="I2544" s="6" t="e">
        <f>VLOOKUP(F2544,'Customer Info'!A2536:I3035,5,0)</f>
        <v>#N/A</v>
      </c>
      <c r="J2544" s="2">
        <v>1997</v>
      </c>
      <c r="K2544" s="2">
        <v>1816</v>
      </c>
      <c r="L2544" s="2">
        <v>3</v>
      </c>
      <c r="M2544" s="7">
        <f t="shared" si="156"/>
        <v>5448</v>
      </c>
      <c r="N2544" s="7">
        <f t="shared" si="157"/>
        <v>5991</v>
      </c>
      <c r="O2544" s="2">
        <v>50</v>
      </c>
      <c r="P2544" s="8">
        <f t="shared" si="158"/>
        <v>6041</v>
      </c>
      <c r="Q2544" s="8">
        <f t="shared" si="159"/>
        <v>5941</v>
      </c>
      <c r="R2544" s="2" t="s">
        <v>28</v>
      </c>
      <c r="S2544" s="9">
        <f>VLOOKUP(P2544,$T$2:U2541,2,1)</f>
        <v>0.05</v>
      </c>
    </row>
    <row r="2545" spans="1:19" x14ac:dyDescent="0.25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e">
        <f>VLOOKUP(F2545,'Customer Info'!A2537:I3036,2,0)</f>
        <v>#N/A</v>
      </c>
      <c r="H2545" s="6" t="e">
        <f>VLOOKUP(F2545,'Customer Info'!A2537:I3036,3,0)</f>
        <v>#N/A</v>
      </c>
      <c r="I2545" s="6" t="e">
        <f>VLOOKUP(F2545,'Customer Info'!A2537:I3036,5,0)</f>
        <v>#N/A</v>
      </c>
      <c r="J2545" s="2">
        <v>3341</v>
      </c>
      <c r="K2545" s="2">
        <v>3152</v>
      </c>
      <c r="L2545" s="2">
        <v>9</v>
      </c>
      <c r="M2545" s="7">
        <f t="shared" si="156"/>
        <v>28368</v>
      </c>
      <c r="N2545" s="7">
        <f t="shared" si="157"/>
        <v>30069</v>
      </c>
      <c r="O2545" s="2">
        <v>85</v>
      </c>
      <c r="P2545" s="8">
        <f t="shared" si="158"/>
        <v>30154</v>
      </c>
      <c r="Q2545" s="8">
        <f t="shared" si="159"/>
        <v>29984</v>
      </c>
      <c r="R2545" s="2" t="s">
        <v>28</v>
      </c>
      <c r="S2545" s="9">
        <f>VLOOKUP(P2545,$T$2:U2542,2,1)</f>
        <v>7.0000000000000007E-2</v>
      </c>
    </row>
    <row r="2546" spans="1:19" x14ac:dyDescent="0.25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e">
        <f>VLOOKUP(F2546,'Customer Info'!A2538:I3037,2,0)</f>
        <v>#N/A</v>
      </c>
      <c r="H2546" s="6" t="e">
        <f>VLOOKUP(F2546,'Customer Info'!A2538:I3037,3,0)</f>
        <v>#N/A</v>
      </c>
      <c r="I2546" s="6" t="e">
        <f>VLOOKUP(F2546,'Customer Info'!A2538:I3037,5,0)</f>
        <v>#N/A</v>
      </c>
      <c r="J2546" s="2">
        <v>92</v>
      </c>
      <c r="K2546" s="2">
        <v>85</v>
      </c>
      <c r="L2546" s="2">
        <v>1</v>
      </c>
      <c r="M2546" s="7">
        <f t="shared" si="156"/>
        <v>85</v>
      </c>
      <c r="N2546" s="7">
        <f t="shared" si="157"/>
        <v>92</v>
      </c>
      <c r="O2546" s="2">
        <v>10</v>
      </c>
      <c r="P2546" s="8">
        <f t="shared" si="158"/>
        <v>102</v>
      </c>
      <c r="Q2546" s="8">
        <f t="shared" si="159"/>
        <v>82</v>
      </c>
      <c r="R2546" s="2" t="s">
        <v>26</v>
      </c>
      <c r="S2546" s="9">
        <f>VLOOKUP(P2546,$T$2:U2543,2,1)</f>
        <v>0.02</v>
      </c>
    </row>
    <row r="2547" spans="1:19" x14ac:dyDescent="0.25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e">
        <f>VLOOKUP(F2547,'Customer Info'!A2539:I3038,2,0)</f>
        <v>#N/A</v>
      </c>
      <c r="H2547" s="6" t="e">
        <f>VLOOKUP(F2547,'Customer Info'!A2539:I3038,3,0)</f>
        <v>#N/A</v>
      </c>
      <c r="I2547" s="6" t="e">
        <f>VLOOKUP(F2547,'Customer Info'!A2539:I3038,5,0)</f>
        <v>#N/A</v>
      </c>
      <c r="J2547" s="2">
        <v>7232</v>
      </c>
      <c r="K2547" s="2">
        <v>6753</v>
      </c>
      <c r="L2547" s="2">
        <v>4</v>
      </c>
      <c r="M2547" s="7">
        <f t="shared" si="156"/>
        <v>27012</v>
      </c>
      <c r="N2547" s="7">
        <f t="shared" si="157"/>
        <v>28928</v>
      </c>
      <c r="O2547" s="2">
        <v>64</v>
      </c>
      <c r="P2547" s="8">
        <f t="shared" si="158"/>
        <v>28992</v>
      </c>
      <c r="Q2547" s="8">
        <f t="shared" si="159"/>
        <v>28864</v>
      </c>
      <c r="R2547" s="2" t="s">
        <v>26</v>
      </c>
      <c r="S2547" s="9">
        <f>VLOOKUP(P2547,$T$2:U2544,2,1)</f>
        <v>7.0000000000000007E-2</v>
      </c>
    </row>
    <row r="2548" spans="1:19" x14ac:dyDescent="0.25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e">
        <f>VLOOKUP(F2548,'Customer Info'!A2540:I3039,2,0)</f>
        <v>#N/A</v>
      </c>
      <c r="H2548" s="6" t="e">
        <f>VLOOKUP(F2548,'Customer Info'!A2540:I3039,3,0)</f>
        <v>#N/A</v>
      </c>
      <c r="I2548" s="6" t="e">
        <f>VLOOKUP(F2548,'Customer Info'!A2540:I3039,5,0)</f>
        <v>#N/A</v>
      </c>
      <c r="J2548" s="2">
        <v>171</v>
      </c>
      <c r="K2548" s="2">
        <v>153</v>
      </c>
      <c r="L2548" s="2">
        <v>5</v>
      </c>
      <c r="M2548" s="7">
        <f t="shared" si="156"/>
        <v>765</v>
      </c>
      <c r="N2548" s="7">
        <f t="shared" si="157"/>
        <v>855</v>
      </c>
      <c r="O2548" s="2">
        <v>30</v>
      </c>
      <c r="P2548" s="8">
        <f t="shared" si="158"/>
        <v>885</v>
      </c>
      <c r="Q2548" s="8">
        <f t="shared" si="159"/>
        <v>825</v>
      </c>
      <c r="R2548" s="2" t="s">
        <v>28</v>
      </c>
      <c r="S2548" s="9">
        <f>VLOOKUP(P2548,$T$2:U2545,2,1)</f>
        <v>0.02</v>
      </c>
    </row>
    <row r="2549" spans="1:19" x14ac:dyDescent="0.25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e">
        <f>VLOOKUP(F2549,'Customer Info'!A2541:I3040,2,0)</f>
        <v>#N/A</v>
      </c>
      <c r="H2549" s="6" t="e">
        <f>VLOOKUP(F2549,'Customer Info'!A2541:I3040,3,0)</f>
        <v>#N/A</v>
      </c>
      <c r="I2549" s="6" t="e">
        <f>VLOOKUP(F2549,'Customer Info'!A2541:I3040,5,0)</f>
        <v>#N/A</v>
      </c>
      <c r="J2549" s="2">
        <v>1808</v>
      </c>
      <c r="K2549" s="2">
        <v>1740</v>
      </c>
      <c r="L2549" s="2">
        <v>3</v>
      </c>
      <c r="M2549" s="7">
        <f t="shared" si="156"/>
        <v>5220</v>
      </c>
      <c r="N2549" s="7">
        <f t="shared" si="157"/>
        <v>5424</v>
      </c>
      <c r="O2549" s="2">
        <v>27</v>
      </c>
      <c r="P2549" s="8">
        <f t="shared" si="158"/>
        <v>5451</v>
      </c>
      <c r="Q2549" s="8">
        <f t="shared" si="159"/>
        <v>5397</v>
      </c>
      <c r="R2549" s="2" t="s">
        <v>28</v>
      </c>
      <c r="S2549" s="9">
        <f>VLOOKUP(P2549,$T$2:U2546,2,1)</f>
        <v>0.05</v>
      </c>
    </row>
    <row r="2550" spans="1:19" x14ac:dyDescent="0.25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e">
        <f>VLOOKUP(F2550,'Customer Info'!A2542:I3041,2,0)</f>
        <v>#N/A</v>
      </c>
      <c r="H2550" s="6" t="e">
        <f>VLOOKUP(F2550,'Customer Info'!A2542:I3041,3,0)</f>
        <v>#N/A</v>
      </c>
      <c r="I2550" s="6" t="e">
        <f>VLOOKUP(F2550,'Customer Info'!A2542:I3041,5,0)</f>
        <v>#N/A</v>
      </c>
      <c r="J2550" s="2">
        <v>2907</v>
      </c>
      <c r="K2550" s="2">
        <v>2667</v>
      </c>
      <c r="L2550" s="2">
        <v>3</v>
      </c>
      <c r="M2550" s="7">
        <f t="shared" si="156"/>
        <v>8001</v>
      </c>
      <c r="N2550" s="7">
        <f t="shared" si="157"/>
        <v>8721</v>
      </c>
      <c r="O2550" s="2">
        <v>28</v>
      </c>
      <c r="P2550" s="8">
        <f t="shared" si="158"/>
        <v>8749</v>
      </c>
      <c r="Q2550" s="8">
        <f t="shared" si="159"/>
        <v>8693</v>
      </c>
      <c r="R2550" s="2" t="s">
        <v>28</v>
      </c>
      <c r="S2550" s="9">
        <f>VLOOKUP(P2550,$T$2:U2547,2,1)</f>
        <v>0.05</v>
      </c>
    </row>
    <row r="2551" spans="1:19" x14ac:dyDescent="0.25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e">
        <f>VLOOKUP(F2551,'Customer Info'!A2543:I3042,2,0)</f>
        <v>#N/A</v>
      </c>
      <c r="H2551" s="6" t="e">
        <f>VLOOKUP(F2551,'Customer Info'!A2543:I3042,3,0)</f>
        <v>#N/A</v>
      </c>
      <c r="I2551" s="6" t="e">
        <f>VLOOKUP(F2551,'Customer Info'!A2543:I3042,5,0)</f>
        <v>#N/A</v>
      </c>
      <c r="J2551" s="2">
        <v>4577</v>
      </c>
      <c r="K2551" s="2">
        <v>4280</v>
      </c>
      <c r="L2551" s="2">
        <v>4</v>
      </c>
      <c r="M2551" s="7">
        <f t="shared" si="156"/>
        <v>17120</v>
      </c>
      <c r="N2551" s="7">
        <f t="shared" si="157"/>
        <v>18308</v>
      </c>
      <c r="O2551" s="2">
        <v>89</v>
      </c>
      <c r="P2551" s="8">
        <f t="shared" si="158"/>
        <v>18397</v>
      </c>
      <c r="Q2551" s="8">
        <f t="shared" si="159"/>
        <v>18219</v>
      </c>
      <c r="R2551" s="2" t="s">
        <v>50</v>
      </c>
      <c r="S2551" s="9">
        <f>VLOOKUP(P2551,$T$2:U2548,2,1)</f>
        <v>0.05</v>
      </c>
    </row>
    <row r="2552" spans="1:19" x14ac:dyDescent="0.25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e">
        <f>VLOOKUP(F2552,'Customer Info'!A2544:I3043,2,0)</f>
        <v>#N/A</v>
      </c>
      <c r="H2552" s="6" t="e">
        <f>VLOOKUP(F2552,'Customer Info'!A2544:I3043,3,0)</f>
        <v>#N/A</v>
      </c>
      <c r="I2552" s="6" t="e">
        <f>VLOOKUP(F2552,'Customer Info'!A2544:I3043,5,0)</f>
        <v>#N/A</v>
      </c>
      <c r="J2552" s="2">
        <v>6635</v>
      </c>
      <c r="K2552" s="2">
        <v>6321</v>
      </c>
      <c r="L2552" s="2">
        <v>2</v>
      </c>
      <c r="M2552" s="7">
        <f t="shared" si="156"/>
        <v>12642</v>
      </c>
      <c r="N2552" s="7">
        <f t="shared" si="157"/>
        <v>13270</v>
      </c>
      <c r="O2552" s="2">
        <v>21</v>
      </c>
      <c r="P2552" s="8">
        <f t="shared" si="158"/>
        <v>13291</v>
      </c>
      <c r="Q2552" s="8">
        <f t="shared" si="159"/>
        <v>13249</v>
      </c>
      <c r="R2552" s="2" t="s">
        <v>28</v>
      </c>
      <c r="S2552" s="9">
        <f>VLOOKUP(P2552,$T$2:U2549,2,1)</f>
        <v>0.05</v>
      </c>
    </row>
    <row r="2553" spans="1:19" x14ac:dyDescent="0.25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e">
        <f>VLOOKUP(F2553,'Customer Info'!A2545:I3044,2,0)</f>
        <v>#N/A</v>
      </c>
      <c r="H2553" s="6" t="e">
        <f>VLOOKUP(F2553,'Customer Info'!A2545:I3044,3,0)</f>
        <v>#N/A</v>
      </c>
      <c r="I2553" s="6" t="e">
        <f>VLOOKUP(F2553,'Customer Info'!A2545:I3044,5,0)</f>
        <v>#N/A</v>
      </c>
      <c r="J2553" s="2">
        <v>7315</v>
      </c>
      <c r="K2553" s="2">
        <v>6967</v>
      </c>
      <c r="L2553" s="2">
        <v>1</v>
      </c>
      <c r="M2553" s="7">
        <f t="shared" si="156"/>
        <v>6967</v>
      </c>
      <c r="N2553" s="7">
        <f t="shared" si="157"/>
        <v>7315</v>
      </c>
      <c r="O2553" s="2">
        <v>95</v>
      </c>
      <c r="P2553" s="8">
        <f t="shared" si="158"/>
        <v>7410</v>
      </c>
      <c r="Q2553" s="8">
        <f t="shared" si="159"/>
        <v>7220</v>
      </c>
      <c r="R2553" s="2" t="s">
        <v>28</v>
      </c>
      <c r="S2553" s="9">
        <f>VLOOKUP(P2553,$T$2:U2550,2,1)</f>
        <v>0.05</v>
      </c>
    </row>
    <row r="2554" spans="1:19" x14ac:dyDescent="0.25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e">
        <f>VLOOKUP(F2554,'Customer Info'!A2546:I3045,2,0)</f>
        <v>#N/A</v>
      </c>
      <c r="H2554" s="6" t="e">
        <f>VLOOKUP(F2554,'Customer Info'!A2546:I3045,3,0)</f>
        <v>#N/A</v>
      </c>
      <c r="I2554" s="6" t="e">
        <f>VLOOKUP(F2554,'Customer Info'!A2546:I3045,5,0)</f>
        <v>#N/A</v>
      </c>
      <c r="J2554" s="2">
        <v>139</v>
      </c>
      <c r="K2554" s="2">
        <v>130</v>
      </c>
      <c r="L2554" s="2">
        <v>3</v>
      </c>
      <c r="M2554" s="7">
        <f t="shared" si="156"/>
        <v>390</v>
      </c>
      <c r="N2554" s="7">
        <f t="shared" si="157"/>
        <v>417</v>
      </c>
      <c r="O2554" s="2">
        <v>30</v>
      </c>
      <c r="P2554" s="8">
        <f t="shared" si="158"/>
        <v>447</v>
      </c>
      <c r="Q2554" s="8">
        <f t="shared" si="159"/>
        <v>387</v>
      </c>
      <c r="R2554" s="2" t="s">
        <v>28</v>
      </c>
      <c r="S2554" s="9">
        <f>VLOOKUP(P2554,$T$2:U2551,2,1)</f>
        <v>0.02</v>
      </c>
    </row>
    <row r="2555" spans="1:19" x14ac:dyDescent="0.25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e">
        <f>VLOOKUP(F2555,'Customer Info'!A2547:I3046,2,0)</f>
        <v>#N/A</v>
      </c>
      <c r="H2555" s="6" t="e">
        <f>VLOOKUP(F2555,'Customer Info'!A2547:I3046,3,0)</f>
        <v>#N/A</v>
      </c>
      <c r="I2555" s="6" t="e">
        <f>VLOOKUP(F2555,'Customer Info'!A2547:I3046,5,0)</f>
        <v>#N/A</v>
      </c>
      <c r="J2555" s="2">
        <v>1615</v>
      </c>
      <c r="K2555" s="2">
        <v>1525</v>
      </c>
      <c r="L2555" s="2">
        <v>2</v>
      </c>
      <c r="M2555" s="7">
        <f t="shared" si="156"/>
        <v>3050</v>
      </c>
      <c r="N2555" s="7">
        <f t="shared" si="157"/>
        <v>3230</v>
      </c>
      <c r="O2555" s="2">
        <v>98</v>
      </c>
      <c r="P2555" s="8">
        <f t="shared" si="158"/>
        <v>3328</v>
      </c>
      <c r="Q2555" s="8">
        <f t="shared" si="159"/>
        <v>3132</v>
      </c>
      <c r="R2555" s="2" t="s">
        <v>50</v>
      </c>
      <c r="S2555" s="9">
        <f>VLOOKUP(P2555,$T$2:U2552,2,1)</f>
        <v>0.02</v>
      </c>
    </row>
    <row r="2556" spans="1:19" x14ac:dyDescent="0.25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e">
        <f>VLOOKUP(F2556,'Customer Info'!A2548:I3047,2,0)</f>
        <v>#N/A</v>
      </c>
      <c r="H2556" s="6" t="e">
        <f>VLOOKUP(F2556,'Customer Info'!A2548:I3047,3,0)</f>
        <v>#N/A</v>
      </c>
      <c r="I2556" s="6" t="e">
        <f>VLOOKUP(F2556,'Customer Info'!A2548:I3047,5,0)</f>
        <v>#N/A</v>
      </c>
      <c r="J2556" s="2">
        <v>1283</v>
      </c>
      <c r="K2556" s="2">
        <v>1187</v>
      </c>
      <c r="L2556" s="2">
        <v>2</v>
      </c>
      <c r="M2556" s="7">
        <f t="shared" si="156"/>
        <v>2374</v>
      </c>
      <c r="N2556" s="7">
        <f t="shared" si="157"/>
        <v>2566</v>
      </c>
      <c r="O2556" s="2">
        <v>84</v>
      </c>
      <c r="P2556" s="8">
        <f t="shared" si="158"/>
        <v>2650</v>
      </c>
      <c r="Q2556" s="8">
        <f t="shared" si="159"/>
        <v>2482</v>
      </c>
      <c r="R2556" s="2" t="s">
        <v>28</v>
      </c>
      <c r="S2556" s="9">
        <f>VLOOKUP(P2556,$T$2:U2553,2,1)</f>
        <v>0.02</v>
      </c>
    </row>
    <row r="2557" spans="1:19" x14ac:dyDescent="0.25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e">
        <f>VLOOKUP(F2557,'Customer Info'!A2549:I3048,2,0)</f>
        <v>#N/A</v>
      </c>
      <c r="H2557" s="6" t="e">
        <f>VLOOKUP(F2557,'Customer Info'!A2549:I3048,3,0)</f>
        <v>#N/A</v>
      </c>
      <c r="I2557" s="6" t="e">
        <f>VLOOKUP(F2557,'Customer Info'!A2549:I3048,5,0)</f>
        <v>#N/A</v>
      </c>
      <c r="J2557" s="2">
        <v>1668</v>
      </c>
      <c r="K2557" s="2">
        <v>1636</v>
      </c>
      <c r="L2557" s="2">
        <v>1</v>
      </c>
      <c r="M2557" s="7">
        <f t="shared" si="156"/>
        <v>1636</v>
      </c>
      <c r="N2557" s="7">
        <f t="shared" si="157"/>
        <v>1668</v>
      </c>
      <c r="O2557" s="2">
        <v>38</v>
      </c>
      <c r="P2557" s="8">
        <f t="shared" si="158"/>
        <v>1706</v>
      </c>
      <c r="Q2557" s="8">
        <f t="shared" si="159"/>
        <v>1630</v>
      </c>
      <c r="R2557" s="2" t="s">
        <v>50</v>
      </c>
      <c r="S2557" s="9">
        <f>VLOOKUP(P2557,$T$2:U2554,2,1)</f>
        <v>0.02</v>
      </c>
    </row>
    <row r="2558" spans="1:19" x14ac:dyDescent="0.25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e">
        <f>VLOOKUP(F2558,'Customer Info'!A2550:I3049,2,0)</f>
        <v>#N/A</v>
      </c>
      <c r="H2558" s="6" t="e">
        <f>VLOOKUP(F2558,'Customer Info'!A2550:I3049,3,0)</f>
        <v>#N/A</v>
      </c>
      <c r="I2558" s="6" t="e">
        <f>VLOOKUP(F2558,'Customer Info'!A2550:I3049,5,0)</f>
        <v>#N/A</v>
      </c>
      <c r="J2558" s="2">
        <v>9306</v>
      </c>
      <c r="K2558" s="2">
        <v>8461</v>
      </c>
      <c r="L2558" s="2">
        <v>3</v>
      </c>
      <c r="M2558" s="7">
        <f t="shared" si="156"/>
        <v>25383</v>
      </c>
      <c r="N2558" s="7">
        <f t="shared" si="157"/>
        <v>27918</v>
      </c>
      <c r="O2558" s="2">
        <v>33</v>
      </c>
      <c r="P2558" s="8">
        <f t="shared" si="158"/>
        <v>27951</v>
      </c>
      <c r="Q2558" s="8">
        <f t="shared" si="159"/>
        <v>27885</v>
      </c>
      <c r="R2558" s="2" t="s">
        <v>28</v>
      </c>
      <c r="S2558" s="9">
        <f>VLOOKUP(P2558,$T$2:U2555,2,1)</f>
        <v>7.0000000000000007E-2</v>
      </c>
    </row>
    <row r="2559" spans="1:19" x14ac:dyDescent="0.25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e">
        <f>VLOOKUP(F2559,'Customer Info'!A2551:I3050,2,0)</f>
        <v>#N/A</v>
      </c>
      <c r="H2559" s="6" t="e">
        <f>VLOOKUP(F2559,'Customer Info'!A2551:I3050,3,0)</f>
        <v>#N/A</v>
      </c>
      <c r="I2559" s="6" t="e">
        <f>VLOOKUP(F2559,'Customer Info'!A2551:I3050,5,0)</f>
        <v>#N/A</v>
      </c>
      <c r="J2559" s="2">
        <v>166</v>
      </c>
      <c r="K2559" s="2">
        <v>149</v>
      </c>
      <c r="L2559" s="2">
        <v>2</v>
      </c>
      <c r="M2559" s="7">
        <f t="shared" si="156"/>
        <v>298</v>
      </c>
      <c r="N2559" s="7">
        <f t="shared" si="157"/>
        <v>332</v>
      </c>
      <c r="O2559" s="2">
        <v>30</v>
      </c>
      <c r="P2559" s="8">
        <f t="shared" si="158"/>
        <v>362</v>
      </c>
      <c r="Q2559" s="8">
        <f t="shared" si="159"/>
        <v>302</v>
      </c>
      <c r="R2559" s="2" t="s">
        <v>26</v>
      </c>
      <c r="S2559" s="9">
        <f>VLOOKUP(P2559,$T$2:U2556,2,1)</f>
        <v>0.02</v>
      </c>
    </row>
    <row r="2560" spans="1:19" x14ac:dyDescent="0.25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e">
        <f>VLOOKUP(F2560,'Customer Info'!A2552:I3051,2,0)</f>
        <v>#N/A</v>
      </c>
      <c r="H2560" s="6" t="e">
        <f>VLOOKUP(F2560,'Customer Info'!A2552:I3051,3,0)</f>
        <v>#N/A</v>
      </c>
      <c r="I2560" s="6" t="e">
        <f>VLOOKUP(F2560,'Customer Info'!A2552:I3051,5,0)</f>
        <v>#N/A</v>
      </c>
      <c r="J2560" s="2">
        <v>693</v>
      </c>
      <c r="K2560" s="2">
        <v>667</v>
      </c>
      <c r="L2560" s="2">
        <v>7</v>
      </c>
      <c r="M2560" s="7">
        <f t="shared" si="156"/>
        <v>4669</v>
      </c>
      <c r="N2560" s="7">
        <f t="shared" si="157"/>
        <v>4851</v>
      </c>
      <c r="O2560" s="2">
        <v>33</v>
      </c>
      <c r="P2560" s="8">
        <f t="shared" si="158"/>
        <v>4884</v>
      </c>
      <c r="Q2560" s="8">
        <f t="shared" si="159"/>
        <v>4818</v>
      </c>
      <c r="R2560" s="2" t="s">
        <v>28</v>
      </c>
      <c r="S2560" s="9">
        <f>VLOOKUP(P2560,$T$2:U2557,2,1)</f>
        <v>0.02</v>
      </c>
    </row>
    <row r="2561" spans="1:19" x14ac:dyDescent="0.25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e">
        <f>VLOOKUP(F2561,'Customer Info'!A2553:I3052,2,0)</f>
        <v>#N/A</v>
      </c>
      <c r="H2561" s="6" t="e">
        <f>VLOOKUP(F2561,'Customer Info'!A2553:I3052,3,0)</f>
        <v>#N/A</v>
      </c>
      <c r="I2561" s="6" t="e">
        <f>VLOOKUP(F2561,'Customer Info'!A2553:I3052,5,0)</f>
        <v>#N/A</v>
      </c>
      <c r="J2561" s="2">
        <v>8495</v>
      </c>
      <c r="K2561" s="2">
        <v>7647</v>
      </c>
      <c r="L2561" s="2">
        <v>4</v>
      </c>
      <c r="M2561" s="7">
        <f t="shared" si="156"/>
        <v>30588</v>
      </c>
      <c r="N2561" s="7">
        <f t="shared" si="157"/>
        <v>33980</v>
      </c>
      <c r="O2561" s="2">
        <v>88</v>
      </c>
      <c r="P2561" s="8">
        <f t="shared" si="158"/>
        <v>34068</v>
      </c>
      <c r="Q2561" s="8">
        <f t="shared" si="159"/>
        <v>33892</v>
      </c>
      <c r="R2561" s="2" t="s">
        <v>28</v>
      </c>
      <c r="S2561" s="9">
        <f>VLOOKUP(P2561,$T$2:U2558,2,1)</f>
        <v>7.0000000000000007E-2</v>
      </c>
    </row>
    <row r="2562" spans="1:19" x14ac:dyDescent="0.25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e">
        <f>VLOOKUP(F2562,'Customer Info'!A2554:I3053,2,0)</f>
        <v>#N/A</v>
      </c>
      <c r="H2562" s="6" t="e">
        <f>VLOOKUP(F2562,'Customer Info'!A2554:I3053,3,0)</f>
        <v>#N/A</v>
      </c>
      <c r="I2562" s="6" t="e">
        <f>VLOOKUP(F2562,'Customer Info'!A2554:I3053,5,0)</f>
        <v>#N/A</v>
      </c>
      <c r="J2562" s="2">
        <v>183</v>
      </c>
      <c r="K2562" s="2">
        <v>168</v>
      </c>
      <c r="L2562" s="2">
        <v>1</v>
      </c>
      <c r="M2562" s="7">
        <f t="shared" si="156"/>
        <v>168</v>
      </c>
      <c r="N2562" s="7">
        <f t="shared" si="157"/>
        <v>183</v>
      </c>
      <c r="O2562" s="2">
        <v>30</v>
      </c>
      <c r="P2562" s="8">
        <f t="shared" si="158"/>
        <v>213</v>
      </c>
      <c r="Q2562" s="8">
        <f t="shared" si="159"/>
        <v>153</v>
      </c>
      <c r="R2562" s="2" t="s">
        <v>50</v>
      </c>
      <c r="S2562" s="9">
        <f>VLOOKUP(P2562,$T$2:U2559,2,1)</f>
        <v>0.02</v>
      </c>
    </row>
    <row r="2563" spans="1:19" x14ac:dyDescent="0.25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e">
        <f>VLOOKUP(F2563,'Customer Info'!A2555:I3054,2,0)</f>
        <v>#N/A</v>
      </c>
      <c r="H2563" s="6" t="e">
        <f>VLOOKUP(F2563,'Customer Info'!A2555:I3054,3,0)</f>
        <v>#N/A</v>
      </c>
      <c r="I2563" s="6" t="e">
        <f>VLOOKUP(F2563,'Customer Info'!A2555:I3054,5,0)</f>
        <v>#N/A</v>
      </c>
      <c r="J2563" s="2">
        <v>1169</v>
      </c>
      <c r="K2563" s="2">
        <v>1072</v>
      </c>
      <c r="L2563" s="2">
        <v>1</v>
      </c>
      <c r="M2563" s="7">
        <f t="shared" si="156"/>
        <v>1072</v>
      </c>
      <c r="N2563" s="7">
        <f t="shared" si="157"/>
        <v>1169</v>
      </c>
      <c r="O2563" s="2">
        <v>54</v>
      </c>
      <c r="P2563" s="8">
        <f t="shared" si="158"/>
        <v>1223</v>
      </c>
      <c r="Q2563" s="8">
        <f t="shared" si="159"/>
        <v>1115</v>
      </c>
      <c r="R2563" s="2" t="s">
        <v>56</v>
      </c>
      <c r="S2563" s="9">
        <f>VLOOKUP(P2563,$T$2:U2560,2,1)</f>
        <v>0.02</v>
      </c>
    </row>
    <row r="2564" spans="1:19" x14ac:dyDescent="0.25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e">
        <f>VLOOKUP(F2564,'Customer Info'!A2556:I3055,2,0)</f>
        <v>#N/A</v>
      </c>
      <c r="H2564" s="6" t="e">
        <f>VLOOKUP(F2564,'Customer Info'!A2556:I3055,3,0)</f>
        <v>#N/A</v>
      </c>
      <c r="I2564" s="6" t="e">
        <f>VLOOKUP(F2564,'Customer Info'!A2556:I3055,5,0)</f>
        <v>#N/A</v>
      </c>
      <c r="J2564" s="2">
        <v>1911</v>
      </c>
      <c r="K2564" s="2">
        <v>1785</v>
      </c>
      <c r="L2564" s="2">
        <v>1</v>
      </c>
      <c r="M2564" s="7">
        <f t="shared" si="156"/>
        <v>1785</v>
      </c>
      <c r="N2564" s="7">
        <f t="shared" si="157"/>
        <v>1911</v>
      </c>
      <c r="O2564" s="2">
        <v>82</v>
      </c>
      <c r="P2564" s="8">
        <f t="shared" si="158"/>
        <v>1993</v>
      </c>
      <c r="Q2564" s="8">
        <f t="shared" si="159"/>
        <v>1829</v>
      </c>
      <c r="R2564" s="2" t="s">
        <v>28</v>
      </c>
      <c r="S2564" s="9">
        <f>VLOOKUP(P2564,$T$2:U2561,2,1)</f>
        <v>0.02</v>
      </c>
    </row>
    <row r="2565" spans="1:19" x14ac:dyDescent="0.25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e">
        <f>VLOOKUP(F2565,'Customer Info'!A2557:I3056,2,0)</f>
        <v>#N/A</v>
      </c>
      <c r="H2565" s="6" t="e">
        <f>VLOOKUP(F2565,'Customer Info'!A2557:I3056,3,0)</f>
        <v>#N/A</v>
      </c>
      <c r="I2565" s="6" t="e">
        <f>VLOOKUP(F2565,'Customer Info'!A2557:I3056,5,0)</f>
        <v>#N/A</v>
      </c>
      <c r="J2565" s="2">
        <v>773</v>
      </c>
      <c r="K2565" s="2">
        <v>708</v>
      </c>
      <c r="L2565" s="2">
        <v>1</v>
      </c>
      <c r="M2565" s="7">
        <f t="shared" si="156"/>
        <v>708</v>
      </c>
      <c r="N2565" s="7">
        <f t="shared" si="157"/>
        <v>773</v>
      </c>
      <c r="O2565" s="2">
        <v>78</v>
      </c>
      <c r="P2565" s="8">
        <f t="shared" si="158"/>
        <v>851</v>
      </c>
      <c r="Q2565" s="8">
        <f t="shared" si="159"/>
        <v>695</v>
      </c>
      <c r="R2565" s="2" t="s">
        <v>28</v>
      </c>
      <c r="S2565" s="9">
        <f>VLOOKUP(P2565,$T$2:U2562,2,1)</f>
        <v>0.02</v>
      </c>
    </row>
    <row r="2566" spans="1:19" x14ac:dyDescent="0.25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e">
        <f>VLOOKUP(F2566,'Customer Info'!A2558:I3057,2,0)</f>
        <v>#N/A</v>
      </c>
      <c r="H2566" s="6" t="e">
        <f>VLOOKUP(F2566,'Customer Info'!A2558:I3057,3,0)</f>
        <v>#N/A</v>
      </c>
      <c r="I2566" s="6" t="e">
        <f>VLOOKUP(F2566,'Customer Info'!A2558:I3057,5,0)</f>
        <v>#N/A</v>
      </c>
      <c r="J2566" s="2">
        <v>531</v>
      </c>
      <c r="K2566" s="2">
        <v>487</v>
      </c>
      <c r="L2566" s="2">
        <v>3</v>
      </c>
      <c r="M2566" s="7">
        <f t="shared" si="156"/>
        <v>1461</v>
      </c>
      <c r="N2566" s="7">
        <f t="shared" si="157"/>
        <v>1593</v>
      </c>
      <c r="O2566" s="2">
        <v>33</v>
      </c>
      <c r="P2566" s="8">
        <f t="shared" si="158"/>
        <v>1626</v>
      </c>
      <c r="Q2566" s="8">
        <f t="shared" si="159"/>
        <v>1560</v>
      </c>
      <c r="R2566" s="2" t="s">
        <v>28</v>
      </c>
      <c r="S2566" s="9">
        <f>VLOOKUP(P2566,$T$2:U2563,2,1)</f>
        <v>0.02</v>
      </c>
    </row>
    <row r="2567" spans="1:19" x14ac:dyDescent="0.25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e">
        <f>VLOOKUP(F2567,'Customer Info'!A2559:I3058,2,0)</f>
        <v>#N/A</v>
      </c>
      <c r="H2567" s="6" t="e">
        <f>VLOOKUP(F2567,'Customer Info'!A2559:I3058,3,0)</f>
        <v>#N/A</v>
      </c>
      <c r="I2567" s="6" t="e">
        <f>VLOOKUP(F2567,'Customer Info'!A2559:I3058,5,0)</f>
        <v>#N/A</v>
      </c>
      <c r="J2567" s="2">
        <v>4808</v>
      </c>
      <c r="K2567" s="2">
        <v>4453</v>
      </c>
      <c r="L2567" s="2">
        <v>1</v>
      </c>
      <c r="M2567" s="7">
        <f t="shared" si="156"/>
        <v>4453</v>
      </c>
      <c r="N2567" s="7">
        <f t="shared" si="157"/>
        <v>4808</v>
      </c>
      <c r="O2567" s="2">
        <v>34</v>
      </c>
      <c r="P2567" s="8">
        <f t="shared" si="158"/>
        <v>4842</v>
      </c>
      <c r="Q2567" s="8">
        <f t="shared" si="159"/>
        <v>4774</v>
      </c>
      <c r="R2567" s="2" t="s">
        <v>50</v>
      </c>
      <c r="S2567" s="9">
        <f>VLOOKUP(P2567,$T$2:U2564,2,1)</f>
        <v>0.02</v>
      </c>
    </row>
    <row r="2568" spans="1:19" x14ac:dyDescent="0.25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e">
        <f>VLOOKUP(F2568,'Customer Info'!A2560:I3059,2,0)</f>
        <v>#N/A</v>
      </c>
      <c r="H2568" s="6" t="e">
        <f>VLOOKUP(F2568,'Customer Info'!A2560:I3059,3,0)</f>
        <v>#N/A</v>
      </c>
      <c r="I2568" s="6" t="e">
        <f>VLOOKUP(F2568,'Customer Info'!A2560:I3059,5,0)</f>
        <v>#N/A</v>
      </c>
      <c r="J2568" s="2">
        <v>6664</v>
      </c>
      <c r="K2568" s="2">
        <v>6473</v>
      </c>
      <c r="L2568" s="2">
        <v>2</v>
      </c>
      <c r="M2568" s="7">
        <f t="shared" si="156"/>
        <v>12946</v>
      </c>
      <c r="N2568" s="7">
        <f t="shared" si="157"/>
        <v>13328</v>
      </c>
      <c r="O2568" s="2">
        <v>41</v>
      </c>
      <c r="P2568" s="8">
        <f t="shared" si="158"/>
        <v>13369</v>
      </c>
      <c r="Q2568" s="8">
        <f t="shared" si="159"/>
        <v>13287</v>
      </c>
      <c r="R2568" s="2" t="s">
        <v>50</v>
      </c>
      <c r="S2568" s="9">
        <f>VLOOKUP(P2568,$T$2:U2565,2,1)</f>
        <v>0.05</v>
      </c>
    </row>
    <row r="2569" spans="1:19" x14ac:dyDescent="0.25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e">
        <f>VLOOKUP(F2569,'Customer Info'!A2561:I3060,2,0)</f>
        <v>#N/A</v>
      </c>
      <c r="H2569" s="6" t="e">
        <f>VLOOKUP(F2569,'Customer Info'!A2561:I3060,3,0)</f>
        <v>#N/A</v>
      </c>
      <c r="I2569" s="6" t="e">
        <f>VLOOKUP(F2569,'Customer Info'!A2561:I3060,5,0)</f>
        <v>#N/A</v>
      </c>
      <c r="J2569" s="2">
        <v>1413</v>
      </c>
      <c r="K2569" s="2">
        <v>1334</v>
      </c>
      <c r="L2569" s="2">
        <v>3</v>
      </c>
      <c r="M2569" s="7">
        <f t="shared" si="156"/>
        <v>4002</v>
      </c>
      <c r="N2569" s="7">
        <f t="shared" si="157"/>
        <v>4239</v>
      </c>
      <c r="O2569" s="2">
        <v>41</v>
      </c>
      <c r="P2569" s="8">
        <f t="shared" si="158"/>
        <v>4280</v>
      </c>
      <c r="Q2569" s="8">
        <f t="shared" si="159"/>
        <v>4198</v>
      </c>
      <c r="R2569" s="2" t="s">
        <v>50</v>
      </c>
      <c r="S2569" s="9">
        <f>VLOOKUP(P2569,$T$2:U2566,2,1)</f>
        <v>0.02</v>
      </c>
    </row>
    <row r="2570" spans="1:19" x14ac:dyDescent="0.25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e">
        <f>VLOOKUP(F2570,'Customer Info'!A2562:I3061,2,0)</f>
        <v>#N/A</v>
      </c>
      <c r="H2570" s="6" t="e">
        <f>VLOOKUP(F2570,'Customer Info'!A2562:I3061,3,0)</f>
        <v>#N/A</v>
      </c>
      <c r="I2570" s="6" t="e">
        <f>VLOOKUP(F2570,'Customer Info'!A2562:I3061,5,0)</f>
        <v>#N/A</v>
      </c>
      <c r="J2570" s="2">
        <v>6024</v>
      </c>
      <c r="K2570" s="2">
        <v>5424</v>
      </c>
      <c r="L2570" s="2">
        <v>2</v>
      </c>
      <c r="M2570" s="7">
        <f t="shared" si="156"/>
        <v>10848</v>
      </c>
      <c r="N2570" s="7">
        <f t="shared" si="157"/>
        <v>12048</v>
      </c>
      <c r="O2570" s="2">
        <v>79</v>
      </c>
      <c r="P2570" s="8">
        <f t="shared" si="158"/>
        <v>12127</v>
      </c>
      <c r="Q2570" s="8">
        <f t="shared" si="159"/>
        <v>11969</v>
      </c>
      <c r="R2570" s="2" t="s">
        <v>28</v>
      </c>
      <c r="S2570" s="9">
        <f>VLOOKUP(P2570,$T$2:U2567,2,1)</f>
        <v>0.05</v>
      </c>
    </row>
    <row r="2571" spans="1:19" x14ac:dyDescent="0.25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e">
        <f>VLOOKUP(F2571,'Customer Info'!A2563:I3062,2,0)</f>
        <v>#N/A</v>
      </c>
      <c r="H2571" s="6" t="e">
        <f>VLOOKUP(F2571,'Customer Info'!A2563:I3062,3,0)</f>
        <v>#N/A</v>
      </c>
      <c r="I2571" s="6" t="e">
        <f>VLOOKUP(F2571,'Customer Info'!A2563:I3062,5,0)</f>
        <v>#N/A</v>
      </c>
      <c r="J2571" s="2">
        <v>1169</v>
      </c>
      <c r="K2571" s="2">
        <v>1072</v>
      </c>
      <c r="L2571" s="2">
        <v>5</v>
      </c>
      <c r="M2571" s="7">
        <f t="shared" ref="M2571:M2634" si="160">K2571*L2571</f>
        <v>5360</v>
      </c>
      <c r="N2571" s="7">
        <f t="shared" ref="N2571:N2634" si="161">J2571*L2571</f>
        <v>5845</v>
      </c>
      <c r="O2571" s="2">
        <v>83</v>
      </c>
      <c r="P2571" s="8">
        <f t="shared" ref="P2571:P2634" si="162">SUM(N2571,O2571)</f>
        <v>5928</v>
      </c>
      <c r="Q2571" s="8">
        <f t="shared" ref="Q2571:Q2634" si="163">N2571-O2571</f>
        <v>5762</v>
      </c>
      <c r="R2571" s="2" t="s">
        <v>28</v>
      </c>
      <c r="S2571" s="9">
        <f>VLOOKUP(P2571,$T$2:U2568,2,1)</f>
        <v>0.05</v>
      </c>
    </row>
    <row r="2572" spans="1:19" x14ac:dyDescent="0.25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e">
        <f>VLOOKUP(F2572,'Customer Info'!A2564:I3063,2,0)</f>
        <v>#N/A</v>
      </c>
      <c r="H2572" s="6" t="e">
        <f>VLOOKUP(F2572,'Customer Info'!A2564:I3063,3,0)</f>
        <v>#N/A</v>
      </c>
      <c r="I2572" s="6" t="e">
        <f>VLOOKUP(F2572,'Customer Info'!A2564:I3063,5,0)</f>
        <v>#N/A</v>
      </c>
      <c r="J2572" s="2">
        <v>1717</v>
      </c>
      <c r="K2572" s="2">
        <v>1652</v>
      </c>
      <c r="L2572" s="2">
        <v>1</v>
      </c>
      <c r="M2572" s="7">
        <f t="shared" si="160"/>
        <v>1652</v>
      </c>
      <c r="N2572" s="7">
        <f t="shared" si="161"/>
        <v>1717</v>
      </c>
      <c r="O2572" s="2">
        <v>99</v>
      </c>
      <c r="P2572" s="8">
        <f t="shared" si="162"/>
        <v>1816</v>
      </c>
      <c r="Q2572" s="8">
        <f t="shared" si="163"/>
        <v>1618</v>
      </c>
      <c r="R2572" s="2" t="s">
        <v>50</v>
      </c>
      <c r="S2572" s="9">
        <f>VLOOKUP(P2572,$T$2:U2569,2,1)</f>
        <v>0.02</v>
      </c>
    </row>
    <row r="2573" spans="1:19" x14ac:dyDescent="0.25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e">
        <f>VLOOKUP(F2573,'Customer Info'!A2565:I3064,2,0)</f>
        <v>#N/A</v>
      </c>
      <c r="H2573" s="6" t="e">
        <f>VLOOKUP(F2573,'Customer Info'!A2565:I3064,3,0)</f>
        <v>#N/A</v>
      </c>
      <c r="I2573" s="6" t="e">
        <f>VLOOKUP(F2573,'Customer Info'!A2565:I3064,5,0)</f>
        <v>#N/A</v>
      </c>
      <c r="J2573" s="2">
        <v>712</v>
      </c>
      <c r="K2573" s="2">
        <v>640</v>
      </c>
      <c r="L2573" s="2">
        <v>3</v>
      </c>
      <c r="M2573" s="7">
        <f t="shared" si="160"/>
        <v>1920</v>
      </c>
      <c r="N2573" s="7">
        <f t="shared" si="161"/>
        <v>2136</v>
      </c>
      <c r="O2573" s="2">
        <v>96</v>
      </c>
      <c r="P2573" s="8">
        <f t="shared" si="162"/>
        <v>2232</v>
      </c>
      <c r="Q2573" s="8">
        <f t="shared" si="163"/>
        <v>2040</v>
      </c>
      <c r="R2573" s="2" t="s">
        <v>50</v>
      </c>
      <c r="S2573" s="9">
        <f>VLOOKUP(P2573,$T$2:U2570,2,1)</f>
        <v>0.02</v>
      </c>
    </row>
    <row r="2574" spans="1:19" x14ac:dyDescent="0.25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e">
        <f>VLOOKUP(F2574,'Customer Info'!A2566:I3065,2,0)</f>
        <v>#N/A</v>
      </c>
      <c r="H2574" s="6" t="e">
        <f>VLOOKUP(F2574,'Customer Info'!A2566:I3065,3,0)</f>
        <v>#N/A</v>
      </c>
      <c r="I2574" s="6" t="e">
        <f>VLOOKUP(F2574,'Customer Info'!A2566:I3065,5,0)</f>
        <v>#N/A</v>
      </c>
      <c r="J2574" s="2">
        <v>5909</v>
      </c>
      <c r="K2574" s="2">
        <v>5528</v>
      </c>
      <c r="L2574" s="2">
        <v>2</v>
      </c>
      <c r="M2574" s="7">
        <f t="shared" si="160"/>
        <v>11056</v>
      </c>
      <c r="N2574" s="7">
        <f t="shared" si="161"/>
        <v>11818</v>
      </c>
      <c r="O2574" s="2">
        <v>91</v>
      </c>
      <c r="P2574" s="8">
        <f t="shared" si="162"/>
        <v>11909</v>
      </c>
      <c r="Q2574" s="8">
        <f t="shared" si="163"/>
        <v>11727</v>
      </c>
      <c r="R2574" s="2" t="s">
        <v>28</v>
      </c>
      <c r="S2574" s="9">
        <f>VLOOKUP(P2574,$T$2:U2571,2,1)</f>
        <v>0.05</v>
      </c>
    </row>
    <row r="2575" spans="1:19" x14ac:dyDescent="0.25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e">
        <f>VLOOKUP(F2575,'Customer Info'!A2567:I3066,2,0)</f>
        <v>#N/A</v>
      </c>
      <c r="H2575" s="6" t="e">
        <f>VLOOKUP(F2575,'Customer Info'!A2567:I3066,3,0)</f>
        <v>#N/A</v>
      </c>
      <c r="I2575" s="6" t="e">
        <f>VLOOKUP(F2575,'Customer Info'!A2567:I3066,5,0)</f>
        <v>#N/A</v>
      </c>
      <c r="J2575" s="2">
        <v>2787</v>
      </c>
      <c r="K2575" s="2">
        <v>2681</v>
      </c>
      <c r="L2575" s="2">
        <v>5</v>
      </c>
      <c r="M2575" s="7">
        <f t="shared" si="160"/>
        <v>13405</v>
      </c>
      <c r="N2575" s="7">
        <f t="shared" si="161"/>
        <v>13935</v>
      </c>
      <c r="O2575" s="2">
        <v>40</v>
      </c>
      <c r="P2575" s="8">
        <f t="shared" si="162"/>
        <v>13975</v>
      </c>
      <c r="Q2575" s="8">
        <f t="shared" si="163"/>
        <v>13895</v>
      </c>
      <c r="R2575" s="2" t="s">
        <v>50</v>
      </c>
      <c r="S2575" s="9">
        <f>VLOOKUP(P2575,$T$2:U2572,2,1)</f>
        <v>0.05</v>
      </c>
    </row>
    <row r="2576" spans="1:19" x14ac:dyDescent="0.25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e">
        <f>VLOOKUP(F2576,'Customer Info'!A2568:I3067,2,0)</f>
        <v>#N/A</v>
      </c>
      <c r="H2576" s="6" t="e">
        <f>VLOOKUP(F2576,'Customer Info'!A2568:I3067,3,0)</f>
        <v>#N/A</v>
      </c>
      <c r="I2576" s="6" t="e">
        <f>VLOOKUP(F2576,'Customer Info'!A2568:I3067,5,0)</f>
        <v>#N/A</v>
      </c>
      <c r="J2576" s="2">
        <v>8160</v>
      </c>
      <c r="K2576" s="2">
        <v>7475</v>
      </c>
      <c r="L2576" s="2">
        <v>3</v>
      </c>
      <c r="M2576" s="7">
        <f t="shared" si="160"/>
        <v>22425</v>
      </c>
      <c r="N2576" s="7">
        <f t="shared" si="161"/>
        <v>24480</v>
      </c>
      <c r="O2576" s="2">
        <v>64</v>
      </c>
      <c r="P2576" s="8">
        <f t="shared" si="162"/>
        <v>24544</v>
      </c>
      <c r="Q2576" s="8">
        <f t="shared" si="163"/>
        <v>24416</v>
      </c>
      <c r="R2576" s="2" t="s">
        <v>28</v>
      </c>
      <c r="S2576" s="9">
        <f>VLOOKUP(P2576,$T$2:U2573,2,1)</f>
        <v>0.05</v>
      </c>
    </row>
    <row r="2577" spans="1:19" x14ac:dyDescent="0.25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e">
        <f>VLOOKUP(F2577,'Customer Info'!A2569:I3068,2,0)</f>
        <v>#N/A</v>
      </c>
      <c r="H2577" s="6" t="e">
        <f>VLOOKUP(F2577,'Customer Info'!A2569:I3068,3,0)</f>
        <v>#N/A</v>
      </c>
      <c r="I2577" s="6" t="e">
        <f>VLOOKUP(F2577,'Customer Info'!A2569:I3068,5,0)</f>
        <v>#N/A</v>
      </c>
      <c r="J2577" s="2">
        <v>511</v>
      </c>
      <c r="K2577" s="2">
        <v>468</v>
      </c>
      <c r="L2577" s="2">
        <v>1</v>
      </c>
      <c r="M2577" s="7">
        <f t="shared" si="160"/>
        <v>468</v>
      </c>
      <c r="N2577" s="7">
        <f t="shared" si="161"/>
        <v>511</v>
      </c>
      <c r="O2577" s="2">
        <v>38</v>
      </c>
      <c r="P2577" s="8">
        <f t="shared" si="162"/>
        <v>549</v>
      </c>
      <c r="Q2577" s="8">
        <f t="shared" si="163"/>
        <v>473</v>
      </c>
      <c r="R2577" s="2" t="s">
        <v>50</v>
      </c>
      <c r="S2577" s="9">
        <f>VLOOKUP(P2577,$T$2:U2574,2,1)</f>
        <v>0.02</v>
      </c>
    </row>
    <row r="2578" spans="1:19" x14ac:dyDescent="0.25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e">
        <f>VLOOKUP(F2578,'Customer Info'!A2570:I3069,2,0)</f>
        <v>#N/A</v>
      </c>
      <c r="H2578" s="6" t="e">
        <f>VLOOKUP(F2578,'Customer Info'!A2570:I3069,3,0)</f>
        <v>#N/A</v>
      </c>
      <c r="I2578" s="6" t="e">
        <f>VLOOKUP(F2578,'Customer Info'!A2570:I3069,5,0)</f>
        <v>#N/A</v>
      </c>
      <c r="J2578" s="2">
        <v>2243</v>
      </c>
      <c r="K2578" s="2">
        <v>2000</v>
      </c>
      <c r="L2578" s="2">
        <v>3</v>
      </c>
      <c r="M2578" s="7">
        <f t="shared" si="160"/>
        <v>6000</v>
      </c>
      <c r="N2578" s="7">
        <f t="shared" si="161"/>
        <v>6729</v>
      </c>
      <c r="O2578" s="2">
        <v>47</v>
      </c>
      <c r="P2578" s="8">
        <f t="shared" si="162"/>
        <v>6776</v>
      </c>
      <c r="Q2578" s="8">
        <f t="shared" si="163"/>
        <v>6682</v>
      </c>
      <c r="R2578" s="2" t="s">
        <v>28</v>
      </c>
      <c r="S2578" s="9">
        <f>VLOOKUP(P2578,$T$2:U2575,2,1)</f>
        <v>0.05</v>
      </c>
    </row>
    <row r="2579" spans="1:19" x14ac:dyDescent="0.25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e">
        <f>VLOOKUP(F2579,'Customer Info'!A2571:I3070,2,0)</f>
        <v>#N/A</v>
      </c>
      <c r="H2579" s="6" t="e">
        <f>VLOOKUP(F2579,'Customer Info'!A2571:I3070,3,0)</f>
        <v>#N/A</v>
      </c>
      <c r="I2579" s="6" t="e">
        <f>VLOOKUP(F2579,'Customer Info'!A2571:I3070,5,0)</f>
        <v>#N/A</v>
      </c>
      <c r="J2579" s="2">
        <v>1859</v>
      </c>
      <c r="K2579" s="2">
        <v>1755</v>
      </c>
      <c r="L2579" s="2">
        <v>1</v>
      </c>
      <c r="M2579" s="7">
        <f t="shared" si="160"/>
        <v>1755</v>
      </c>
      <c r="N2579" s="7">
        <f t="shared" si="161"/>
        <v>1859</v>
      </c>
      <c r="O2579" s="2">
        <v>56</v>
      </c>
      <c r="P2579" s="8">
        <f t="shared" si="162"/>
        <v>1915</v>
      </c>
      <c r="Q2579" s="8">
        <f t="shared" si="163"/>
        <v>1803</v>
      </c>
      <c r="R2579" s="2" t="s">
        <v>50</v>
      </c>
      <c r="S2579" s="9">
        <f>VLOOKUP(P2579,$T$2:U2576,2,1)</f>
        <v>0.02</v>
      </c>
    </row>
    <row r="2580" spans="1:19" x14ac:dyDescent="0.25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e">
        <f>VLOOKUP(F2580,'Customer Info'!A2572:I3071,2,0)</f>
        <v>#N/A</v>
      </c>
      <c r="H2580" s="6" t="e">
        <f>VLOOKUP(F2580,'Customer Info'!A2572:I3071,3,0)</f>
        <v>#N/A</v>
      </c>
      <c r="I2580" s="6" t="e">
        <f>VLOOKUP(F2580,'Customer Info'!A2572:I3071,5,0)</f>
        <v>#N/A</v>
      </c>
      <c r="J2580" s="2">
        <v>1283</v>
      </c>
      <c r="K2580" s="2">
        <v>1187</v>
      </c>
      <c r="L2580" s="2">
        <v>2</v>
      </c>
      <c r="M2580" s="7">
        <f t="shared" si="160"/>
        <v>2374</v>
      </c>
      <c r="N2580" s="7">
        <f t="shared" si="161"/>
        <v>2566</v>
      </c>
      <c r="O2580" s="2">
        <v>82</v>
      </c>
      <c r="P2580" s="8">
        <f t="shared" si="162"/>
        <v>2648</v>
      </c>
      <c r="Q2580" s="8">
        <f t="shared" si="163"/>
        <v>2484</v>
      </c>
      <c r="R2580" s="2" t="s">
        <v>50</v>
      </c>
      <c r="S2580" s="9">
        <f>VLOOKUP(P2580,$T$2:U2577,2,1)</f>
        <v>0.02</v>
      </c>
    </row>
    <row r="2581" spans="1:19" x14ac:dyDescent="0.25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e">
        <f>VLOOKUP(F2581,'Customer Info'!A2573:I3072,2,0)</f>
        <v>#N/A</v>
      </c>
      <c r="H2581" s="6" t="e">
        <f>VLOOKUP(F2581,'Customer Info'!A2573:I3072,3,0)</f>
        <v>#N/A</v>
      </c>
      <c r="I2581" s="6" t="e">
        <f>VLOOKUP(F2581,'Customer Info'!A2573:I3072,5,0)</f>
        <v>#N/A</v>
      </c>
      <c r="J2581" s="2">
        <v>712</v>
      </c>
      <c r="K2581" s="2">
        <v>640</v>
      </c>
      <c r="L2581" s="2">
        <v>1</v>
      </c>
      <c r="M2581" s="7">
        <f t="shared" si="160"/>
        <v>640</v>
      </c>
      <c r="N2581" s="7">
        <f t="shared" si="161"/>
        <v>712</v>
      </c>
      <c r="O2581" s="2">
        <v>86</v>
      </c>
      <c r="P2581" s="8">
        <f t="shared" si="162"/>
        <v>798</v>
      </c>
      <c r="Q2581" s="8">
        <f t="shared" si="163"/>
        <v>626</v>
      </c>
      <c r="R2581" s="2" t="s">
        <v>28</v>
      </c>
      <c r="S2581" s="9">
        <f>VLOOKUP(P2581,$T$2:U2578,2,1)</f>
        <v>0.02</v>
      </c>
    </row>
    <row r="2582" spans="1:19" x14ac:dyDescent="0.25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e">
        <f>VLOOKUP(F2582,'Customer Info'!A2574:I3073,2,0)</f>
        <v>#N/A</v>
      </c>
      <c r="H2582" s="6" t="e">
        <f>VLOOKUP(F2582,'Customer Info'!A2574:I3073,3,0)</f>
        <v>#N/A</v>
      </c>
      <c r="I2582" s="6" t="e">
        <f>VLOOKUP(F2582,'Customer Info'!A2574:I3073,5,0)</f>
        <v>#N/A</v>
      </c>
      <c r="J2582" s="2">
        <v>80</v>
      </c>
      <c r="K2582" s="2">
        <v>75</v>
      </c>
      <c r="L2582" s="2">
        <v>1</v>
      </c>
      <c r="M2582" s="7">
        <f t="shared" si="160"/>
        <v>75</v>
      </c>
      <c r="N2582" s="7">
        <f t="shared" si="161"/>
        <v>80</v>
      </c>
      <c r="O2582" s="2">
        <v>10</v>
      </c>
      <c r="P2582" s="8">
        <f t="shared" si="162"/>
        <v>90</v>
      </c>
      <c r="Q2582" s="8">
        <f t="shared" si="163"/>
        <v>70</v>
      </c>
      <c r="R2582" s="2" t="s">
        <v>28</v>
      </c>
      <c r="S2582" s="9">
        <f>VLOOKUP(P2582,$T$2:U2579,2,1)</f>
        <v>0.02</v>
      </c>
    </row>
    <row r="2583" spans="1:19" x14ac:dyDescent="0.25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e">
        <f>VLOOKUP(F2583,'Customer Info'!A2575:I3074,2,0)</f>
        <v>#N/A</v>
      </c>
      <c r="H2583" s="6" t="e">
        <f>VLOOKUP(F2583,'Customer Info'!A2575:I3074,3,0)</f>
        <v>#N/A</v>
      </c>
      <c r="I2583" s="6" t="e">
        <f>VLOOKUP(F2583,'Customer Info'!A2575:I3074,5,0)</f>
        <v>#N/A</v>
      </c>
      <c r="J2583" s="2">
        <v>139</v>
      </c>
      <c r="K2583" s="2">
        <v>133</v>
      </c>
      <c r="L2583" s="2">
        <v>3</v>
      </c>
      <c r="M2583" s="7">
        <f t="shared" si="160"/>
        <v>399</v>
      </c>
      <c r="N2583" s="7">
        <f t="shared" si="161"/>
        <v>417</v>
      </c>
      <c r="O2583" s="2">
        <v>30</v>
      </c>
      <c r="P2583" s="8">
        <f t="shared" si="162"/>
        <v>447</v>
      </c>
      <c r="Q2583" s="8">
        <f t="shared" si="163"/>
        <v>387</v>
      </c>
      <c r="R2583" s="2" t="s">
        <v>28</v>
      </c>
      <c r="S2583" s="9">
        <f>VLOOKUP(P2583,$T$2:U2580,2,1)</f>
        <v>0.02</v>
      </c>
    </row>
    <row r="2584" spans="1:19" x14ac:dyDescent="0.25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e">
        <f>VLOOKUP(F2584,'Customer Info'!A2576:I3075,2,0)</f>
        <v>#N/A</v>
      </c>
      <c r="H2584" s="6" t="e">
        <f>VLOOKUP(F2584,'Customer Info'!A2576:I3075,3,0)</f>
        <v>#N/A</v>
      </c>
      <c r="I2584" s="6" t="e">
        <f>VLOOKUP(F2584,'Customer Info'!A2576:I3075,5,0)</f>
        <v>#N/A</v>
      </c>
      <c r="J2584" s="2">
        <v>1654</v>
      </c>
      <c r="K2584" s="2">
        <v>1577</v>
      </c>
      <c r="L2584" s="2">
        <v>5</v>
      </c>
      <c r="M2584" s="7">
        <f t="shared" si="160"/>
        <v>7885</v>
      </c>
      <c r="N2584" s="7">
        <f t="shared" si="161"/>
        <v>8270</v>
      </c>
      <c r="O2584" s="2">
        <v>66</v>
      </c>
      <c r="P2584" s="8">
        <f t="shared" si="162"/>
        <v>8336</v>
      </c>
      <c r="Q2584" s="8">
        <f t="shared" si="163"/>
        <v>8204</v>
      </c>
      <c r="R2584" s="2" t="s">
        <v>28</v>
      </c>
      <c r="S2584" s="9">
        <f>VLOOKUP(P2584,$T$2:U2581,2,1)</f>
        <v>0.05</v>
      </c>
    </row>
    <row r="2585" spans="1:19" x14ac:dyDescent="0.25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e">
        <f>VLOOKUP(F2585,'Customer Info'!A2577:I3076,2,0)</f>
        <v>#N/A</v>
      </c>
      <c r="H2585" s="6" t="e">
        <f>VLOOKUP(F2585,'Customer Info'!A2577:I3076,3,0)</f>
        <v>#N/A</v>
      </c>
      <c r="I2585" s="6" t="e">
        <f>VLOOKUP(F2585,'Customer Info'!A2577:I3076,5,0)</f>
        <v>#N/A</v>
      </c>
      <c r="J2585" s="2">
        <v>4784</v>
      </c>
      <c r="K2585" s="2">
        <v>4518</v>
      </c>
      <c r="L2585" s="2">
        <v>4</v>
      </c>
      <c r="M2585" s="7">
        <f t="shared" si="160"/>
        <v>18072</v>
      </c>
      <c r="N2585" s="7">
        <f t="shared" si="161"/>
        <v>19136</v>
      </c>
      <c r="O2585" s="2">
        <v>59</v>
      </c>
      <c r="P2585" s="8">
        <f t="shared" si="162"/>
        <v>19195</v>
      </c>
      <c r="Q2585" s="8">
        <f t="shared" si="163"/>
        <v>19077</v>
      </c>
      <c r="R2585" s="2" t="s">
        <v>28</v>
      </c>
      <c r="S2585" s="9">
        <f>VLOOKUP(P2585,$T$2:U2582,2,1)</f>
        <v>0.05</v>
      </c>
    </row>
    <row r="2586" spans="1:19" x14ac:dyDescent="0.25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e">
        <f>VLOOKUP(F2586,'Customer Info'!A2578:I3077,2,0)</f>
        <v>#N/A</v>
      </c>
      <c r="H2586" s="6" t="e">
        <f>VLOOKUP(F2586,'Customer Info'!A2578:I3077,3,0)</f>
        <v>#N/A</v>
      </c>
      <c r="I2586" s="6" t="e">
        <f>VLOOKUP(F2586,'Customer Info'!A2578:I3077,5,0)</f>
        <v>#N/A</v>
      </c>
      <c r="J2586" s="2">
        <v>8686</v>
      </c>
      <c r="K2586" s="2">
        <v>8035</v>
      </c>
      <c r="L2586" s="2">
        <v>14</v>
      </c>
      <c r="M2586" s="7">
        <f t="shared" si="160"/>
        <v>112490</v>
      </c>
      <c r="N2586" s="7">
        <f t="shared" si="161"/>
        <v>121604</v>
      </c>
      <c r="O2586" s="2">
        <v>65</v>
      </c>
      <c r="P2586" s="8">
        <f t="shared" si="162"/>
        <v>121669</v>
      </c>
      <c r="Q2586" s="8">
        <f t="shared" si="163"/>
        <v>121539</v>
      </c>
      <c r="R2586" s="2" t="s">
        <v>26</v>
      </c>
      <c r="S2586" s="9">
        <f>VLOOKUP(P2586,$T$2:U2583,2,1)</f>
        <v>0.12</v>
      </c>
    </row>
    <row r="2587" spans="1:19" x14ac:dyDescent="0.25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e">
        <f>VLOOKUP(F2587,'Customer Info'!A2579:I3078,2,0)</f>
        <v>#N/A</v>
      </c>
      <c r="H2587" s="6" t="e">
        <f>VLOOKUP(F2587,'Customer Info'!A2579:I3078,3,0)</f>
        <v>#N/A</v>
      </c>
      <c r="I2587" s="6" t="e">
        <f>VLOOKUP(F2587,'Customer Info'!A2579:I3078,5,0)</f>
        <v>#N/A</v>
      </c>
      <c r="J2587" s="2">
        <v>5051</v>
      </c>
      <c r="K2587" s="2">
        <v>4634</v>
      </c>
      <c r="L2587" s="2">
        <v>1</v>
      </c>
      <c r="M2587" s="7">
        <f t="shared" si="160"/>
        <v>4634</v>
      </c>
      <c r="N2587" s="7">
        <f t="shared" si="161"/>
        <v>5051</v>
      </c>
      <c r="O2587" s="2">
        <v>69</v>
      </c>
      <c r="P2587" s="8">
        <f t="shared" si="162"/>
        <v>5120</v>
      </c>
      <c r="Q2587" s="8">
        <f t="shared" si="163"/>
        <v>4982</v>
      </c>
      <c r="R2587" s="2" t="s">
        <v>50</v>
      </c>
      <c r="S2587" s="9">
        <f>VLOOKUP(P2587,$T$2:U2584,2,1)</f>
        <v>0.05</v>
      </c>
    </row>
    <row r="2588" spans="1:19" x14ac:dyDescent="0.25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e">
        <f>VLOOKUP(F2588,'Customer Info'!A2580:I3079,2,0)</f>
        <v>#N/A</v>
      </c>
      <c r="H2588" s="6" t="e">
        <f>VLOOKUP(F2588,'Customer Info'!A2580:I3079,3,0)</f>
        <v>#N/A</v>
      </c>
      <c r="I2588" s="6" t="e">
        <f>VLOOKUP(F2588,'Customer Info'!A2580:I3079,5,0)</f>
        <v>#N/A</v>
      </c>
      <c r="J2588" s="2">
        <v>914</v>
      </c>
      <c r="K2588" s="2">
        <v>830</v>
      </c>
      <c r="L2588" s="2">
        <v>2</v>
      </c>
      <c r="M2588" s="7">
        <f t="shared" si="160"/>
        <v>1660</v>
      </c>
      <c r="N2588" s="7">
        <f t="shared" si="161"/>
        <v>1828</v>
      </c>
      <c r="O2588" s="2">
        <v>73</v>
      </c>
      <c r="P2588" s="8">
        <f t="shared" si="162"/>
        <v>1901</v>
      </c>
      <c r="Q2588" s="8">
        <f t="shared" si="163"/>
        <v>1755</v>
      </c>
      <c r="R2588" s="2" t="s">
        <v>28</v>
      </c>
      <c r="S2588" s="9">
        <f>VLOOKUP(P2588,$T$2:U2585,2,1)</f>
        <v>0.02</v>
      </c>
    </row>
    <row r="2589" spans="1:19" x14ac:dyDescent="0.25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e">
        <f>VLOOKUP(F2589,'Customer Info'!A2581:I3080,2,0)</f>
        <v>#N/A</v>
      </c>
      <c r="H2589" s="6" t="e">
        <f>VLOOKUP(F2589,'Customer Info'!A2581:I3080,3,0)</f>
        <v>#N/A</v>
      </c>
      <c r="I2589" s="6" t="e">
        <f>VLOOKUP(F2589,'Customer Info'!A2581:I3080,5,0)</f>
        <v>#N/A</v>
      </c>
      <c r="J2589" s="2">
        <v>173</v>
      </c>
      <c r="K2589" s="2">
        <v>155</v>
      </c>
      <c r="L2589" s="2">
        <v>14</v>
      </c>
      <c r="M2589" s="7">
        <f t="shared" si="160"/>
        <v>2170</v>
      </c>
      <c r="N2589" s="7">
        <f t="shared" si="161"/>
        <v>2422</v>
      </c>
      <c r="O2589" s="2">
        <v>30</v>
      </c>
      <c r="P2589" s="8">
        <f t="shared" si="162"/>
        <v>2452</v>
      </c>
      <c r="Q2589" s="8">
        <f t="shared" si="163"/>
        <v>2392</v>
      </c>
      <c r="R2589" s="2" t="s">
        <v>50</v>
      </c>
      <c r="S2589" s="9">
        <f>VLOOKUP(P2589,$T$2:U2586,2,1)</f>
        <v>0.02</v>
      </c>
    </row>
    <row r="2590" spans="1:19" x14ac:dyDescent="0.25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e">
        <f>VLOOKUP(F2590,'Customer Info'!A2582:I3081,2,0)</f>
        <v>#N/A</v>
      </c>
      <c r="H2590" s="6" t="e">
        <f>VLOOKUP(F2590,'Customer Info'!A2582:I3081,3,0)</f>
        <v>#N/A</v>
      </c>
      <c r="I2590" s="6" t="e">
        <f>VLOOKUP(F2590,'Customer Info'!A2582:I3081,5,0)</f>
        <v>#N/A</v>
      </c>
      <c r="J2590" s="2">
        <v>2228</v>
      </c>
      <c r="K2590" s="2">
        <v>2143</v>
      </c>
      <c r="L2590" s="2">
        <v>9</v>
      </c>
      <c r="M2590" s="7">
        <f t="shared" si="160"/>
        <v>19287</v>
      </c>
      <c r="N2590" s="7">
        <f t="shared" si="161"/>
        <v>20052</v>
      </c>
      <c r="O2590" s="2">
        <v>100</v>
      </c>
      <c r="P2590" s="8">
        <f t="shared" si="162"/>
        <v>20152</v>
      </c>
      <c r="Q2590" s="8">
        <f t="shared" si="163"/>
        <v>19952</v>
      </c>
      <c r="R2590" s="2" t="s">
        <v>28</v>
      </c>
      <c r="S2590" s="9">
        <f>VLOOKUP(P2590,$T$2:U2587,2,1)</f>
        <v>0.05</v>
      </c>
    </row>
    <row r="2591" spans="1:19" x14ac:dyDescent="0.25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e">
        <f>VLOOKUP(F2591,'Customer Info'!A2583:I3082,2,0)</f>
        <v>#N/A</v>
      </c>
      <c r="H2591" s="6" t="e">
        <f>VLOOKUP(F2591,'Customer Info'!A2583:I3082,3,0)</f>
        <v>#N/A</v>
      </c>
      <c r="I2591" s="6" t="e">
        <f>VLOOKUP(F2591,'Customer Info'!A2583:I3082,5,0)</f>
        <v>#N/A</v>
      </c>
      <c r="J2591" s="2">
        <v>1222</v>
      </c>
      <c r="K2591" s="2">
        <v>1187</v>
      </c>
      <c r="L2591" s="2">
        <v>2</v>
      </c>
      <c r="M2591" s="7">
        <f t="shared" si="160"/>
        <v>2374</v>
      </c>
      <c r="N2591" s="7">
        <f t="shared" si="161"/>
        <v>2444</v>
      </c>
      <c r="O2591" s="2">
        <v>61</v>
      </c>
      <c r="P2591" s="8">
        <f t="shared" si="162"/>
        <v>2505</v>
      </c>
      <c r="Q2591" s="8">
        <f t="shared" si="163"/>
        <v>2383</v>
      </c>
      <c r="R2591" s="2" t="s">
        <v>28</v>
      </c>
      <c r="S2591" s="9">
        <f>VLOOKUP(P2591,$T$2:U2588,2,1)</f>
        <v>0.02</v>
      </c>
    </row>
    <row r="2592" spans="1:19" x14ac:dyDescent="0.25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e">
        <f>VLOOKUP(F2592,'Customer Info'!A2584:I3083,2,0)</f>
        <v>#N/A</v>
      </c>
      <c r="H2592" s="6" t="e">
        <f>VLOOKUP(F2592,'Customer Info'!A2584:I3083,3,0)</f>
        <v>#N/A</v>
      </c>
      <c r="I2592" s="6" t="e">
        <f>VLOOKUP(F2592,'Customer Info'!A2584:I3083,5,0)</f>
        <v>#N/A</v>
      </c>
      <c r="J2592" s="2">
        <v>93</v>
      </c>
      <c r="K2592" s="2">
        <v>86</v>
      </c>
      <c r="L2592" s="2">
        <v>4</v>
      </c>
      <c r="M2592" s="7">
        <f t="shared" si="160"/>
        <v>344</v>
      </c>
      <c r="N2592" s="7">
        <f t="shared" si="161"/>
        <v>372</v>
      </c>
      <c r="O2592" s="2">
        <v>10</v>
      </c>
      <c r="P2592" s="8">
        <f t="shared" si="162"/>
        <v>382</v>
      </c>
      <c r="Q2592" s="8">
        <f t="shared" si="163"/>
        <v>362</v>
      </c>
      <c r="R2592" s="2" t="s">
        <v>50</v>
      </c>
      <c r="S2592" s="9">
        <f>VLOOKUP(P2592,$T$2:U2589,2,1)</f>
        <v>0.02</v>
      </c>
    </row>
    <row r="2593" spans="1:19" x14ac:dyDescent="0.25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e">
        <f>VLOOKUP(F2593,'Customer Info'!A2585:I3084,2,0)</f>
        <v>#N/A</v>
      </c>
      <c r="H2593" s="6" t="e">
        <f>VLOOKUP(F2593,'Customer Info'!A2585:I3084,3,0)</f>
        <v>#N/A</v>
      </c>
      <c r="I2593" s="6" t="e">
        <f>VLOOKUP(F2593,'Customer Info'!A2585:I3084,5,0)</f>
        <v>#N/A</v>
      </c>
      <c r="J2593" s="2">
        <v>2787</v>
      </c>
      <c r="K2593" s="2">
        <v>2681</v>
      </c>
      <c r="L2593" s="2">
        <v>1</v>
      </c>
      <c r="M2593" s="7">
        <f t="shared" si="160"/>
        <v>2681</v>
      </c>
      <c r="N2593" s="7">
        <f t="shared" si="161"/>
        <v>2787</v>
      </c>
      <c r="O2593" s="2">
        <v>55</v>
      </c>
      <c r="P2593" s="8">
        <f t="shared" si="162"/>
        <v>2842</v>
      </c>
      <c r="Q2593" s="8">
        <f t="shared" si="163"/>
        <v>2732</v>
      </c>
      <c r="R2593" s="2" t="s">
        <v>50</v>
      </c>
      <c r="S2593" s="9">
        <f>VLOOKUP(P2593,$T$2:U2590,2,1)</f>
        <v>0.02</v>
      </c>
    </row>
    <row r="2594" spans="1:19" x14ac:dyDescent="0.25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e">
        <f>VLOOKUP(F2594,'Customer Info'!A2586:I3085,2,0)</f>
        <v>#N/A</v>
      </c>
      <c r="H2594" s="6" t="e">
        <f>VLOOKUP(F2594,'Customer Info'!A2586:I3085,3,0)</f>
        <v>#N/A</v>
      </c>
      <c r="I2594" s="6" t="e">
        <f>VLOOKUP(F2594,'Customer Info'!A2586:I3085,5,0)</f>
        <v>#N/A</v>
      </c>
      <c r="J2594" s="2">
        <v>214</v>
      </c>
      <c r="K2594" s="2">
        <v>199</v>
      </c>
      <c r="L2594" s="2">
        <v>8</v>
      </c>
      <c r="M2594" s="7">
        <f t="shared" si="160"/>
        <v>1592</v>
      </c>
      <c r="N2594" s="7">
        <f t="shared" si="161"/>
        <v>1712</v>
      </c>
      <c r="O2594" s="2">
        <v>68</v>
      </c>
      <c r="P2594" s="8">
        <f t="shared" si="162"/>
        <v>1780</v>
      </c>
      <c r="Q2594" s="8">
        <f t="shared" si="163"/>
        <v>1644</v>
      </c>
      <c r="R2594" s="2" t="s">
        <v>28</v>
      </c>
      <c r="S2594" s="9">
        <f>VLOOKUP(P2594,$T$2:U2591,2,1)</f>
        <v>0.02</v>
      </c>
    </row>
    <row r="2595" spans="1:19" x14ac:dyDescent="0.25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e">
        <f>VLOOKUP(F2595,'Customer Info'!A2587:I3086,2,0)</f>
        <v>#N/A</v>
      </c>
      <c r="H2595" s="6" t="e">
        <f>VLOOKUP(F2595,'Customer Info'!A2587:I3086,3,0)</f>
        <v>#N/A</v>
      </c>
      <c r="I2595" s="6" t="e">
        <f>VLOOKUP(F2595,'Customer Info'!A2587:I3086,5,0)</f>
        <v>#N/A</v>
      </c>
      <c r="J2595" s="2">
        <v>1721</v>
      </c>
      <c r="K2595" s="2">
        <v>1640</v>
      </c>
      <c r="L2595" s="2">
        <v>1</v>
      </c>
      <c r="M2595" s="7">
        <f t="shared" si="160"/>
        <v>1640</v>
      </c>
      <c r="N2595" s="7">
        <f t="shared" si="161"/>
        <v>1721</v>
      </c>
      <c r="O2595" s="2">
        <v>79</v>
      </c>
      <c r="P2595" s="8">
        <f t="shared" si="162"/>
        <v>1800</v>
      </c>
      <c r="Q2595" s="8">
        <f t="shared" si="163"/>
        <v>1642</v>
      </c>
      <c r="R2595" s="2" t="s">
        <v>28</v>
      </c>
      <c r="S2595" s="9">
        <f>VLOOKUP(P2595,$T$2:U2592,2,1)</f>
        <v>0.02</v>
      </c>
    </row>
    <row r="2596" spans="1:19" x14ac:dyDescent="0.25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e">
        <f>VLOOKUP(F2596,'Customer Info'!A2588:I3087,2,0)</f>
        <v>#N/A</v>
      </c>
      <c r="H2596" s="6" t="e">
        <f>VLOOKUP(F2596,'Customer Info'!A2588:I3087,3,0)</f>
        <v>#N/A</v>
      </c>
      <c r="I2596" s="6" t="e">
        <f>VLOOKUP(F2596,'Customer Info'!A2588:I3087,5,0)</f>
        <v>#N/A</v>
      </c>
      <c r="J2596" s="2">
        <v>220</v>
      </c>
      <c r="K2596" s="2">
        <v>206</v>
      </c>
      <c r="L2596" s="2">
        <v>1</v>
      </c>
      <c r="M2596" s="7">
        <f t="shared" si="160"/>
        <v>206</v>
      </c>
      <c r="N2596" s="7">
        <f t="shared" si="161"/>
        <v>220</v>
      </c>
      <c r="O2596" s="2">
        <v>21</v>
      </c>
      <c r="P2596" s="8">
        <f t="shared" si="162"/>
        <v>241</v>
      </c>
      <c r="Q2596" s="8">
        <f t="shared" si="163"/>
        <v>199</v>
      </c>
      <c r="R2596" s="2" t="s">
        <v>28</v>
      </c>
      <c r="S2596" s="9">
        <f>VLOOKUP(P2596,$T$2:U2593,2,1)</f>
        <v>0.02</v>
      </c>
    </row>
    <row r="2597" spans="1:19" x14ac:dyDescent="0.25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e">
        <f>VLOOKUP(F2597,'Customer Info'!A2589:I3088,2,0)</f>
        <v>#N/A</v>
      </c>
      <c r="H2597" s="6" t="e">
        <f>VLOOKUP(F2597,'Customer Info'!A2589:I3088,3,0)</f>
        <v>#N/A</v>
      </c>
      <c r="I2597" s="6" t="e">
        <f>VLOOKUP(F2597,'Customer Info'!A2589:I3088,5,0)</f>
        <v>#N/A</v>
      </c>
      <c r="J2597" s="2">
        <v>6598</v>
      </c>
      <c r="K2597" s="2">
        <v>6346</v>
      </c>
      <c r="L2597" s="2">
        <v>1</v>
      </c>
      <c r="M2597" s="7">
        <f t="shared" si="160"/>
        <v>6346</v>
      </c>
      <c r="N2597" s="7">
        <f t="shared" si="161"/>
        <v>6598</v>
      </c>
      <c r="O2597" s="2">
        <v>36</v>
      </c>
      <c r="P2597" s="8">
        <f t="shared" si="162"/>
        <v>6634</v>
      </c>
      <c r="Q2597" s="8">
        <f t="shared" si="163"/>
        <v>6562</v>
      </c>
      <c r="R2597" s="2" t="s">
        <v>26</v>
      </c>
      <c r="S2597" s="9">
        <f>VLOOKUP(P2597,$T$2:U2594,2,1)</f>
        <v>0.05</v>
      </c>
    </row>
    <row r="2598" spans="1:19" x14ac:dyDescent="0.25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e">
        <f>VLOOKUP(F2598,'Customer Info'!A2590:I3089,2,0)</f>
        <v>#N/A</v>
      </c>
      <c r="H2598" s="6" t="e">
        <f>VLOOKUP(F2598,'Customer Info'!A2590:I3089,3,0)</f>
        <v>#N/A</v>
      </c>
      <c r="I2598" s="6" t="e">
        <f>VLOOKUP(F2598,'Customer Info'!A2590:I3089,5,0)</f>
        <v>#N/A</v>
      </c>
      <c r="J2598" s="2">
        <v>2602</v>
      </c>
      <c r="K2598" s="2">
        <v>2363</v>
      </c>
      <c r="L2598" s="2">
        <v>2</v>
      </c>
      <c r="M2598" s="7">
        <f t="shared" si="160"/>
        <v>4726</v>
      </c>
      <c r="N2598" s="7">
        <f t="shared" si="161"/>
        <v>5204</v>
      </c>
      <c r="O2598" s="2">
        <v>55</v>
      </c>
      <c r="P2598" s="8">
        <f t="shared" si="162"/>
        <v>5259</v>
      </c>
      <c r="Q2598" s="8">
        <f t="shared" si="163"/>
        <v>5149</v>
      </c>
      <c r="R2598" s="2" t="s">
        <v>26</v>
      </c>
      <c r="S2598" s="9">
        <f>VLOOKUP(P2598,$T$2:U2595,2,1)</f>
        <v>0.05</v>
      </c>
    </row>
    <row r="2599" spans="1:19" x14ac:dyDescent="0.25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e">
        <f>VLOOKUP(F2599,'Customer Info'!A2591:I3090,2,0)</f>
        <v>#N/A</v>
      </c>
      <c r="H2599" s="6" t="e">
        <f>VLOOKUP(F2599,'Customer Info'!A2591:I3090,3,0)</f>
        <v>#N/A</v>
      </c>
      <c r="I2599" s="6" t="e">
        <f>VLOOKUP(F2599,'Customer Info'!A2591:I3090,5,0)</f>
        <v>#N/A</v>
      </c>
      <c r="J2599" s="2">
        <v>8433</v>
      </c>
      <c r="K2599" s="2">
        <v>7801</v>
      </c>
      <c r="L2599" s="2">
        <v>3</v>
      </c>
      <c r="M2599" s="7">
        <f t="shared" si="160"/>
        <v>23403</v>
      </c>
      <c r="N2599" s="7">
        <f t="shared" si="161"/>
        <v>25299</v>
      </c>
      <c r="O2599" s="2">
        <v>58</v>
      </c>
      <c r="P2599" s="8">
        <f t="shared" si="162"/>
        <v>25357</v>
      </c>
      <c r="Q2599" s="8">
        <f t="shared" si="163"/>
        <v>25241</v>
      </c>
      <c r="R2599" s="2" t="s">
        <v>28</v>
      </c>
      <c r="S2599" s="9">
        <f>VLOOKUP(P2599,$T$2:U2596,2,1)</f>
        <v>7.0000000000000007E-2</v>
      </c>
    </row>
    <row r="2600" spans="1:19" x14ac:dyDescent="0.25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e">
        <f>VLOOKUP(F2600,'Customer Info'!A2592:I3091,2,0)</f>
        <v>#N/A</v>
      </c>
      <c r="H2600" s="6" t="e">
        <f>VLOOKUP(F2600,'Customer Info'!A2592:I3091,3,0)</f>
        <v>#N/A</v>
      </c>
      <c r="I2600" s="6" t="e">
        <f>VLOOKUP(F2600,'Customer Info'!A2592:I3091,5,0)</f>
        <v>#N/A</v>
      </c>
      <c r="J2600" s="2">
        <v>130</v>
      </c>
      <c r="K2600" s="2">
        <v>122</v>
      </c>
      <c r="L2600" s="2">
        <v>3</v>
      </c>
      <c r="M2600" s="7">
        <f t="shared" si="160"/>
        <v>366</v>
      </c>
      <c r="N2600" s="7">
        <f t="shared" si="161"/>
        <v>390</v>
      </c>
      <c r="O2600" s="2">
        <v>30</v>
      </c>
      <c r="P2600" s="8">
        <f t="shared" si="162"/>
        <v>420</v>
      </c>
      <c r="Q2600" s="8">
        <f t="shared" si="163"/>
        <v>360</v>
      </c>
      <c r="R2600" s="2" t="s">
        <v>50</v>
      </c>
      <c r="S2600" s="9">
        <f>VLOOKUP(P2600,$T$2:U2597,2,1)</f>
        <v>0.02</v>
      </c>
    </row>
    <row r="2601" spans="1:19" x14ac:dyDescent="0.25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e">
        <f>VLOOKUP(F2601,'Customer Info'!A2593:I3092,2,0)</f>
        <v>#N/A</v>
      </c>
      <c r="H2601" s="6" t="e">
        <f>VLOOKUP(F2601,'Customer Info'!A2593:I3092,3,0)</f>
        <v>#N/A</v>
      </c>
      <c r="I2601" s="6" t="e">
        <f>VLOOKUP(F2601,'Customer Info'!A2593:I3092,5,0)</f>
        <v>#N/A</v>
      </c>
      <c r="J2601" s="2">
        <v>3091</v>
      </c>
      <c r="K2601" s="2">
        <v>2889</v>
      </c>
      <c r="L2601" s="2">
        <v>7</v>
      </c>
      <c r="M2601" s="7">
        <f t="shared" si="160"/>
        <v>20223</v>
      </c>
      <c r="N2601" s="7">
        <f t="shared" si="161"/>
        <v>21637</v>
      </c>
      <c r="O2601" s="2">
        <v>36</v>
      </c>
      <c r="P2601" s="8">
        <f t="shared" si="162"/>
        <v>21673</v>
      </c>
      <c r="Q2601" s="8">
        <f t="shared" si="163"/>
        <v>21601</v>
      </c>
      <c r="R2601" s="2" t="s">
        <v>50</v>
      </c>
      <c r="S2601" s="9">
        <f>VLOOKUP(P2601,$T$2:U2598,2,1)</f>
        <v>0.05</v>
      </c>
    </row>
    <row r="2602" spans="1:19" x14ac:dyDescent="0.25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e">
        <f>VLOOKUP(F2602,'Customer Info'!A2594:I3093,2,0)</f>
        <v>#N/A</v>
      </c>
      <c r="H2602" s="6" t="e">
        <f>VLOOKUP(F2602,'Customer Info'!A2594:I3093,3,0)</f>
        <v>#N/A</v>
      </c>
      <c r="I2602" s="6" t="e">
        <f>VLOOKUP(F2602,'Customer Info'!A2594:I3093,5,0)</f>
        <v>#N/A</v>
      </c>
      <c r="J2602" s="2">
        <v>1574</v>
      </c>
      <c r="K2602" s="2">
        <v>1375</v>
      </c>
      <c r="L2602" s="2">
        <v>6</v>
      </c>
      <c r="M2602" s="7">
        <f t="shared" si="160"/>
        <v>8250</v>
      </c>
      <c r="N2602" s="7">
        <f t="shared" si="161"/>
        <v>9444</v>
      </c>
      <c r="O2602" s="2">
        <v>88</v>
      </c>
      <c r="P2602" s="8">
        <f t="shared" si="162"/>
        <v>9532</v>
      </c>
      <c r="Q2602" s="8">
        <f t="shared" si="163"/>
        <v>9356</v>
      </c>
      <c r="R2602" s="2" t="s">
        <v>50</v>
      </c>
      <c r="S2602" s="9">
        <f>VLOOKUP(P2602,$T$2:U2599,2,1)</f>
        <v>0.05</v>
      </c>
    </row>
    <row r="2603" spans="1:19" x14ac:dyDescent="0.25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e">
        <f>VLOOKUP(F2603,'Customer Info'!A2595:I3094,2,0)</f>
        <v>#N/A</v>
      </c>
      <c r="H2603" s="6" t="e">
        <f>VLOOKUP(F2603,'Customer Info'!A2595:I3094,3,0)</f>
        <v>#N/A</v>
      </c>
      <c r="I2603" s="6" t="e">
        <f>VLOOKUP(F2603,'Customer Info'!A2595:I3094,5,0)</f>
        <v>#N/A</v>
      </c>
      <c r="J2603" s="2">
        <v>3017</v>
      </c>
      <c r="K2603" s="2">
        <v>2825</v>
      </c>
      <c r="L2603" s="2">
        <v>2</v>
      </c>
      <c r="M2603" s="7">
        <f t="shared" si="160"/>
        <v>5650</v>
      </c>
      <c r="N2603" s="7">
        <f t="shared" si="161"/>
        <v>6034</v>
      </c>
      <c r="O2603" s="2">
        <v>62</v>
      </c>
      <c r="P2603" s="8">
        <f t="shared" si="162"/>
        <v>6096</v>
      </c>
      <c r="Q2603" s="8">
        <f t="shared" si="163"/>
        <v>5972</v>
      </c>
      <c r="R2603" s="2" t="s">
        <v>28</v>
      </c>
      <c r="S2603" s="9">
        <f>VLOOKUP(P2603,$T$2:U2600,2,1)</f>
        <v>0.05</v>
      </c>
    </row>
    <row r="2604" spans="1:19" x14ac:dyDescent="0.25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e">
        <f>VLOOKUP(F2604,'Customer Info'!A2596:I3095,2,0)</f>
        <v>#N/A</v>
      </c>
      <c r="H2604" s="6" t="e">
        <f>VLOOKUP(F2604,'Customer Info'!A2596:I3095,3,0)</f>
        <v>#N/A</v>
      </c>
      <c r="I2604" s="6" t="e">
        <f>VLOOKUP(F2604,'Customer Info'!A2596:I3095,5,0)</f>
        <v>#N/A</v>
      </c>
      <c r="J2604" s="2">
        <v>835</v>
      </c>
      <c r="K2604" s="2">
        <v>796</v>
      </c>
      <c r="L2604" s="2">
        <v>8</v>
      </c>
      <c r="M2604" s="7">
        <f t="shared" si="160"/>
        <v>6368</v>
      </c>
      <c r="N2604" s="7">
        <f t="shared" si="161"/>
        <v>6680</v>
      </c>
      <c r="O2604" s="2">
        <v>33</v>
      </c>
      <c r="P2604" s="8">
        <f t="shared" si="162"/>
        <v>6713</v>
      </c>
      <c r="Q2604" s="8">
        <f t="shared" si="163"/>
        <v>6647</v>
      </c>
      <c r="R2604" s="2" t="s">
        <v>28</v>
      </c>
      <c r="S2604" s="9">
        <f>VLOOKUP(P2604,$T$2:U2601,2,1)</f>
        <v>0.05</v>
      </c>
    </row>
    <row r="2605" spans="1:19" x14ac:dyDescent="0.25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e">
        <f>VLOOKUP(F2605,'Customer Info'!A2597:I3096,2,0)</f>
        <v>#N/A</v>
      </c>
      <c r="H2605" s="6" t="e">
        <f>VLOOKUP(F2605,'Customer Info'!A2597:I3096,3,0)</f>
        <v>#N/A</v>
      </c>
      <c r="I2605" s="6" t="e">
        <f>VLOOKUP(F2605,'Customer Info'!A2597:I3096,5,0)</f>
        <v>#N/A</v>
      </c>
      <c r="J2605" s="2">
        <v>8686</v>
      </c>
      <c r="K2605" s="2">
        <v>8035</v>
      </c>
      <c r="L2605" s="2">
        <v>1</v>
      </c>
      <c r="M2605" s="7">
        <f t="shared" si="160"/>
        <v>8035</v>
      </c>
      <c r="N2605" s="7">
        <f t="shared" si="161"/>
        <v>8686</v>
      </c>
      <c r="O2605" s="2">
        <v>51</v>
      </c>
      <c r="P2605" s="8">
        <f t="shared" si="162"/>
        <v>8737</v>
      </c>
      <c r="Q2605" s="8">
        <f t="shared" si="163"/>
        <v>8635</v>
      </c>
      <c r="R2605" s="2" t="s">
        <v>50</v>
      </c>
      <c r="S2605" s="9">
        <f>VLOOKUP(P2605,$T$2:U2602,2,1)</f>
        <v>0.05</v>
      </c>
    </row>
    <row r="2606" spans="1:19" x14ac:dyDescent="0.25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e">
        <f>VLOOKUP(F2606,'Customer Info'!A2598:I3097,2,0)</f>
        <v>#N/A</v>
      </c>
      <c r="H2606" s="6" t="e">
        <f>VLOOKUP(F2606,'Customer Info'!A2598:I3097,3,0)</f>
        <v>#N/A</v>
      </c>
      <c r="I2606" s="6" t="e">
        <f>VLOOKUP(F2606,'Customer Info'!A2598:I3097,5,0)</f>
        <v>#N/A</v>
      </c>
      <c r="J2606" s="2">
        <v>61</v>
      </c>
      <c r="K2606" s="2">
        <v>57</v>
      </c>
      <c r="L2606" s="2">
        <v>4</v>
      </c>
      <c r="M2606" s="7">
        <f t="shared" si="160"/>
        <v>228</v>
      </c>
      <c r="N2606" s="7">
        <f t="shared" si="161"/>
        <v>244</v>
      </c>
      <c r="O2606" s="2">
        <v>10</v>
      </c>
      <c r="P2606" s="8">
        <f t="shared" si="162"/>
        <v>254</v>
      </c>
      <c r="Q2606" s="8">
        <f t="shared" si="163"/>
        <v>234</v>
      </c>
      <c r="R2606" s="2" t="s">
        <v>28</v>
      </c>
      <c r="S2606" s="9">
        <f>VLOOKUP(P2606,$T$2:U2603,2,1)</f>
        <v>0.02</v>
      </c>
    </row>
    <row r="2607" spans="1:19" x14ac:dyDescent="0.25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e">
        <f>VLOOKUP(F2607,'Customer Info'!A2599:I3098,2,0)</f>
        <v>#N/A</v>
      </c>
      <c r="H2607" s="6" t="e">
        <f>VLOOKUP(F2607,'Customer Info'!A2599:I3098,3,0)</f>
        <v>#N/A</v>
      </c>
      <c r="I2607" s="6" t="e">
        <f>VLOOKUP(F2607,'Customer Info'!A2599:I3098,5,0)</f>
        <v>#N/A</v>
      </c>
      <c r="J2607" s="2">
        <v>3184</v>
      </c>
      <c r="K2607" s="2">
        <v>2947</v>
      </c>
      <c r="L2607" s="2">
        <v>2</v>
      </c>
      <c r="M2607" s="7">
        <f t="shared" si="160"/>
        <v>5894</v>
      </c>
      <c r="N2607" s="7">
        <f t="shared" si="161"/>
        <v>6368</v>
      </c>
      <c r="O2607" s="2">
        <v>63</v>
      </c>
      <c r="P2607" s="8">
        <f t="shared" si="162"/>
        <v>6431</v>
      </c>
      <c r="Q2607" s="8">
        <f t="shared" si="163"/>
        <v>6305</v>
      </c>
      <c r="R2607" s="2" t="s">
        <v>50</v>
      </c>
      <c r="S2607" s="9">
        <f>VLOOKUP(P2607,$T$2:U2604,2,1)</f>
        <v>0.05</v>
      </c>
    </row>
    <row r="2608" spans="1:19" x14ac:dyDescent="0.25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e">
        <f>VLOOKUP(F2608,'Customer Info'!A2600:I3099,2,0)</f>
        <v>#N/A</v>
      </c>
      <c r="H2608" s="6" t="e">
        <f>VLOOKUP(F2608,'Customer Info'!A2600:I3099,3,0)</f>
        <v>#N/A</v>
      </c>
      <c r="I2608" s="6" t="e">
        <f>VLOOKUP(F2608,'Customer Info'!A2600:I3099,5,0)</f>
        <v>#N/A</v>
      </c>
      <c r="J2608" s="2">
        <v>7361</v>
      </c>
      <c r="K2608" s="2">
        <v>6887</v>
      </c>
      <c r="L2608" s="2">
        <v>1</v>
      </c>
      <c r="M2608" s="7">
        <f t="shared" si="160"/>
        <v>6887</v>
      </c>
      <c r="N2608" s="7">
        <f t="shared" si="161"/>
        <v>7361</v>
      </c>
      <c r="O2608" s="2">
        <v>38</v>
      </c>
      <c r="P2608" s="8">
        <f t="shared" si="162"/>
        <v>7399</v>
      </c>
      <c r="Q2608" s="8">
        <f t="shared" si="163"/>
        <v>7323</v>
      </c>
      <c r="R2608" s="2" t="s">
        <v>28</v>
      </c>
      <c r="S2608" s="9">
        <f>VLOOKUP(P2608,$T$2:U2605,2,1)</f>
        <v>0.05</v>
      </c>
    </row>
    <row r="2609" spans="1:19" x14ac:dyDescent="0.25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e">
        <f>VLOOKUP(F2609,'Customer Info'!A2601:I3100,2,0)</f>
        <v>#N/A</v>
      </c>
      <c r="H2609" s="6" t="e">
        <f>VLOOKUP(F2609,'Customer Info'!A2601:I3100,3,0)</f>
        <v>#N/A</v>
      </c>
      <c r="I2609" s="6" t="e">
        <f>VLOOKUP(F2609,'Customer Info'!A2601:I3100,5,0)</f>
        <v>#N/A</v>
      </c>
      <c r="J2609" s="2">
        <v>2790</v>
      </c>
      <c r="K2609" s="2">
        <v>2557</v>
      </c>
      <c r="L2609" s="2">
        <v>7</v>
      </c>
      <c r="M2609" s="7">
        <f t="shared" si="160"/>
        <v>17899</v>
      </c>
      <c r="N2609" s="7">
        <f t="shared" si="161"/>
        <v>19530</v>
      </c>
      <c r="O2609" s="2">
        <v>34</v>
      </c>
      <c r="P2609" s="8">
        <f t="shared" si="162"/>
        <v>19564</v>
      </c>
      <c r="Q2609" s="8">
        <f t="shared" si="163"/>
        <v>19496</v>
      </c>
      <c r="R2609" s="2" t="s">
        <v>28</v>
      </c>
      <c r="S2609" s="9">
        <f>VLOOKUP(P2609,$T$2:U2606,2,1)</f>
        <v>0.05</v>
      </c>
    </row>
    <row r="2610" spans="1:19" x14ac:dyDescent="0.25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e">
        <f>VLOOKUP(F2610,'Customer Info'!A2602:I3101,2,0)</f>
        <v>#N/A</v>
      </c>
      <c r="H2610" s="6" t="e">
        <f>VLOOKUP(F2610,'Customer Info'!A2602:I3101,3,0)</f>
        <v>#N/A</v>
      </c>
      <c r="I2610" s="6" t="e">
        <f>VLOOKUP(F2610,'Customer Info'!A2602:I3101,5,0)</f>
        <v>#N/A</v>
      </c>
      <c r="J2610" s="2">
        <v>2540</v>
      </c>
      <c r="K2610" s="2">
        <v>2397</v>
      </c>
      <c r="L2610" s="2">
        <v>3</v>
      </c>
      <c r="M2610" s="7">
        <f t="shared" si="160"/>
        <v>7191</v>
      </c>
      <c r="N2610" s="7">
        <f t="shared" si="161"/>
        <v>7620</v>
      </c>
      <c r="O2610" s="2">
        <v>80</v>
      </c>
      <c r="P2610" s="8">
        <f t="shared" si="162"/>
        <v>7700</v>
      </c>
      <c r="Q2610" s="8">
        <f t="shared" si="163"/>
        <v>7540</v>
      </c>
      <c r="R2610" s="2" t="s">
        <v>28</v>
      </c>
      <c r="S2610" s="9">
        <f>VLOOKUP(P2610,$T$2:U2607,2,1)</f>
        <v>0.05</v>
      </c>
    </row>
    <row r="2611" spans="1:19" x14ac:dyDescent="0.25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e">
        <f>VLOOKUP(F2611,'Customer Info'!A2603:I3102,2,0)</f>
        <v>#N/A</v>
      </c>
      <c r="H2611" s="6" t="e">
        <f>VLOOKUP(F2611,'Customer Info'!A2603:I3102,3,0)</f>
        <v>#N/A</v>
      </c>
      <c r="I2611" s="6" t="e">
        <f>VLOOKUP(F2611,'Customer Info'!A2603:I3102,5,0)</f>
        <v>#N/A</v>
      </c>
      <c r="J2611" s="2">
        <v>2418</v>
      </c>
      <c r="K2611" s="2">
        <v>2282</v>
      </c>
      <c r="L2611" s="2">
        <v>2</v>
      </c>
      <c r="M2611" s="7">
        <f t="shared" si="160"/>
        <v>4564</v>
      </c>
      <c r="N2611" s="7">
        <f t="shared" si="161"/>
        <v>4836</v>
      </c>
      <c r="O2611" s="2">
        <v>45</v>
      </c>
      <c r="P2611" s="8">
        <f t="shared" si="162"/>
        <v>4881</v>
      </c>
      <c r="Q2611" s="8">
        <f t="shared" si="163"/>
        <v>4791</v>
      </c>
      <c r="R2611" s="2" t="s">
        <v>28</v>
      </c>
      <c r="S2611" s="9">
        <f>VLOOKUP(P2611,$T$2:U2608,2,1)</f>
        <v>0.02</v>
      </c>
    </row>
    <row r="2612" spans="1:19" x14ac:dyDescent="0.25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e">
        <f>VLOOKUP(F2612,'Customer Info'!A2604:I3103,2,0)</f>
        <v>#N/A</v>
      </c>
      <c r="H2612" s="6" t="e">
        <f>VLOOKUP(F2612,'Customer Info'!A2604:I3103,3,0)</f>
        <v>#N/A</v>
      </c>
      <c r="I2612" s="6" t="e">
        <f>VLOOKUP(F2612,'Customer Info'!A2604:I3103,5,0)</f>
        <v>#N/A</v>
      </c>
      <c r="J2612" s="2">
        <v>6611</v>
      </c>
      <c r="K2612" s="2">
        <v>5943</v>
      </c>
      <c r="L2612" s="2">
        <v>3</v>
      </c>
      <c r="M2612" s="7">
        <f t="shared" si="160"/>
        <v>17829</v>
      </c>
      <c r="N2612" s="7">
        <f t="shared" si="161"/>
        <v>19833</v>
      </c>
      <c r="O2612" s="2">
        <v>64</v>
      </c>
      <c r="P2612" s="8">
        <f t="shared" si="162"/>
        <v>19897</v>
      </c>
      <c r="Q2612" s="8">
        <f t="shared" si="163"/>
        <v>19769</v>
      </c>
      <c r="R2612" s="2" t="s">
        <v>28</v>
      </c>
      <c r="S2612" s="9">
        <f>VLOOKUP(P2612,$T$2:U2609,2,1)</f>
        <v>0.05</v>
      </c>
    </row>
    <row r="2613" spans="1:19" x14ac:dyDescent="0.25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e">
        <f>VLOOKUP(F2613,'Customer Info'!A2605:I3104,2,0)</f>
        <v>#N/A</v>
      </c>
      <c r="H2613" s="6" t="e">
        <f>VLOOKUP(F2613,'Customer Info'!A2605:I3104,3,0)</f>
        <v>#N/A</v>
      </c>
      <c r="I2613" s="6" t="e">
        <f>VLOOKUP(F2613,'Customer Info'!A2605:I3104,5,0)</f>
        <v>#N/A</v>
      </c>
      <c r="J2613" s="2">
        <v>148</v>
      </c>
      <c r="K2613" s="2">
        <v>136</v>
      </c>
      <c r="L2613" s="2">
        <v>2</v>
      </c>
      <c r="M2613" s="7">
        <f t="shared" si="160"/>
        <v>272</v>
      </c>
      <c r="N2613" s="7">
        <f t="shared" si="161"/>
        <v>296</v>
      </c>
      <c r="O2613" s="2">
        <v>30</v>
      </c>
      <c r="P2613" s="8">
        <f t="shared" si="162"/>
        <v>326</v>
      </c>
      <c r="Q2613" s="8">
        <f t="shared" si="163"/>
        <v>266</v>
      </c>
      <c r="R2613" s="2" t="s">
        <v>28</v>
      </c>
      <c r="S2613" s="9">
        <f>VLOOKUP(P2613,$T$2:U2610,2,1)</f>
        <v>0.02</v>
      </c>
    </row>
    <row r="2614" spans="1:19" x14ac:dyDescent="0.25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e">
        <f>VLOOKUP(F2614,'Customer Info'!A2606:I3105,2,0)</f>
        <v>#N/A</v>
      </c>
      <c r="H2614" s="6" t="e">
        <f>VLOOKUP(F2614,'Customer Info'!A2606:I3105,3,0)</f>
        <v>#N/A</v>
      </c>
      <c r="I2614" s="6" t="e">
        <f>VLOOKUP(F2614,'Customer Info'!A2606:I3105,5,0)</f>
        <v>#N/A</v>
      </c>
      <c r="J2614" s="2">
        <v>1498</v>
      </c>
      <c r="K2614" s="2">
        <v>1335</v>
      </c>
      <c r="L2614" s="2">
        <v>2</v>
      </c>
      <c r="M2614" s="7">
        <f t="shared" si="160"/>
        <v>2670</v>
      </c>
      <c r="N2614" s="7">
        <f t="shared" si="161"/>
        <v>2996</v>
      </c>
      <c r="O2614" s="2">
        <v>96</v>
      </c>
      <c r="P2614" s="8">
        <f t="shared" si="162"/>
        <v>3092</v>
      </c>
      <c r="Q2614" s="8">
        <f t="shared" si="163"/>
        <v>2900</v>
      </c>
      <c r="R2614" s="2" t="s">
        <v>50</v>
      </c>
      <c r="S2614" s="9">
        <f>VLOOKUP(P2614,$T$2:U2611,2,1)</f>
        <v>0.02</v>
      </c>
    </row>
    <row r="2615" spans="1:19" x14ac:dyDescent="0.25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e">
        <f>VLOOKUP(F2615,'Customer Info'!A2607:I3106,2,0)</f>
        <v>#N/A</v>
      </c>
      <c r="H2615" s="6" t="e">
        <f>VLOOKUP(F2615,'Customer Info'!A2607:I3106,3,0)</f>
        <v>#N/A</v>
      </c>
      <c r="I2615" s="6" t="e">
        <f>VLOOKUP(F2615,'Customer Info'!A2607:I3106,5,0)</f>
        <v>#N/A</v>
      </c>
      <c r="J2615" s="2">
        <v>4761</v>
      </c>
      <c r="K2615" s="2">
        <v>4368</v>
      </c>
      <c r="L2615" s="2">
        <v>5</v>
      </c>
      <c r="M2615" s="7">
        <f t="shared" si="160"/>
        <v>21840</v>
      </c>
      <c r="N2615" s="7">
        <f t="shared" si="161"/>
        <v>23805</v>
      </c>
      <c r="O2615" s="2">
        <v>79</v>
      </c>
      <c r="P2615" s="8">
        <f t="shared" si="162"/>
        <v>23884</v>
      </c>
      <c r="Q2615" s="8">
        <f t="shared" si="163"/>
        <v>23726</v>
      </c>
      <c r="R2615" s="2" t="s">
        <v>50</v>
      </c>
      <c r="S2615" s="9">
        <f>VLOOKUP(P2615,$T$2:U2612,2,1)</f>
        <v>0.05</v>
      </c>
    </row>
    <row r="2616" spans="1:19" x14ac:dyDescent="0.25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e">
        <f>VLOOKUP(F2616,'Customer Info'!A2608:I3107,2,0)</f>
        <v>#N/A</v>
      </c>
      <c r="H2616" s="6" t="e">
        <f>VLOOKUP(F2616,'Customer Info'!A2608:I3107,3,0)</f>
        <v>#N/A</v>
      </c>
      <c r="I2616" s="6" t="e">
        <f>VLOOKUP(F2616,'Customer Info'!A2608:I3107,5,0)</f>
        <v>#N/A</v>
      </c>
      <c r="J2616" s="2">
        <v>3224</v>
      </c>
      <c r="K2616" s="2">
        <v>2984</v>
      </c>
      <c r="L2616" s="2">
        <v>2</v>
      </c>
      <c r="M2616" s="7">
        <f t="shared" si="160"/>
        <v>5968</v>
      </c>
      <c r="N2616" s="7">
        <f t="shared" si="161"/>
        <v>6448</v>
      </c>
      <c r="O2616" s="2">
        <v>29</v>
      </c>
      <c r="P2616" s="8">
        <f t="shared" si="162"/>
        <v>6477</v>
      </c>
      <c r="Q2616" s="8">
        <f t="shared" si="163"/>
        <v>6419</v>
      </c>
      <c r="R2616" s="2" t="s">
        <v>26</v>
      </c>
      <c r="S2616" s="9">
        <f>VLOOKUP(P2616,$T$2:U2613,2,1)</f>
        <v>0.05</v>
      </c>
    </row>
    <row r="2617" spans="1:19" x14ac:dyDescent="0.25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e">
        <f>VLOOKUP(F2617,'Customer Info'!A2609:I3108,2,0)</f>
        <v>#N/A</v>
      </c>
      <c r="H2617" s="6" t="e">
        <f>VLOOKUP(F2617,'Customer Info'!A2609:I3108,3,0)</f>
        <v>#N/A</v>
      </c>
      <c r="I2617" s="6" t="e">
        <f>VLOOKUP(F2617,'Customer Info'!A2609:I3108,5,0)</f>
        <v>#N/A</v>
      </c>
      <c r="J2617" s="2">
        <v>1048</v>
      </c>
      <c r="K2617" s="2">
        <v>979</v>
      </c>
      <c r="L2617" s="2">
        <v>4</v>
      </c>
      <c r="M2617" s="7">
        <f t="shared" si="160"/>
        <v>3916</v>
      </c>
      <c r="N2617" s="7">
        <f t="shared" si="161"/>
        <v>4192</v>
      </c>
      <c r="O2617" s="2">
        <v>31</v>
      </c>
      <c r="P2617" s="8">
        <f t="shared" si="162"/>
        <v>4223</v>
      </c>
      <c r="Q2617" s="8">
        <f t="shared" si="163"/>
        <v>4161</v>
      </c>
      <c r="R2617" s="2" t="s">
        <v>28</v>
      </c>
      <c r="S2617" s="9">
        <f>VLOOKUP(P2617,$T$2:U2614,2,1)</f>
        <v>0.02</v>
      </c>
    </row>
    <row r="2618" spans="1:19" x14ac:dyDescent="0.25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e">
        <f>VLOOKUP(F2618,'Customer Info'!A2610:I3109,2,0)</f>
        <v>#N/A</v>
      </c>
      <c r="H2618" s="6" t="e">
        <f>VLOOKUP(F2618,'Customer Info'!A2610:I3109,3,0)</f>
        <v>#N/A</v>
      </c>
      <c r="I2618" s="6" t="e">
        <f>VLOOKUP(F2618,'Customer Info'!A2610:I3109,5,0)</f>
        <v>#N/A</v>
      </c>
      <c r="J2618" s="2">
        <v>8199</v>
      </c>
      <c r="K2618" s="2">
        <v>7523</v>
      </c>
      <c r="L2618" s="2">
        <v>4</v>
      </c>
      <c r="M2618" s="7">
        <f t="shared" si="160"/>
        <v>30092</v>
      </c>
      <c r="N2618" s="7">
        <f t="shared" si="161"/>
        <v>32796</v>
      </c>
      <c r="O2618" s="2">
        <v>23</v>
      </c>
      <c r="P2618" s="8">
        <f t="shared" si="162"/>
        <v>32819</v>
      </c>
      <c r="Q2618" s="8">
        <f t="shared" si="163"/>
        <v>32773</v>
      </c>
      <c r="R2618" s="2" t="s">
        <v>28</v>
      </c>
      <c r="S2618" s="9">
        <f>VLOOKUP(P2618,$T$2:U2615,2,1)</f>
        <v>7.0000000000000007E-2</v>
      </c>
    </row>
    <row r="2619" spans="1:19" x14ac:dyDescent="0.25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e">
        <f>VLOOKUP(F2619,'Customer Info'!A2611:I3110,2,0)</f>
        <v>#N/A</v>
      </c>
      <c r="H2619" s="6" t="e">
        <f>VLOOKUP(F2619,'Customer Info'!A2611:I3110,3,0)</f>
        <v>#N/A</v>
      </c>
      <c r="I2619" s="6" t="e">
        <f>VLOOKUP(F2619,'Customer Info'!A2611:I3110,5,0)</f>
        <v>#N/A</v>
      </c>
      <c r="J2619" s="2">
        <v>4808</v>
      </c>
      <c r="K2619" s="2">
        <v>4453</v>
      </c>
      <c r="L2619" s="2">
        <v>11</v>
      </c>
      <c r="M2619" s="7">
        <f t="shared" si="160"/>
        <v>48983</v>
      </c>
      <c r="N2619" s="7">
        <f t="shared" si="161"/>
        <v>52888</v>
      </c>
      <c r="O2619" s="2">
        <v>61</v>
      </c>
      <c r="P2619" s="8">
        <f t="shared" si="162"/>
        <v>52949</v>
      </c>
      <c r="Q2619" s="8">
        <f t="shared" si="163"/>
        <v>52827</v>
      </c>
      <c r="R2619" s="2" t="s">
        <v>28</v>
      </c>
      <c r="S2619" s="9">
        <f>VLOOKUP(P2619,$T$2:U2616,2,1)</f>
        <v>0.09</v>
      </c>
    </row>
    <row r="2620" spans="1:19" x14ac:dyDescent="0.25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e">
        <f>VLOOKUP(F2620,'Customer Info'!A2612:I3111,2,0)</f>
        <v>#N/A</v>
      </c>
      <c r="H2620" s="6" t="e">
        <f>VLOOKUP(F2620,'Customer Info'!A2612:I3111,3,0)</f>
        <v>#N/A</v>
      </c>
      <c r="I2620" s="6" t="e">
        <f>VLOOKUP(F2620,'Customer Info'!A2612:I3111,5,0)</f>
        <v>#N/A</v>
      </c>
      <c r="J2620" s="2">
        <v>5882</v>
      </c>
      <c r="K2620" s="2">
        <v>5713</v>
      </c>
      <c r="L2620" s="2">
        <v>2</v>
      </c>
      <c r="M2620" s="7">
        <f t="shared" si="160"/>
        <v>11426</v>
      </c>
      <c r="N2620" s="7">
        <f t="shared" si="161"/>
        <v>11764</v>
      </c>
      <c r="O2620" s="2">
        <v>93</v>
      </c>
      <c r="P2620" s="8">
        <f t="shared" si="162"/>
        <v>11857</v>
      </c>
      <c r="Q2620" s="8">
        <f t="shared" si="163"/>
        <v>11671</v>
      </c>
      <c r="R2620" s="2" t="s">
        <v>28</v>
      </c>
      <c r="S2620" s="9">
        <f>VLOOKUP(P2620,$T$2:U2617,2,1)</f>
        <v>0.05</v>
      </c>
    </row>
    <row r="2621" spans="1:19" x14ac:dyDescent="0.25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e">
        <f>VLOOKUP(F2621,'Customer Info'!A2613:I3112,2,0)</f>
        <v>#N/A</v>
      </c>
      <c r="H2621" s="6" t="e">
        <f>VLOOKUP(F2621,'Customer Info'!A2613:I3112,3,0)</f>
        <v>#N/A</v>
      </c>
      <c r="I2621" s="6" t="e">
        <f>VLOOKUP(F2621,'Customer Info'!A2613:I3112,5,0)</f>
        <v>#N/A</v>
      </c>
      <c r="J2621" s="2">
        <v>877</v>
      </c>
      <c r="K2621" s="2">
        <v>788</v>
      </c>
      <c r="L2621" s="2">
        <v>2</v>
      </c>
      <c r="M2621" s="7">
        <f t="shared" si="160"/>
        <v>1576</v>
      </c>
      <c r="N2621" s="7">
        <f t="shared" si="161"/>
        <v>1754</v>
      </c>
      <c r="O2621" s="2">
        <v>62</v>
      </c>
      <c r="P2621" s="8">
        <f t="shared" si="162"/>
        <v>1816</v>
      </c>
      <c r="Q2621" s="8">
        <f t="shared" si="163"/>
        <v>1692</v>
      </c>
      <c r="R2621" s="2" t="s">
        <v>28</v>
      </c>
      <c r="S2621" s="9">
        <f>VLOOKUP(P2621,$T$2:U2618,2,1)</f>
        <v>0.02</v>
      </c>
    </row>
    <row r="2622" spans="1:19" x14ac:dyDescent="0.25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e">
        <f>VLOOKUP(F2622,'Customer Info'!A2614:I3113,2,0)</f>
        <v>#N/A</v>
      </c>
      <c r="H2622" s="6" t="e">
        <f>VLOOKUP(F2622,'Customer Info'!A2614:I3113,3,0)</f>
        <v>#N/A</v>
      </c>
      <c r="I2622" s="6" t="e">
        <f>VLOOKUP(F2622,'Customer Info'!A2614:I3113,5,0)</f>
        <v>#N/A</v>
      </c>
      <c r="J2622" s="2">
        <v>7315</v>
      </c>
      <c r="K2622" s="2">
        <v>6967</v>
      </c>
      <c r="L2622" s="2">
        <v>1</v>
      </c>
      <c r="M2622" s="7">
        <f t="shared" si="160"/>
        <v>6967</v>
      </c>
      <c r="N2622" s="7">
        <f t="shared" si="161"/>
        <v>7315</v>
      </c>
      <c r="O2622" s="2">
        <v>39</v>
      </c>
      <c r="P2622" s="8">
        <f t="shared" si="162"/>
        <v>7354</v>
      </c>
      <c r="Q2622" s="8">
        <f t="shared" si="163"/>
        <v>7276</v>
      </c>
      <c r="R2622" s="2" t="s">
        <v>56</v>
      </c>
      <c r="S2622" s="9">
        <f>VLOOKUP(P2622,$T$2:U2619,2,1)</f>
        <v>0.05</v>
      </c>
    </row>
    <row r="2623" spans="1:19" x14ac:dyDescent="0.25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e">
        <f>VLOOKUP(F2623,'Customer Info'!A2615:I3114,2,0)</f>
        <v>#N/A</v>
      </c>
      <c r="H2623" s="6" t="e">
        <f>VLOOKUP(F2623,'Customer Info'!A2615:I3114,3,0)</f>
        <v>#N/A</v>
      </c>
      <c r="I2623" s="6" t="e">
        <f>VLOOKUP(F2623,'Customer Info'!A2615:I3114,5,0)</f>
        <v>#N/A</v>
      </c>
      <c r="J2623" s="2">
        <v>63</v>
      </c>
      <c r="K2623" s="2">
        <v>58</v>
      </c>
      <c r="L2623" s="2">
        <v>3</v>
      </c>
      <c r="M2623" s="7">
        <f t="shared" si="160"/>
        <v>174</v>
      </c>
      <c r="N2623" s="7">
        <f t="shared" si="161"/>
        <v>189</v>
      </c>
      <c r="O2623" s="2">
        <v>10</v>
      </c>
      <c r="P2623" s="8">
        <f t="shared" si="162"/>
        <v>199</v>
      </c>
      <c r="Q2623" s="8">
        <f t="shared" si="163"/>
        <v>179</v>
      </c>
      <c r="R2623" s="2" t="s">
        <v>28</v>
      </c>
      <c r="S2623" s="9">
        <f>VLOOKUP(P2623,$T$2:U2620,2,1)</f>
        <v>0.02</v>
      </c>
    </row>
    <row r="2624" spans="1:19" x14ac:dyDescent="0.25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e">
        <f>VLOOKUP(F2624,'Customer Info'!A2616:I3115,2,0)</f>
        <v>#N/A</v>
      </c>
      <c r="H2624" s="6" t="e">
        <f>VLOOKUP(F2624,'Customer Info'!A2616:I3115,3,0)</f>
        <v>#N/A</v>
      </c>
      <c r="I2624" s="6" t="e">
        <f>VLOOKUP(F2624,'Customer Info'!A2616:I3115,5,0)</f>
        <v>#N/A</v>
      </c>
      <c r="J2624" s="2">
        <v>191</v>
      </c>
      <c r="K2624" s="2">
        <v>170</v>
      </c>
      <c r="L2624" s="2">
        <v>3</v>
      </c>
      <c r="M2624" s="7">
        <f t="shared" si="160"/>
        <v>510</v>
      </c>
      <c r="N2624" s="7">
        <f t="shared" si="161"/>
        <v>573</v>
      </c>
      <c r="O2624" s="2">
        <v>30</v>
      </c>
      <c r="P2624" s="8">
        <f t="shared" si="162"/>
        <v>603</v>
      </c>
      <c r="Q2624" s="8">
        <f t="shared" si="163"/>
        <v>543</v>
      </c>
      <c r="R2624" s="2" t="s">
        <v>28</v>
      </c>
      <c r="S2624" s="9">
        <f>VLOOKUP(P2624,$T$2:U2621,2,1)</f>
        <v>0.02</v>
      </c>
    </row>
    <row r="2625" spans="1:19" x14ac:dyDescent="0.25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e">
        <f>VLOOKUP(F2625,'Customer Info'!A2617:I3116,2,0)</f>
        <v>#N/A</v>
      </c>
      <c r="H2625" s="6" t="e">
        <f>VLOOKUP(F2625,'Customer Info'!A2617:I3116,3,0)</f>
        <v>#N/A</v>
      </c>
      <c r="I2625" s="6" t="e">
        <f>VLOOKUP(F2625,'Customer Info'!A2617:I3116,5,0)</f>
        <v>#N/A</v>
      </c>
      <c r="J2625" s="2">
        <v>2540</v>
      </c>
      <c r="K2625" s="2">
        <v>2397</v>
      </c>
      <c r="L2625" s="2">
        <v>2</v>
      </c>
      <c r="M2625" s="7">
        <f t="shared" si="160"/>
        <v>4794</v>
      </c>
      <c r="N2625" s="7">
        <f t="shared" si="161"/>
        <v>5080</v>
      </c>
      <c r="O2625" s="2">
        <v>73</v>
      </c>
      <c r="P2625" s="8">
        <f t="shared" si="162"/>
        <v>5153</v>
      </c>
      <c r="Q2625" s="8">
        <f t="shared" si="163"/>
        <v>5007</v>
      </c>
      <c r="R2625" s="2" t="s">
        <v>28</v>
      </c>
      <c r="S2625" s="9">
        <f>VLOOKUP(P2625,$T$2:U2622,2,1)</f>
        <v>0.05</v>
      </c>
    </row>
    <row r="2626" spans="1:19" x14ac:dyDescent="0.25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e">
        <f>VLOOKUP(F2626,'Customer Info'!A2618:I3117,2,0)</f>
        <v>#N/A</v>
      </c>
      <c r="H2626" s="6" t="e">
        <f>VLOOKUP(F2626,'Customer Info'!A2618:I3117,3,0)</f>
        <v>#N/A</v>
      </c>
      <c r="I2626" s="6" t="e">
        <f>VLOOKUP(F2626,'Customer Info'!A2618:I3117,5,0)</f>
        <v>#N/A</v>
      </c>
      <c r="J2626" s="2">
        <v>142</v>
      </c>
      <c r="K2626" s="2">
        <v>129</v>
      </c>
      <c r="L2626" s="2">
        <v>2</v>
      </c>
      <c r="M2626" s="7">
        <f t="shared" si="160"/>
        <v>258</v>
      </c>
      <c r="N2626" s="7">
        <f t="shared" si="161"/>
        <v>284</v>
      </c>
      <c r="O2626" s="2">
        <v>30</v>
      </c>
      <c r="P2626" s="8">
        <f t="shared" si="162"/>
        <v>314</v>
      </c>
      <c r="Q2626" s="8">
        <f t="shared" si="163"/>
        <v>254</v>
      </c>
      <c r="R2626" s="2" t="s">
        <v>28</v>
      </c>
      <c r="S2626" s="9">
        <f>VLOOKUP(P2626,$T$2:U2623,2,1)</f>
        <v>0.02</v>
      </c>
    </row>
    <row r="2627" spans="1:19" x14ac:dyDescent="0.25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e">
        <f>VLOOKUP(F2627,'Customer Info'!A2619:I3118,2,0)</f>
        <v>#N/A</v>
      </c>
      <c r="H2627" s="6" t="e">
        <f>VLOOKUP(F2627,'Customer Info'!A2619:I3118,3,0)</f>
        <v>#N/A</v>
      </c>
      <c r="I2627" s="6" t="e">
        <f>VLOOKUP(F2627,'Customer Info'!A2619:I3118,5,0)</f>
        <v>#N/A</v>
      </c>
      <c r="J2627" s="2">
        <v>8199</v>
      </c>
      <c r="K2627" s="2">
        <v>7523</v>
      </c>
      <c r="L2627" s="2">
        <v>5</v>
      </c>
      <c r="M2627" s="7">
        <f t="shared" si="160"/>
        <v>37615</v>
      </c>
      <c r="N2627" s="7">
        <f t="shared" si="161"/>
        <v>40995</v>
      </c>
      <c r="O2627" s="2">
        <v>50</v>
      </c>
      <c r="P2627" s="8">
        <f t="shared" si="162"/>
        <v>41045</v>
      </c>
      <c r="Q2627" s="8">
        <f t="shared" si="163"/>
        <v>40945</v>
      </c>
      <c r="R2627" s="2" t="s">
        <v>28</v>
      </c>
      <c r="S2627" s="9">
        <f>VLOOKUP(P2627,$T$2:U2624,2,1)</f>
        <v>7.0000000000000007E-2</v>
      </c>
    </row>
    <row r="2628" spans="1:19" x14ac:dyDescent="0.25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e">
        <f>VLOOKUP(F2628,'Customer Info'!A2620:I3119,2,0)</f>
        <v>#N/A</v>
      </c>
      <c r="H2628" s="6" t="e">
        <f>VLOOKUP(F2628,'Customer Info'!A2620:I3119,3,0)</f>
        <v>#N/A</v>
      </c>
      <c r="I2628" s="6" t="e">
        <f>VLOOKUP(F2628,'Customer Info'!A2620:I3119,5,0)</f>
        <v>#N/A</v>
      </c>
      <c r="J2628" s="2">
        <v>35350</v>
      </c>
      <c r="K2628" s="2">
        <v>33037</v>
      </c>
      <c r="L2628" s="2">
        <v>3</v>
      </c>
      <c r="M2628" s="7">
        <f t="shared" si="160"/>
        <v>99111</v>
      </c>
      <c r="N2628" s="7">
        <f t="shared" si="161"/>
        <v>106050</v>
      </c>
      <c r="O2628" s="2">
        <v>71</v>
      </c>
      <c r="P2628" s="8">
        <f t="shared" si="162"/>
        <v>106121</v>
      </c>
      <c r="Q2628" s="8">
        <f t="shared" si="163"/>
        <v>105979</v>
      </c>
      <c r="R2628" s="2" t="s">
        <v>50</v>
      </c>
      <c r="S2628" s="9">
        <f>VLOOKUP(P2628,$T$2:U2625,2,1)</f>
        <v>0.12</v>
      </c>
    </row>
    <row r="2629" spans="1:19" x14ac:dyDescent="0.25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e">
        <f>VLOOKUP(F2629,'Customer Info'!A2621:I3120,2,0)</f>
        <v>#N/A</v>
      </c>
      <c r="H2629" s="6" t="e">
        <f>VLOOKUP(F2629,'Customer Info'!A2621:I3120,3,0)</f>
        <v>#N/A</v>
      </c>
      <c r="I2629" s="6" t="e">
        <f>VLOOKUP(F2629,'Customer Info'!A2621:I3120,5,0)</f>
        <v>#N/A</v>
      </c>
      <c r="J2629" s="2">
        <v>2843</v>
      </c>
      <c r="K2629" s="2">
        <v>2735</v>
      </c>
      <c r="L2629" s="2">
        <v>2</v>
      </c>
      <c r="M2629" s="7">
        <f t="shared" si="160"/>
        <v>5470</v>
      </c>
      <c r="N2629" s="7">
        <f t="shared" si="161"/>
        <v>5686</v>
      </c>
      <c r="O2629" s="2">
        <v>75</v>
      </c>
      <c r="P2629" s="8">
        <f t="shared" si="162"/>
        <v>5761</v>
      </c>
      <c r="Q2629" s="8">
        <f t="shared" si="163"/>
        <v>5611</v>
      </c>
      <c r="R2629" s="2" t="s">
        <v>50</v>
      </c>
      <c r="S2629" s="9">
        <f>VLOOKUP(P2629,$T$2:U2626,2,1)</f>
        <v>0.05</v>
      </c>
    </row>
    <row r="2630" spans="1:19" x14ac:dyDescent="0.25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e">
        <f>VLOOKUP(F2630,'Customer Info'!A2622:I3121,2,0)</f>
        <v>#N/A</v>
      </c>
      <c r="H2630" s="6" t="e">
        <f>VLOOKUP(F2630,'Customer Info'!A2622:I3121,3,0)</f>
        <v>#N/A</v>
      </c>
      <c r="I2630" s="6" t="e">
        <f>VLOOKUP(F2630,'Customer Info'!A2622:I3121,5,0)</f>
        <v>#N/A</v>
      </c>
      <c r="J2630" s="2">
        <v>1358</v>
      </c>
      <c r="K2630" s="2">
        <v>1270</v>
      </c>
      <c r="L2630" s="2">
        <v>8</v>
      </c>
      <c r="M2630" s="7">
        <f t="shared" si="160"/>
        <v>10160</v>
      </c>
      <c r="N2630" s="7">
        <f t="shared" si="161"/>
        <v>10864</v>
      </c>
      <c r="O2630" s="2">
        <v>35</v>
      </c>
      <c r="P2630" s="8">
        <f t="shared" si="162"/>
        <v>10899</v>
      </c>
      <c r="Q2630" s="8">
        <f t="shared" si="163"/>
        <v>10829</v>
      </c>
      <c r="R2630" s="2" t="s">
        <v>28</v>
      </c>
      <c r="S2630" s="9">
        <f>VLOOKUP(P2630,$T$2:U2627,2,1)</f>
        <v>0.05</v>
      </c>
    </row>
    <row r="2631" spans="1:19" x14ac:dyDescent="0.25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e">
        <f>VLOOKUP(F2631,'Customer Info'!A2623:I3122,2,0)</f>
        <v>#N/A</v>
      </c>
      <c r="H2631" s="6" t="e">
        <f>VLOOKUP(F2631,'Customer Info'!A2623:I3122,3,0)</f>
        <v>#N/A</v>
      </c>
      <c r="I2631" s="6" t="e">
        <f>VLOOKUP(F2631,'Customer Info'!A2623:I3122,5,0)</f>
        <v>#N/A</v>
      </c>
      <c r="J2631" s="2">
        <v>101</v>
      </c>
      <c r="K2631" s="2">
        <v>98</v>
      </c>
      <c r="L2631" s="2">
        <v>2</v>
      </c>
      <c r="M2631" s="7">
        <f t="shared" si="160"/>
        <v>196</v>
      </c>
      <c r="N2631" s="7">
        <f t="shared" si="161"/>
        <v>202</v>
      </c>
      <c r="O2631" s="2">
        <v>10</v>
      </c>
      <c r="P2631" s="8">
        <f t="shared" si="162"/>
        <v>212</v>
      </c>
      <c r="Q2631" s="8">
        <f t="shared" si="163"/>
        <v>192</v>
      </c>
      <c r="R2631" s="2" t="s">
        <v>50</v>
      </c>
      <c r="S2631" s="9">
        <f>VLOOKUP(P2631,$T$2:U2628,2,1)</f>
        <v>0.02</v>
      </c>
    </row>
    <row r="2632" spans="1:19" x14ac:dyDescent="0.25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e">
        <f>VLOOKUP(F2632,'Customer Info'!A2624:I3123,2,0)</f>
        <v>#N/A</v>
      </c>
      <c r="H2632" s="6" t="e">
        <f>VLOOKUP(F2632,'Customer Info'!A2624:I3123,3,0)</f>
        <v>#N/A</v>
      </c>
      <c r="I2632" s="6" t="e">
        <f>VLOOKUP(F2632,'Customer Info'!A2624:I3123,5,0)</f>
        <v>#N/A</v>
      </c>
      <c r="J2632" s="2">
        <v>1859</v>
      </c>
      <c r="K2632" s="2">
        <v>1755</v>
      </c>
      <c r="L2632" s="2">
        <v>3</v>
      </c>
      <c r="M2632" s="7">
        <f t="shared" si="160"/>
        <v>5265</v>
      </c>
      <c r="N2632" s="7">
        <f t="shared" si="161"/>
        <v>5577</v>
      </c>
      <c r="O2632" s="2">
        <v>51</v>
      </c>
      <c r="P2632" s="8">
        <f t="shared" si="162"/>
        <v>5628</v>
      </c>
      <c r="Q2632" s="8">
        <f t="shared" si="163"/>
        <v>5526</v>
      </c>
      <c r="R2632" s="2" t="s">
        <v>50</v>
      </c>
      <c r="S2632" s="9">
        <f>VLOOKUP(P2632,$T$2:U2629,2,1)</f>
        <v>0.05</v>
      </c>
    </row>
    <row r="2633" spans="1:19" x14ac:dyDescent="0.25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e">
        <f>VLOOKUP(F2633,'Customer Info'!A2625:I3124,2,0)</f>
        <v>#N/A</v>
      </c>
      <c r="H2633" s="6" t="e">
        <f>VLOOKUP(F2633,'Customer Info'!A2625:I3124,3,0)</f>
        <v>#N/A</v>
      </c>
      <c r="I2633" s="6" t="e">
        <f>VLOOKUP(F2633,'Customer Info'!A2625:I3124,5,0)</f>
        <v>#N/A</v>
      </c>
      <c r="J2633" s="2">
        <v>877</v>
      </c>
      <c r="K2633" s="2">
        <v>788</v>
      </c>
      <c r="L2633" s="2">
        <v>4</v>
      </c>
      <c r="M2633" s="7">
        <f t="shared" si="160"/>
        <v>3152</v>
      </c>
      <c r="N2633" s="7">
        <f t="shared" si="161"/>
        <v>3508</v>
      </c>
      <c r="O2633" s="2">
        <v>46</v>
      </c>
      <c r="P2633" s="8">
        <f t="shared" si="162"/>
        <v>3554</v>
      </c>
      <c r="Q2633" s="8">
        <f t="shared" si="163"/>
        <v>3462</v>
      </c>
      <c r="R2633" s="2" t="s">
        <v>28</v>
      </c>
      <c r="S2633" s="9">
        <f>VLOOKUP(P2633,$T$2:U2630,2,1)</f>
        <v>0.02</v>
      </c>
    </row>
    <row r="2634" spans="1:19" x14ac:dyDescent="0.25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e">
        <f>VLOOKUP(F2634,'Customer Info'!A2626:I3125,2,0)</f>
        <v>#N/A</v>
      </c>
      <c r="H2634" s="6" t="e">
        <f>VLOOKUP(F2634,'Customer Info'!A2626:I3125,3,0)</f>
        <v>#N/A</v>
      </c>
      <c r="I2634" s="6" t="e">
        <f>VLOOKUP(F2634,'Customer Info'!A2626:I3125,5,0)</f>
        <v>#N/A</v>
      </c>
      <c r="J2634" s="2">
        <v>82</v>
      </c>
      <c r="K2634" s="2">
        <v>79</v>
      </c>
      <c r="L2634" s="2">
        <v>4</v>
      </c>
      <c r="M2634" s="7">
        <f t="shared" si="160"/>
        <v>316</v>
      </c>
      <c r="N2634" s="7">
        <f t="shared" si="161"/>
        <v>328</v>
      </c>
      <c r="O2634" s="2">
        <v>10</v>
      </c>
      <c r="P2634" s="8">
        <f t="shared" si="162"/>
        <v>338</v>
      </c>
      <c r="Q2634" s="8">
        <f t="shared" si="163"/>
        <v>318</v>
      </c>
      <c r="R2634" s="2" t="s">
        <v>50</v>
      </c>
      <c r="S2634" s="9">
        <f>VLOOKUP(P2634,$T$2:U2631,2,1)</f>
        <v>0.02</v>
      </c>
    </row>
    <row r="2635" spans="1:19" x14ac:dyDescent="0.25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e">
        <f>VLOOKUP(F2635,'Customer Info'!A2627:I3126,2,0)</f>
        <v>#N/A</v>
      </c>
      <c r="H2635" s="6" t="e">
        <f>VLOOKUP(F2635,'Customer Info'!A2627:I3126,3,0)</f>
        <v>#N/A</v>
      </c>
      <c r="I2635" s="6" t="e">
        <f>VLOOKUP(F2635,'Customer Info'!A2627:I3126,5,0)</f>
        <v>#N/A</v>
      </c>
      <c r="J2635" s="2">
        <v>1637</v>
      </c>
      <c r="K2635" s="2">
        <v>1591</v>
      </c>
      <c r="L2635" s="2">
        <v>1</v>
      </c>
      <c r="M2635" s="7">
        <f t="shared" ref="M2635:M2698" si="164">K2635*L2635</f>
        <v>1591</v>
      </c>
      <c r="N2635" s="7">
        <f t="shared" ref="N2635:N2698" si="165">J2635*L2635</f>
        <v>1637</v>
      </c>
      <c r="O2635" s="2">
        <v>85</v>
      </c>
      <c r="P2635" s="8">
        <f t="shared" ref="P2635:P2698" si="166">SUM(N2635,O2635)</f>
        <v>1722</v>
      </c>
      <c r="Q2635" s="8">
        <f t="shared" ref="Q2635:Q2698" si="167">N2635-O2635</f>
        <v>1552</v>
      </c>
      <c r="R2635" s="2" t="s">
        <v>50</v>
      </c>
      <c r="S2635" s="9">
        <f>VLOOKUP(P2635,$T$2:U2632,2,1)</f>
        <v>0.02</v>
      </c>
    </row>
    <row r="2636" spans="1:19" x14ac:dyDescent="0.25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e">
        <f>VLOOKUP(F2636,'Customer Info'!A2628:I3127,2,0)</f>
        <v>#N/A</v>
      </c>
      <c r="H2636" s="6" t="e">
        <f>VLOOKUP(F2636,'Customer Info'!A2628:I3127,3,0)</f>
        <v>#N/A</v>
      </c>
      <c r="I2636" s="6" t="e">
        <f>VLOOKUP(F2636,'Customer Info'!A2628:I3127,5,0)</f>
        <v>#N/A</v>
      </c>
      <c r="J2636" s="2">
        <v>7534</v>
      </c>
      <c r="K2636" s="2">
        <v>7106</v>
      </c>
      <c r="L2636" s="2">
        <v>2</v>
      </c>
      <c r="M2636" s="7">
        <f t="shared" si="164"/>
        <v>14212</v>
      </c>
      <c r="N2636" s="7">
        <f t="shared" si="165"/>
        <v>15068</v>
      </c>
      <c r="O2636" s="2">
        <v>77</v>
      </c>
      <c r="P2636" s="8">
        <f t="shared" si="166"/>
        <v>15145</v>
      </c>
      <c r="Q2636" s="8">
        <f t="shared" si="167"/>
        <v>14991</v>
      </c>
      <c r="R2636" s="2" t="s">
        <v>28</v>
      </c>
      <c r="S2636" s="9">
        <f>VLOOKUP(P2636,$T$2:U2633,2,1)</f>
        <v>0.05</v>
      </c>
    </row>
    <row r="2637" spans="1:19" x14ac:dyDescent="0.25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e">
        <f>VLOOKUP(F2637,'Customer Info'!A2629:I3128,2,0)</f>
        <v>#N/A</v>
      </c>
      <c r="H2637" s="6" t="e">
        <f>VLOOKUP(F2637,'Customer Info'!A2629:I3128,3,0)</f>
        <v>#N/A</v>
      </c>
      <c r="I2637" s="6" t="e">
        <f>VLOOKUP(F2637,'Customer Info'!A2629:I3128,5,0)</f>
        <v>#N/A</v>
      </c>
      <c r="J2637" s="2">
        <v>2843</v>
      </c>
      <c r="K2637" s="2">
        <v>2735</v>
      </c>
      <c r="L2637" s="2">
        <v>3</v>
      </c>
      <c r="M2637" s="7">
        <f t="shared" si="164"/>
        <v>8205</v>
      </c>
      <c r="N2637" s="7">
        <f t="shared" si="165"/>
        <v>8529</v>
      </c>
      <c r="O2637" s="2">
        <v>23</v>
      </c>
      <c r="P2637" s="8">
        <f t="shared" si="166"/>
        <v>8552</v>
      </c>
      <c r="Q2637" s="8">
        <f t="shared" si="167"/>
        <v>8506</v>
      </c>
      <c r="R2637" s="2" t="s">
        <v>28</v>
      </c>
      <c r="S2637" s="9">
        <f>VLOOKUP(P2637,$T$2:U2634,2,1)</f>
        <v>0.05</v>
      </c>
    </row>
    <row r="2638" spans="1:19" x14ac:dyDescent="0.25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e">
        <f>VLOOKUP(F2638,'Customer Info'!A2630:I3129,2,0)</f>
        <v>#N/A</v>
      </c>
      <c r="H2638" s="6" t="e">
        <f>VLOOKUP(F2638,'Customer Info'!A2630:I3129,3,0)</f>
        <v>#N/A</v>
      </c>
      <c r="I2638" s="6" t="e">
        <f>VLOOKUP(F2638,'Customer Info'!A2630:I3129,5,0)</f>
        <v>#N/A</v>
      </c>
      <c r="J2638" s="2">
        <v>206</v>
      </c>
      <c r="K2638" s="2">
        <v>189</v>
      </c>
      <c r="L2638" s="2">
        <v>4</v>
      </c>
      <c r="M2638" s="7">
        <f t="shared" si="164"/>
        <v>756</v>
      </c>
      <c r="N2638" s="7">
        <f t="shared" si="165"/>
        <v>824</v>
      </c>
      <c r="O2638" s="2">
        <v>30</v>
      </c>
      <c r="P2638" s="8">
        <f t="shared" si="166"/>
        <v>854</v>
      </c>
      <c r="Q2638" s="8">
        <f t="shared" si="167"/>
        <v>794</v>
      </c>
      <c r="R2638" s="2" t="s">
        <v>28</v>
      </c>
      <c r="S2638" s="9">
        <f>VLOOKUP(P2638,$T$2:U2635,2,1)</f>
        <v>0.02</v>
      </c>
    </row>
    <row r="2639" spans="1:19" x14ac:dyDescent="0.25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e">
        <f>VLOOKUP(F2639,'Customer Info'!A2631:I3130,2,0)</f>
        <v>#N/A</v>
      </c>
      <c r="H2639" s="6" t="e">
        <f>VLOOKUP(F2639,'Customer Info'!A2631:I3130,3,0)</f>
        <v>#N/A</v>
      </c>
      <c r="I2639" s="6" t="e">
        <f>VLOOKUP(F2639,'Customer Info'!A2631:I3130,5,0)</f>
        <v>#N/A</v>
      </c>
      <c r="J2639" s="2">
        <v>3341</v>
      </c>
      <c r="K2639" s="2">
        <v>3152</v>
      </c>
      <c r="L2639" s="2">
        <v>2</v>
      </c>
      <c r="M2639" s="7">
        <f t="shared" si="164"/>
        <v>6304</v>
      </c>
      <c r="N2639" s="7">
        <f t="shared" si="165"/>
        <v>6682</v>
      </c>
      <c r="O2639" s="2">
        <v>84</v>
      </c>
      <c r="P2639" s="8">
        <f t="shared" si="166"/>
        <v>6766</v>
      </c>
      <c r="Q2639" s="8">
        <f t="shared" si="167"/>
        <v>6598</v>
      </c>
      <c r="R2639" s="2" t="s">
        <v>50</v>
      </c>
      <c r="S2639" s="9">
        <f>VLOOKUP(P2639,$T$2:U2636,2,1)</f>
        <v>0.05</v>
      </c>
    </row>
    <row r="2640" spans="1:19" x14ac:dyDescent="0.25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e">
        <f>VLOOKUP(F2640,'Customer Info'!A2632:I3131,2,0)</f>
        <v>#N/A</v>
      </c>
      <c r="H2640" s="6" t="e">
        <f>VLOOKUP(F2640,'Customer Info'!A2632:I3131,3,0)</f>
        <v>#N/A</v>
      </c>
      <c r="I2640" s="6" t="e">
        <f>VLOOKUP(F2640,'Customer Info'!A2632:I3131,5,0)</f>
        <v>#N/A</v>
      </c>
      <c r="J2640" s="2">
        <v>954</v>
      </c>
      <c r="K2640" s="2">
        <v>901</v>
      </c>
      <c r="L2640" s="2">
        <v>2</v>
      </c>
      <c r="M2640" s="7">
        <f t="shared" si="164"/>
        <v>1802</v>
      </c>
      <c r="N2640" s="7">
        <f t="shared" si="165"/>
        <v>1908</v>
      </c>
      <c r="O2640" s="2">
        <v>26</v>
      </c>
      <c r="P2640" s="8">
        <f t="shared" si="166"/>
        <v>1934</v>
      </c>
      <c r="Q2640" s="8">
        <f t="shared" si="167"/>
        <v>1882</v>
      </c>
      <c r="R2640" s="2" t="s">
        <v>50</v>
      </c>
      <c r="S2640" s="9">
        <f>VLOOKUP(P2640,$T$2:U2637,2,1)</f>
        <v>0.02</v>
      </c>
    </row>
    <row r="2641" spans="1:19" x14ac:dyDescent="0.25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e">
        <f>VLOOKUP(F2641,'Customer Info'!A2633:I3132,2,0)</f>
        <v>#N/A</v>
      </c>
      <c r="H2641" s="6" t="e">
        <f>VLOOKUP(F2641,'Customer Info'!A2633:I3132,3,0)</f>
        <v>#N/A</v>
      </c>
      <c r="I2641" s="6" t="e">
        <f>VLOOKUP(F2641,'Customer Info'!A2633:I3132,5,0)</f>
        <v>#N/A</v>
      </c>
      <c r="J2641" s="2">
        <v>139</v>
      </c>
      <c r="K2641" s="2">
        <v>130</v>
      </c>
      <c r="L2641" s="2">
        <v>2</v>
      </c>
      <c r="M2641" s="7">
        <f t="shared" si="164"/>
        <v>260</v>
      </c>
      <c r="N2641" s="7">
        <f t="shared" si="165"/>
        <v>278</v>
      </c>
      <c r="O2641" s="2">
        <v>30</v>
      </c>
      <c r="P2641" s="8">
        <f t="shared" si="166"/>
        <v>308</v>
      </c>
      <c r="Q2641" s="8">
        <f t="shared" si="167"/>
        <v>248</v>
      </c>
      <c r="R2641" s="2" t="s">
        <v>28</v>
      </c>
      <c r="S2641" s="9">
        <f>VLOOKUP(P2641,$T$2:U2638,2,1)</f>
        <v>0.02</v>
      </c>
    </row>
    <row r="2642" spans="1:19" x14ac:dyDescent="0.25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e">
        <f>VLOOKUP(F2642,'Customer Info'!A2634:I3133,2,0)</f>
        <v>#N/A</v>
      </c>
      <c r="H2642" s="6" t="e">
        <f>VLOOKUP(F2642,'Customer Info'!A2634:I3133,3,0)</f>
        <v>#N/A</v>
      </c>
      <c r="I2642" s="6" t="e">
        <f>VLOOKUP(F2642,'Customer Info'!A2634:I3133,5,0)</f>
        <v>#N/A</v>
      </c>
      <c r="J2642" s="2">
        <v>6768</v>
      </c>
      <c r="K2642" s="2">
        <v>6512</v>
      </c>
      <c r="L2642" s="2">
        <v>1</v>
      </c>
      <c r="M2642" s="7">
        <f t="shared" si="164"/>
        <v>6512</v>
      </c>
      <c r="N2642" s="7">
        <f t="shared" si="165"/>
        <v>6768</v>
      </c>
      <c r="O2642" s="2">
        <v>42</v>
      </c>
      <c r="P2642" s="8">
        <f t="shared" si="166"/>
        <v>6810</v>
      </c>
      <c r="Q2642" s="8">
        <f t="shared" si="167"/>
        <v>6726</v>
      </c>
      <c r="R2642" s="2" t="s">
        <v>28</v>
      </c>
      <c r="S2642" s="9">
        <f>VLOOKUP(P2642,$T$2:U2639,2,1)</f>
        <v>0.05</v>
      </c>
    </row>
    <row r="2643" spans="1:19" x14ac:dyDescent="0.25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e">
        <f>VLOOKUP(F2643,'Customer Info'!A2635:I3134,2,0)</f>
        <v>#N/A</v>
      </c>
      <c r="H2643" s="6" t="e">
        <f>VLOOKUP(F2643,'Customer Info'!A2635:I3134,3,0)</f>
        <v>#N/A</v>
      </c>
      <c r="I2643" s="6" t="e">
        <f>VLOOKUP(F2643,'Customer Info'!A2635:I3134,5,0)</f>
        <v>#N/A</v>
      </c>
      <c r="J2643" s="2">
        <v>7658</v>
      </c>
      <c r="K2643" s="2">
        <v>7026</v>
      </c>
      <c r="L2643" s="2">
        <v>6</v>
      </c>
      <c r="M2643" s="7">
        <f t="shared" si="164"/>
        <v>42156</v>
      </c>
      <c r="N2643" s="7">
        <f t="shared" si="165"/>
        <v>45948</v>
      </c>
      <c r="O2643" s="2">
        <v>73</v>
      </c>
      <c r="P2643" s="8">
        <f t="shared" si="166"/>
        <v>46021</v>
      </c>
      <c r="Q2643" s="8">
        <f t="shared" si="167"/>
        <v>45875</v>
      </c>
      <c r="R2643" s="2" t="s">
        <v>28</v>
      </c>
      <c r="S2643" s="9">
        <f>VLOOKUP(P2643,$T$2:U2640,2,1)</f>
        <v>7.0000000000000007E-2</v>
      </c>
    </row>
    <row r="2644" spans="1:19" x14ac:dyDescent="0.25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e">
        <f>VLOOKUP(F2644,'Customer Info'!A2636:I3135,2,0)</f>
        <v>#N/A</v>
      </c>
      <c r="H2644" s="6" t="e">
        <f>VLOOKUP(F2644,'Customer Info'!A2636:I3135,3,0)</f>
        <v>#N/A</v>
      </c>
      <c r="I2644" s="6" t="e">
        <f>VLOOKUP(F2644,'Customer Info'!A2636:I3135,5,0)</f>
        <v>#N/A</v>
      </c>
      <c r="J2644" s="2">
        <v>125</v>
      </c>
      <c r="K2644" s="2">
        <v>113</v>
      </c>
      <c r="L2644" s="2">
        <v>2</v>
      </c>
      <c r="M2644" s="7">
        <f t="shared" si="164"/>
        <v>226</v>
      </c>
      <c r="N2644" s="7">
        <f t="shared" si="165"/>
        <v>250</v>
      </c>
      <c r="O2644" s="2">
        <v>30</v>
      </c>
      <c r="P2644" s="8">
        <f t="shared" si="166"/>
        <v>280</v>
      </c>
      <c r="Q2644" s="8">
        <f t="shared" si="167"/>
        <v>220</v>
      </c>
      <c r="R2644" s="2" t="s">
        <v>28</v>
      </c>
      <c r="S2644" s="9">
        <f>VLOOKUP(P2644,$T$2:U2641,2,1)</f>
        <v>0.02</v>
      </c>
    </row>
    <row r="2645" spans="1:19" x14ac:dyDescent="0.25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e">
        <f>VLOOKUP(F2645,'Customer Info'!A2637:I3136,2,0)</f>
        <v>#N/A</v>
      </c>
      <c r="H2645" s="6" t="e">
        <f>VLOOKUP(F2645,'Customer Info'!A2637:I3136,3,0)</f>
        <v>#N/A</v>
      </c>
      <c r="I2645" s="6" t="e">
        <f>VLOOKUP(F2645,'Customer Info'!A2637:I3136,5,0)</f>
        <v>#N/A</v>
      </c>
      <c r="J2645" s="2">
        <v>1615</v>
      </c>
      <c r="K2645" s="2">
        <v>1525</v>
      </c>
      <c r="L2645" s="2">
        <v>7</v>
      </c>
      <c r="M2645" s="7">
        <f t="shared" si="164"/>
        <v>10675</v>
      </c>
      <c r="N2645" s="7">
        <f t="shared" si="165"/>
        <v>11305</v>
      </c>
      <c r="O2645" s="2">
        <v>80</v>
      </c>
      <c r="P2645" s="8">
        <f t="shared" si="166"/>
        <v>11385</v>
      </c>
      <c r="Q2645" s="8">
        <f t="shared" si="167"/>
        <v>11225</v>
      </c>
      <c r="R2645" s="2" t="s">
        <v>26</v>
      </c>
      <c r="S2645" s="9">
        <f>VLOOKUP(P2645,$T$2:U2642,2,1)</f>
        <v>0.05</v>
      </c>
    </row>
    <row r="2646" spans="1:19" x14ac:dyDescent="0.25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e">
        <f>VLOOKUP(F2646,'Customer Info'!A2638:I3137,2,0)</f>
        <v>#N/A</v>
      </c>
      <c r="H2646" s="6" t="e">
        <f>VLOOKUP(F2646,'Customer Info'!A2638:I3137,3,0)</f>
        <v>#N/A</v>
      </c>
      <c r="I2646" s="6" t="e">
        <f>VLOOKUP(F2646,'Customer Info'!A2638:I3137,5,0)</f>
        <v>#N/A</v>
      </c>
      <c r="J2646" s="2">
        <v>1619</v>
      </c>
      <c r="K2646" s="2">
        <v>1442</v>
      </c>
      <c r="L2646" s="2">
        <v>4</v>
      </c>
      <c r="M2646" s="7">
        <f t="shared" si="164"/>
        <v>5768</v>
      </c>
      <c r="N2646" s="7">
        <f t="shared" si="165"/>
        <v>6476</v>
      </c>
      <c r="O2646" s="2">
        <v>40</v>
      </c>
      <c r="P2646" s="8">
        <f t="shared" si="166"/>
        <v>6516</v>
      </c>
      <c r="Q2646" s="8">
        <f t="shared" si="167"/>
        <v>6436</v>
      </c>
      <c r="R2646" s="2" t="s">
        <v>28</v>
      </c>
      <c r="S2646" s="9">
        <f>VLOOKUP(P2646,$T$2:U2643,2,1)</f>
        <v>0.05</v>
      </c>
    </row>
    <row r="2647" spans="1:19" x14ac:dyDescent="0.25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e">
        <f>VLOOKUP(F2647,'Customer Info'!A2639:I3138,2,0)</f>
        <v>#N/A</v>
      </c>
      <c r="H2647" s="6" t="e">
        <f>VLOOKUP(F2647,'Customer Info'!A2639:I3138,3,0)</f>
        <v>#N/A</v>
      </c>
      <c r="I2647" s="6" t="e">
        <f>VLOOKUP(F2647,'Customer Info'!A2639:I3138,5,0)</f>
        <v>#N/A</v>
      </c>
      <c r="J2647" s="2">
        <v>135</v>
      </c>
      <c r="K2647" s="2">
        <v>126</v>
      </c>
      <c r="L2647" s="2">
        <v>2</v>
      </c>
      <c r="M2647" s="7">
        <f t="shared" si="164"/>
        <v>252</v>
      </c>
      <c r="N2647" s="7">
        <f t="shared" si="165"/>
        <v>270</v>
      </c>
      <c r="O2647" s="2">
        <v>30</v>
      </c>
      <c r="P2647" s="8">
        <f t="shared" si="166"/>
        <v>300</v>
      </c>
      <c r="Q2647" s="8">
        <f t="shared" si="167"/>
        <v>240</v>
      </c>
      <c r="R2647" s="2" t="s">
        <v>50</v>
      </c>
      <c r="S2647" s="9">
        <f>VLOOKUP(P2647,$T$2:U2644,2,1)</f>
        <v>0.02</v>
      </c>
    </row>
    <row r="2648" spans="1:19" x14ac:dyDescent="0.25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e">
        <f>VLOOKUP(F2648,'Customer Info'!A2640:I3139,2,0)</f>
        <v>#N/A</v>
      </c>
      <c r="H2648" s="6" t="e">
        <f>VLOOKUP(F2648,'Customer Info'!A2640:I3139,3,0)</f>
        <v>#N/A</v>
      </c>
      <c r="I2648" s="6" t="e">
        <f>VLOOKUP(F2648,'Customer Info'!A2640:I3139,5,0)</f>
        <v>#N/A</v>
      </c>
      <c r="J2648" s="2">
        <v>2088</v>
      </c>
      <c r="K2648" s="2">
        <v>1970</v>
      </c>
      <c r="L2648" s="2">
        <v>2</v>
      </c>
      <c r="M2648" s="7">
        <f t="shared" si="164"/>
        <v>3940</v>
      </c>
      <c r="N2648" s="7">
        <f t="shared" si="165"/>
        <v>4176</v>
      </c>
      <c r="O2648" s="2">
        <v>72</v>
      </c>
      <c r="P2648" s="8">
        <f t="shared" si="166"/>
        <v>4248</v>
      </c>
      <c r="Q2648" s="8">
        <f t="shared" si="167"/>
        <v>4104</v>
      </c>
      <c r="R2648" s="2" t="s">
        <v>28</v>
      </c>
      <c r="S2648" s="9">
        <f>VLOOKUP(P2648,$T$2:U2645,2,1)</f>
        <v>0.02</v>
      </c>
    </row>
    <row r="2649" spans="1:19" x14ac:dyDescent="0.25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e">
        <f>VLOOKUP(F2649,'Customer Info'!A2641:I3140,2,0)</f>
        <v>#N/A</v>
      </c>
      <c r="H2649" s="6" t="e">
        <f>VLOOKUP(F2649,'Customer Info'!A2641:I3140,3,0)</f>
        <v>#N/A</v>
      </c>
      <c r="I2649" s="6" t="e">
        <f>VLOOKUP(F2649,'Customer Info'!A2641:I3140,5,0)</f>
        <v>#N/A</v>
      </c>
      <c r="J2649" s="2">
        <v>531</v>
      </c>
      <c r="K2649" s="2">
        <v>487</v>
      </c>
      <c r="L2649" s="2">
        <v>6</v>
      </c>
      <c r="M2649" s="7">
        <f t="shared" si="164"/>
        <v>2922</v>
      </c>
      <c r="N2649" s="7">
        <f t="shared" si="165"/>
        <v>3186</v>
      </c>
      <c r="O2649" s="2">
        <v>42</v>
      </c>
      <c r="P2649" s="8">
        <f t="shared" si="166"/>
        <v>3228</v>
      </c>
      <c r="Q2649" s="8">
        <f t="shared" si="167"/>
        <v>3144</v>
      </c>
      <c r="R2649" s="2" t="s">
        <v>50</v>
      </c>
      <c r="S2649" s="9">
        <f>VLOOKUP(P2649,$T$2:U2646,2,1)</f>
        <v>0.02</v>
      </c>
    </row>
    <row r="2650" spans="1:19" x14ac:dyDescent="0.25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e">
        <f>VLOOKUP(F2650,'Customer Info'!A2642:I3141,2,0)</f>
        <v>#N/A</v>
      </c>
      <c r="H2650" s="6" t="e">
        <f>VLOOKUP(F2650,'Customer Info'!A2642:I3141,3,0)</f>
        <v>#N/A</v>
      </c>
      <c r="I2650" s="6" t="e">
        <f>VLOOKUP(F2650,'Customer Info'!A2642:I3141,5,0)</f>
        <v>#N/A</v>
      </c>
      <c r="J2650" s="2">
        <v>4714</v>
      </c>
      <c r="K2650" s="2">
        <v>4323</v>
      </c>
      <c r="L2650" s="2">
        <v>2</v>
      </c>
      <c r="M2650" s="7">
        <f t="shared" si="164"/>
        <v>8646</v>
      </c>
      <c r="N2650" s="7">
        <f t="shared" si="165"/>
        <v>9428</v>
      </c>
      <c r="O2650" s="2">
        <v>85</v>
      </c>
      <c r="P2650" s="8">
        <f t="shared" si="166"/>
        <v>9513</v>
      </c>
      <c r="Q2650" s="8">
        <f t="shared" si="167"/>
        <v>9343</v>
      </c>
      <c r="R2650" s="2" t="s">
        <v>28</v>
      </c>
      <c r="S2650" s="9">
        <f>VLOOKUP(P2650,$T$2:U2647,2,1)</f>
        <v>0.05</v>
      </c>
    </row>
    <row r="2651" spans="1:19" x14ac:dyDescent="0.25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e">
        <f>VLOOKUP(F2651,'Customer Info'!A2643:I3142,2,0)</f>
        <v>#N/A</v>
      </c>
      <c r="H2651" s="6" t="e">
        <f>VLOOKUP(F2651,'Customer Info'!A2643:I3142,3,0)</f>
        <v>#N/A</v>
      </c>
      <c r="I2651" s="6" t="e">
        <f>VLOOKUP(F2651,'Customer Info'!A2643:I3142,5,0)</f>
        <v>#N/A</v>
      </c>
      <c r="J2651" s="2">
        <v>6635</v>
      </c>
      <c r="K2651" s="2">
        <v>6321</v>
      </c>
      <c r="L2651" s="2">
        <v>2</v>
      </c>
      <c r="M2651" s="7">
        <f t="shared" si="164"/>
        <v>12642</v>
      </c>
      <c r="N2651" s="7">
        <f t="shared" si="165"/>
        <v>13270</v>
      </c>
      <c r="O2651" s="2">
        <v>67</v>
      </c>
      <c r="P2651" s="8">
        <f t="shared" si="166"/>
        <v>13337</v>
      </c>
      <c r="Q2651" s="8">
        <f t="shared" si="167"/>
        <v>13203</v>
      </c>
      <c r="R2651" s="2" t="s">
        <v>50</v>
      </c>
      <c r="S2651" s="9">
        <f>VLOOKUP(P2651,$T$2:U2648,2,1)</f>
        <v>0.05</v>
      </c>
    </row>
    <row r="2652" spans="1:19" x14ac:dyDescent="0.25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e">
        <f>VLOOKUP(F2652,'Customer Info'!A2644:I3143,2,0)</f>
        <v>#N/A</v>
      </c>
      <c r="H2652" s="6" t="e">
        <f>VLOOKUP(F2652,'Customer Info'!A2644:I3143,3,0)</f>
        <v>#N/A</v>
      </c>
      <c r="I2652" s="6" t="e">
        <f>VLOOKUP(F2652,'Customer Info'!A2644:I3143,5,0)</f>
        <v>#N/A</v>
      </c>
      <c r="J2652" s="2">
        <v>2526</v>
      </c>
      <c r="K2652" s="2">
        <v>2408</v>
      </c>
      <c r="L2652" s="2">
        <v>1</v>
      </c>
      <c r="M2652" s="7">
        <f t="shared" si="164"/>
        <v>2408</v>
      </c>
      <c r="N2652" s="7">
        <f t="shared" si="165"/>
        <v>2526</v>
      </c>
      <c r="O2652" s="2">
        <v>42</v>
      </c>
      <c r="P2652" s="8">
        <f t="shared" si="166"/>
        <v>2568</v>
      </c>
      <c r="Q2652" s="8">
        <f t="shared" si="167"/>
        <v>2484</v>
      </c>
      <c r="R2652" s="2" t="s">
        <v>28</v>
      </c>
      <c r="S2652" s="9">
        <f>VLOOKUP(P2652,$T$2:U2649,2,1)</f>
        <v>0.02</v>
      </c>
    </row>
    <row r="2653" spans="1:19" x14ac:dyDescent="0.25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e">
        <f>VLOOKUP(F2653,'Customer Info'!A2645:I3144,2,0)</f>
        <v>#N/A</v>
      </c>
      <c r="H2653" s="6" t="e">
        <f>VLOOKUP(F2653,'Customer Info'!A2645:I3144,3,0)</f>
        <v>#N/A</v>
      </c>
      <c r="I2653" s="6" t="e">
        <f>VLOOKUP(F2653,'Customer Info'!A2645:I3144,5,0)</f>
        <v>#N/A</v>
      </c>
      <c r="J2653" s="2">
        <v>7508</v>
      </c>
      <c r="K2653" s="2">
        <v>6956</v>
      </c>
      <c r="L2653" s="2">
        <v>1</v>
      </c>
      <c r="M2653" s="7">
        <f t="shared" si="164"/>
        <v>6956</v>
      </c>
      <c r="N2653" s="7">
        <f t="shared" si="165"/>
        <v>7508</v>
      </c>
      <c r="O2653" s="2">
        <v>26</v>
      </c>
      <c r="P2653" s="8">
        <f t="shared" si="166"/>
        <v>7534</v>
      </c>
      <c r="Q2653" s="8">
        <f t="shared" si="167"/>
        <v>7482</v>
      </c>
      <c r="R2653" s="2" t="s">
        <v>28</v>
      </c>
      <c r="S2653" s="9">
        <f>VLOOKUP(P2653,$T$2:U2650,2,1)</f>
        <v>0.05</v>
      </c>
    </row>
    <row r="2654" spans="1:19" x14ac:dyDescent="0.25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e">
        <f>VLOOKUP(F2654,'Customer Info'!A2646:I3145,2,0)</f>
        <v>#N/A</v>
      </c>
      <c r="H2654" s="6" t="e">
        <f>VLOOKUP(F2654,'Customer Info'!A2646:I3145,3,0)</f>
        <v>#N/A</v>
      </c>
      <c r="I2654" s="6" t="e">
        <f>VLOOKUP(F2654,'Customer Info'!A2646:I3145,5,0)</f>
        <v>#N/A</v>
      </c>
      <c r="J2654" s="2">
        <v>1453</v>
      </c>
      <c r="K2654" s="2">
        <v>1411</v>
      </c>
      <c r="L2654" s="2">
        <v>6</v>
      </c>
      <c r="M2654" s="7">
        <f t="shared" si="164"/>
        <v>8466</v>
      </c>
      <c r="N2654" s="7">
        <f t="shared" si="165"/>
        <v>8718</v>
      </c>
      <c r="O2654" s="2">
        <v>80</v>
      </c>
      <c r="P2654" s="8">
        <f t="shared" si="166"/>
        <v>8798</v>
      </c>
      <c r="Q2654" s="8">
        <f t="shared" si="167"/>
        <v>8638</v>
      </c>
      <c r="R2654" s="2" t="s">
        <v>50</v>
      </c>
      <c r="S2654" s="9">
        <f>VLOOKUP(P2654,$T$2:U2651,2,1)</f>
        <v>0.05</v>
      </c>
    </row>
    <row r="2655" spans="1:19" x14ac:dyDescent="0.25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e">
        <f>VLOOKUP(F2655,'Customer Info'!A2647:I3146,2,0)</f>
        <v>#N/A</v>
      </c>
      <c r="H2655" s="6" t="e">
        <f>VLOOKUP(F2655,'Customer Info'!A2647:I3146,3,0)</f>
        <v>#N/A</v>
      </c>
      <c r="I2655" s="6" t="e">
        <f>VLOOKUP(F2655,'Customer Info'!A2647:I3146,5,0)</f>
        <v>#N/A</v>
      </c>
      <c r="J2655" s="2">
        <v>4704</v>
      </c>
      <c r="K2655" s="2">
        <v>4361</v>
      </c>
      <c r="L2655" s="2">
        <v>5</v>
      </c>
      <c r="M2655" s="7">
        <f t="shared" si="164"/>
        <v>21805</v>
      </c>
      <c r="N2655" s="7">
        <f t="shared" si="165"/>
        <v>23520</v>
      </c>
      <c r="O2655" s="2">
        <v>28</v>
      </c>
      <c r="P2655" s="8">
        <f t="shared" si="166"/>
        <v>23548</v>
      </c>
      <c r="Q2655" s="8">
        <f t="shared" si="167"/>
        <v>23492</v>
      </c>
      <c r="R2655" s="2" t="s">
        <v>28</v>
      </c>
      <c r="S2655" s="9">
        <f>VLOOKUP(P2655,$T$2:U2652,2,1)</f>
        <v>0.05</v>
      </c>
    </row>
    <row r="2656" spans="1:19" x14ac:dyDescent="0.25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e">
        <f>VLOOKUP(F2656,'Customer Info'!A2648:I3147,2,0)</f>
        <v>#N/A</v>
      </c>
      <c r="H2656" s="6" t="e">
        <f>VLOOKUP(F2656,'Customer Info'!A2648:I3147,3,0)</f>
        <v>#N/A</v>
      </c>
      <c r="I2656" s="6" t="e">
        <f>VLOOKUP(F2656,'Customer Info'!A2648:I3147,5,0)</f>
        <v>#N/A</v>
      </c>
      <c r="J2656" s="2">
        <v>465</v>
      </c>
      <c r="K2656" s="2">
        <v>439</v>
      </c>
      <c r="L2656" s="2">
        <v>7</v>
      </c>
      <c r="M2656" s="7">
        <f t="shared" si="164"/>
        <v>3073</v>
      </c>
      <c r="N2656" s="7">
        <f t="shared" si="165"/>
        <v>3255</v>
      </c>
      <c r="O2656" s="2">
        <v>47</v>
      </c>
      <c r="P2656" s="8">
        <f t="shared" si="166"/>
        <v>3302</v>
      </c>
      <c r="Q2656" s="8">
        <f t="shared" si="167"/>
        <v>3208</v>
      </c>
      <c r="R2656" s="2" t="s">
        <v>28</v>
      </c>
      <c r="S2656" s="9">
        <f>VLOOKUP(P2656,$T$2:U2653,2,1)</f>
        <v>0.02</v>
      </c>
    </row>
    <row r="2657" spans="1:19" x14ac:dyDescent="0.25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e">
        <f>VLOOKUP(F2657,'Customer Info'!A2649:I3148,2,0)</f>
        <v>#N/A</v>
      </c>
      <c r="H2657" s="6" t="e">
        <f>VLOOKUP(F2657,'Customer Info'!A2649:I3148,3,0)</f>
        <v>#N/A</v>
      </c>
      <c r="I2657" s="6" t="e">
        <f>VLOOKUP(F2657,'Customer Info'!A2649:I3148,5,0)</f>
        <v>#N/A</v>
      </c>
      <c r="J2657" s="2">
        <v>6585</v>
      </c>
      <c r="K2657" s="2">
        <v>6105</v>
      </c>
      <c r="L2657" s="2">
        <v>7</v>
      </c>
      <c r="M2657" s="7">
        <f t="shared" si="164"/>
        <v>42735</v>
      </c>
      <c r="N2657" s="7">
        <f t="shared" si="165"/>
        <v>46095</v>
      </c>
      <c r="O2657" s="2">
        <v>42</v>
      </c>
      <c r="P2657" s="8">
        <f t="shared" si="166"/>
        <v>46137</v>
      </c>
      <c r="Q2657" s="8">
        <f t="shared" si="167"/>
        <v>46053</v>
      </c>
      <c r="R2657" s="2" t="s">
        <v>28</v>
      </c>
      <c r="S2657" s="9">
        <f>VLOOKUP(P2657,$T$2:U2654,2,1)</f>
        <v>7.0000000000000007E-2</v>
      </c>
    </row>
    <row r="2658" spans="1:19" x14ac:dyDescent="0.25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e">
        <f>VLOOKUP(F2658,'Customer Info'!A2650:I3149,2,0)</f>
        <v>#N/A</v>
      </c>
      <c r="H2658" s="6" t="e">
        <f>VLOOKUP(F2658,'Customer Info'!A2650:I3149,3,0)</f>
        <v>#N/A</v>
      </c>
      <c r="I2658" s="6" t="e">
        <f>VLOOKUP(F2658,'Customer Info'!A2650:I3149,5,0)</f>
        <v>#N/A</v>
      </c>
      <c r="J2658" s="2">
        <v>8665</v>
      </c>
      <c r="K2658" s="2">
        <v>7723</v>
      </c>
      <c r="L2658" s="2">
        <v>1</v>
      </c>
      <c r="M2658" s="7">
        <f t="shared" si="164"/>
        <v>7723</v>
      </c>
      <c r="N2658" s="7">
        <f t="shared" si="165"/>
        <v>8665</v>
      </c>
      <c r="O2658" s="2">
        <v>49</v>
      </c>
      <c r="P2658" s="8">
        <f t="shared" si="166"/>
        <v>8714</v>
      </c>
      <c r="Q2658" s="8">
        <f t="shared" si="167"/>
        <v>8616</v>
      </c>
      <c r="R2658" s="2" t="s">
        <v>28</v>
      </c>
      <c r="S2658" s="9">
        <f>VLOOKUP(P2658,$T$2:U2655,2,1)</f>
        <v>0.05</v>
      </c>
    </row>
    <row r="2659" spans="1:19" x14ac:dyDescent="0.25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e">
        <f>VLOOKUP(F2659,'Customer Info'!A2651:I3150,2,0)</f>
        <v>#N/A</v>
      </c>
      <c r="H2659" s="6" t="e">
        <f>VLOOKUP(F2659,'Customer Info'!A2651:I3150,3,0)</f>
        <v>#N/A</v>
      </c>
      <c r="I2659" s="6" t="e">
        <f>VLOOKUP(F2659,'Customer Info'!A2651:I3150,5,0)</f>
        <v>#N/A</v>
      </c>
      <c r="J2659" s="2">
        <v>7922</v>
      </c>
      <c r="K2659" s="2">
        <v>7328</v>
      </c>
      <c r="L2659" s="2">
        <v>7</v>
      </c>
      <c r="M2659" s="7">
        <f t="shared" si="164"/>
        <v>51296</v>
      </c>
      <c r="N2659" s="7">
        <f t="shared" si="165"/>
        <v>55454</v>
      </c>
      <c r="O2659" s="2">
        <v>76</v>
      </c>
      <c r="P2659" s="8">
        <f t="shared" si="166"/>
        <v>55530</v>
      </c>
      <c r="Q2659" s="8">
        <f t="shared" si="167"/>
        <v>55378</v>
      </c>
      <c r="R2659" s="2" t="s">
        <v>28</v>
      </c>
      <c r="S2659" s="9">
        <f>VLOOKUP(P2659,$T$2:U2656,2,1)</f>
        <v>0.09</v>
      </c>
    </row>
    <row r="2660" spans="1:19" x14ac:dyDescent="0.25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e">
        <f>VLOOKUP(F2660,'Customer Info'!A2652:I3151,2,0)</f>
        <v>#N/A</v>
      </c>
      <c r="H2660" s="6" t="e">
        <f>VLOOKUP(F2660,'Customer Info'!A2652:I3151,3,0)</f>
        <v>#N/A</v>
      </c>
      <c r="I2660" s="6" t="e">
        <f>VLOOKUP(F2660,'Customer Info'!A2652:I3151,5,0)</f>
        <v>#N/A</v>
      </c>
      <c r="J2660" s="2">
        <v>130</v>
      </c>
      <c r="K2660" s="2">
        <v>122</v>
      </c>
      <c r="L2660" s="2">
        <v>1</v>
      </c>
      <c r="M2660" s="7">
        <f t="shared" si="164"/>
        <v>122</v>
      </c>
      <c r="N2660" s="7">
        <f t="shared" si="165"/>
        <v>130</v>
      </c>
      <c r="O2660" s="2">
        <v>30</v>
      </c>
      <c r="P2660" s="8">
        <f t="shared" si="166"/>
        <v>160</v>
      </c>
      <c r="Q2660" s="8">
        <f t="shared" si="167"/>
        <v>100</v>
      </c>
      <c r="R2660" s="2" t="s">
        <v>50</v>
      </c>
      <c r="S2660" s="9">
        <f>VLOOKUP(P2660,$T$2:U2657,2,1)</f>
        <v>0.02</v>
      </c>
    </row>
    <row r="2661" spans="1:19" x14ac:dyDescent="0.25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e">
        <f>VLOOKUP(F2661,'Customer Info'!A2653:I3152,2,0)</f>
        <v>#N/A</v>
      </c>
      <c r="H2661" s="6" t="e">
        <f>VLOOKUP(F2661,'Customer Info'!A2653:I3152,3,0)</f>
        <v>#N/A</v>
      </c>
      <c r="I2661" s="6" t="e">
        <f>VLOOKUP(F2661,'Customer Info'!A2653:I3152,5,0)</f>
        <v>#N/A</v>
      </c>
      <c r="J2661" s="2">
        <v>851</v>
      </c>
      <c r="K2661" s="2">
        <v>773</v>
      </c>
      <c r="L2661" s="2">
        <v>12</v>
      </c>
      <c r="M2661" s="7">
        <f t="shared" si="164"/>
        <v>9276</v>
      </c>
      <c r="N2661" s="7">
        <f t="shared" si="165"/>
        <v>10212</v>
      </c>
      <c r="O2661" s="2">
        <v>86</v>
      </c>
      <c r="P2661" s="8">
        <f t="shared" si="166"/>
        <v>10298</v>
      </c>
      <c r="Q2661" s="8">
        <f t="shared" si="167"/>
        <v>10126</v>
      </c>
      <c r="R2661" s="2" t="s">
        <v>28</v>
      </c>
      <c r="S2661" s="9">
        <f>VLOOKUP(P2661,$T$2:U2658,2,1)</f>
        <v>0.05</v>
      </c>
    </row>
    <row r="2662" spans="1:19" x14ac:dyDescent="0.25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e">
        <f>VLOOKUP(F2662,'Customer Info'!A2654:I3153,2,0)</f>
        <v>#N/A</v>
      </c>
      <c r="H2662" s="6" t="e">
        <f>VLOOKUP(F2662,'Customer Info'!A2654:I3153,3,0)</f>
        <v>#N/A</v>
      </c>
      <c r="I2662" s="6" t="e">
        <f>VLOOKUP(F2662,'Customer Info'!A2654:I3153,5,0)</f>
        <v>#N/A</v>
      </c>
      <c r="J2662" s="2">
        <v>973</v>
      </c>
      <c r="K2662" s="2">
        <v>910</v>
      </c>
      <c r="L2662" s="2">
        <v>4</v>
      </c>
      <c r="M2662" s="7">
        <f t="shared" si="164"/>
        <v>3640</v>
      </c>
      <c r="N2662" s="7">
        <f t="shared" si="165"/>
        <v>3892</v>
      </c>
      <c r="O2662" s="2">
        <v>74</v>
      </c>
      <c r="P2662" s="8">
        <f t="shared" si="166"/>
        <v>3966</v>
      </c>
      <c r="Q2662" s="8">
        <f t="shared" si="167"/>
        <v>3818</v>
      </c>
      <c r="R2662" s="2" t="s">
        <v>28</v>
      </c>
      <c r="S2662" s="9">
        <f>VLOOKUP(P2662,$T$2:U2659,2,1)</f>
        <v>0.02</v>
      </c>
    </row>
    <row r="2663" spans="1:19" x14ac:dyDescent="0.25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e">
        <f>VLOOKUP(F2663,'Customer Info'!A2655:I3154,2,0)</f>
        <v>#N/A</v>
      </c>
      <c r="H2663" s="6" t="e">
        <f>VLOOKUP(F2663,'Customer Info'!A2655:I3154,3,0)</f>
        <v>#N/A</v>
      </c>
      <c r="I2663" s="6" t="e">
        <f>VLOOKUP(F2663,'Customer Info'!A2655:I3154,5,0)</f>
        <v>#N/A</v>
      </c>
      <c r="J2663" s="2">
        <v>7327</v>
      </c>
      <c r="K2663" s="2">
        <v>6658</v>
      </c>
      <c r="L2663" s="2">
        <v>6</v>
      </c>
      <c r="M2663" s="7">
        <f t="shared" si="164"/>
        <v>39948</v>
      </c>
      <c r="N2663" s="7">
        <f t="shared" si="165"/>
        <v>43962</v>
      </c>
      <c r="O2663" s="2">
        <v>51</v>
      </c>
      <c r="P2663" s="8">
        <f t="shared" si="166"/>
        <v>44013</v>
      </c>
      <c r="Q2663" s="8">
        <f t="shared" si="167"/>
        <v>43911</v>
      </c>
      <c r="R2663" s="2" t="s">
        <v>50</v>
      </c>
      <c r="S2663" s="9">
        <f>VLOOKUP(P2663,$T$2:U2660,2,1)</f>
        <v>7.0000000000000007E-2</v>
      </c>
    </row>
    <row r="2664" spans="1:19" x14ac:dyDescent="0.25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e">
        <f>VLOOKUP(F2664,'Customer Info'!A2656:I3155,2,0)</f>
        <v>#N/A</v>
      </c>
      <c r="H2664" s="6" t="e">
        <f>VLOOKUP(F2664,'Customer Info'!A2656:I3155,3,0)</f>
        <v>#N/A</v>
      </c>
      <c r="I2664" s="6" t="e">
        <f>VLOOKUP(F2664,'Customer Info'!A2656:I3155,5,0)</f>
        <v>#N/A</v>
      </c>
      <c r="J2664" s="2">
        <v>139</v>
      </c>
      <c r="K2664" s="2">
        <v>130</v>
      </c>
      <c r="L2664" s="2">
        <v>2</v>
      </c>
      <c r="M2664" s="7">
        <f t="shared" si="164"/>
        <v>260</v>
      </c>
      <c r="N2664" s="7">
        <f t="shared" si="165"/>
        <v>278</v>
      </c>
      <c r="O2664" s="2">
        <v>30</v>
      </c>
      <c r="P2664" s="8">
        <f t="shared" si="166"/>
        <v>308</v>
      </c>
      <c r="Q2664" s="8">
        <f t="shared" si="167"/>
        <v>248</v>
      </c>
      <c r="R2664" s="2" t="s">
        <v>28</v>
      </c>
      <c r="S2664" s="9">
        <f>VLOOKUP(P2664,$T$2:U2661,2,1)</f>
        <v>0.02</v>
      </c>
    </row>
    <row r="2665" spans="1:19" x14ac:dyDescent="0.25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e">
        <f>VLOOKUP(F2665,'Customer Info'!A2657:I3156,2,0)</f>
        <v>#N/A</v>
      </c>
      <c r="H2665" s="6" t="e">
        <f>VLOOKUP(F2665,'Customer Info'!A2657:I3156,3,0)</f>
        <v>#N/A</v>
      </c>
      <c r="I2665" s="6" t="e">
        <f>VLOOKUP(F2665,'Customer Info'!A2657:I3156,5,0)</f>
        <v>#N/A</v>
      </c>
      <c r="J2665" s="2">
        <v>123</v>
      </c>
      <c r="K2665" s="2">
        <v>115</v>
      </c>
      <c r="L2665" s="2">
        <v>1</v>
      </c>
      <c r="M2665" s="7">
        <f t="shared" si="164"/>
        <v>115</v>
      </c>
      <c r="N2665" s="7">
        <f t="shared" si="165"/>
        <v>123</v>
      </c>
      <c r="O2665" s="2">
        <v>30</v>
      </c>
      <c r="P2665" s="8">
        <f t="shared" si="166"/>
        <v>153</v>
      </c>
      <c r="Q2665" s="8">
        <f t="shared" si="167"/>
        <v>93</v>
      </c>
      <c r="R2665" s="2" t="s">
        <v>28</v>
      </c>
      <c r="S2665" s="9">
        <f>VLOOKUP(P2665,$T$2:U2662,2,1)</f>
        <v>0.02</v>
      </c>
    </row>
    <row r="2666" spans="1:19" x14ac:dyDescent="0.25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e">
        <f>VLOOKUP(F2666,'Customer Info'!A2658:I3157,2,0)</f>
        <v>#N/A</v>
      </c>
      <c r="H2666" s="6" t="e">
        <f>VLOOKUP(F2666,'Customer Info'!A2658:I3157,3,0)</f>
        <v>#N/A</v>
      </c>
      <c r="I2666" s="6" t="e">
        <f>VLOOKUP(F2666,'Customer Info'!A2658:I3157,5,0)</f>
        <v>#N/A</v>
      </c>
      <c r="J2666" s="2">
        <v>887</v>
      </c>
      <c r="K2666" s="2">
        <v>814</v>
      </c>
      <c r="L2666" s="2">
        <v>5</v>
      </c>
      <c r="M2666" s="7">
        <f t="shared" si="164"/>
        <v>4070</v>
      </c>
      <c r="N2666" s="7">
        <f t="shared" si="165"/>
        <v>4435</v>
      </c>
      <c r="O2666" s="2">
        <v>57</v>
      </c>
      <c r="P2666" s="8">
        <f t="shared" si="166"/>
        <v>4492</v>
      </c>
      <c r="Q2666" s="8">
        <f t="shared" si="167"/>
        <v>4378</v>
      </c>
      <c r="R2666" s="2" t="s">
        <v>28</v>
      </c>
      <c r="S2666" s="9">
        <f>VLOOKUP(P2666,$T$2:U2663,2,1)</f>
        <v>0.02</v>
      </c>
    </row>
    <row r="2667" spans="1:19" x14ac:dyDescent="0.25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e">
        <f>VLOOKUP(F2667,'Customer Info'!A2659:I3158,2,0)</f>
        <v>#N/A</v>
      </c>
      <c r="H2667" s="6" t="e">
        <f>VLOOKUP(F2667,'Customer Info'!A2659:I3158,3,0)</f>
        <v>#N/A</v>
      </c>
      <c r="I2667" s="6" t="e">
        <f>VLOOKUP(F2667,'Customer Info'!A2659:I3158,5,0)</f>
        <v>#N/A</v>
      </c>
      <c r="J2667" s="2">
        <v>82</v>
      </c>
      <c r="K2667" s="2">
        <v>79</v>
      </c>
      <c r="L2667" s="2">
        <v>7</v>
      </c>
      <c r="M2667" s="7">
        <f t="shared" si="164"/>
        <v>553</v>
      </c>
      <c r="N2667" s="7">
        <f t="shared" si="165"/>
        <v>574</v>
      </c>
      <c r="O2667" s="2">
        <v>10</v>
      </c>
      <c r="P2667" s="8">
        <f t="shared" si="166"/>
        <v>584</v>
      </c>
      <c r="Q2667" s="8">
        <f t="shared" si="167"/>
        <v>564</v>
      </c>
      <c r="R2667" s="2" t="s">
        <v>28</v>
      </c>
      <c r="S2667" s="9">
        <f>VLOOKUP(P2667,$T$2:U2664,2,1)</f>
        <v>0.02</v>
      </c>
    </row>
    <row r="2668" spans="1:19" x14ac:dyDescent="0.25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e">
        <f>VLOOKUP(F2668,'Customer Info'!A2660:I3159,2,0)</f>
        <v>#N/A</v>
      </c>
      <c r="H2668" s="6" t="e">
        <f>VLOOKUP(F2668,'Customer Info'!A2660:I3159,3,0)</f>
        <v>#N/A</v>
      </c>
      <c r="I2668" s="6" t="e">
        <f>VLOOKUP(F2668,'Customer Info'!A2660:I3159,5,0)</f>
        <v>#N/A</v>
      </c>
      <c r="J2668" s="2">
        <v>658</v>
      </c>
      <c r="K2668" s="2">
        <v>615</v>
      </c>
      <c r="L2668" s="2">
        <v>4</v>
      </c>
      <c r="M2668" s="7">
        <f t="shared" si="164"/>
        <v>2460</v>
      </c>
      <c r="N2668" s="7">
        <f t="shared" si="165"/>
        <v>2632</v>
      </c>
      <c r="O2668" s="2">
        <v>97</v>
      </c>
      <c r="P2668" s="8">
        <f t="shared" si="166"/>
        <v>2729</v>
      </c>
      <c r="Q2668" s="8">
        <f t="shared" si="167"/>
        <v>2535</v>
      </c>
      <c r="R2668" s="2" t="s">
        <v>28</v>
      </c>
      <c r="S2668" s="9">
        <f>VLOOKUP(P2668,$T$2:U2665,2,1)</f>
        <v>0.02</v>
      </c>
    </row>
    <row r="2669" spans="1:19" x14ac:dyDescent="0.25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e">
        <f>VLOOKUP(F2669,'Customer Info'!A2661:I3160,2,0)</f>
        <v>#N/A</v>
      </c>
      <c r="H2669" s="6" t="e">
        <f>VLOOKUP(F2669,'Customer Info'!A2661:I3160,3,0)</f>
        <v>#N/A</v>
      </c>
      <c r="I2669" s="6" t="e">
        <f>VLOOKUP(F2669,'Customer Info'!A2661:I3160,5,0)</f>
        <v>#N/A</v>
      </c>
      <c r="J2669" s="2">
        <v>60</v>
      </c>
      <c r="K2669" s="2">
        <v>57</v>
      </c>
      <c r="L2669" s="2">
        <v>7</v>
      </c>
      <c r="M2669" s="7">
        <f t="shared" si="164"/>
        <v>399</v>
      </c>
      <c r="N2669" s="7">
        <f t="shared" si="165"/>
        <v>420</v>
      </c>
      <c r="O2669" s="2">
        <v>10</v>
      </c>
      <c r="P2669" s="8">
        <f t="shared" si="166"/>
        <v>430</v>
      </c>
      <c r="Q2669" s="8">
        <f t="shared" si="167"/>
        <v>410</v>
      </c>
      <c r="R2669" s="2" t="s">
        <v>26</v>
      </c>
      <c r="S2669" s="9">
        <f>VLOOKUP(P2669,$T$2:U2666,2,1)</f>
        <v>0.02</v>
      </c>
    </row>
    <row r="2670" spans="1:19" x14ac:dyDescent="0.25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e">
        <f>VLOOKUP(F2670,'Customer Info'!A2662:I3161,2,0)</f>
        <v>#N/A</v>
      </c>
      <c r="H2670" s="6" t="e">
        <f>VLOOKUP(F2670,'Customer Info'!A2662:I3161,3,0)</f>
        <v>#N/A</v>
      </c>
      <c r="I2670" s="6" t="e">
        <f>VLOOKUP(F2670,'Customer Info'!A2662:I3161,5,0)</f>
        <v>#N/A</v>
      </c>
      <c r="J2670" s="2">
        <v>8187</v>
      </c>
      <c r="K2670" s="2">
        <v>7799</v>
      </c>
      <c r="L2670" s="2">
        <v>1</v>
      </c>
      <c r="M2670" s="7">
        <f t="shared" si="164"/>
        <v>7799</v>
      </c>
      <c r="N2670" s="7">
        <f t="shared" si="165"/>
        <v>8187</v>
      </c>
      <c r="O2670" s="2">
        <v>21</v>
      </c>
      <c r="P2670" s="8">
        <f t="shared" si="166"/>
        <v>8208</v>
      </c>
      <c r="Q2670" s="8">
        <f t="shared" si="167"/>
        <v>8166</v>
      </c>
      <c r="R2670" s="2" t="s">
        <v>28</v>
      </c>
      <c r="S2670" s="9">
        <f>VLOOKUP(P2670,$T$2:U2667,2,1)</f>
        <v>0.05</v>
      </c>
    </row>
    <row r="2671" spans="1:19" x14ac:dyDescent="0.25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e">
        <f>VLOOKUP(F2671,'Customer Info'!A2663:I3162,2,0)</f>
        <v>#N/A</v>
      </c>
      <c r="H2671" s="6" t="e">
        <f>VLOOKUP(F2671,'Customer Info'!A2663:I3162,3,0)</f>
        <v>#N/A</v>
      </c>
      <c r="I2671" s="6" t="e">
        <f>VLOOKUP(F2671,'Customer Info'!A2663:I3162,5,0)</f>
        <v>#N/A</v>
      </c>
      <c r="J2671" s="2">
        <v>695</v>
      </c>
      <c r="K2671" s="2">
        <v>661</v>
      </c>
      <c r="L2671" s="2">
        <v>8</v>
      </c>
      <c r="M2671" s="7">
        <f t="shared" si="164"/>
        <v>5288</v>
      </c>
      <c r="N2671" s="7">
        <f t="shared" si="165"/>
        <v>5560</v>
      </c>
      <c r="O2671" s="2">
        <v>86</v>
      </c>
      <c r="P2671" s="8">
        <f t="shared" si="166"/>
        <v>5646</v>
      </c>
      <c r="Q2671" s="8">
        <f t="shared" si="167"/>
        <v>5474</v>
      </c>
      <c r="R2671" s="2" t="s">
        <v>28</v>
      </c>
      <c r="S2671" s="9">
        <f>VLOOKUP(P2671,$T$2:U2668,2,1)</f>
        <v>0.05</v>
      </c>
    </row>
    <row r="2672" spans="1:19" x14ac:dyDescent="0.25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e">
        <f>VLOOKUP(F2672,'Customer Info'!A2664:I3163,2,0)</f>
        <v>#N/A</v>
      </c>
      <c r="H2672" s="6" t="e">
        <f>VLOOKUP(F2672,'Customer Info'!A2664:I3163,3,0)</f>
        <v>#N/A</v>
      </c>
      <c r="I2672" s="6" t="e">
        <f>VLOOKUP(F2672,'Customer Info'!A2664:I3163,5,0)</f>
        <v>#N/A</v>
      </c>
      <c r="J2672" s="2">
        <v>1364</v>
      </c>
      <c r="K2672" s="2">
        <v>1274</v>
      </c>
      <c r="L2672" s="2">
        <v>3</v>
      </c>
      <c r="M2672" s="7">
        <f t="shared" si="164"/>
        <v>3822</v>
      </c>
      <c r="N2672" s="7">
        <f t="shared" si="165"/>
        <v>4092</v>
      </c>
      <c r="O2672" s="2">
        <v>45</v>
      </c>
      <c r="P2672" s="8">
        <f t="shared" si="166"/>
        <v>4137</v>
      </c>
      <c r="Q2672" s="8">
        <f t="shared" si="167"/>
        <v>4047</v>
      </c>
      <c r="R2672" s="2" t="s">
        <v>56</v>
      </c>
      <c r="S2672" s="9">
        <f>VLOOKUP(P2672,$T$2:U2669,2,1)</f>
        <v>0.02</v>
      </c>
    </row>
    <row r="2673" spans="1:19" x14ac:dyDescent="0.25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e">
        <f>VLOOKUP(F2673,'Customer Info'!A2665:I3164,2,0)</f>
        <v>#N/A</v>
      </c>
      <c r="H2673" s="6" t="e">
        <f>VLOOKUP(F2673,'Customer Info'!A2665:I3164,3,0)</f>
        <v>#N/A</v>
      </c>
      <c r="I2673" s="6" t="e">
        <f>VLOOKUP(F2673,'Customer Info'!A2665:I3164,5,0)</f>
        <v>#N/A</v>
      </c>
      <c r="J2673" s="2">
        <v>5836</v>
      </c>
      <c r="K2673" s="2">
        <v>5457</v>
      </c>
      <c r="L2673" s="2">
        <v>2</v>
      </c>
      <c r="M2673" s="7">
        <f t="shared" si="164"/>
        <v>10914</v>
      </c>
      <c r="N2673" s="7">
        <f t="shared" si="165"/>
        <v>11672</v>
      </c>
      <c r="O2673" s="2">
        <v>94</v>
      </c>
      <c r="P2673" s="8">
        <f t="shared" si="166"/>
        <v>11766</v>
      </c>
      <c r="Q2673" s="8">
        <f t="shared" si="167"/>
        <v>11578</v>
      </c>
      <c r="R2673" s="2" t="s">
        <v>50</v>
      </c>
      <c r="S2673" s="9">
        <f>VLOOKUP(P2673,$T$2:U2670,2,1)</f>
        <v>0.05</v>
      </c>
    </row>
    <row r="2674" spans="1:19" x14ac:dyDescent="0.25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e">
        <f>VLOOKUP(F2674,'Customer Info'!A2666:I3165,2,0)</f>
        <v>#N/A</v>
      </c>
      <c r="H2674" s="6" t="e">
        <f>VLOOKUP(F2674,'Customer Info'!A2666:I3165,3,0)</f>
        <v>#N/A</v>
      </c>
      <c r="I2674" s="6" t="e">
        <f>VLOOKUP(F2674,'Customer Info'!A2666:I3165,5,0)</f>
        <v>#N/A</v>
      </c>
      <c r="J2674" s="2">
        <v>1441</v>
      </c>
      <c r="K2674" s="2">
        <v>1360</v>
      </c>
      <c r="L2674" s="2">
        <v>7</v>
      </c>
      <c r="M2674" s="7">
        <f t="shared" si="164"/>
        <v>9520</v>
      </c>
      <c r="N2674" s="7">
        <f t="shared" si="165"/>
        <v>10087</v>
      </c>
      <c r="O2674" s="2">
        <v>93</v>
      </c>
      <c r="P2674" s="8">
        <f t="shared" si="166"/>
        <v>10180</v>
      </c>
      <c r="Q2674" s="8">
        <f t="shared" si="167"/>
        <v>9994</v>
      </c>
      <c r="R2674" s="2" t="s">
        <v>28</v>
      </c>
      <c r="S2674" s="9">
        <f>VLOOKUP(P2674,$T$2:U2671,2,1)</f>
        <v>0.05</v>
      </c>
    </row>
    <row r="2675" spans="1:19" x14ac:dyDescent="0.25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e">
        <f>VLOOKUP(F2675,'Customer Info'!A2667:I3166,2,0)</f>
        <v>#N/A</v>
      </c>
      <c r="H2675" s="6" t="e">
        <f>VLOOKUP(F2675,'Customer Info'!A2667:I3166,3,0)</f>
        <v>#N/A</v>
      </c>
      <c r="I2675" s="6" t="e">
        <f>VLOOKUP(F2675,'Customer Info'!A2667:I3166,5,0)</f>
        <v>#N/A</v>
      </c>
      <c r="J2675" s="2">
        <v>25658</v>
      </c>
      <c r="K2675" s="2">
        <v>24466</v>
      </c>
      <c r="L2675" s="2">
        <v>2</v>
      </c>
      <c r="M2675" s="7">
        <f t="shared" si="164"/>
        <v>48932</v>
      </c>
      <c r="N2675" s="7">
        <f t="shared" si="165"/>
        <v>51316</v>
      </c>
      <c r="O2675" s="2">
        <v>33</v>
      </c>
      <c r="P2675" s="8">
        <f t="shared" si="166"/>
        <v>51349</v>
      </c>
      <c r="Q2675" s="8">
        <f t="shared" si="167"/>
        <v>51283</v>
      </c>
      <c r="R2675" s="2" t="s">
        <v>50</v>
      </c>
      <c r="S2675" s="9">
        <f>VLOOKUP(P2675,$T$2:U2672,2,1)</f>
        <v>0.09</v>
      </c>
    </row>
    <row r="2676" spans="1:19" x14ac:dyDescent="0.25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e">
        <f>VLOOKUP(F2676,'Customer Info'!A2668:I3167,2,0)</f>
        <v>#N/A</v>
      </c>
      <c r="H2676" s="6" t="e">
        <f>VLOOKUP(F2676,'Customer Info'!A2668:I3167,3,0)</f>
        <v>#N/A</v>
      </c>
      <c r="I2676" s="6" t="e">
        <f>VLOOKUP(F2676,'Customer Info'!A2668:I3167,5,0)</f>
        <v>#N/A</v>
      </c>
      <c r="J2676" s="2">
        <v>511</v>
      </c>
      <c r="K2676" s="2">
        <v>468</v>
      </c>
      <c r="L2676" s="2">
        <v>2</v>
      </c>
      <c r="M2676" s="7">
        <f t="shared" si="164"/>
        <v>936</v>
      </c>
      <c r="N2676" s="7">
        <f t="shared" si="165"/>
        <v>1022</v>
      </c>
      <c r="O2676" s="2">
        <v>79</v>
      </c>
      <c r="P2676" s="8">
        <f t="shared" si="166"/>
        <v>1101</v>
      </c>
      <c r="Q2676" s="8">
        <f t="shared" si="167"/>
        <v>943</v>
      </c>
      <c r="R2676" s="2" t="s">
        <v>28</v>
      </c>
      <c r="S2676" s="9">
        <f>VLOOKUP(P2676,$T$2:U2673,2,1)</f>
        <v>0.02</v>
      </c>
    </row>
    <row r="2677" spans="1:19" x14ac:dyDescent="0.25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e">
        <f>VLOOKUP(F2677,'Customer Info'!A2669:I3168,2,0)</f>
        <v>#N/A</v>
      </c>
      <c r="H2677" s="6" t="e">
        <f>VLOOKUP(F2677,'Customer Info'!A2669:I3168,3,0)</f>
        <v>#N/A</v>
      </c>
      <c r="I2677" s="6" t="e">
        <f>VLOOKUP(F2677,'Customer Info'!A2669:I3168,5,0)</f>
        <v>#N/A</v>
      </c>
      <c r="J2677" s="2">
        <v>5882</v>
      </c>
      <c r="K2677" s="2">
        <v>5713</v>
      </c>
      <c r="L2677" s="2">
        <v>1</v>
      </c>
      <c r="M2677" s="7">
        <f t="shared" si="164"/>
        <v>5713</v>
      </c>
      <c r="N2677" s="7">
        <f t="shared" si="165"/>
        <v>5882</v>
      </c>
      <c r="O2677" s="2">
        <v>51</v>
      </c>
      <c r="P2677" s="8">
        <f t="shared" si="166"/>
        <v>5933</v>
      </c>
      <c r="Q2677" s="8">
        <f t="shared" si="167"/>
        <v>5831</v>
      </c>
      <c r="R2677" s="2" t="s">
        <v>26</v>
      </c>
      <c r="S2677" s="9">
        <f>VLOOKUP(P2677,$T$2:U2674,2,1)</f>
        <v>0.05</v>
      </c>
    </row>
    <row r="2678" spans="1:19" x14ac:dyDescent="0.25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e">
        <f>VLOOKUP(F2678,'Customer Info'!A2670:I3169,2,0)</f>
        <v>#N/A</v>
      </c>
      <c r="H2678" s="6" t="e">
        <f>VLOOKUP(F2678,'Customer Info'!A2670:I3169,3,0)</f>
        <v>#N/A</v>
      </c>
      <c r="I2678" s="6" t="e">
        <f>VLOOKUP(F2678,'Customer Info'!A2670:I3169,5,0)</f>
        <v>#N/A</v>
      </c>
      <c r="J2678" s="2">
        <v>1916</v>
      </c>
      <c r="K2678" s="2">
        <v>1844</v>
      </c>
      <c r="L2678" s="2">
        <v>2</v>
      </c>
      <c r="M2678" s="7">
        <f t="shared" si="164"/>
        <v>3688</v>
      </c>
      <c r="N2678" s="7">
        <f t="shared" si="165"/>
        <v>3832</v>
      </c>
      <c r="O2678" s="2">
        <v>100</v>
      </c>
      <c r="P2678" s="8">
        <f t="shared" si="166"/>
        <v>3932</v>
      </c>
      <c r="Q2678" s="8">
        <f t="shared" si="167"/>
        <v>3732</v>
      </c>
      <c r="R2678" s="2" t="s">
        <v>50</v>
      </c>
      <c r="S2678" s="9">
        <f>VLOOKUP(P2678,$T$2:U2675,2,1)</f>
        <v>0.02</v>
      </c>
    </row>
    <row r="2679" spans="1:19" x14ac:dyDescent="0.25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e">
        <f>VLOOKUP(F2679,'Customer Info'!A2671:I3170,2,0)</f>
        <v>#N/A</v>
      </c>
      <c r="H2679" s="6" t="e">
        <f>VLOOKUP(F2679,'Customer Info'!A2671:I3170,3,0)</f>
        <v>#N/A</v>
      </c>
      <c r="I2679" s="6" t="e">
        <f>VLOOKUP(F2679,'Customer Info'!A2671:I3170,5,0)</f>
        <v>#N/A</v>
      </c>
      <c r="J2679" s="2">
        <v>2921</v>
      </c>
      <c r="K2679" s="2">
        <v>2809</v>
      </c>
      <c r="L2679" s="2">
        <v>2</v>
      </c>
      <c r="M2679" s="7">
        <f t="shared" si="164"/>
        <v>5618</v>
      </c>
      <c r="N2679" s="7">
        <f t="shared" si="165"/>
        <v>5842</v>
      </c>
      <c r="O2679" s="2">
        <v>60</v>
      </c>
      <c r="P2679" s="8">
        <f t="shared" si="166"/>
        <v>5902</v>
      </c>
      <c r="Q2679" s="8">
        <f t="shared" si="167"/>
        <v>5782</v>
      </c>
      <c r="R2679" s="2" t="s">
        <v>50</v>
      </c>
      <c r="S2679" s="9">
        <f>VLOOKUP(P2679,$T$2:U2676,2,1)</f>
        <v>0.05</v>
      </c>
    </row>
    <row r="2680" spans="1:19" x14ac:dyDescent="0.25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e">
        <f>VLOOKUP(F2680,'Customer Info'!A2672:I3171,2,0)</f>
        <v>#N/A</v>
      </c>
      <c r="H2680" s="6" t="e">
        <f>VLOOKUP(F2680,'Customer Info'!A2672:I3171,3,0)</f>
        <v>#N/A</v>
      </c>
      <c r="I2680" s="6" t="e">
        <f>VLOOKUP(F2680,'Customer Info'!A2672:I3171,5,0)</f>
        <v>#N/A</v>
      </c>
      <c r="J2680" s="2">
        <v>125</v>
      </c>
      <c r="K2680" s="2">
        <v>113</v>
      </c>
      <c r="L2680" s="2">
        <v>7</v>
      </c>
      <c r="M2680" s="7">
        <f t="shared" si="164"/>
        <v>791</v>
      </c>
      <c r="N2680" s="7">
        <f t="shared" si="165"/>
        <v>875</v>
      </c>
      <c r="O2680" s="2">
        <v>30</v>
      </c>
      <c r="P2680" s="8">
        <f t="shared" si="166"/>
        <v>905</v>
      </c>
      <c r="Q2680" s="8">
        <f t="shared" si="167"/>
        <v>845</v>
      </c>
      <c r="R2680" s="2" t="s">
        <v>28</v>
      </c>
      <c r="S2680" s="9">
        <f>VLOOKUP(P2680,$T$2:U2677,2,1)</f>
        <v>0.02</v>
      </c>
    </row>
    <row r="2681" spans="1:19" x14ac:dyDescent="0.25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e">
        <f>VLOOKUP(F2681,'Customer Info'!A2673:I3172,2,0)</f>
        <v>#N/A</v>
      </c>
      <c r="H2681" s="6" t="e">
        <f>VLOOKUP(F2681,'Customer Info'!A2673:I3172,3,0)</f>
        <v>#N/A</v>
      </c>
      <c r="I2681" s="6" t="e">
        <f>VLOOKUP(F2681,'Customer Info'!A2673:I3172,5,0)</f>
        <v>#N/A</v>
      </c>
      <c r="J2681" s="2">
        <v>1601</v>
      </c>
      <c r="K2681" s="2">
        <v>1510</v>
      </c>
      <c r="L2681" s="2">
        <v>5</v>
      </c>
      <c r="M2681" s="7">
        <f t="shared" si="164"/>
        <v>7550</v>
      </c>
      <c r="N2681" s="7">
        <f t="shared" si="165"/>
        <v>8005</v>
      </c>
      <c r="O2681" s="2">
        <v>78</v>
      </c>
      <c r="P2681" s="8">
        <f t="shared" si="166"/>
        <v>8083</v>
      </c>
      <c r="Q2681" s="8">
        <f t="shared" si="167"/>
        <v>7927</v>
      </c>
      <c r="R2681" s="2" t="s">
        <v>28</v>
      </c>
      <c r="S2681" s="9">
        <f>VLOOKUP(P2681,$T$2:U2678,2,1)</f>
        <v>0.05</v>
      </c>
    </row>
    <row r="2682" spans="1:19" x14ac:dyDescent="0.25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e">
        <f>VLOOKUP(F2682,'Customer Info'!A2674:I3173,2,0)</f>
        <v>#N/A</v>
      </c>
      <c r="H2682" s="6" t="e">
        <f>VLOOKUP(F2682,'Customer Info'!A2674:I3173,3,0)</f>
        <v>#N/A</v>
      </c>
      <c r="I2682" s="6" t="e">
        <f>VLOOKUP(F2682,'Customer Info'!A2674:I3173,5,0)</f>
        <v>#N/A</v>
      </c>
      <c r="J2682" s="2">
        <v>8026</v>
      </c>
      <c r="K2682" s="2">
        <v>7572</v>
      </c>
      <c r="L2682" s="2">
        <v>4</v>
      </c>
      <c r="M2682" s="7">
        <f t="shared" si="164"/>
        <v>30288</v>
      </c>
      <c r="N2682" s="7">
        <f t="shared" si="165"/>
        <v>32104</v>
      </c>
      <c r="O2682" s="2">
        <v>58</v>
      </c>
      <c r="P2682" s="8">
        <f t="shared" si="166"/>
        <v>32162</v>
      </c>
      <c r="Q2682" s="8">
        <f t="shared" si="167"/>
        <v>32046</v>
      </c>
      <c r="R2682" s="2" t="s">
        <v>28</v>
      </c>
      <c r="S2682" s="9">
        <f>VLOOKUP(P2682,$T$2:U2679,2,1)</f>
        <v>7.0000000000000007E-2</v>
      </c>
    </row>
    <row r="2683" spans="1:19" x14ac:dyDescent="0.25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e">
        <f>VLOOKUP(F2683,'Customer Info'!A2675:I3174,2,0)</f>
        <v>#N/A</v>
      </c>
      <c r="H2683" s="6" t="e">
        <f>VLOOKUP(F2683,'Customer Info'!A2675:I3174,3,0)</f>
        <v>#N/A</v>
      </c>
      <c r="I2683" s="6" t="e">
        <f>VLOOKUP(F2683,'Customer Info'!A2675:I3174,5,0)</f>
        <v>#N/A</v>
      </c>
      <c r="J2683" s="2">
        <v>8738</v>
      </c>
      <c r="K2683" s="2">
        <v>8162</v>
      </c>
      <c r="L2683" s="2">
        <v>2</v>
      </c>
      <c r="M2683" s="7">
        <f t="shared" si="164"/>
        <v>16324</v>
      </c>
      <c r="N2683" s="7">
        <f t="shared" si="165"/>
        <v>17476</v>
      </c>
      <c r="O2683" s="2">
        <v>43</v>
      </c>
      <c r="P2683" s="8">
        <f t="shared" si="166"/>
        <v>17519</v>
      </c>
      <c r="Q2683" s="8">
        <f t="shared" si="167"/>
        <v>17433</v>
      </c>
      <c r="R2683" s="2" t="s">
        <v>28</v>
      </c>
      <c r="S2683" s="9">
        <f>VLOOKUP(P2683,$T$2:U2680,2,1)</f>
        <v>0.05</v>
      </c>
    </row>
    <row r="2684" spans="1:19" x14ac:dyDescent="0.25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e">
        <f>VLOOKUP(F2684,'Customer Info'!A2676:I3175,2,0)</f>
        <v>#N/A</v>
      </c>
      <c r="H2684" s="6" t="e">
        <f>VLOOKUP(F2684,'Customer Info'!A2676:I3175,3,0)</f>
        <v>#N/A</v>
      </c>
      <c r="I2684" s="6" t="e">
        <f>VLOOKUP(F2684,'Customer Info'!A2676:I3175,5,0)</f>
        <v>#N/A</v>
      </c>
      <c r="J2684" s="2">
        <v>139</v>
      </c>
      <c r="K2684" s="2">
        <v>133</v>
      </c>
      <c r="L2684" s="2">
        <v>3</v>
      </c>
      <c r="M2684" s="7">
        <f t="shared" si="164"/>
        <v>399</v>
      </c>
      <c r="N2684" s="7">
        <f t="shared" si="165"/>
        <v>417</v>
      </c>
      <c r="O2684" s="2">
        <v>30</v>
      </c>
      <c r="P2684" s="8">
        <f t="shared" si="166"/>
        <v>447</v>
      </c>
      <c r="Q2684" s="8">
        <f t="shared" si="167"/>
        <v>387</v>
      </c>
      <c r="R2684" s="2" t="s">
        <v>28</v>
      </c>
      <c r="S2684" s="9">
        <f>VLOOKUP(P2684,$T$2:U2681,2,1)</f>
        <v>0.02</v>
      </c>
    </row>
    <row r="2685" spans="1:19" x14ac:dyDescent="0.25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e">
        <f>VLOOKUP(F2685,'Customer Info'!A2677:I3176,2,0)</f>
        <v>#N/A</v>
      </c>
      <c r="H2685" s="6" t="e">
        <f>VLOOKUP(F2685,'Customer Info'!A2677:I3176,3,0)</f>
        <v>#N/A</v>
      </c>
      <c r="I2685" s="6" t="e">
        <f>VLOOKUP(F2685,'Customer Info'!A2677:I3176,5,0)</f>
        <v>#N/A</v>
      </c>
      <c r="J2685" s="2">
        <v>6024</v>
      </c>
      <c r="K2685" s="2">
        <v>5424</v>
      </c>
      <c r="L2685" s="2">
        <v>3</v>
      </c>
      <c r="M2685" s="7">
        <f t="shared" si="164"/>
        <v>16272</v>
      </c>
      <c r="N2685" s="7">
        <f t="shared" si="165"/>
        <v>18072</v>
      </c>
      <c r="O2685" s="2">
        <v>100</v>
      </c>
      <c r="P2685" s="8">
        <f t="shared" si="166"/>
        <v>18172</v>
      </c>
      <c r="Q2685" s="8">
        <f t="shared" si="167"/>
        <v>17972</v>
      </c>
      <c r="R2685" s="2" t="s">
        <v>28</v>
      </c>
      <c r="S2685" s="9">
        <f>VLOOKUP(P2685,$T$2:U2682,2,1)</f>
        <v>0.05</v>
      </c>
    </row>
    <row r="2686" spans="1:19" x14ac:dyDescent="0.25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e">
        <f>VLOOKUP(F2686,'Customer Info'!A2678:I3177,2,0)</f>
        <v>#N/A</v>
      </c>
      <c r="H2686" s="6" t="e">
        <f>VLOOKUP(F2686,'Customer Info'!A2678:I3177,3,0)</f>
        <v>#N/A</v>
      </c>
      <c r="I2686" s="6" t="e">
        <f>VLOOKUP(F2686,'Customer Info'!A2678:I3177,5,0)</f>
        <v>#N/A</v>
      </c>
      <c r="J2686" s="2">
        <v>6337</v>
      </c>
      <c r="K2686" s="2">
        <v>6215</v>
      </c>
      <c r="L2686" s="2">
        <v>3</v>
      </c>
      <c r="M2686" s="7">
        <f t="shared" si="164"/>
        <v>18645</v>
      </c>
      <c r="N2686" s="7">
        <f t="shared" si="165"/>
        <v>19011</v>
      </c>
      <c r="O2686" s="2">
        <v>64</v>
      </c>
      <c r="P2686" s="8">
        <f t="shared" si="166"/>
        <v>19075</v>
      </c>
      <c r="Q2686" s="8">
        <f t="shared" si="167"/>
        <v>18947</v>
      </c>
      <c r="R2686" s="2" t="s">
        <v>56</v>
      </c>
      <c r="S2686" s="9">
        <f>VLOOKUP(P2686,$T$2:U2683,2,1)</f>
        <v>0.05</v>
      </c>
    </row>
    <row r="2687" spans="1:19" x14ac:dyDescent="0.25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e">
        <f>VLOOKUP(F2687,'Customer Info'!A2679:I3178,2,0)</f>
        <v>#N/A</v>
      </c>
      <c r="H2687" s="6" t="e">
        <f>VLOOKUP(F2687,'Customer Info'!A2679:I3178,3,0)</f>
        <v>#N/A</v>
      </c>
      <c r="I2687" s="6" t="e">
        <f>VLOOKUP(F2687,'Customer Info'!A2679:I3178,5,0)</f>
        <v>#N/A</v>
      </c>
      <c r="J2687" s="2">
        <v>8187</v>
      </c>
      <c r="K2687" s="2">
        <v>7799</v>
      </c>
      <c r="L2687" s="2">
        <v>2</v>
      </c>
      <c r="M2687" s="7">
        <f t="shared" si="164"/>
        <v>15598</v>
      </c>
      <c r="N2687" s="7">
        <f t="shared" si="165"/>
        <v>16374</v>
      </c>
      <c r="O2687" s="2">
        <v>95</v>
      </c>
      <c r="P2687" s="8">
        <f t="shared" si="166"/>
        <v>16469</v>
      </c>
      <c r="Q2687" s="8">
        <f t="shared" si="167"/>
        <v>16279</v>
      </c>
      <c r="R2687" s="2" t="s">
        <v>50</v>
      </c>
      <c r="S2687" s="9">
        <f>VLOOKUP(P2687,$T$2:U2684,2,1)</f>
        <v>0.05</v>
      </c>
    </row>
    <row r="2688" spans="1:19" x14ac:dyDescent="0.25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e">
        <f>VLOOKUP(F2688,'Customer Info'!A2680:I3179,2,0)</f>
        <v>#N/A</v>
      </c>
      <c r="H2688" s="6" t="e">
        <f>VLOOKUP(F2688,'Customer Info'!A2680:I3179,3,0)</f>
        <v>#N/A</v>
      </c>
      <c r="I2688" s="6" t="e">
        <f>VLOOKUP(F2688,'Customer Info'!A2680:I3179,5,0)</f>
        <v>#N/A</v>
      </c>
      <c r="J2688" s="2">
        <v>886</v>
      </c>
      <c r="K2688" s="2">
        <v>796</v>
      </c>
      <c r="L2688" s="2">
        <v>2</v>
      </c>
      <c r="M2688" s="7">
        <f t="shared" si="164"/>
        <v>1592</v>
      </c>
      <c r="N2688" s="7">
        <f t="shared" si="165"/>
        <v>1772</v>
      </c>
      <c r="O2688" s="2">
        <v>52</v>
      </c>
      <c r="P2688" s="8">
        <f t="shared" si="166"/>
        <v>1824</v>
      </c>
      <c r="Q2688" s="8">
        <f t="shared" si="167"/>
        <v>1720</v>
      </c>
      <c r="R2688" s="2" t="s">
        <v>56</v>
      </c>
      <c r="S2688" s="9">
        <f>VLOOKUP(P2688,$T$2:U2685,2,1)</f>
        <v>0.02</v>
      </c>
    </row>
    <row r="2689" spans="1:19" x14ac:dyDescent="0.25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e">
        <f>VLOOKUP(F2689,'Customer Info'!A2681:I3180,2,0)</f>
        <v>#N/A</v>
      </c>
      <c r="H2689" s="6" t="e">
        <f>VLOOKUP(F2689,'Customer Info'!A2681:I3180,3,0)</f>
        <v>#N/A</v>
      </c>
      <c r="I2689" s="6" t="e">
        <f>VLOOKUP(F2689,'Customer Info'!A2681:I3180,5,0)</f>
        <v>#N/A</v>
      </c>
      <c r="J2689" s="2">
        <v>2273</v>
      </c>
      <c r="K2689" s="2">
        <v>2229</v>
      </c>
      <c r="L2689" s="2">
        <v>3</v>
      </c>
      <c r="M2689" s="7">
        <f t="shared" si="164"/>
        <v>6687</v>
      </c>
      <c r="N2689" s="7">
        <f t="shared" si="165"/>
        <v>6819</v>
      </c>
      <c r="O2689" s="2">
        <v>41</v>
      </c>
      <c r="P2689" s="8">
        <f t="shared" si="166"/>
        <v>6860</v>
      </c>
      <c r="Q2689" s="8">
        <f t="shared" si="167"/>
        <v>6778</v>
      </c>
      <c r="R2689" s="2" t="s">
        <v>50</v>
      </c>
      <c r="S2689" s="9">
        <f>VLOOKUP(P2689,$T$2:U2686,2,1)</f>
        <v>0.05</v>
      </c>
    </row>
    <row r="2690" spans="1:19" x14ac:dyDescent="0.25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e">
        <f>VLOOKUP(F2690,'Customer Info'!A2682:I3181,2,0)</f>
        <v>#N/A</v>
      </c>
      <c r="H2690" s="6" t="e">
        <f>VLOOKUP(F2690,'Customer Info'!A2682:I3181,3,0)</f>
        <v>#N/A</v>
      </c>
      <c r="I2690" s="6" t="e">
        <f>VLOOKUP(F2690,'Customer Info'!A2682:I3181,5,0)</f>
        <v>#N/A</v>
      </c>
      <c r="J2690" s="2">
        <v>1205</v>
      </c>
      <c r="K2690" s="2">
        <v>1159</v>
      </c>
      <c r="L2690" s="2">
        <v>2</v>
      </c>
      <c r="M2690" s="7">
        <f t="shared" si="164"/>
        <v>2318</v>
      </c>
      <c r="N2690" s="7">
        <f t="shared" si="165"/>
        <v>2410</v>
      </c>
      <c r="O2690" s="2">
        <v>71</v>
      </c>
      <c r="P2690" s="8">
        <f t="shared" si="166"/>
        <v>2481</v>
      </c>
      <c r="Q2690" s="8">
        <f t="shared" si="167"/>
        <v>2339</v>
      </c>
      <c r="R2690" s="2" t="s">
        <v>26</v>
      </c>
      <c r="S2690" s="9">
        <f>VLOOKUP(P2690,$T$2:U2687,2,1)</f>
        <v>0.02</v>
      </c>
    </row>
    <row r="2691" spans="1:19" x14ac:dyDescent="0.25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e">
        <f>VLOOKUP(F2691,'Customer Info'!A2683:I3182,2,0)</f>
        <v>#N/A</v>
      </c>
      <c r="H2691" s="6" t="e">
        <f>VLOOKUP(F2691,'Customer Info'!A2683:I3182,3,0)</f>
        <v>#N/A</v>
      </c>
      <c r="I2691" s="6" t="e">
        <f>VLOOKUP(F2691,'Customer Info'!A2683:I3182,5,0)</f>
        <v>#N/A</v>
      </c>
      <c r="J2691" s="2">
        <v>139</v>
      </c>
      <c r="K2691" s="2">
        <v>133</v>
      </c>
      <c r="L2691" s="2">
        <v>3</v>
      </c>
      <c r="M2691" s="7">
        <f t="shared" si="164"/>
        <v>399</v>
      </c>
      <c r="N2691" s="7">
        <f t="shared" si="165"/>
        <v>417</v>
      </c>
      <c r="O2691" s="2">
        <v>30</v>
      </c>
      <c r="P2691" s="8">
        <f t="shared" si="166"/>
        <v>447</v>
      </c>
      <c r="Q2691" s="8">
        <f t="shared" si="167"/>
        <v>387</v>
      </c>
      <c r="R2691" s="2" t="s">
        <v>28</v>
      </c>
      <c r="S2691" s="9">
        <f>VLOOKUP(P2691,$T$2:U2688,2,1)</f>
        <v>0.02</v>
      </c>
    </row>
    <row r="2692" spans="1:19" x14ac:dyDescent="0.25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e">
        <f>VLOOKUP(F2692,'Customer Info'!A2684:I3183,2,0)</f>
        <v>#N/A</v>
      </c>
      <c r="H2692" s="6" t="e">
        <f>VLOOKUP(F2692,'Customer Info'!A2684:I3183,3,0)</f>
        <v>#N/A</v>
      </c>
      <c r="I2692" s="6" t="e">
        <f>VLOOKUP(F2692,'Customer Info'!A2684:I3183,5,0)</f>
        <v>#N/A</v>
      </c>
      <c r="J2692" s="2">
        <v>3354</v>
      </c>
      <c r="K2692" s="2">
        <v>3102</v>
      </c>
      <c r="L2692" s="2">
        <v>6</v>
      </c>
      <c r="M2692" s="7">
        <f t="shared" si="164"/>
        <v>18612</v>
      </c>
      <c r="N2692" s="7">
        <f t="shared" si="165"/>
        <v>20124</v>
      </c>
      <c r="O2692" s="2">
        <v>41</v>
      </c>
      <c r="P2692" s="8">
        <f t="shared" si="166"/>
        <v>20165</v>
      </c>
      <c r="Q2692" s="8">
        <f t="shared" si="167"/>
        <v>20083</v>
      </c>
      <c r="R2692" s="2" t="s">
        <v>28</v>
      </c>
      <c r="S2692" s="9">
        <f>VLOOKUP(P2692,$T$2:U2689,2,1)</f>
        <v>0.05</v>
      </c>
    </row>
    <row r="2693" spans="1:19" x14ac:dyDescent="0.25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e">
        <f>VLOOKUP(F2693,'Customer Info'!A2685:I3184,2,0)</f>
        <v>#N/A</v>
      </c>
      <c r="H2693" s="6" t="e">
        <f>VLOOKUP(F2693,'Customer Info'!A2685:I3184,3,0)</f>
        <v>#N/A</v>
      </c>
      <c r="I2693" s="6" t="e">
        <f>VLOOKUP(F2693,'Customer Info'!A2685:I3184,5,0)</f>
        <v>#N/A</v>
      </c>
      <c r="J2693" s="2">
        <v>3192</v>
      </c>
      <c r="K2693" s="2">
        <v>3011</v>
      </c>
      <c r="L2693" s="2">
        <v>4</v>
      </c>
      <c r="M2693" s="7">
        <f t="shared" si="164"/>
        <v>12044</v>
      </c>
      <c r="N2693" s="7">
        <f t="shared" si="165"/>
        <v>12768</v>
      </c>
      <c r="O2693" s="2">
        <v>48</v>
      </c>
      <c r="P2693" s="8">
        <f t="shared" si="166"/>
        <v>12816</v>
      </c>
      <c r="Q2693" s="8">
        <f t="shared" si="167"/>
        <v>12720</v>
      </c>
      <c r="R2693" s="2" t="s">
        <v>50</v>
      </c>
      <c r="S2693" s="9">
        <f>VLOOKUP(P2693,$T$2:U2690,2,1)</f>
        <v>0.05</v>
      </c>
    </row>
    <row r="2694" spans="1:19" x14ac:dyDescent="0.25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e">
        <f>VLOOKUP(F2694,'Customer Info'!A2686:I3185,2,0)</f>
        <v>#N/A</v>
      </c>
      <c r="H2694" s="6" t="e">
        <f>VLOOKUP(F2694,'Customer Info'!A2686:I3185,3,0)</f>
        <v>#N/A</v>
      </c>
      <c r="I2694" s="6" t="e">
        <f>VLOOKUP(F2694,'Customer Info'!A2686:I3185,5,0)</f>
        <v>#N/A</v>
      </c>
      <c r="J2694" s="2">
        <v>1845</v>
      </c>
      <c r="K2694" s="2">
        <v>1742</v>
      </c>
      <c r="L2694" s="2">
        <v>1</v>
      </c>
      <c r="M2694" s="7">
        <f t="shared" si="164"/>
        <v>1742</v>
      </c>
      <c r="N2694" s="7">
        <f t="shared" si="165"/>
        <v>1845</v>
      </c>
      <c r="O2694" s="2">
        <v>82</v>
      </c>
      <c r="P2694" s="8">
        <f t="shared" si="166"/>
        <v>1927</v>
      </c>
      <c r="Q2694" s="8">
        <f t="shared" si="167"/>
        <v>1763</v>
      </c>
      <c r="R2694" s="2" t="s">
        <v>50</v>
      </c>
      <c r="S2694" s="9">
        <f>VLOOKUP(P2694,$T$2:U2691,2,1)</f>
        <v>0.02</v>
      </c>
    </row>
    <row r="2695" spans="1:19" x14ac:dyDescent="0.25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e">
        <f>VLOOKUP(F2695,'Customer Info'!A2687:I3186,2,0)</f>
        <v>#N/A</v>
      </c>
      <c r="H2695" s="6" t="e">
        <f>VLOOKUP(F2695,'Customer Info'!A2687:I3186,3,0)</f>
        <v>#N/A</v>
      </c>
      <c r="I2695" s="6" t="e">
        <f>VLOOKUP(F2695,'Customer Info'!A2687:I3186,5,0)</f>
        <v>#N/A</v>
      </c>
      <c r="J2695" s="2">
        <v>185</v>
      </c>
      <c r="K2695" s="2">
        <v>171</v>
      </c>
      <c r="L2695" s="2">
        <v>3</v>
      </c>
      <c r="M2695" s="7">
        <f t="shared" si="164"/>
        <v>513</v>
      </c>
      <c r="N2695" s="7">
        <f t="shared" si="165"/>
        <v>555</v>
      </c>
      <c r="O2695" s="2">
        <v>30</v>
      </c>
      <c r="P2695" s="8">
        <f t="shared" si="166"/>
        <v>585</v>
      </c>
      <c r="Q2695" s="8">
        <f t="shared" si="167"/>
        <v>525</v>
      </c>
      <c r="R2695" s="2" t="s">
        <v>50</v>
      </c>
      <c r="S2695" s="9">
        <f>VLOOKUP(P2695,$T$2:U2692,2,1)</f>
        <v>0.02</v>
      </c>
    </row>
    <row r="2696" spans="1:19" x14ac:dyDescent="0.25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e">
        <f>VLOOKUP(F2696,'Customer Info'!A2688:I3187,2,0)</f>
        <v>#N/A</v>
      </c>
      <c r="H2696" s="6" t="e">
        <f>VLOOKUP(F2696,'Customer Info'!A2688:I3187,3,0)</f>
        <v>#N/A</v>
      </c>
      <c r="I2696" s="6" t="e">
        <f>VLOOKUP(F2696,'Customer Info'!A2688:I3187,5,0)</f>
        <v>#N/A</v>
      </c>
      <c r="J2696" s="2">
        <v>932</v>
      </c>
      <c r="K2696" s="2">
        <v>838</v>
      </c>
      <c r="L2696" s="2">
        <v>1</v>
      </c>
      <c r="M2696" s="7">
        <f t="shared" si="164"/>
        <v>838</v>
      </c>
      <c r="N2696" s="7">
        <f t="shared" si="165"/>
        <v>932</v>
      </c>
      <c r="O2696" s="2">
        <v>65</v>
      </c>
      <c r="P2696" s="8">
        <f t="shared" si="166"/>
        <v>997</v>
      </c>
      <c r="Q2696" s="8">
        <f t="shared" si="167"/>
        <v>867</v>
      </c>
      <c r="R2696" s="2" t="s">
        <v>28</v>
      </c>
      <c r="S2696" s="9">
        <f>VLOOKUP(P2696,$T$2:U2693,2,1)</f>
        <v>0.02</v>
      </c>
    </row>
    <row r="2697" spans="1:19" x14ac:dyDescent="0.25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e">
        <f>VLOOKUP(F2697,'Customer Info'!A2689:I3188,2,0)</f>
        <v>#N/A</v>
      </c>
      <c r="H2697" s="6" t="e">
        <f>VLOOKUP(F2697,'Customer Info'!A2689:I3188,3,0)</f>
        <v>#N/A</v>
      </c>
      <c r="I2697" s="6" t="e">
        <f>VLOOKUP(F2697,'Customer Info'!A2689:I3188,5,0)</f>
        <v>#N/A</v>
      </c>
      <c r="J2697" s="2">
        <v>138</v>
      </c>
      <c r="K2697" s="2">
        <v>128</v>
      </c>
      <c r="L2697" s="2">
        <v>7</v>
      </c>
      <c r="M2697" s="7">
        <f t="shared" si="164"/>
        <v>896</v>
      </c>
      <c r="N2697" s="7">
        <f t="shared" si="165"/>
        <v>966</v>
      </c>
      <c r="O2697" s="2">
        <v>30</v>
      </c>
      <c r="P2697" s="8">
        <f t="shared" si="166"/>
        <v>996</v>
      </c>
      <c r="Q2697" s="8">
        <f t="shared" si="167"/>
        <v>936</v>
      </c>
      <c r="R2697" s="2" t="s">
        <v>28</v>
      </c>
      <c r="S2697" s="9">
        <f>VLOOKUP(P2697,$T$2:U2694,2,1)</f>
        <v>0.02</v>
      </c>
    </row>
    <row r="2698" spans="1:19" x14ac:dyDescent="0.25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e">
        <f>VLOOKUP(F2698,'Customer Info'!A2690:I3189,2,0)</f>
        <v>#N/A</v>
      </c>
      <c r="H2698" s="6" t="e">
        <f>VLOOKUP(F2698,'Customer Info'!A2690:I3189,3,0)</f>
        <v>#N/A</v>
      </c>
      <c r="I2698" s="6" t="e">
        <f>VLOOKUP(F2698,'Customer Info'!A2690:I3189,5,0)</f>
        <v>#N/A</v>
      </c>
      <c r="J2698" s="2">
        <v>139</v>
      </c>
      <c r="K2698" s="2">
        <v>133</v>
      </c>
      <c r="L2698" s="2">
        <v>3</v>
      </c>
      <c r="M2698" s="7">
        <f t="shared" si="164"/>
        <v>399</v>
      </c>
      <c r="N2698" s="7">
        <f t="shared" si="165"/>
        <v>417</v>
      </c>
      <c r="O2698" s="2">
        <v>30</v>
      </c>
      <c r="P2698" s="8">
        <f t="shared" si="166"/>
        <v>447</v>
      </c>
      <c r="Q2698" s="8">
        <f t="shared" si="167"/>
        <v>387</v>
      </c>
      <c r="R2698" s="2" t="s">
        <v>28</v>
      </c>
      <c r="S2698" s="9">
        <f>VLOOKUP(P2698,$T$2:U2695,2,1)</f>
        <v>0.02</v>
      </c>
    </row>
    <row r="2699" spans="1:19" x14ac:dyDescent="0.25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e">
        <f>VLOOKUP(F2699,'Customer Info'!A2691:I3190,2,0)</f>
        <v>#N/A</v>
      </c>
      <c r="H2699" s="6" t="e">
        <f>VLOOKUP(F2699,'Customer Info'!A2691:I3190,3,0)</f>
        <v>#N/A</v>
      </c>
      <c r="I2699" s="6" t="e">
        <f>VLOOKUP(F2699,'Customer Info'!A2691:I3190,5,0)</f>
        <v>#N/A</v>
      </c>
      <c r="J2699" s="2">
        <v>208</v>
      </c>
      <c r="K2699" s="2">
        <v>187</v>
      </c>
      <c r="L2699" s="2">
        <v>3</v>
      </c>
      <c r="M2699" s="7">
        <f t="shared" ref="M2699:M2762" si="168">K2699*L2699</f>
        <v>561</v>
      </c>
      <c r="N2699" s="7">
        <f t="shared" ref="N2699:N2762" si="169">J2699*L2699</f>
        <v>624</v>
      </c>
      <c r="O2699" s="2">
        <v>80</v>
      </c>
      <c r="P2699" s="8">
        <f t="shared" ref="P2699:P2762" si="170">SUM(N2699,O2699)</f>
        <v>704</v>
      </c>
      <c r="Q2699" s="8">
        <f t="shared" ref="Q2699:Q2762" si="171">N2699-O2699</f>
        <v>544</v>
      </c>
      <c r="R2699" s="2" t="s">
        <v>50</v>
      </c>
      <c r="S2699" s="9">
        <f>VLOOKUP(P2699,$T$2:U2696,2,1)</f>
        <v>0.02</v>
      </c>
    </row>
    <row r="2700" spans="1:19" x14ac:dyDescent="0.25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e">
        <f>VLOOKUP(F2700,'Customer Info'!A2692:I3191,2,0)</f>
        <v>#N/A</v>
      </c>
      <c r="H2700" s="6" t="e">
        <f>VLOOKUP(F2700,'Customer Info'!A2692:I3191,3,0)</f>
        <v>#N/A</v>
      </c>
      <c r="I2700" s="6" t="e">
        <f>VLOOKUP(F2700,'Customer Info'!A2692:I3191,5,0)</f>
        <v>#N/A</v>
      </c>
      <c r="J2700" s="2">
        <v>206</v>
      </c>
      <c r="K2700" s="2">
        <v>189</v>
      </c>
      <c r="L2700" s="2">
        <v>6</v>
      </c>
      <c r="M2700" s="7">
        <f t="shared" si="168"/>
        <v>1134</v>
      </c>
      <c r="N2700" s="7">
        <f t="shared" si="169"/>
        <v>1236</v>
      </c>
      <c r="O2700" s="2">
        <v>30</v>
      </c>
      <c r="P2700" s="8">
        <f t="shared" si="170"/>
        <v>1266</v>
      </c>
      <c r="Q2700" s="8">
        <f t="shared" si="171"/>
        <v>1206</v>
      </c>
      <c r="R2700" s="2" t="s">
        <v>28</v>
      </c>
      <c r="S2700" s="9">
        <f>VLOOKUP(P2700,$T$2:U2697,2,1)</f>
        <v>0.02</v>
      </c>
    </row>
    <row r="2701" spans="1:19" x14ac:dyDescent="0.25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e">
        <f>VLOOKUP(F2701,'Customer Info'!A2693:I3192,2,0)</f>
        <v>#N/A</v>
      </c>
      <c r="H2701" s="6" t="e">
        <f>VLOOKUP(F2701,'Customer Info'!A2693:I3192,3,0)</f>
        <v>#N/A</v>
      </c>
      <c r="I2701" s="6" t="e">
        <f>VLOOKUP(F2701,'Customer Info'!A2693:I3192,5,0)</f>
        <v>#N/A</v>
      </c>
      <c r="J2701" s="2">
        <v>8199</v>
      </c>
      <c r="K2701" s="2">
        <v>7523</v>
      </c>
      <c r="L2701" s="2">
        <v>3</v>
      </c>
      <c r="M2701" s="7">
        <f t="shared" si="168"/>
        <v>22569</v>
      </c>
      <c r="N2701" s="7">
        <f t="shared" si="169"/>
        <v>24597</v>
      </c>
      <c r="O2701" s="2">
        <v>37</v>
      </c>
      <c r="P2701" s="8">
        <f t="shared" si="170"/>
        <v>24634</v>
      </c>
      <c r="Q2701" s="8">
        <f t="shared" si="171"/>
        <v>24560</v>
      </c>
      <c r="R2701" s="2" t="s">
        <v>28</v>
      </c>
      <c r="S2701" s="9">
        <f>VLOOKUP(P2701,$T$2:U2698,2,1)</f>
        <v>0.05</v>
      </c>
    </row>
    <row r="2702" spans="1:19" x14ac:dyDescent="0.25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e">
        <f>VLOOKUP(F2702,'Customer Info'!A2694:I3193,2,0)</f>
        <v>#N/A</v>
      </c>
      <c r="H2702" s="6" t="e">
        <f>VLOOKUP(F2702,'Customer Info'!A2694:I3193,3,0)</f>
        <v>#N/A</v>
      </c>
      <c r="I2702" s="6" t="e">
        <f>VLOOKUP(F2702,'Customer Info'!A2694:I3193,5,0)</f>
        <v>#N/A</v>
      </c>
      <c r="J2702" s="2">
        <v>681</v>
      </c>
      <c r="K2702" s="2">
        <v>642</v>
      </c>
      <c r="L2702" s="2">
        <v>2</v>
      </c>
      <c r="M2702" s="7">
        <f t="shared" si="168"/>
        <v>1284</v>
      </c>
      <c r="N2702" s="7">
        <f t="shared" si="169"/>
        <v>1362</v>
      </c>
      <c r="O2702" s="2">
        <v>57</v>
      </c>
      <c r="P2702" s="8">
        <f t="shared" si="170"/>
        <v>1419</v>
      </c>
      <c r="Q2702" s="8">
        <f t="shared" si="171"/>
        <v>1305</v>
      </c>
      <c r="R2702" s="2" t="s">
        <v>50</v>
      </c>
      <c r="S2702" s="9">
        <f>VLOOKUP(P2702,$T$2:U2699,2,1)</f>
        <v>0.02</v>
      </c>
    </row>
    <row r="2703" spans="1:19" x14ac:dyDescent="0.25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e">
        <f>VLOOKUP(F2703,'Customer Info'!A2695:I3194,2,0)</f>
        <v>#N/A</v>
      </c>
      <c r="H2703" s="6" t="e">
        <f>VLOOKUP(F2703,'Customer Info'!A2695:I3194,3,0)</f>
        <v>#N/A</v>
      </c>
      <c r="I2703" s="6" t="e">
        <f>VLOOKUP(F2703,'Customer Info'!A2695:I3194,5,0)</f>
        <v>#N/A</v>
      </c>
      <c r="J2703" s="2">
        <v>4904</v>
      </c>
      <c r="K2703" s="2">
        <v>4499</v>
      </c>
      <c r="L2703" s="2">
        <v>5</v>
      </c>
      <c r="M2703" s="7">
        <f t="shared" si="168"/>
        <v>22495</v>
      </c>
      <c r="N2703" s="7">
        <f t="shared" si="169"/>
        <v>24520</v>
      </c>
      <c r="O2703" s="2">
        <v>28</v>
      </c>
      <c r="P2703" s="8">
        <f t="shared" si="170"/>
        <v>24548</v>
      </c>
      <c r="Q2703" s="8">
        <f t="shared" si="171"/>
        <v>24492</v>
      </c>
      <c r="R2703" s="2" t="s">
        <v>28</v>
      </c>
      <c r="S2703" s="9">
        <f>VLOOKUP(P2703,$T$2:U2700,2,1)</f>
        <v>0.05</v>
      </c>
    </row>
    <row r="2704" spans="1:19" x14ac:dyDescent="0.25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e">
        <f>VLOOKUP(F2704,'Customer Info'!A2696:I3195,2,0)</f>
        <v>#N/A</v>
      </c>
      <c r="H2704" s="6" t="e">
        <f>VLOOKUP(F2704,'Customer Info'!A2696:I3195,3,0)</f>
        <v>#N/A</v>
      </c>
      <c r="I2704" s="6" t="e">
        <f>VLOOKUP(F2704,'Customer Info'!A2696:I3195,5,0)</f>
        <v>#N/A</v>
      </c>
      <c r="J2704" s="2">
        <v>6481</v>
      </c>
      <c r="K2704" s="2">
        <v>5884</v>
      </c>
      <c r="L2704" s="2">
        <v>9</v>
      </c>
      <c r="M2704" s="7">
        <f t="shared" si="168"/>
        <v>52956</v>
      </c>
      <c r="N2704" s="7">
        <f t="shared" si="169"/>
        <v>58329</v>
      </c>
      <c r="O2704" s="2">
        <v>98</v>
      </c>
      <c r="P2704" s="8">
        <f t="shared" si="170"/>
        <v>58427</v>
      </c>
      <c r="Q2704" s="8">
        <f t="shared" si="171"/>
        <v>58231</v>
      </c>
      <c r="R2704" s="2" t="s">
        <v>50</v>
      </c>
      <c r="S2704" s="9">
        <f>VLOOKUP(P2704,$T$2:U2701,2,1)</f>
        <v>0.09</v>
      </c>
    </row>
    <row r="2705" spans="1:19" x14ac:dyDescent="0.25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e">
        <f>VLOOKUP(F2705,'Customer Info'!A2697:I3196,2,0)</f>
        <v>#N/A</v>
      </c>
      <c r="H2705" s="6" t="e">
        <f>VLOOKUP(F2705,'Customer Info'!A2697:I3196,3,0)</f>
        <v>#N/A</v>
      </c>
      <c r="I2705" s="6" t="e">
        <f>VLOOKUP(F2705,'Customer Info'!A2697:I3196,5,0)</f>
        <v>#N/A</v>
      </c>
      <c r="J2705" s="2">
        <v>978</v>
      </c>
      <c r="K2705" s="2">
        <v>922</v>
      </c>
      <c r="L2705" s="2">
        <v>2</v>
      </c>
      <c r="M2705" s="7">
        <f t="shared" si="168"/>
        <v>1844</v>
      </c>
      <c r="N2705" s="7">
        <f t="shared" si="169"/>
        <v>1956</v>
      </c>
      <c r="O2705" s="2">
        <v>94</v>
      </c>
      <c r="P2705" s="8">
        <f t="shared" si="170"/>
        <v>2050</v>
      </c>
      <c r="Q2705" s="8">
        <f t="shared" si="171"/>
        <v>1862</v>
      </c>
      <c r="R2705" s="2" t="s">
        <v>28</v>
      </c>
      <c r="S2705" s="9">
        <f>VLOOKUP(P2705,$T$2:U2702,2,1)</f>
        <v>0.02</v>
      </c>
    </row>
    <row r="2706" spans="1:19" x14ac:dyDescent="0.25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e">
        <f>VLOOKUP(F2706,'Customer Info'!A2698:I3197,2,0)</f>
        <v>#N/A</v>
      </c>
      <c r="H2706" s="6" t="e">
        <f>VLOOKUP(F2706,'Customer Info'!A2698:I3197,3,0)</f>
        <v>#N/A</v>
      </c>
      <c r="I2706" s="6" t="e">
        <f>VLOOKUP(F2706,'Customer Info'!A2698:I3197,5,0)</f>
        <v>#N/A</v>
      </c>
      <c r="J2706" s="2">
        <v>1587</v>
      </c>
      <c r="K2706" s="2">
        <v>1428</v>
      </c>
      <c r="L2706" s="2">
        <v>7</v>
      </c>
      <c r="M2706" s="7">
        <f t="shared" si="168"/>
        <v>9996</v>
      </c>
      <c r="N2706" s="7">
        <f t="shared" si="169"/>
        <v>11109</v>
      </c>
      <c r="O2706" s="2">
        <v>27</v>
      </c>
      <c r="P2706" s="8">
        <f t="shared" si="170"/>
        <v>11136</v>
      </c>
      <c r="Q2706" s="8">
        <f t="shared" si="171"/>
        <v>11082</v>
      </c>
      <c r="R2706" s="2" t="s">
        <v>28</v>
      </c>
      <c r="S2706" s="9">
        <f>VLOOKUP(P2706,$T$2:U2703,2,1)</f>
        <v>0.05</v>
      </c>
    </row>
    <row r="2707" spans="1:19" x14ac:dyDescent="0.25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e">
        <f>VLOOKUP(F2707,'Customer Info'!A2699:I3198,2,0)</f>
        <v>#N/A</v>
      </c>
      <c r="H2707" s="6" t="e">
        <f>VLOOKUP(F2707,'Customer Info'!A2699:I3198,3,0)</f>
        <v>#N/A</v>
      </c>
      <c r="I2707" s="6" t="e">
        <f>VLOOKUP(F2707,'Customer Info'!A2699:I3198,5,0)</f>
        <v>#N/A</v>
      </c>
      <c r="J2707" s="2">
        <v>165</v>
      </c>
      <c r="K2707" s="2">
        <v>149</v>
      </c>
      <c r="L2707" s="2">
        <v>5</v>
      </c>
      <c r="M2707" s="7">
        <f t="shared" si="168"/>
        <v>745</v>
      </c>
      <c r="N2707" s="7">
        <f t="shared" si="169"/>
        <v>825</v>
      </c>
      <c r="O2707" s="2">
        <v>30</v>
      </c>
      <c r="P2707" s="8">
        <f t="shared" si="170"/>
        <v>855</v>
      </c>
      <c r="Q2707" s="8">
        <f t="shared" si="171"/>
        <v>795</v>
      </c>
      <c r="R2707" s="2" t="s">
        <v>28</v>
      </c>
      <c r="S2707" s="9">
        <f>VLOOKUP(P2707,$T$2:U2704,2,1)</f>
        <v>0.02</v>
      </c>
    </row>
    <row r="2708" spans="1:19" x14ac:dyDescent="0.25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e">
        <f>VLOOKUP(F2708,'Customer Info'!A2700:I3199,2,0)</f>
        <v>#N/A</v>
      </c>
      <c r="H2708" s="6" t="e">
        <f>VLOOKUP(F2708,'Customer Info'!A2700:I3199,3,0)</f>
        <v>#N/A</v>
      </c>
      <c r="I2708" s="6" t="e">
        <f>VLOOKUP(F2708,'Customer Info'!A2700:I3199,5,0)</f>
        <v>#N/A</v>
      </c>
      <c r="J2708" s="2">
        <v>92</v>
      </c>
      <c r="K2708" s="2">
        <v>85</v>
      </c>
      <c r="L2708" s="2">
        <v>1</v>
      </c>
      <c r="M2708" s="7">
        <f t="shared" si="168"/>
        <v>85</v>
      </c>
      <c r="N2708" s="7">
        <f t="shared" si="169"/>
        <v>92</v>
      </c>
      <c r="O2708" s="2">
        <v>10</v>
      </c>
      <c r="P2708" s="8">
        <f t="shared" si="170"/>
        <v>102</v>
      </c>
      <c r="Q2708" s="8">
        <f t="shared" si="171"/>
        <v>82</v>
      </c>
      <c r="R2708" s="2" t="s">
        <v>28</v>
      </c>
      <c r="S2708" s="9">
        <f>VLOOKUP(P2708,$T$2:U2705,2,1)</f>
        <v>0.02</v>
      </c>
    </row>
    <row r="2709" spans="1:19" x14ac:dyDescent="0.25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e">
        <f>VLOOKUP(F2709,'Customer Info'!A2701:I3200,2,0)</f>
        <v>#N/A</v>
      </c>
      <c r="H2709" s="6" t="e">
        <f>VLOOKUP(F2709,'Customer Info'!A2701:I3200,3,0)</f>
        <v>#N/A</v>
      </c>
      <c r="I2709" s="6" t="e">
        <f>VLOOKUP(F2709,'Customer Info'!A2701:I3200,5,0)</f>
        <v>#N/A</v>
      </c>
      <c r="J2709" s="2">
        <v>1169</v>
      </c>
      <c r="K2709" s="2">
        <v>1103</v>
      </c>
      <c r="L2709" s="2">
        <v>1</v>
      </c>
      <c r="M2709" s="7">
        <f t="shared" si="168"/>
        <v>1103</v>
      </c>
      <c r="N2709" s="7">
        <f t="shared" si="169"/>
        <v>1169</v>
      </c>
      <c r="O2709" s="2">
        <v>34</v>
      </c>
      <c r="P2709" s="8">
        <f t="shared" si="170"/>
        <v>1203</v>
      </c>
      <c r="Q2709" s="8">
        <f t="shared" si="171"/>
        <v>1135</v>
      </c>
      <c r="R2709" s="2" t="s">
        <v>28</v>
      </c>
      <c r="S2709" s="9">
        <f>VLOOKUP(P2709,$T$2:U2706,2,1)</f>
        <v>0.02</v>
      </c>
    </row>
    <row r="2710" spans="1:19" x14ac:dyDescent="0.25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e">
        <f>VLOOKUP(F2710,'Customer Info'!A2702:I3201,2,0)</f>
        <v>#N/A</v>
      </c>
      <c r="H2710" s="6" t="e">
        <f>VLOOKUP(F2710,'Customer Info'!A2702:I3201,3,0)</f>
        <v>#N/A</v>
      </c>
      <c r="I2710" s="6" t="e">
        <f>VLOOKUP(F2710,'Customer Info'!A2702:I3201,5,0)</f>
        <v>#N/A</v>
      </c>
      <c r="J2710" s="2">
        <v>2243</v>
      </c>
      <c r="K2710" s="2">
        <v>2000</v>
      </c>
      <c r="L2710" s="2">
        <v>3</v>
      </c>
      <c r="M2710" s="7">
        <f t="shared" si="168"/>
        <v>6000</v>
      </c>
      <c r="N2710" s="7">
        <f t="shared" si="169"/>
        <v>6729</v>
      </c>
      <c r="O2710" s="2">
        <v>85</v>
      </c>
      <c r="P2710" s="8">
        <f t="shared" si="170"/>
        <v>6814</v>
      </c>
      <c r="Q2710" s="8">
        <f t="shared" si="171"/>
        <v>6644</v>
      </c>
      <c r="R2710" s="2" t="s">
        <v>28</v>
      </c>
      <c r="S2710" s="9">
        <f>VLOOKUP(P2710,$T$2:U2707,2,1)</f>
        <v>0.05</v>
      </c>
    </row>
    <row r="2711" spans="1:19" x14ac:dyDescent="0.25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e">
        <f>VLOOKUP(F2711,'Customer Info'!A2703:I3202,2,0)</f>
        <v>#N/A</v>
      </c>
      <c r="H2711" s="6" t="e">
        <f>VLOOKUP(F2711,'Customer Info'!A2703:I3202,3,0)</f>
        <v>#N/A</v>
      </c>
      <c r="I2711" s="6" t="e">
        <f>VLOOKUP(F2711,'Customer Info'!A2703:I3202,5,0)</f>
        <v>#N/A</v>
      </c>
      <c r="J2711" s="2">
        <v>139</v>
      </c>
      <c r="K2711" s="2">
        <v>133</v>
      </c>
      <c r="L2711" s="2">
        <v>3</v>
      </c>
      <c r="M2711" s="7">
        <f t="shared" si="168"/>
        <v>399</v>
      </c>
      <c r="N2711" s="7">
        <f t="shared" si="169"/>
        <v>417</v>
      </c>
      <c r="O2711" s="2">
        <v>30</v>
      </c>
      <c r="P2711" s="8">
        <f t="shared" si="170"/>
        <v>447</v>
      </c>
      <c r="Q2711" s="8">
        <f t="shared" si="171"/>
        <v>387</v>
      </c>
      <c r="R2711" s="2" t="s">
        <v>28</v>
      </c>
      <c r="S2711" s="9">
        <f>VLOOKUP(P2711,$T$2:U2708,2,1)</f>
        <v>0.02</v>
      </c>
    </row>
    <row r="2712" spans="1:19" x14ac:dyDescent="0.25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e">
        <f>VLOOKUP(F2712,'Customer Info'!A2704:I3203,2,0)</f>
        <v>#N/A</v>
      </c>
      <c r="H2712" s="6" t="e">
        <f>VLOOKUP(F2712,'Customer Info'!A2704:I3203,3,0)</f>
        <v>#N/A</v>
      </c>
      <c r="I2712" s="6" t="e">
        <f>VLOOKUP(F2712,'Customer Info'!A2704:I3203,5,0)</f>
        <v>#N/A</v>
      </c>
      <c r="J2712" s="2">
        <v>7922</v>
      </c>
      <c r="K2712" s="2">
        <v>7328</v>
      </c>
      <c r="L2712" s="2">
        <v>2</v>
      </c>
      <c r="M2712" s="7">
        <f t="shared" si="168"/>
        <v>14656</v>
      </c>
      <c r="N2712" s="7">
        <f t="shared" si="169"/>
        <v>15844</v>
      </c>
      <c r="O2712" s="2">
        <v>83</v>
      </c>
      <c r="P2712" s="8">
        <f t="shared" si="170"/>
        <v>15927</v>
      </c>
      <c r="Q2712" s="8">
        <f t="shared" si="171"/>
        <v>15761</v>
      </c>
      <c r="R2712" s="2" t="s">
        <v>28</v>
      </c>
      <c r="S2712" s="9">
        <f>VLOOKUP(P2712,$T$2:U2709,2,1)</f>
        <v>0.05</v>
      </c>
    </row>
    <row r="2713" spans="1:19" x14ac:dyDescent="0.25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e">
        <f>VLOOKUP(F2713,'Customer Info'!A2705:I3204,2,0)</f>
        <v>#N/A</v>
      </c>
      <c r="H2713" s="6" t="e">
        <f>VLOOKUP(F2713,'Customer Info'!A2705:I3204,3,0)</f>
        <v>#N/A</v>
      </c>
      <c r="I2713" s="6" t="e">
        <f>VLOOKUP(F2713,'Customer Info'!A2705:I3204,5,0)</f>
        <v>#N/A</v>
      </c>
      <c r="J2713" s="2">
        <v>4704</v>
      </c>
      <c r="K2713" s="2">
        <v>4361</v>
      </c>
      <c r="L2713" s="2">
        <v>1</v>
      </c>
      <c r="M2713" s="7">
        <f t="shared" si="168"/>
        <v>4361</v>
      </c>
      <c r="N2713" s="7">
        <f t="shared" si="169"/>
        <v>4704</v>
      </c>
      <c r="O2713" s="2">
        <v>91</v>
      </c>
      <c r="P2713" s="8">
        <f t="shared" si="170"/>
        <v>4795</v>
      </c>
      <c r="Q2713" s="8">
        <f t="shared" si="171"/>
        <v>4613</v>
      </c>
      <c r="R2713" s="2" t="s">
        <v>28</v>
      </c>
      <c r="S2713" s="9">
        <f>VLOOKUP(P2713,$T$2:U2710,2,1)</f>
        <v>0.02</v>
      </c>
    </row>
    <row r="2714" spans="1:19" x14ac:dyDescent="0.25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e">
        <f>VLOOKUP(F2714,'Customer Info'!A2706:I3205,2,0)</f>
        <v>#N/A</v>
      </c>
      <c r="H2714" s="6" t="e">
        <f>VLOOKUP(F2714,'Customer Info'!A2706:I3205,3,0)</f>
        <v>#N/A</v>
      </c>
      <c r="I2714" s="6" t="e">
        <f>VLOOKUP(F2714,'Customer Info'!A2706:I3205,5,0)</f>
        <v>#N/A</v>
      </c>
      <c r="J2714" s="2">
        <v>119</v>
      </c>
      <c r="K2714" s="2">
        <v>112</v>
      </c>
      <c r="L2714" s="2">
        <v>2</v>
      </c>
      <c r="M2714" s="7">
        <f t="shared" si="168"/>
        <v>224</v>
      </c>
      <c r="N2714" s="7">
        <f t="shared" si="169"/>
        <v>238</v>
      </c>
      <c r="O2714" s="2">
        <v>30</v>
      </c>
      <c r="P2714" s="8">
        <f t="shared" si="170"/>
        <v>268</v>
      </c>
      <c r="Q2714" s="8">
        <f t="shared" si="171"/>
        <v>208</v>
      </c>
      <c r="R2714" s="2" t="s">
        <v>28</v>
      </c>
      <c r="S2714" s="9">
        <f>VLOOKUP(P2714,$T$2:U2711,2,1)</f>
        <v>0.02</v>
      </c>
    </row>
    <row r="2715" spans="1:19" x14ac:dyDescent="0.25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e">
        <f>VLOOKUP(F2715,'Customer Info'!A2707:I3206,2,0)</f>
        <v>#N/A</v>
      </c>
      <c r="H2715" s="6" t="e">
        <f>VLOOKUP(F2715,'Customer Info'!A2707:I3206,3,0)</f>
        <v>#N/A</v>
      </c>
      <c r="I2715" s="6" t="e">
        <f>VLOOKUP(F2715,'Customer Info'!A2707:I3206,5,0)</f>
        <v>#N/A</v>
      </c>
      <c r="J2715" s="2">
        <v>6717</v>
      </c>
      <c r="K2715" s="2">
        <v>6288</v>
      </c>
      <c r="L2715" s="2">
        <v>6</v>
      </c>
      <c r="M2715" s="7">
        <f t="shared" si="168"/>
        <v>37728</v>
      </c>
      <c r="N2715" s="7">
        <f t="shared" si="169"/>
        <v>40302</v>
      </c>
      <c r="O2715" s="2">
        <v>20</v>
      </c>
      <c r="P2715" s="8">
        <f t="shared" si="170"/>
        <v>40322</v>
      </c>
      <c r="Q2715" s="8">
        <f t="shared" si="171"/>
        <v>40282</v>
      </c>
      <c r="R2715" s="2" t="s">
        <v>28</v>
      </c>
      <c r="S2715" s="9">
        <f>VLOOKUP(P2715,$T$2:U2712,2,1)</f>
        <v>7.0000000000000007E-2</v>
      </c>
    </row>
    <row r="2716" spans="1:19" x14ac:dyDescent="0.25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e">
        <f>VLOOKUP(F2716,'Customer Info'!A2708:I3207,2,0)</f>
        <v>#N/A</v>
      </c>
      <c r="H2716" s="6" t="e">
        <f>VLOOKUP(F2716,'Customer Info'!A2708:I3207,3,0)</f>
        <v>#N/A</v>
      </c>
      <c r="I2716" s="6" t="e">
        <f>VLOOKUP(F2716,'Customer Info'!A2708:I3207,5,0)</f>
        <v>#N/A</v>
      </c>
      <c r="J2716" s="2">
        <v>2042</v>
      </c>
      <c r="K2716" s="2">
        <v>1965</v>
      </c>
      <c r="L2716" s="2">
        <v>1</v>
      </c>
      <c r="M2716" s="7">
        <f t="shared" si="168"/>
        <v>1965</v>
      </c>
      <c r="N2716" s="7">
        <f t="shared" si="169"/>
        <v>2042</v>
      </c>
      <c r="O2716" s="2">
        <v>49</v>
      </c>
      <c r="P2716" s="8">
        <f t="shared" si="170"/>
        <v>2091</v>
      </c>
      <c r="Q2716" s="8">
        <f t="shared" si="171"/>
        <v>1993</v>
      </c>
      <c r="R2716" s="2" t="s">
        <v>28</v>
      </c>
      <c r="S2716" s="9">
        <f>VLOOKUP(P2716,$T$2:U2713,2,1)</f>
        <v>0.02</v>
      </c>
    </row>
    <row r="2717" spans="1:19" x14ac:dyDescent="0.25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e">
        <f>VLOOKUP(F2717,'Customer Info'!A2709:I3208,2,0)</f>
        <v>#N/A</v>
      </c>
      <c r="H2717" s="6" t="e">
        <f>VLOOKUP(F2717,'Customer Info'!A2709:I3208,3,0)</f>
        <v>#N/A</v>
      </c>
      <c r="I2717" s="6" t="e">
        <f>VLOOKUP(F2717,'Customer Info'!A2709:I3208,5,0)</f>
        <v>#N/A</v>
      </c>
      <c r="J2717" s="2">
        <v>1983</v>
      </c>
      <c r="K2717" s="2">
        <v>1908</v>
      </c>
      <c r="L2717" s="2">
        <v>1</v>
      </c>
      <c r="M2717" s="7">
        <f t="shared" si="168"/>
        <v>1908</v>
      </c>
      <c r="N2717" s="7">
        <f t="shared" si="169"/>
        <v>1983</v>
      </c>
      <c r="O2717" s="2">
        <v>29</v>
      </c>
      <c r="P2717" s="8">
        <f t="shared" si="170"/>
        <v>2012</v>
      </c>
      <c r="Q2717" s="8">
        <f t="shared" si="171"/>
        <v>1954</v>
      </c>
      <c r="R2717" s="2" t="s">
        <v>50</v>
      </c>
      <c r="S2717" s="9">
        <f>VLOOKUP(P2717,$T$2:U2714,2,1)</f>
        <v>0.02</v>
      </c>
    </row>
    <row r="2718" spans="1:19" x14ac:dyDescent="0.25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e">
        <f>VLOOKUP(F2718,'Customer Info'!A2710:I3209,2,0)</f>
        <v>#N/A</v>
      </c>
      <c r="H2718" s="6" t="e">
        <f>VLOOKUP(F2718,'Customer Info'!A2710:I3209,3,0)</f>
        <v>#N/A</v>
      </c>
      <c r="I2718" s="6" t="e">
        <f>VLOOKUP(F2718,'Customer Info'!A2710:I3209,5,0)</f>
        <v>#N/A</v>
      </c>
      <c r="J2718" s="2">
        <v>6520</v>
      </c>
      <c r="K2718" s="2">
        <v>5985</v>
      </c>
      <c r="L2718" s="2">
        <v>4</v>
      </c>
      <c r="M2718" s="7">
        <f t="shared" si="168"/>
        <v>23940</v>
      </c>
      <c r="N2718" s="7">
        <f t="shared" si="169"/>
        <v>26080</v>
      </c>
      <c r="O2718" s="2">
        <v>43</v>
      </c>
      <c r="P2718" s="8">
        <f t="shared" si="170"/>
        <v>26123</v>
      </c>
      <c r="Q2718" s="8">
        <f t="shared" si="171"/>
        <v>26037</v>
      </c>
      <c r="R2718" s="2" t="s">
        <v>28</v>
      </c>
      <c r="S2718" s="9">
        <f>VLOOKUP(P2718,$T$2:U2715,2,1)</f>
        <v>7.0000000000000007E-2</v>
      </c>
    </row>
    <row r="2719" spans="1:19" x14ac:dyDescent="0.25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e">
        <f>VLOOKUP(F2719,'Customer Info'!A2711:I3210,2,0)</f>
        <v>#N/A</v>
      </c>
      <c r="H2719" s="6" t="e">
        <f>VLOOKUP(F2719,'Customer Info'!A2711:I3210,3,0)</f>
        <v>#N/A</v>
      </c>
      <c r="I2719" s="6" t="e">
        <f>VLOOKUP(F2719,'Customer Info'!A2711:I3210,5,0)</f>
        <v>#N/A</v>
      </c>
      <c r="J2719" s="2">
        <v>1081</v>
      </c>
      <c r="K2719" s="2">
        <v>983</v>
      </c>
      <c r="L2719" s="2">
        <v>2</v>
      </c>
      <c r="M2719" s="7">
        <f t="shared" si="168"/>
        <v>1966</v>
      </c>
      <c r="N2719" s="7">
        <f t="shared" si="169"/>
        <v>2162</v>
      </c>
      <c r="O2719" s="2">
        <v>71</v>
      </c>
      <c r="P2719" s="8">
        <f t="shared" si="170"/>
        <v>2233</v>
      </c>
      <c r="Q2719" s="8">
        <f t="shared" si="171"/>
        <v>2091</v>
      </c>
      <c r="R2719" s="2" t="s">
        <v>50</v>
      </c>
      <c r="S2719" s="9">
        <f>VLOOKUP(P2719,$T$2:U2716,2,1)</f>
        <v>0.02</v>
      </c>
    </row>
    <row r="2720" spans="1:19" x14ac:dyDescent="0.25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e">
        <f>VLOOKUP(F2720,'Customer Info'!A2712:I3211,2,0)</f>
        <v>#N/A</v>
      </c>
      <c r="H2720" s="6" t="e">
        <f>VLOOKUP(F2720,'Customer Info'!A2712:I3211,3,0)</f>
        <v>#N/A</v>
      </c>
      <c r="I2720" s="6" t="e">
        <f>VLOOKUP(F2720,'Customer Info'!A2712:I3211,5,0)</f>
        <v>#N/A</v>
      </c>
      <c r="J2720" s="2">
        <v>1798</v>
      </c>
      <c r="K2720" s="2">
        <v>1666</v>
      </c>
      <c r="L2720" s="2">
        <v>2</v>
      </c>
      <c r="M2720" s="7">
        <f t="shared" si="168"/>
        <v>3332</v>
      </c>
      <c r="N2720" s="7">
        <f t="shared" si="169"/>
        <v>3596</v>
      </c>
      <c r="O2720" s="2">
        <v>36</v>
      </c>
      <c r="P2720" s="8">
        <f t="shared" si="170"/>
        <v>3632</v>
      </c>
      <c r="Q2720" s="8">
        <f t="shared" si="171"/>
        <v>3560</v>
      </c>
      <c r="R2720" s="2" t="s">
        <v>50</v>
      </c>
      <c r="S2720" s="9">
        <f>VLOOKUP(P2720,$T$2:U2717,2,1)</f>
        <v>0.02</v>
      </c>
    </row>
    <row r="2721" spans="1:19" x14ac:dyDescent="0.25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e">
        <f>VLOOKUP(F2721,'Customer Info'!A2713:I3212,2,0)</f>
        <v>#N/A</v>
      </c>
      <c r="H2721" s="6" t="e">
        <f>VLOOKUP(F2721,'Customer Info'!A2713:I3212,3,0)</f>
        <v>#N/A</v>
      </c>
      <c r="I2721" s="6" t="e">
        <f>VLOOKUP(F2721,'Customer Info'!A2713:I3212,5,0)</f>
        <v>#N/A</v>
      </c>
      <c r="J2721" s="2">
        <v>877</v>
      </c>
      <c r="K2721" s="2">
        <v>788</v>
      </c>
      <c r="L2721" s="2">
        <v>3</v>
      </c>
      <c r="M2721" s="7">
        <f t="shared" si="168"/>
        <v>2364</v>
      </c>
      <c r="N2721" s="7">
        <f t="shared" si="169"/>
        <v>2631</v>
      </c>
      <c r="O2721" s="2">
        <v>47</v>
      </c>
      <c r="P2721" s="8">
        <f t="shared" si="170"/>
        <v>2678</v>
      </c>
      <c r="Q2721" s="8">
        <f t="shared" si="171"/>
        <v>2584</v>
      </c>
      <c r="R2721" s="2" t="s">
        <v>28</v>
      </c>
      <c r="S2721" s="9">
        <f>VLOOKUP(P2721,$T$2:U2718,2,1)</f>
        <v>0.02</v>
      </c>
    </row>
    <row r="2722" spans="1:19" x14ac:dyDescent="0.25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e">
        <f>VLOOKUP(F2722,'Customer Info'!A2714:I3213,2,0)</f>
        <v>#N/A</v>
      </c>
      <c r="H2722" s="6" t="e">
        <f>VLOOKUP(F2722,'Customer Info'!A2714:I3213,3,0)</f>
        <v>#N/A</v>
      </c>
      <c r="I2722" s="6" t="e">
        <f>VLOOKUP(F2722,'Customer Info'!A2714:I3213,5,0)</f>
        <v>#N/A</v>
      </c>
      <c r="J2722" s="2">
        <v>526</v>
      </c>
      <c r="K2722" s="2">
        <v>487</v>
      </c>
      <c r="L2722" s="2">
        <v>2</v>
      </c>
      <c r="M2722" s="7">
        <f t="shared" si="168"/>
        <v>974</v>
      </c>
      <c r="N2722" s="7">
        <f t="shared" si="169"/>
        <v>1052</v>
      </c>
      <c r="O2722" s="2">
        <v>49</v>
      </c>
      <c r="P2722" s="8">
        <f t="shared" si="170"/>
        <v>1101</v>
      </c>
      <c r="Q2722" s="8">
        <f t="shared" si="171"/>
        <v>1003</v>
      </c>
      <c r="R2722" s="2" t="s">
        <v>26</v>
      </c>
      <c r="S2722" s="9">
        <f>VLOOKUP(P2722,$T$2:U2719,2,1)</f>
        <v>0.02</v>
      </c>
    </row>
    <row r="2723" spans="1:19" x14ac:dyDescent="0.25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e">
        <f>VLOOKUP(F2723,'Customer Info'!A2715:I3214,2,0)</f>
        <v>#N/A</v>
      </c>
      <c r="H2723" s="6" t="e">
        <f>VLOOKUP(F2723,'Customer Info'!A2715:I3214,3,0)</f>
        <v>#N/A</v>
      </c>
      <c r="I2723" s="6" t="e">
        <f>VLOOKUP(F2723,'Customer Info'!A2715:I3214,5,0)</f>
        <v>#N/A</v>
      </c>
      <c r="J2723" s="2">
        <v>210</v>
      </c>
      <c r="K2723" s="2">
        <v>191</v>
      </c>
      <c r="L2723" s="2">
        <v>1</v>
      </c>
      <c r="M2723" s="7">
        <f t="shared" si="168"/>
        <v>191</v>
      </c>
      <c r="N2723" s="7">
        <f t="shared" si="169"/>
        <v>210</v>
      </c>
      <c r="O2723" s="2">
        <v>76</v>
      </c>
      <c r="P2723" s="8">
        <f t="shared" si="170"/>
        <v>286</v>
      </c>
      <c r="Q2723" s="8">
        <f t="shared" si="171"/>
        <v>134</v>
      </c>
      <c r="R2723" s="2" t="s">
        <v>28</v>
      </c>
      <c r="S2723" s="9">
        <f>VLOOKUP(P2723,$T$2:U2720,2,1)</f>
        <v>0.02</v>
      </c>
    </row>
    <row r="2724" spans="1:19" x14ac:dyDescent="0.25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e">
        <f>VLOOKUP(F2724,'Customer Info'!A2716:I3215,2,0)</f>
        <v>#N/A</v>
      </c>
      <c r="H2724" s="6" t="e">
        <f>VLOOKUP(F2724,'Customer Info'!A2716:I3215,3,0)</f>
        <v>#N/A</v>
      </c>
      <c r="I2724" s="6" t="e">
        <f>VLOOKUP(F2724,'Customer Info'!A2716:I3215,5,0)</f>
        <v>#N/A</v>
      </c>
      <c r="J2724" s="2">
        <v>1058</v>
      </c>
      <c r="K2724" s="2">
        <v>989</v>
      </c>
      <c r="L2724" s="2">
        <v>2</v>
      </c>
      <c r="M2724" s="7">
        <f t="shared" si="168"/>
        <v>1978</v>
      </c>
      <c r="N2724" s="7">
        <f t="shared" si="169"/>
        <v>2116</v>
      </c>
      <c r="O2724" s="2">
        <v>26</v>
      </c>
      <c r="P2724" s="8">
        <f t="shared" si="170"/>
        <v>2142</v>
      </c>
      <c r="Q2724" s="8">
        <f t="shared" si="171"/>
        <v>2090</v>
      </c>
      <c r="R2724" s="2" t="s">
        <v>50</v>
      </c>
      <c r="S2724" s="9">
        <f>VLOOKUP(P2724,$T$2:U2721,2,1)</f>
        <v>0.02</v>
      </c>
    </row>
    <row r="2725" spans="1:19" x14ac:dyDescent="0.25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e">
        <f>VLOOKUP(F2725,'Customer Info'!A2717:I3216,2,0)</f>
        <v>#N/A</v>
      </c>
      <c r="H2725" s="6" t="e">
        <f>VLOOKUP(F2725,'Customer Info'!A2717:I3216,3,0)</f>
        <v>#N/A</v>
      </c>
      <c r="I2725" s="6" t="e">
        <f>VLOOKUP(F2725,'Customer Info'!A2717:I3216,5,0)</f>
        <v>#N/A</v>
      </c>
      <c r="J2725" s="2">
        <v>2342</v>
      </c>
      <c r="K2725" s="2">
        <v>2210</v>
      </c>
      <c r="L2725" s="2">
        <v>1</v>
      </c>
      <c r="M2725" s="7">
        <f t="shared" si="168"/>
        <v>2210</v>
      </c>
      <c r="N2725" s="7">
        <f t="shared" si="169"/>
        <v>2342</v>
      </c>
      <c r="O2725" s="2">
        <v>83</v>
      </c>
      <c r="P2725" s="8">
        <f t="shared" si="170"/>
        <v>2425</v>
      </c>
      <c r="Q2725" s="8">
        <f t="shared" si="171"/>
        <v>2259</v>
      </c>
      <c r="R2725" s="2" t="s">
        <v>28</v>
      </c>
      <c r="S2725" s="9">
        <f>VLOOKUP(P2725,$T$2:U2722,2,1)</f>
        <v>0.02</v>
      </c>
    </row>
    <row r="2726" spans="1:19" x14ac:dyDescent="0.25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e">
        <f>VLOOKUP(F2726,'Customer Info'!A2718:I3217,2,0)</f>
        <v>#N/A</v>
      </c>
      <c r="H2726" s="6" t="e">
        <f>VLOOKUP(F2726,'Customer Info'!A2718:I3217,3,0)</f>
        <v>#N/A</v>
      </c>
      <c r="I2726" s="6" t="e">
        <f>VLOOKUP(F2726,'Customer Info'!A2718:I3217,5,0)</f>
        <v>#N/A</v>
      </c>
      <c r="J2726" s="2">
        <v>139</v>
      </c>
      <c r="K2726" s="2">
        <v>133</v>
      </c>
      <c r="L2726" s="2">
        <v>3</v>
      </c>
      <c r="M2726" s="7">
        <f t="shared" si="168"/>
        <v>399</v>
      </c>
      <c r="N2726" s="7">
        <f t="shared" si="169"/>
        <v>417</v>
      </c>
      <c r="O2726" s="2">
        <v>30</v>
      </c>
      <c r="P2726" s="8">
        <f t="shared" si="170"/>
        <v>447</v>
      </c>
      <c r="Q2726" s="8">
        <f t="shared" si="171"/>
        <v>387</v>
      </c>
      <c r="R2726" s="2" t="s">
        <v>28</v>
      </c>
      <c r="S2726" s="9">
        <f>VLOOKUP(P2726,$T$2:U2723,2,1)</f>
        <v>0.02</v>
      </c>
    </row>
    <row r="2727" spans="1:19" x14ac:dyDescent="0.25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e">
        <f>VLOOKUP(F2727,'Customer Info'!A2719:I3218,2,0)</f>
        <v>#N/A</v>
      </c>
      <c r="H2727" s="6" t="e">
        <f>VLOOKUP(F2727,'Customer Info'!A2719:I3218,3,0)</f>
        <v>#N/A</v>
      </c>
      <c r="I2727" s="6" t="e">
        <f>VLOOKUP(F2727,'Customer Info'!A2719:I3218,5,0)</f>
        <v>#N/A</v>
      </c>
      <c r="J2727" s="2">
        <v>100</v>
      </c>
      <c r="K2727" s="2">
        <v>95</v>
      </c>
      <c r="L2727" s="2">
        <v>3</v>
      </c>
      <c r="M2727" s="7">
        <f t="shared" si="168"/>
        <v>285</v>
      </c>
      <c r="N2727" s="7">
        <f t="shared" si="169"/>
        <v>300</v>
      </c>
      <c r="O2727" s="2">
        <v>10</v>
      </c>
      <c r="P2727" s="8">
        <f t="shared" si="170"/>
        <v>310</v>
      </c>
      <c r="Q2727" s="8">
        <f t="shared" si="171"/>
        <v>290</v>
      </c>
      <c r="R2727" s="2" t="s">
        <v>28</v>
      </c>
      <c r="S2727" s="9">
        <f>VLOOKUP(P2727,$T$2:U2724,2,1)</f>
        <v>0.02</v>
      </c>
    </row>
    <row r="2728" spans="1:19" x14ac:dyDescent="0.25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e">
        <f>VLOOKUP(F2728,'Customer Info'!A2720:I3219,2,0)</f>
        <v>#N/A</v>
      </c>
      <c r="H2728" s="6" t="e">
        <f>VLOOKUP(F2728,'Customer Info'!A2720:I3219,3,0)</f>
        <v>#N/A</v>
      </c>
      <c r="I2728" s="6" t="e">
        <f>VLOOKUP(F2728,'Customer Info'!A2720:I3219,5,0)</f>
        <v>#N/A</v>
      </c>
      <c r="J2728" s="2">
        <v>1721</v>
      </c>
      <c r="K2728" s="2">
        <v>1640</v>
      </c>
      <c r="L2728" s="2">
        <v>3</v>
      </c>
      <c r="M2728" s="7">
        <f t="shared" si="168"/>
        <v>4920</v>
      </c>
      <c r="N2728" s="7">
        <f t="shared" si="169"/>
        <v>5163</v>
      </c>
      <c r="O2728" s="2">
        <v>32</v>
      </c>
      <c r="P2728" s="8">
        <f t="shared" si="170"/>
        <v>5195</v>
      </c>
      <c r="Q2728" s="8">
        <f t="shared" si="171"/>
        <v>5131</v>
      </c>
      <c r="R2728" s="2" t="s">
        <v>50</v>
      </c>
      <c r="S2728" s="9">
        <f>VLOOKUP(P2728,$T$2:U2725,2,1)</f>
        <v>0.05</v>
      </c>
    </row>
    <row r="2729" spans="1:19" x14ac:dyDescent="0.25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e">
        <f>VLOOKUP(F2729,'Customer Info'!A2721:I3220,2,0)</f>
        <v>#N/A</v>
      </c>
      <c r="H2729" s="6" t="e">
        <f>VLOOKUP(F2729,'Customer Info'!A2721:I3220,3,0)</f>
        <v>#N/A</v>
      </c>
      <c r="I2729" s="6" t="e">
        <f>VLOOKUP(F2729,'Customer Info'!A2721:I3220,5,0)</f>
        <v>#N/A</v>
      </c>
      <c r="J2729" s="2">
        <v>695</v>
      </c>
      <c r="K2729" s="2">
        <v>661</v>
      </c>
      <c r="L2729" s="2">
        <v>3</v>
      </c>
      <c r="M2729" s="7">
        <f t="shared" si="168"/>
        <v>1983</v>
      </c>
      <c r="N2729" s="7">
        <f t="shared" si="169"/>
        <v>2085</v>
      </c>
      <c r="O2729" s="2">
        <v>58</v>
      </c>
      <c r="P2729" s="8">
        <f t="shared" si="170"/>
        <v>2143</v>
      </c>
      <c r="Q2729" s="8">
        <f t="shared" si="171"/>
        <v>2027</v>
      </c>
      <c r="R2729" s="2" t="s">
        <v>28</v>
      </c>
      <c r="S2729" s="9">
        <f>VLOOKUP(P2729,$T$2:U2726,2,1)</f>
        <v>0.02</v>
      </c>
    </row>
    <row r="2730" spans="1:19" x14ac:dyDescent="0.25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e">
        <f>VLOOKUP(F2730,'Customer Info'!A2722:I3221,2,0)</f>
        <v>#N/A</v>
      </c>
      <c r="H2730" s="6" t="e">
        <f>VLOOKUP(F2730,'Customer Info'!A2722:I3221,3,0)</f>
        <v>#N/A</v>
      </c>
      <c r="I2730" s="6" t="e">
        <f>VLOOKUP(F2730,'Customer Info'!A2722:I3221,5,0)</f>
        <v>#N/A</v>
      </c>
      <c r="J2730" s="2">
        <v>173</v>
      </c>
      <c r="K2730" s="2">
        <v>155</v>
      </c>
      <c r="L2730" s="2">
        <v>1</v>
      </c>
      <c r="M2730" s="7">
        <f t="shared" si="168"/>
        <v>155</v>
      </c>
      <c r="N2730" s="7">
        <f t="shared" si="169"/>
        <v>173</v>
      </c>
      <c r="O2730" s="2">
        <v>30</v>
      </c>
      <c r="P2730" s="8">
        <f t="shared" si="170"/>
        <v>203</v>
      </c>
      <c r="Q2730" s="8">
        <f t="shared" si="171"/>
        <v>143</v>
      </c>
      <c r="R2730" s="2" t="s">
        <v>28</v>
      </c>
      <c r="S2730" s="9">
        <f>VLOOKUP(P2730,$T$2:U2727,2,1)</f>
        <v>0.02</v>
      </c>
    </row>
    <row r="2731" spans="1:19" x14ac:dyDescent="0.25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e">
        <f>VLOOKUP(F2731,'Customer Info'!A2723:I3222,2,0)</f>
        <v>#N/A</v>
      </c>
      <c r="H2731" s="6" t="e">
        <f>VLOOKUP(F2731,'Customer Info'!A2723:I3222,3,0)</f>
        <v>#N/A</v>
      </c>
      <c r="I2731" s="6" t="e">
        <f>VLOOKUP(F2731,'Customer Info'!A2723:I3222,5,0)</f>
        <v>#N/A</v>
      </c>
      <c r="J2731" s="2">
        <v>1717</v>
      </c>
      <c r="K2731" s="2">
        <v>1652</v>
      </c>
      <c r="L2731" s="2">
        <v>3</v>
      </c>
      <c r="M2731" s="7">
        <f t="shared" si="168"/>
        <v>4956</v>
      </c>
      <c r="N2731" s="7">
        <f t="shared" si="169"/>
        <v>5151</v>
      </c>
      <c r="O2731" s="2">
        <v>87</v>
      </c>
      <c r="P2731" s="8">
        <f t="shared" si="170"/>
        <v>5238</v>
      </c>
      <c r="Q2731" s="8">
        <f t="shared" si="171"/>
        <v>5064</v>
      </c>
      <c r="R2731" s="2" t="s">
        <v>28</v>
      </c>
      <c r="S2731" s="9">
        <f>VLOOKUP(P2731,$T$2:U2728,2,1)</f>
        <v>0.05</v>
      </c>
    </row>
    <row r="2732" spans="1:19" x14ac:dyDescent="0.25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e">
        <f>VLOOKUP(F2732,'Customer Info'!A2724:I3223,2,0)</f>
        <v>#N/A</v>
      </c>
      <c r="H2732" s="6" t="e">
        <f>VLOOKUP(F2732,'Customer Info'!A2724:I3223,3,0)</f>
        <v>#N/A</v>
      </c>
      <c r="I2732" s="6" t="e">
        <f>VLOOKUP(F2732,'Customer Info'!A2724:I3223,5,0)</f>
        <v>#N/A</v>
      </c>
      <c r="J2732" s="2">
        <v>626</v>
      </c>
      <c r="K2732" s="2">
        <v>559</v>
      </c>
      <c r="L2732" s="2">
        <v>5</v>
      </c>
      <c r="M2732" s="7">
        <f t="shared" si="168"/>
        <v>2795</v>
      </c>
      <c r="N2732" s="7">
        <f t="shared" si="169"/>
        <v>3130</v>
      </c>
      <c r="O2732" s="2">
        <v>21</v>
      </c>
      <c r="P2732" s="8">
        <f t="shared" si="170"/>
        <v>3151</v>
      </c>
      <c r="Q2732" s="8">
        <f t="shared" si="171"/>
        <v>3109</v>
      </c>
      <c r="R2732" s="2" t="s">
        <v>50</v>
      </c>
      <c r="S2732" s="9">
        <f>VLOOKUP(P2732,$T$2:U2729,2,1)</f>
        <v>0.02</v>
      </c>
    </row>
    <row r="2733" spans="1:19" x14ac:dyDescent="0.25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e">
        <f>VLOOKUP(F2733,'Customer Info'!A2725:I3224,2,0)</f>
        <v>#N/A</v>
      </c>
      <c r="H2733" s="6" t="e">
        <f>VLOOKUP(F2733,'Customer Info'!A2725:I3224,3,0)</f>
        <v>#N/A</v>
      </c>
      <c r="I2733" s="6" t="e">
        <f>VLOOKUP(F2733,'Customer Info'!A2725:I3224,5,0)</f>
        <v>#N/A</v>
      </c>
      <c r="J2733" s="2">
        <v>139</v>
      </c>
      <c r="K2733" s="2">
        <v>133</v>
      </c>
      <c r="L2733" s="2">
        <v>3</v>
      </c>
      <c r="M2733" s="7">
        <f t="shared" si="168"/>
        <v>399</v>
      </c>
      <c r="N2733" s="7">
        <f t="shared" si="169"/>
        <v>417</v>
      </c>
      <c r="O2733" s="2">
        <v>30</v>
      </c>
      <c r="P2733" s="8">
        <f t="shared" si="170"/>
        <v>447</v>
      </c>
      <c r="Q2733" s="8">
        <f t="shared" si="171"/>
        <v>387</v>
      </c>
      <c r="R2733" s="2" t="s">
        <v>28</v>
      </c>
      <c r="S2733" s="9">
        <f>VLOOKUP(P2733,$T$2:U2730,2,1)</f>
        <v>0.02</v>
      </c>
    </row>
    <row r="2734" spans="1:19" x14ac:dyDescent="0.25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e">
        <f>VLOOKUP(F2734,'Customer Info'!A2726:I3225,2,0)</f>
        <v>#N/A</v>
      </c>
      <c r="H2734" s="6" t="e">
        <f>VLOOKUP(F2734,'Customer Info'!A2726:I3225,3,0)</f>
        <v>#N/A</v>
      </c>
      <c r="I2734" s="6" t="e">
        <f>VLOOKUP(F2734,'Customer Info'!A2726:I3225,5,0)</f>
        <v>#N/A</v>
      </c>
      <c r="J2734" s="2">
        <v>968</v>
      </c>
      <c r="K2734" s="2">
        <v>913</v>
      </c>
      <c r="L2734" s="2">
        <v>4</v>
      </c>
      <c r="M2734" s="7">
        <f t="shared" si="168"/>
        <v>3652</v>
      </c>
      <c r="N2734" s="7">
        <f t="shared" si="169"/>
        <v>3872</v>
      </c>
      <c r="O2734" s="2">
        <v>48</v>
      </c>
      <c r="P2734" s="8">
        <f t="shared" si="170"/>
        <v>3920</v>
      </c>
      <c r="Q2734" s="8">
        <f t="shared" si="171"/>
        <v>3824</v>
      </c>
      <c r="R2734" s="2" t="s">
        <v>28</v>
      </c>
      <c r="S2734" s="9">
        <f>VLOOKUP(P2734,$T$2:U2731,2,1)</f>
        <v>0.02</v>
      </c>
    </row>
    <row r="2735" spans="1:19" x14ac:dyDescent="0.25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e">
        <f>VLOOKUP(F2735,'Customer Info'!A2727:I3226,2,0)</f>
        <v>#N/A</v>
      </c>
      <c r="H2735" s="6" t="e">
        <f>VLOOKUP(F2735,'Customer Info'!A2727:I3226,3,0)</f>
        <v>#N/A</v>
      </c>
      <c r="I2735" s="6" t="e">
        <f>VLOOKUP(F2735,'Customer Info'!A2727:I3226,5,0)</f>
        <v>#N/A</v>
      </c>
      <c r="J2735" s="2">
        <v>811</v>
      </c>
      <c r="K2735" s="2">
        <v>780</v>
      </c>
      <c r="L2735" s="2">
        <v>2</v>
      </c>
      <c r="M2735" s="7">
        <f t="shared" si="168"/>
        <v>1560</v>
      </c>
      <c r="N2735" s="7">
        <f t="shared" si="169"/>
        <v>1622</v>
      </c>
      <c r="O2735" s="2">
        <v>54</v>
      </c>
      <c r="P2735" s="8">
        <f t="shared" si="170"/>
        <v>1676</v>
      </c>
      <c r="Q2735" s="8">
        <f t="shared" si="171"/>
        <v>1568</v>
      </c>
      <c r="R2735" s="2" t="s">
        <v>50</v>
      </c>
      <c r="S2735" s="9">
        <f>VLOOKUP(P2735,$T$2:U2732,2,1)</f>
        <v>0.02</v>
      </c>
    </row>
    <row r="2736" spans="1:19" x14ac:dyDescent="0.25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e">
        <f>VLOOKUP(F2736,'Customer Info'!A2728:I3227,2,0)</f>
        <v>#N/A</v>
      </c>
      <c r="H2736" s="6" t="e">
        <f>VLOOKUP(F2736,'Customer Info'!A2728:I3227,3,0)</f>
        <v>#N/A</v>
      </c>
      <c r="I2736" s="6" t="e">
        <f>VLOOKUP(F2736,'Customer Info'!A2728:I3227,5,0)</f>
        <v>#N/A</v>
      </c>
      <c r="J2736" s="2">
        <v>68</v>
      </c>
      <c r="K2736" s="2">
        <v>63</v>
      </c>
      <c r="L2736" s="2">
        <v>6</v>
      </c>
      <c r="M2736" s="7">
        <f t="shared" si="168"/>
        <v>378</v>
      </c>
      <c r="N2736" s="7">
        <f t="shared" si="169"/>
        <v>408</v>
      </c>
      <c r="O2736" s="2">
        <v>10</v>
      </c>
      <c r="P2736" s="8">
        <f t="shared" si="170"/>
        <v>418</v>
      </c>
      <c r="Q2736" s="8">
        <f t="shared" si="171"/>
        <v>398</v>
      </c>
      <c r="R2736" s="2" t="s">
        <v>28</v>
      </c>
      <c r="S2736" s="9">
        <f>VLOOKUP(P2736,$T$2:U2733,2,1)</f>
        <v>0.02</v>
      </c>
    </row>
    <row r="2737" spans="1:19" x14ac:dyDescent="0.25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e">
        <f>VLOOKUP(F2737,'Customer Info'!A2729:I3228,2,0)</f>
        <v>#N/A</v>
      </c>
      <c r="H2737" s="6" t="e">
        <f>VLOOKUP(F2737,'Customer Info'!A2729:I3228,3,0)</f>
        <v>#N/A</v>
      </c>
      <c r="I2737" s="6" t="e">
        <f>VLOOKUP(F2737,'Customer Info'!A2729:I3228,5,0)</f>
        <v>#N/A</v>
      </c>
      <c r="J2737" s="2">
        <v>169</v>
      </c>
      <c r="K2737" s="2">
        <v>154</v>
      </c>
      <c r="L2737" s="2">
        <v>9</v>
      </c>
      <c r="M2737" s="7">
        <f t="shared" si="168"/>
        <v>1386</v>
      </c>
      <c r="N2737" s="7">
        <f t="shared" si="169"/>
        <v>1521</v>
      </c>
      <c r="O2737" s="2">
        <v>30</v>
      </c>
      <c r="P2737" s="8">
        <f t="shared" si="170"/>
        <v>1551</v>
      </c>
      <c r="Q2737" s="8">
        <f t="shared" si="171"/>
        <v>1491</v>
      </c>
      <c r="R2737" s="2" t="s">
        <v>28</v>
      </c>
      <c r="S2737" s="9">
        <f>VLOOKUP(P2737,$T$2:U2734,2,1)</f>
        <v>0.02</v>
      </c>
    </row>
    <row r="2738" spans="1:19" x14ac:dyDescent="0.25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e">
        <f>VLOOKUP(F2738,'Customer Info'!A2730:I3229,2,0)</f>
        <v>#N/A</v>
      </c>
      <c r="H2738" s="6" t="e">
        <f>VLOOKUP(F2738,'Customer Info'!A2730:I3229,3,0)</f>
        <v>#N/A</v>
      </c>
      <c r="I2738" s="6" t="e">
        <f>VLOOKUP(F2738,'Customer Info'!A2730:I3229,5,0)</f>
        <v>#N/A</v>
      </c>
      <c r="J2738" s="2">
        <v>3184</v>
      </c>
      <c r="K2738" s="2">
        <v>2947</v>
      </c>
      <c r="L2738" s="2">
        <v>5</v>
      </c>
      <c r="M2738" s="7">
        <f t="shared" si="168"/>
        <v>14735</v>
      </c>
      <c r="N2738" s="7">
        <f t="shared" si="169"/>
        <v>15920</v>
      </c>
      <c r="O2738" s="2">
        <v>26</v>
      </c>
      <c r="P2738" s="8">
        <f t="shared" si="170"/>
        <v>15946</v>
      </c>
      <c r="Q2738" s="8">
        <f t="shared" si="171"/>
        <v>15894</v>
      </c>
      <c r="R2738" s="2" t="s">
        <v>50</v>
      </c>
      <c r="S2738" s="9">
        <f>VLOOKUP(P2738,$T$2:U2735,2,1)</f>
        <v>0.05</v>
      </c>
    </row>
    <row r="2739" spans="1:19" x14ac:dyDescent="0.25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e">
        <f>VLOOKUP(F2739,'Customer Info'!A2731:I3230,2,0)</f>
        <v>#N/A</v>
      </c>
      <c r="H2739" s="6" t="e">
        <f>VLOOKUP(F2739,'Customer Info'!A2731:I3230,3,0)</f>
        <v>#N/A</v>
      </c>
      <c r="I2739" s="6" t="e">
        <f>VLOOKUP(F2739,'Customer Info'!A2731:I3230,5,0)</f>
        <v>#N/A</v>
      </c>
      <c r="J2739" s="2">
        <v>1968</v>
      </c>
      <c r="K2739" s="2">
        <v>1821</v>
      </c>
      <c r="L2739" s="2">
        <v>3</v>
      </c>
      <c r="M2739" s="7">
        <f t="shared" si="168"/>
        <v>5463</v>
      </c>
      <c r="N2739" s="7">
        <f t="shared" si="169"/>
        <v>5904</v>
      </c>
      <c r="O2739" s="2">
        <v>39</v>
      </c>
      <c r="P2739" s="8">
        <f t="shared" si="170"/>
        <v>5943</v>
      </c>
      <c r="Q2739" s="8">
        <f t="shared" si="171"/>
        <v>5865</v>
      </c>
      <c r="R2739" s="2" t="s">
        <v>26</v>
      </c>
      <c r="S2739" s="9">
        <f>VLOOKUP(P2739,$T$2:U2736,2,1)</f>
        <v>0.05</v>
      </c>
    </row>
    <row r="2740" spans="1:19" x14ac:dyDescent="0.25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e">
        <f>VLOOKUP(F2740,'Customer Info'!A2732:I3231,2,0)</f>
        <v>#N/A</v>
      </c>
      <c r="H2740" s="6" t="e">
        <f>VLOOKUP(F2740,'Customer Info'!A2732:I3231,3,0)</f>
        <v>#N/A</v>
      </c>
      <c r="I2740" s="6" t="e">
        <f>VLOOKUP(F2740,'Customer Info'!A2732:I3231,5,0)</f>
        <v>#N/A</v>
      </c>
      <c r="J2740" s="2">
        <v>1686</v>
      </c>
      <c r="K2740" s="2">
        <v>1591</v>
      </c>
      <c r="L2740" s="2">
        <v>3</v>
      </c>
      <c r="M2740" s="7">
        <f t="shared" si="168"/>
        <v>4773</v>
      </c>
      <c r="N2740" s="7">
        <f t="shared" si="169"/>
        <v>5058</v>
      </c>
      <c r="O2740" s="2">
        <v>75</v>
      </c>
      <c r="P2740" s="8">
        <f t="shared" si="170"/>
        <v>5133</v>
      </c>
      <c r="Q2740" s="8">
        <f t="shared" si="171"/>
        <v>4983</v>
      </c>
      <c r="R2740" s="2" t="s">
        <v>50</v>
      </c>
      <c r="S2740" s="9">
        <f>VLOOKUP(P2740,$T$2:U2737,2,1)</f>
        <v>0.05</v>
      </c>
    </row>
    <row r="2741" spans="1:19" x14ac:dyDescent="0.25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e">
        <f>VLOOKUP(F2741,'Customer Info'!A2733:I3232,2,0)</f>
        <v>#N/A</v>
      </c>
      <c r="H2741" s="6" t="e">
        <f>VLOOKUP(F2741,'Customer Info'!A2733:I3232,3,0)</f>
        <v>#N/A</v>
      </c>
      <c r="I2741" s="6" t="e">
        <f>VLOOKUP(F2741,'Customer Info'!A2733:I3232,5,0)</f>
        <v>#N/A</v>
      </c>
      <c r="J2741" s="2">
        <v>1556</v>
      </c>
      <c r="K2741" s="2">
        <v>1414</v>
      </c>
      <c r="L2741" s="2">
        <v>1</v>
      </c>
      <c r="M2741" s="7">
        <f t="shared" si="168"/>
        <v>1414</v>
      </c>
      <c r="N2741" s="7">
        <f t="shared" si="169"/>
        <v>1556</v>
      </c>
      <c r="O2741" s="2">
        <v>32</v>
      </c>
      <c r="P2741" s="8">
        <f t="shared" si="170"/>
        <v>1588</v>
      </c>
      <c r="Q2741" s="8">
        <f t="shared" si="171"/>
        <v>1524</v>
      </c>
      <c r="R2741" s="2" t="s">
        <v>50</v>
      </c>
      <c r="S2741" s="9">
        <f>VLOOKUP(P2741,$T$2:U2738,2,1)</f>
        <v>0.02</v>
      </c>
    </row>
    <row r="2742" spans="1:19" x14ac:dyDescent="0.25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e">
        <f>VLOOKUP(F2742,'Customer Info'!A2734:I3233,2,0)</f>
        <v>#N/A</v>
      </c>
      <c r="H2742" s="6" t="e">
        <f>VLOOKUP(F2742,'Customer Info'!A2734:I3233,3,0)</f>
        <v>#N/A</v>
      </c>
      <c r="I2742" s="6" t="e">
        <f>VLOOKUP(F2742,'Customer Info'!A2734:I3233,5,0)</f>
        <v>#N/A</v>
      </c>
      <c r="J2742" s="2">
        <v>177</v>
      </c>
      <c r="K2742" s="2">
        <v>169</v>
      </c>
      <c r="L2742" s="2">
        <v>2</v>
      </c>
      <c r="M2742" s="7">
        <f t="shared" si="168"/>
        <v>338</v>
      </c>
      <c r="N2742" s="7">
        <f t="shared" si="169"/>
        <v>354</v>
      </c>
      <c r="O2742" s="2">
        <v>30</v>
      </c>
      <c r="P2742" s="8">
        <f t="shared" si="170"/>
        <v>384</v>
      </c>
      <c r="Q2742" s="8">
        <f t="shared" si="171"/>
        <v>324</v>
      </c>
      <c r="R2742" s="2" t="s">
        <v>56</v>
      </c>
      <c r="S2742" s="9">
        <f>VLOOKUP(P2742,$T$2:U2739,2,1)</f>
        <v>0.02</v>
      </c>
    </row>
    <row r="2743" spans="1:19" x14ac:dyDescent="0.25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e">
        <f>VLOOKUP(F2743,'Customer Info'!A2735:I3234,2,0)</f>
        <v>#N/A</v>
      </c>
      <c r="H2743" s="6" t="e">
        <f>VLOOKUP(F2743,'Customer Info'!A2735:I3234,3,0)</f>
        <v>#N/A</v>
      </c>
      <c r="I2743" s="6" t="e">
        <f>VLOOKUP(F2743,'Customer Info'!A2735:I3234,5,0)</f>
        <v>#N/A</v>
      </c>
      <c r="J2743" s="2">
        <v>7474</v>
      </c>
      <c r="K2743" s="2">
        <v>6858</v>
      </c>
      <c r="L2743" s="2">
        <v>4</v>
      </c>
      <c r="M2743" s="7">
        <f t="shared" si="168"/>
        <v>27432</v>
      </c>
      <c r="N2743" s="7">
        <f t="shared" si="169"/>
        <v>29896</v>
      </c>
      <c r="O2743" s="2">
        <v>65</v>
      </c>
      <c r="P2743" s="8">
        <f t="shared" si="170"/>
        <v>29961</v>
      </c>
      <c r="Q2743" s="8">
        <f t="shared" si="171"/>
        <v>29831</v>
      </c>
      <c r="R2743" s="2" t="s">
        <v>28</v>
      </c>
      <c r="S2743" s="9">
        <f>VLOOKUP(P2743,$T$2:U2740,2,1)</f>
        <v>7.0000000000000007E-2</v>
      </c>
    </row>
    <row r="2744" spans="1:19" x14ac:dyDescent="0.25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e">
        <f>VLOOKUP(F2744,'Customer Info'!A2736:I3235,2,0)</f>
        <v>#N/A</v>
      </c>
      <c r="H2744" s="6" t="e">
        <f>VLOOKUP(F2744,'Customer Info'!A2736:I3235,3,0)</f>
        <v>#N/A</v>
      </c>
      <c r="I2744" s="6" t="e">
        <f>VLOOKUP(F2744,'Customer Info'!A2736:I3235,5,0)</f>
        <v>#N/A</v>
      </c>
      <c r="J2744" s="2">
        <v>1246</v>
      </c>
      <c r="K2744" s="2">
        <v>1164</v>
      </c>
      <c r="L2744" s="2">
        <v>1</v>
      </c>
      <c r="M2744" s="7">
        <f t="shared" si="168"/>
        <v>1164</v>
      </c>
      <c r="N2744" s="7">
        <f t="shared" si="169"/>
        <v>1246</v>
      </c>
      <c r="O2744" s="2">
        <v>79</v>
      </c>
      <c r="P2744" s="8">
        <f t="shared" si="170"/>
        <v>1325</v>
      </c>
      <c r="Q2744" s="8">
        <f t="shared" si="171"/>
        <v>1167</v>
      </c>
      <c r="R2744" s="2" t="s">
        <v>28</v>
      </c>
      <c r="S2744" s="9">
        <f>VLOOKUP(P2744,$T$2:U2741,2,1)</f>
        <v>0.02</v>
      </c>
    </row>
    <row r="2745" spans="1:19" x14ac:dyDescent="0.25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e">
        <f>VLOOKUP(F2745,'Customer Info'!A2737:I3236,2,0)</f>
        <v>#N/A</v>
      </c>
      <c r="H2745" s="6" t="e">
        <f>VLOOKUP(F2745,'Customer Info'!A2737:I3236,3,0)</f>
        <v>#N/A</v>
      </c>
      <c r="I2745" s="6" t="e">
        <f>VLOOKUP(F2745,'Customer Info'!A2737:I3236,5,0)</f>
        <v>#N/A</v>
      </c>
      <c r="J2745" s="2">
        <v>1585</v>
      </c>
      <c r="K2745" s="2">
        <v>1495</v>
      </c>
      <c r="L2745" s="2">
        <v>3</v>
      </c>
      <c r="M2745" s="7">
        <f t="shared" si="168"/>
        <v>4485</v>
      </c>
      <c r="N2745" s="7">
        <f t="shared" si="169"/>
        <v>4755</v>
      </c>
      <c r="O2745" s="2">
        <v>23</v>
      </c>
      <c r="P2745" s="8">
        <f t="shared" si="170"/>
        <v>4778</v>
      </c>
      <c r="Q2745" s="8">
        <f t="shared" si="171"/>
        <v>4732</v>
      </c>
      <c r="R2745" s="2" t="s">
        <v>50</v>
      </c>
      <c r="S2745" s="9">
        <f>VLOOKUP(P2745,$T$2:U2742,2,1)</f>
        <v>0.02</v>
      </c>
    </row>
    <row r="2746" spans="1:19" x14ac:dyDescent="0.25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e">
        <f>VLOOKUP(F2746,'Customer Info'!A2738:I3237,2,0)</f>
        <v>#N/A</v>
      </c>
      <c r="H2746" s="6" t="e">
        <f>VLOOKUP(F2746,'Customer Info'!A2738:I3237,3,0)</f>
        <v>#N/A</v>
      </c>
      <c r="I2746" s="6" t="e">
        <f>VLOOKUP(F2746,'Customer Info'!A2738:I3237,5,0)</f>
        <v>#N/A</v>
      </c>
      <c r="J2746" s="2">
        <v>2442</v>
      </c>
      <c r="K2746" s="2">
        <v>2304</v>
      </c>
      <c r="L2746" s="2">
        <v>2</v>
      </c>
      <c r="M2746" s="7">
        <f t="shared" si="168"/>
        <v>4608</v>
      </c>
      <c r="N2746" s="7">
        <f t="shared" si="169"/>
        <v>4884</v>
      </c>
      <c r="O2746" s="2">
        <v>34</v>
      </c>
      <c r="P2746" s="8">
        <f t="shared" si="170"/>
        <v>4918</v>
      </c>
      <c r="Q2746" s="8">
        <f t="shared" si="171"/>
        <v>4850</v>
      </c>
      <c r="R2746" s="2" t="s">
        <v>28</v>
      </c>
      <c r="S2746" s="9">
        <f>VLOOKUP(P2746,$T$2:U2743,2,1)</f>
        <v>0.02</v>
      </c>
    </row>
    <row r="2747" spans="1:19" x14ac:dyDescent="0.25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e">
        <f>VLOOKUP(F2747,'Customer Info'!A2739:I3238,2,0)</f>
        <v>#N/A</v>
      </c>
      <c r="H2747" s="6" t="e">
        <f>VLOOKUP(F2747,'Customer Info'!A2739:I3238,3,0)</f>
        <v>#N/A</v>
      </c>
      <c r="I2747" s="6" t="e">
        <f>VLOOKUP(F2747,'Customer Info'!A2739:I3238,5,0)</f>
        <v>#N/A</v>
      </c>
      <c r="J2747" s="2">
        <v>8619</v>
      </c>
      <c r="K2747" s="2">
        <v>7759</v>
      </c>
      <c r="L2747" s="2">
        <v>3</v>
      </c>
      <c r="M2747" s="7">
        <f t="shared" si="168"/>
        <v>23277</v>
      </c>
      <c r="N2747" s="7">
        <f t="shared" si="169"/>
        <v>25857</v>
      </c>
      <c r="O2747" s="2">
        <v>86</v>
      </c>
      <c r="P2747" s="8">
        <f t="shared" si="170"/>
        <v>25943</v>
      </c>
      <c r="Q2747" s="8">
        <f t="shared" si="171"/>
        <v>25771</v>
      </c>
      <c r="R2747" s="2" t="s">
        <v>26</v>
      </c>
      <c r="S2747" s="9">
        <f>VLOOKUP(P2747,$T$2:U2744,2,1)</f>
        <v>7.0000000000000007E-2</v>
      </c>
    </row>
    <row r="2748" spans="1:19" x14ac:dyDescent="0.25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e">
        <f>VLOOKUP(F2748,'Customer Info'!A2740:I3239,2,0)</f>
        <v>#N/A</v>
      </c>
      <c r="H2748" s="6" t="e">
        <f>VLOOKUP(F2748,'Customer Info'!A2740:I3239,3,0)</f>
        <v>#N/A</v>
      </c>
      <c r="I2748" s="6" t="e">
        <f>VLOOKUP(F2748,'Customer Info'!A2740:I3239,5,0)</f>
        <v>#N/A</v>
      </c>
      <c r="J2748" s="2">
        <v>4904</v>
      </c>
      <c r="K2748" s="2">
        <v>4499</v>
      </c>
      <c r="L2748" s="2">
        <v>4</v>
      </c>
      <c r="M2748" s="7">
        <f t="shared" si="168"/>
        <v>17996</v>
      </c>
      <c r="N2748" s="7">
        <f t="shared" si="169"/>
        <v>19616</v>
      </c>
      <c r="O2748" s="2">
        <v>98</v>
      </c>
      <c r="P2748" s="8">
        <f t="shared" si="170"/>
        <v>19714</v>
      </c>
      <c r="Q2748" s="8">
        <f t="shared" si="171"/>
        <v>19518</v>
      </c>
      <c r="R2748" s="2" t="s">
        <v>28</v>
      </c>
      <c r="S2748" s="9">
        <f>VLOOKUP(P2748,$T$2:U2745,2,1)</f>
        <v>0.05</v>
      </c>
    </row>
    <row r="2749" spans="1:19" x14ac:dyDescent="0.25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e">
        <f>VLOOKUP(F2749,'Customer Info'!A2741:I3240,2,0)</f>
        <v>#N/A</v>
      </c>
      <c r="H2749" s="6" t="e">
        <f>VLOOKUP(F2749,'Customer Info'!A2741:I3240,3,0)</f>
        <v>#N/A</v>
      </c>
      <c r="I2749" s="6" t="e">
        <f>VLOOKUP(F2749,'Customer Info'!A2741:I3240,5,0)</f>
        <v>#N/A</v>
      </c>
      <c r="J2749" s="2">
        <v>29378</v>
      </c>
      <c r="K2749" s="2">
        <v>26912</v>
      </c>
      <c r="L2749" s="2">
        <v>2</v>
      </c>
      <c r="M2749" s="7">
        <f t="shared" si="168"/>
        <v>53824</v>
      </c>
      <c r="N2749" s="7">
        <f t="shared" si="169"/>
        <v>58756</v>
      </c>
      <c r="O2749" s="2">
        <v>66</v>
      </c>
      <c r="P2749" s="8">
        <f t="shared" si="170"/>
        <v>58822</v>
      </c>
      <c r="Q2749" s="8">
        <f t="shared" si="171"/>
        <v>58690</v>
      </c>
      <c r="R2749" s="2" t="s">
        <v>28</v>
      </c>
      <c r="S2749" s="9">
        <f>VLOOKUP(P2749,$T$2:U2746,2,1)</f>
        <v>0.09</v>
      </c>
    </row>
    <row r="2750" spans="1:19" x14ac:dyDescent="0.25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e">
        <f>VLOOKUP(F2750,'Customer Info'!A2742:I3241,2,0)</f>
        <v>#N/A</v>
      </c>
      <c r="H2750" s="6" t="e">
        <f>VLOOKUP(F2750,'Customer Info'!A2742:I3241,3,0)</f>
        <v>#N/A</v>
      </c>
      <c r="I2750" s="6" t="e">
        <f>VLOOKUP(F2750,'Customer Info'!A2742:I3241,5,0)</f>
        <v>#N/A</v>
      </c>
      <c r="J2750" s="2">
        <v>6337</v>
      </c>
      <c r="K2750" s="2">
        <v>6215</v>
      </c>
      <c r="L2750" s="2">
        <v>8</v>
      </c>
      <c r="M2750" s="7">
        <f t="shared" si="168"/>
        <v>49720</v>
      </c>
      <c r="N2750" s="7">
        <f t="shared" si="169"/>
        <v>50696</v>
      </c>
      <c r="O2750" s="2">
        <v>99</v>
      </c>
      <c r="P2750" s="8">
        <f t="shared" si="170"/>
        <v>50795</v>
      </c>
      <c r="Q2750" s="8">
        <f t="shared" si="171"/>
        <v>50597</v>
      </c>
      <c r="R2750" s="2" t="s">
        <v>28</v>
      </c>
      <c r="S2750" s="9">
        <f>VLOOKUP(P2750,$T$2:U2747,2,1)</f>
        <v>0.09</v>
      </c>
    </row>
    <row r="2751" spans="1:19" x14ac:dyDescent="0.25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e">
        <f>VLOOKUP(F2751,'Customer Info'!A2743:I3242,2,0)</f>
        <v>#N/A</v>
      </c>
      <c r="H2751" s="6" t="e">
        <f>VLOOKUP(F2751,'Customer Info'!A2743:I3242,3,0)</f>
        <v>#N/A</v>
      </c>
      <c r="I2751" s="6" t="e">
        <f>VLOOKUP(F2751,'Customer Info'!A2743:I3242,5,0)</f>
        <v>#N/A</v>
      </c>
      <c r="J2751" s="2">
        <v>923</v>
      </c>
      <c r="K2751" s="2">
        <v>879</v>
      </c>
      <c r="L2751" s="2">
        <v>7</v>
      </c>
      <c r="M2751" s="7">
        <f t="shared" si="168"/>
        <v>6153</v>
      </c>
      <c r="N2751" s="7">
        <f t="shared" si="169"/>
        <v>6461</v>
      </c>
      <c r="O2751" s="2">
        <v>65</v>
      </c>
      <c r="P2751" s="8">
        <f t="shared" si="170"/>
        <v>6526</v>
      </c>
      <c r="Q2751" s="8">
        <f t="shared" si="171"/>
        <v>6396</v>
      </c>
      <c r="R2751" s="2" t="s">
        <v>28</v>
      </c>
      <c r="S2751" s="9">
        <f>VLOOKUP(P2751,$T$2:U2748,2,1)</f>
        <v>0.05</v>
      </c>
    </row>
    <row r="2752" spans="1:19" x14ac:dyDescent="0.25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e">
        <f>VLOOKUP(F2752,'Customer Info'!A2744:I3243,2,0)</f>
        <v>#N/A</v>
      </c>
      <c r="H2752" s="6" t="e">
        <f>VLOOKUP(F2752,'Customer Info'!A2744:I3243,3,0)</f>
        <v>#N/A</v>
      </c>
      <c r="I2752" s="6" t="e">
        <f>VLOOKUP(F2752,'Customer Info'!A2744:I3243,5,0)</f>
        <v>#N/A</v>
      </c>
      <c r="J2752" s="2">
        <v>2083</v>
      </c>
      <c r="K2752" s="2">
        <v>2004</v>
      </c>
      <c r="L2752" s="2">
        <v>1</v>
      </c>
      <c r="M2752" s="7">
        <f t="shared" si="168"/>
        <v>2004</v>
      </c>
      <c r="N2752" s="7">
        <f t="shared" si="169"/>
        <v>2083</v>
      </c>
      <c r="O2752" s="2">
        <v>74</v>
      </c>
      <c r="P2752" s="8">
        <f t="shared" si="170"/>
        <v>2157</v>
      </c>
      <c r="Q2752" s="8">
        <f t="shared" si="171"/>
        <v>2009</v>
      </c>
      <c r="R2752" s="2" t="s">
        <v>50</v>
      </c>
      <c r="S2752" s="9">
        <f>VLOOKUP(P2752,$T$2:U2749,2,1)</f>
        <v>0.02</v>
      </c>
    </row>
    <row r="2753" spans="1:19" x14ac:dyDescent="0.25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e">
        <f>VLOOKUP(F2753,'Customer Info'!A2745:I3244,2,0)</f>
        <v>#N/A</v>
      </c>
      <c r="H2753" s="6" t="e">
        <f>VLOOKUP(F2753,'Customer Info'!A2745:I3244,3,0)</f>
        <v>#N/A</v>
      </c>
      <c r="I2753" s="6" t="e">
        <f>VLOOKUP(F2753,'Customer Info'!A2745:I3244,5,0)</f>
        <v>#N/A</v>
      </c>
      <c r="J2753" s="2">
        <v>60</v>
      </c>
      <c r="K2753" s="2">
        <v>55</v>
      </c>
      <c r="L2753" s="2">
        <v>2</v>
      </c>
      <c r="M2753" s="7">
        <f t="shared" si="168"/>
        <v>110</v>
      </c>
      <c r="N2753" s="7">
        <f t="shared" si="169"/>
        <v>120</v>
      </c>
      <c r="O2753" s="2">
        <v>10</v>
      </c>
      <c r="P2753" s="8">
        <f t="shared" si="170"/>
        <v>130</v>
      </c>
      <c r="Q2753" s="8">
        <f t="shared" si="171"/>
        <v>110</v>
      </c>
      <c r="R2753" s="2" t="s">
        <v>28</v>
      </c>
      <c r="S2753" s="9">
        <f>VLOOKUP(P2753,$T$2:U2750,2,1)</f>
        <v>0.02</v>
      </c>
    </row>
    <row r="2754" spans="1:19" x14ac:dyDescent="0.25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e">
        <f>VLOOKUP(F2754,'Customer Info'!A2746:I3245,2,0)</f>
        <v>#N/A</v>
      </c>
      <c r="H2754" s="6" t="e">
        <f>VLOOKUP(F2754,'Customer Info'!A2746:I3245,3,0)</f>
        <v>#N/A</v>
      </c>
      <c r="I2754" s="6" t="e">
        <f>VLOOKUP(F2754,'Customer Info'!A2746:I3245,5,0)</f>
        <v>#N/A</v>
      </c>
      <c r="J2754" s="2">
        <v>4761</v>
      </c>
      <c r="K2754" s="2">
        <v>4368</v>
      </c>
      <c r="L2754" s="2">
        <v>5</v>
      </c>
      <c r="M2754" s="7">
        <f t="shared" si="168"/>
        <v>21840</v>
      </c>
      <c r="N2754" s="7">
        <f t="shared" si="169"/>
        <v>23805</v>
      </c>
      <c r="O2754" s="2">
        <v>63</v>
      </c>
      <c r="P2754" s="8">
        <f t="shared" si="170"/>
        <v>23868</v>
      </c>
      <c r="Q2754" s="8">
        <f t="shared" si="171"/>
        <v>23742</v>
      </c>
      <c r="R2754" s="2" t="s">
        <v>28</v>
      </c>
      <c r="S2754" s="9">
        <f>VLOOKUP(P2754,$T$2:U2751,2,1)</f>
        <v>0.05</v>
      </c>
    </row>
    <row r="2755" spans="1:19" x14ac:dyDescent="0.25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e">
        <f>VLOOKUP(F2755,'Customer Info'!A2747:I3246,2,0)</f>
        <v>#N/A</v>
      </c>
      <c r="H2755" s="6" t="e">
        <f>VLOOKUP(F2755,'Customer Info'!A2747:I3246,3,0)</f>
        <v>#N/A</v>
      </c>
      <c r="I2755" s="6" t="e">
        <f>VLOOKUP(F2755,'Customer Info'!A2747:I3246,5,0)</f>
        <v>#N/A</v>
      </c>
      <c r="J2755" s="2">
        <v>456</v>
      </c>
      <c r="K2755" s="2">
        <v>430</v>
      </c>
      <c r="L2755" s="2">
        <v>3</v>
      </c>
      <c r="M2755" s="7">
        <f t="shared" si="168"/>
        <v>1290</v>
      </c>
      <c r="N2755" s="7">
        <f t="shared" si="169"/>
        <v>1368</v>
      </c>
      <c r="O2755" s="2">
        <v>59</v>
      </c>
      <c r="P2755" s="8">
        <f t="shared" si="170"/>
        <v>1427</v>
      </c>
      <c r="Q2755" s="8">
        <f t="shared" si="171"/>
        <v>1309</v>
      </c>
      <c r="R2755" s="2" t="s">
        <v>26</v>
      </c>
      <c r="S2755" s="9">
        <f>VLOOKUP(P2755,$T$2:U2752,2,1)</f>
        <v>0.02</v>
      </c>
    </row>
    <row r="2756" spans="1:19" x14ac:dyDescent="0.25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e">
        <f>VLOOKUP(F2756,'Customer Info'!A2748:I3247,2,0)</f>
        <v>#N/A</v>
      </c>
      <c r="H2756" s="6" t="e">
        <f>VLOOKUP(F2756,'Customer Info'!A2748:I3247,3,0)</f>
        <v>#N/A</v>
      </c>
      <c r="I2756" s="6" t="e">
        <f>VLOOKUP(F2756,'Customer Info'!A2748:I3247,5,0)</f>
        <v>#N/A</v>
      </c>
      <c r="J2756" s="2">
        <v>1718</v>
      </c>
      <c r="K2756" s="2">
        <v>1545</v>
      </c>
      <c r="L2756" s="2">
        <v>1</v>
      </c>
      <c r="M2756" s="7">
        <f t="shared" si="168"/>
        <v>1545</v>
      </c>
      <c r="N2756" s="7">
        <f t="shared" si="169"/>
        <v>1718</v>
      </c>
      <c r="O2756" s="2">
        <v>89</v>
      </c>
      <c r="P2756" s="8">
        <f t="shared" si="170"/>
        <v>1807</v>
      </c>
      <c r="Q2756" s="8">
        <f t="shared" si="171"/>
        <v>1629</v>
      </c>
      <c r="R2756" s="2" t="s">
        <v>50</v>
      </c>
      <c r="S2756" s="9">
        <f>VLOOKUP(P2756,$T$2:U2753,2,1)</f>
        <v>0.02</v>
      </c>
    </row>
    <row r="2757" spans="1:19" x14ac:dyDescent="0.25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e">
        <f>VLOOKUP(F2757,'Customer Info'!A2749:I3248,2,0)</f>
        <v>#N/A</v>
      </c>
      <c r="H2757" s="6" t="e">
        <f>VLOOKUP(F2757,'Customer Info'!A2749:I3248,3,0)</f>
        <v>#N/A</v>
      </c>
      <c r="I2757" s="6" t="e">
        <f>VLOOKUP(F2757,'Customer Info'!A2749:I3248,5,0)</f>
        <v>#N/A</v>
      </c>
      <c r="J2757" s="2">
        <v>81</v>
      </c>
      <c r="K2757" s="2">
        <v>77</v>
      </c>
      <c r="L2757" s="2">
        <v>11</v>
      </c>
      <c r="M2757" s="7">
        <f t="shared" si="168"/>
        <v>847</v>
      </c>
      <c r="N2757" s="7">
        <f t="shared" si="169"/>
        <v>891</v>
      </c>
      <c r="O2757" s="2">
        <v>10</v>
      </c>
      <c r="P2757" s="8">
        <f t="shared" si="170"/>
        <v>901</v>
      </c>
      <c r="Q2757" s="8">
        <f t="shared" si="171"/>
        <v>881</v>
      </c>
      <c r="R2757" s="2" t="s">
        <v>28</v>
      </c>
      <c r="S2757" s="9">
        <f>VLOOKUP(P2757,$T$2:U2754,2,1)</f>
        <v>0.02</v>
      </c>
    </row>
    <row r="2758" spans="1:19" x14ac:dyDescent="0.25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e">
        <f>VLOOKUP(F2758,'Customer Info'!A2750:I3249,2,0)</f>
        <v>#N/A</v>
      </c>
      <c r="H2758" s="6" t="e">
        <f>VLOOKUP(F2758,'Customer Info'!A2750:I3249,3,0)</f>
        <v>#N/A</v>
      </c>
      <c r="I2758" s="6" t="e">
        <f>VLOOKUP(F2758,'Customer Info'!A2750:I3249,5,0)</f>
        <v>#N/A</v>
      </c>
      <c r="J2758" s="2">
        <v>1968</v>
      </c>
      <c r="K2758" s="2">
        <v>1821</v>
      </c>
      <c r="L2758" s="2">
        <v>4</v>
      </c>
      <c r="M2758" s="7">
        <f t="shared" si="168"/>
        <v>7284</v>
      </c>
      <c r="N2758" s="7">
        <f t="shared" si="169"/>
        <v>7872</v>
      </c>
      <c r="O2758" s="2">
        <v>73</v>
      </c>
      <c r="P2758" s="8">
        <f t="shared" si="170"/>
        <v>7945</v>
      </c>
      <c r="Q2758" s="8">
        <f t="shared" si="171"/>
        <v>7799</v>
      </c>
      <c r="R2758" s="2" t="s">
        <v>28</v>
      </c>
      <c r="S2758" s="9">
        <f>VLOOKUP(P2758,$T$2:U2755,2,1)</f>
        <v>0.05</v>
      </c>
    </row>
    <row r="2759" spans="1:19" x14ac:dyDescent="0.25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e">
        <f>VLOOKUP(F2759,'Customer Info'!A2751:I3250,2,0)</f>
        <v>#N/A</v>
      </c>
      <c r="H2759" s="6" t="e">
        <f>VLOOKUP(F2759,'Customer Info'!A2751:I3250,3,0)</f>
        <v>#N/A</v>
      </c>
      <c r="I2759" s="6" t="e">
        <f>VLOOKUP(F2759,'Customer Info'!A2751:I3250,5,0)</f>
        <v>#N/A</v>
      </c>
      <c r="J2759" s="2">
        <v>6400</v>
      </c>
      <c r="K2759" s="2">
        <v>6401</v>
      </c>
      <c r="L2759" s="2">
        <v>4</v>
      </c>
      <c r="M2759" s="7">
        <f t="shared" si="168"/>
        <v>25604</v>
      </c>
      <c r="N2759" s="7">
        <f t="shared" si="169"/>
        <v>25600</v>
      </c>
      <c r="O2759" s="2">
        <v>79</v>
      </c>
      <c r="P2759" s="8">
        <f t="shared" si="170"/>
        <v>25679</v>
      </c>
      <c r="Q2759" s="8">
        <f t="shared" si="171"/>
        <v>25521</v>
      </c>
      <c r="R2759" s="2" t="s">
        <v>50</v>
      </c>
      <c r="S2759" s="9">
        <f>VLOOKUP(P2759,$T$2:U2756,2,1)</f>
        <v>7.0000000000000007E-2</v>
      </c>
    </row>
    <row r="2760" spans="1:19" x14ac:dyDescent="0.25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e">
        <f>VLOOKUP(F2760,'Customer Info'!A2752:I3251,2,0)</f>
        <v>#N/A</v>
      </c>
      <c r="H2760" s="6" t="e">
        <f>VLOOKUP(F2760,'Customer Info'!A2752:I3251,3,0)</f>
        <v>#N/A</v>
      </c>
      <c r="I2760" s="6" t="e">
        <f>VLOOKUP(F2760,'Customer Info'!A2752:I3251,5,0)</f>
        <v>#N/A</v>
      </c>
      <c r="J2760" s="2">
        <v>175</v>
      </c>
      <c r="K2760" s="2">
        <v>158</v>
      </c>
      <c r="L2760" s="2">
        <v>2</v>
      </c>
      <c r="M2760" s="7">
        <f t="shared" si="168"/>
        <v>316</v>
      </c>
      <c r="N2760" s="7">
        <f t="shared" si="169"/>
        <v>350</v>
      </c>
      <c r="O2760" s="2">
        <v>30</v>
      </c>
      <c r="P2760" s="8">
        <f t="shared" si="170"/>
        <v>380</v>
      </c>
      <c r="Q2760" s="8">
        <f t="shared" si="171"/>
        <v>320</v>
      </c>
      <c r="R2760" s="2" t="s">
        <v>50</v>
      </c>
      <c r="S2760" s="9">
        <f>VLOOKUP(P2760,$T$2:U2757,2,1)</f>
        <v>0.02</v>
      </c>
    </row>
    <row r="2761" spans="1:19" x14ac:dyDescent="0.25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e">
        <f>VLOOKUP(F2761,'Customer Info'!A2753:I3252,2,0)</f>
        <v>#N/A</v>
      </c>
      <c r="H2761" s="6" t="e">
        <f>VLOOKUP(F2761,'Customer Info'!A2753:I3252,3,0)</f>
        <v>#N/A</v>
      </c>
      <c r="I2761" s="6" t="e">
        <f>VLOOKUP(F2761,'Customer Info'!A2753:I3252,5,0)</f>
        <v>#N/A</v>
      </c>
      <c r="J2761" s="2">
        <v>148</v>
      </c>
      <c r="K2761" s="2">
        <v>136</v>
      </c>
      <c r="L2761" s="2">
        <v>7</v>
      </c>
      <c r="M2761" s="7">
        <f t="shared" si="168"/>
        <v>952</v>
      </c>
      <c r="N2761" s="7">
        <f t="shared" si="169"/>
        <v>1036</v>
      </c>
      <c r="O2761" s="2">
        <v>30</v>
      </c>
      <c r="P2761" s="8">
        <f t="shared" si="170"/>
        <v>1066</v>
      </c>
      <c r="Q2761" s="8">
        <f t="shared" si="171"/>
        <v>1006</v>
      </c>
      <c r="R2761" s="2" t="s">
        <v>28</v>
      </c>
      <c r="S2761" s="9">
        <f>VLOOKUP(P2761,$T$2:U2758,2,1)</f>
        <v>0.02</v>
      </c>
    </row>
    <row r="2762" spans="1:19" x14ac:dyDescent="0.25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e">
        <f>VLOOKUP(F2762,'Customer Info'!A2754:I3253,2,0)</f>
        <v>#N/A</v>
      </c>
      <c r="H2762" s="6" t="e">
        <f>VLOOKUP(F2762,'Customer Info'!A2754:I3253,3,0)</f>
        <v>#N/A</v>
      </c>
      <c r="I2762" s="6" t="e">
        <f>VLOOKUP(F2762,'Customer Info'!A2754:I3253,5,0)</f>
        <v>#N/A</v>
      </c>
      <c r="J2762" s="2">
        <v>202</v>
      </c>
      <c r="K2762" s="2">
        <v>187</v>
      </c>
      <c r="L2762" s="2">
        <v>1</v>
      </c>
      <c r="M2762" s="7">
        <f t="shared" si="168"/>
        <v>187</v>
      </c>
      <c r="N2762" s="7">
        <f t="shared" si="169"/>
        <v>202</v>
      </c>
      <c r="O2762" s="2">
        <v>30</v>
      </c>
      <c r="P2762" s="8">
        <f t="shared" si="170"/>
        <v>232</v>
      </c>
      <c r="Q2762" s="8">
        <f t="shared" si="171"/>
        <v>172</v>
      </c>
      <c r="R2762" s="2" t="s">
        <v>28</v>
      </c>
      <c r="S2762" s="9">
        <f>VLOOKUP(P2762,$T$2:U2759,2,1)</f>
        <v>0.02</v>
      </c>
    </row>
    <row r="2763" spans="1:19" x14ac:dyDescent="0.25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e">
        <f>VLOOKUP(F2763,'Customer Info'!A2755:I3254,2,0)</f>
        <v>#N/A</v>
      </c>
      <c r="H2763" s="6" t="e">
        <f>VLOOKUP(F2763,'Customer Info'!A2755:I3254,3,0)</f>
        <v>#N/A</v>
      </c>
      <c r="I2763" s="6" t="e">
        <f>VLOOKUP(F2763,'Customer Info'!A2755:I3254,5,0)</f>
        <v>#N/A</v>
      </c>
      <c r="J2763" s="2">
        <v>171</v>
      </c>
      <c r="K2763" s="2">
        <v>153</v>
      </c>
      <c r="L2763" s="2">
        <v>9</v>
      </c>
      <c r="M2763" s="7">
        <f t="shared" ref="M2763:M2826" si="172">K2763*L2763</f>
        <v>1377</v>
      </c>
      <c r="N2763" s="7">
        <f t="shared" ref="N2763:N2826" si="173">J2763*L2763</f>
        <v>1539</v>
      </c>
      <c r="O2763" s="2">
        <v>30</v>
      </c>
      <c r="P2763" s="8">
        <f t="shared" ref="P2763:P2826" si="174">SUM(N2763,O2763)</f>
        <v>1569</v>
      </c>
      <c r="Q2763" s="8">
        <f t="shared" ref="Q2763:Q2826" si="175">N2763-O2763</f>
        <v>1509</v>
      </c>
      <c r="R2763" s="2" t="s">
        <v>28</v>
      </c>
      <c r="S2763" s="9">
        <f>VLOOKUP(P2763,$T$2:U2760,2,1)</f>
        <v>0.02</v>
      </c>
    </row>
    <row r="2764" spans="1:19" x14ac:dyDescent="0.25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e">
        <f>VLOOKUP(F2764,'Customer Info'!A2756:I3255,2,0)</f>
        <v>#N/A</v>
      </c>
      <c r="H2764" s="6" t="e">
        <f>VLOOKUP(F2764,'Customer Info'!A2756:I3255,3,0)</f>
        <v>#N/A</v>
      </c>
      <c r="I2764" s="6" t="e">
        <f>VLOOKUP(F2764,'Customer Info'!A2756:I3255,5,0)</f>
        <v>#N/A</v>
      </c>
      <c r="J2764" s="2">
        <v>7212</v>
      </c>
      <c r="K2764" s="2">
        <v>6737</v>
      </c>
      <c r="L2764" s="2">
        <v>3</v>
      </c>
      <c r="M2764" s="7">
        <f t="shared" si="172"/>
        <v>20211</v>
      </c>
      <c r="N2764" s="7">
        <f t="shared" si="173"/>
        <v>21636</v>
      </c>
      <c r="O2764" s="2">
        <v>21</v>
      </c>
      <c r="P2764" s="8">
        <f t="shared" si="174"/>
        <v>21657</v>
      </c>
      <c r="Q2764" s="8">
        <f t="shared" si="175"/>
        <v>21615</v>
      </c>
      <c r="R2764" s="2" t="s">
        <v>28</v>
      </c>
      <c r="S2764" s="9">
        <f>VLOOKUP(P2764,$T$2:U2761,2,1)</f>
        <v>0.05</v>
      </c>
    </row>
    <row r="2765" spans="1:19" x14ac:dyDescent="0.25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e">
        <f>VLOOKUP(F2765,'Customer Info'!A2757:I3256,2,0)</f>
        <v>#N/A</v>
      </c>
      <c r="H2765" s="6" t="e">
        <f>VLOOKUP(F2765,'Customer Info'!A2757:I3256,3,0)</f>
        <v>#N/A</v>
      </c>
      <c r="I2765" s="6" t="e">
        <f>VLOOKUP(F2765,'Customer Info'!A2757:I3256,5,0)</f>
        <v>#N/A</v>
      </c>
      <c r="J2765" s="2">
        <v>811</v>
      </c>
      <c r="K2765" s="2">
        <v>780</v>
      </c>
      <c r="L2765" s="2">
        <v>2</v>
      </c>
      <c r="M2765" s="7">
        <f t="shared" si="172"/>
        <v>1560</v>
      </c>
      <c r="N2765" s="7">
        <f t="shared" si="173"/>
        <v>1622</v>
      </c>
      <c r="O2765" s="2">
        <v>99</v>
      </c>
      <c r="P2765" s="8">
        <f t="shared" si="174"/>
        <v>1721</v>
      </c>
      <c r="Q2765" s="8">
        <f t="shared" si="175"/>
        <v>1523</v>
      </c>
      <c r="R2765" s="2" t="s">
        <v>28</v>
      </c>
      <c r="S2765" s="9">
        <f>VLOOKUP(P2765,$T$2:U2762,2,1)</f>
        <v>0.02</v>
      </c>
    </row>
    <row r="2766" spans="1:19" x14ac:dyDescent="0.25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e">
        <f>VLOOKUP(F2766,'Customer Info'!A2758:I3257,2,0)</f>
        <v>#N/A</v>
      </c>
      <c r="H2766" s="6" t="e">
        <f>VLOOKUP(F2766,'Customer Info'!A2758:I3257,3,0)</f>
        <v>#N/A</v>
      </c>
      <c r="I2766" s="6" t="e">
        <f>VLOOKUP(F2766,'Customer Info'!A2758:I3257,5,0)</f>
        <v>#N/A</v>
      </c>
      <c r="J2766" s="2">
        <v>36778</v>
      </c>
      <c r="K2766" s="2">
        <v>34709</v>
      </c>
      <c r="L2766" s="2">
        <v>13</v>
      </c>
      <c r="M2766" s="7">
        <f t="shared" si="172"/>
        <v>451217</v>
      </c>
      <c r="N2766" s="7">
        <f t="shared" si="173"/>
        <v>478114</v>
      </c>
      <c r="O2766" s="2">
        <v>66</v>
      </c>
      <c r="P2766" s="8">
        <f t="shared" si="174"/>
        <v>478180</v>
      </c>
      <c r="Q2766" s="8">
        <f t="shared" si="175"/>
        <v>478048</v>
      </c>
      <c r="R2766" s="2" t="s">
        <v>50</v>
      </c>
      <c r="S2766" s="9">
        <f>VLOOKUP(P2766,$T$2:U2763,2,1)</f>
        <v>0.15</v>
      </c>
    </row>
    <row r="2767" spans="1:19" x14ac:dyDescent="0.25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e">
        <f>VLOOKUP(F2767,'Customer Info'!A2759:I3258,2,0)</f>
        <v>#N/A</v>
      </c>
      <c r="H2767" s="6" t="e">
        <f>VLOOKUP(F2767,'Customer Info'!A2759:I3258,3,0)</f>
        <v>#N/A</v>
      </c>
      <c r="I2767" s="6" t="e">
        <f>VLOOKUP(F2767,'Customer Info'!A2759:I3258,5,0)</f>
        <v>#N/A</v>
      </c>
      <c r="J2767" s="2">
        <v>7922</v>
      </c>
      <c r="K2767" s="2">
        <v>7328</v>
      </c>
      <c r="L2767" s="2">
        <v>2</v>
      </c>
      <c r="M2767" s="7">
        <f t="shared" si="172"/>
        <v>14656</v>
      </c>
      <c r="N2767" s="7">
        <f t="shared" si="173"/>
        <v>15844</v>
      </c>
      <c r="O2767" s="2">
        <v>39</v>
      </c>
      <c r="P2767" s="8">
        <f t="shared" si="174"/>
        <v>15883</v>
      </c>
      <c r="Q2767" s="8">
        <f t="shared" si="175"/>
        <v>15805</v>
      </c>
      <c r="R2767" s="2" t="s">
        <v>28</v>
      </c>
      <c r="S2767" s="9">
        <f>VLOOKUP(P2767,$T$2:U2764,2,1)</f>
        <v>0.05</v>
      </c>
    </row>
    <row r="2768" spans="1:19" x14ac:dyDescent="0.25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e">
        <f>VLOOKUP(F2768,'Customer Info'!A2760:I3259,2,0)</f>
        <v>#N/A</v>
      </c>
      <c r="H2768" s="6" t="e">
        <f>VLOOKUP(F2768,'Customer Info'!A2760:I3259,3,0)</f>
        <v>#N/A</v>
      </c>
      <c r="I2768" s="6" t="e">
        <f>VLOOKUP(F2768,'Customer Info'!A2760:I3259,5,0)</f>
        <v>#N/A</v>
      </c>
      <c r="J2768" s="2">
        <v>7021</v>
      </c>
      <c r="K2768" s="2">
        <v>6686</v>
      </c>
      <c r="L2768" s="2">
        <v>4</v>
      </c>
      <c r="M2768" s="7">
        <f t="shared" si="172"/>
        <v>26744</v>
      </c>
      <c r="N2768" s="7">
        <f t="shared" si="173"/>
        <v>28084</v>
      </c>
      <c r="O2768" s="2">
        <v>27</v>
      </c>
      <c r="P2768" s="8">
        <f t="shared" si="174"/>
        <v>28111</v>
      </c>
      <c r="Q2768" s="8">
        <f t="shared" si="175"/>
        <v>28057</v>
      </c>
      <c r="R2768" s="2" t="s">
        <v>28</v>
      </c>
      <c r="S2768" s="9">
        <f>VLOOKUP(P2768,$T$2:U2765,2,1)</f>
        <v>7.0000000000000007E-2</v>
      </c>
    </row>
    <row r="2769" spans="1:19" x14ac:dyDescent="0.25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e">
        <f>VLOOKUP(F2769,'Customer Info'!A2761:I3260,2,0)</f>
        <v>#N/A</v>
      </c>
      <c r="H2769" s="6" t="e">
        <f>VLOOKUP(F2769,'Customer Info'!A2761:I3260,3,0)</f>
        <v>#N/A</v>
      </c>
      <c r="I2769" s="6" t="e">
        <f>VLOOKUP(F2769,'Customer Info'!A2761:I3260,5,0)</f>
        <v>#N/A</v>
      </c>
      <c r="J2769" s="2">
        <v>2787</v>
      </c>
      <c r="K2769" s="2">
        <v>2681</v>
      </c>
      <c r="L2769" s="2">
        <v>6</v>
      </c>
      <c r="M2769" s="7">
        <f t="shared" si="172"/>
        <v>16086</v>
      </c>
      <c r="N2769" s="7">
        <f t="shared" si="173"/>
        <v>16722</v>
      </c>
      <c r="O2769" s="2">
        <v>60</v>
      </c>
      <c r="P2769" s="8">
        <f t="shared" si="174"/>
        <v>16782</v>
      </c>
      <c r="Q2769" s="8">
        <f t="shared" si="175"/>
        <v>16662</v>
      </c>
      <c r="R2769" s="2" t="s">
        <v>56</v>
      </c>
      <c r="S2769" s="9">
        <f>VLOOKUP(P2769,$T$2:U2766,2,1)</f>
        <v>0.05</v>
      </c>
    </row>
    <row r="2770" spans="1:19" x14ac:dyDescent="0.25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e">
        <f>VLOOKUP(F2770,'Customer Info'!A2762:I3261,2,0)</f>
        <v>#N/A</v>
      </c>
      <c r="H2770" s="6" t="e">
        <f>VLOOKUP(F2770,'Customer Info'!A2762:I3261,3,0)</f>
        <v>#N/A</v>
      </c>
      <c r="I2770" s="6" t="e">
        <f>VLOOKUP(F2770,'Customer Info'!A2762:I3261,5,0)</f>
        <v>#N/A</v>
      </c>
      <c r="J2770" s="2">
        <v>136</v>
      </c>
      <c r="K2770" s="2">
        <v>130</v>
      </c>
      <c r="L2770" s="2">
        <v>1</v>
      </c>
      <c r="M2770" s="7">
        <f t="shared" si="172"/>
        <v>130</v>
      </c>
      <c r="N2770" s="7">
        <f t="shared" si="173"/>
        <v>136</v>
      </c>
      <c r="O2770" s="2">
        <v>30</v>
      </c>
      <c r="P2770" s="8">
        <f t="shared" si="174"/>
        <v>166</v>
      </c>
      <c r="Q2770" s="8">
        <f t="shared" si="175"/>
        <v>106</v>
      </c>
      <c r="R2770" s="2" t="s">
        <v>28</v>
      </c>
      <c r="S2770" s="9">
        <f>VLOOKUP(P2770,$T$2:U2767,2,1)</f>
        <v>0.02</v>
      </c>
    </row>
    <row r="2771" spans="1:19" x14ac:dyDescent="0.25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e">
        <f>VLOOKUP(F2771,'Customer Info'!A2763:I3262,2,0)</f>
        <v>#N/A</v>
      </c>
      <c r="H2771" s="6" t="e">
        <f>VLOOKUP(F2771,'Customer Info'!A2763:I3262,3,0)</f>
        <v>#N/A</v>
      </c>
      <c r="I2771" s="6" t="e">
        <f>VLOOKUP(F2771,'Customer Info'!A2763:I3262,5,0)</f>
        <v>#N/A</v>
      </c>
      <c r="J2771" s="2">
        <v>6717</v>
      </c>
      <c r="K2771" s="2">
        <v>6288</v>
      </c>
      <c r="L2771" s="2">
        <v>3</v>
      </c>
      <c r="M2771" s="7">
        <f t="shared" si="172"/>
        <v>18864</v>
      </c>
      <c r="N2771" s="7">
        <f t="shared" si="173"/>
        <v>20151</v>
      </c>
      <c r="O2771" s="2">
        <v>29</v>
      </c>
      <c r="P2771" s="8">
        <f t="shared" si="174"/>
        <v>20180</v>
      </c>
      <c r="Q2771" s="8">
        <f t="shared" si="175"/>
        <v>20122</v>
      </c>
      <c r="R2771" s="2" t="s">
        <v>28</v>
      </c>
      <c r="S2771" s="9">
        <f>VLOOKUP(P2771,$T$2:U2768,2,1)</f>
        <v>0.05</v>
      </c>
    </row>
    <row r="2772" spans="1:19" x14ac:dyDescent="0.25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e">
        <f>VLOOKUP(F2772,'Customer Info'!A2764:I3263,2,0)</f>
        <v>#N/A</v>
      </c>
      <c r="H2772" s="6" t="e">
        <f>VLOOKUP(F2772,'Customer Info'!A2764:I3263,3,0)</f>
        <v>#N/A</v>
      </c>
      <c r="I2772" s="6" t="e">
        <f>VLOOKUP(F2772,'Customer Info'!A2764:I3263,5,0)</f>
        <v>#N/A</v>
      </c>
      <c r="J2772" s="2">
        <v>1601</v>
      </c>
      <c r="K2772" s="2">
        <v>1510</v>
      </c>
      <c r="L2772" s="2">
        <v>4</v>
      </c>
      <c r="M2772" s="7">
        <f t="shared" si="172"/>
        <v>6040</v>
      </c>
      <c r="N2772" s="7">
        <f t="shared" si="173"/>
        <v>6404</v>
      </c>
      <c r="O2772" s="2">
        <v>67</v>
      </c>
      <c r="P2772" s="8">
        <f t="shared" si="174"/>
        <v>6471</v>
      </c>
      <c r="Q2772" s="8">
        <f t="shared" si="175"/>
        <v>6337</v>
      </c>
      <c r="R2772" s="2" t="s">
        <v>28</v>
      </c>
      <c r="S2772" s="9">
        <f>VLOOKUP(P2772,$T$2:U2769,2,1)</f>
        <v>0.05</v>
      </c>
    </row>
    <row r="2773" spans="1:19" x14ac:dyDescent="0.25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e">
        <f>VLOOKUP(F2773,'Customer Info'!A2765:I3264,2,0)</f>
        <v>#N/A</v>
      </c>
      <c r="H2773" s="6" t="e">
        <f>VLOOKUP(F2773,'Customer Info'!A2765:I3264,3,0)</f>
        <v>#N/A</v>
      </c>
      <c r="I2773" s="6" t="e">
        <f>VLOOKUP(F2773,'Customer Info'!A2765:I3264,5,0)</f>
        <v>#N/A</v>
      </c>
      <c r="J2773" s="2">
        <v>101</v>
      </c>
      <c r="K2773" s="2">
        <v>98</v>
      </c>
      <c r="L2773" s="2">
        <v>6</v>
      </c>
      <c r="M2773" s="7">
        <f t="shared" si="172"/>
        <v>588</v>
      </c>
      <c r="N2773" s="7">
        <f t="shared" si="173"/>
        <v>606</v>
      </c>
      <c r="O2773" s="2">
        <v>10</v>
      </c>
      <c r="P2773" s="8">
        <f t="shared" si="174"/>
        <v>616</v>
      </c>
      <c r="Q2773" s="8">
        <f t="shared" si="175"/>
        <v>596</v>
      </c>
      <c r="R2773" s="2" t="s">
        <v>28</v>
      </c>
      <c r="S2773" s="9">
        <f>VLOOKUP(P2773,$T$2:U2770,2,1)</f>
        <v>0.02</v>
      </c>
    </row>
    <row r="2774" spans="1:19" x14ac:dyDescent="0.25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e">
        <f>VLOOKUP(F2774,'Customer Info'!A2766:I3265,2,0)</f>
        <v>#N/A</v>
      </c>
      <c r="H2774" s="6" t="e">
        <f>VLOOKUP(F2774,'Customer Info'!A2766:I3265,3,0)</f>
        <v>#N/A</v>
      </c>
      <c r="I2774" s="6" t="e">
        <f>VLOOKUP(F2774,'Customer Info'!A2766:I3265,5,0)</f>
        <v>#N/A</v>
      </c>
      <c r="J2774" s="2">
        <v>170</v>
      </c>
      <c r="K2774" s="2">
        <v>160</v>
      </c>
      <c r="L2774" s="2">
        <v>8</v>
      </c>
      <c r="M2774" s="7">
        <f t="shared" si="172"/>
        <v>1280</v>
      </c>
      <c r="N2774" s="7">
        <f t="shared" si="173"/>
        <v>1360</v>
      </c>
      <c r="O2774" s="2">
        <v>30</v>
      </c>
      <c r="P2774" s="8">
        <f t="shared" si="174"/>
        <v>1390</v>
      </c>
      <c r="Q2774" s="8">
        <f t="shared" si="175"/>
        <v>1330</v>
      </c>
      <c r="R2774" s="2" t="s">
        <v>28</v>
      </c>
      <c r="S2774" s="9">
        <f>VLOOKUP(P2774,$T$2:U2771,2,1)</f>
        <v>0.02</v>
      </c>
    </row>
    <row r="2775" spans="1:19" x14ac:dyDescent="0.25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e">
        <f>VLOOKUP(F2775,'Customer Info'!A2767:I3266,2,0)</f>
        <v>#N/A</v>
      </c>
      <c r="H2775" s="6" t="e">
        <f>VLOOKUP(F2775,'Customer Info'!A2767:I3266,3,0)</f>
        <v>#N/A</v>
      </c>
      <c r="I2775" s="6" t="e">
        <f>VLOOKUP(F2775,'Customer Info'!A2767:I3266,5,0)</f>
        <v>#N/A</v>
      </c>
      <c r="J2775" s="2">
        <v>8738</v>
      </c>
      <c r="K2775" s="2">
        <v>8162</v>
      </c>
      <c r="L2775" s="2">
        <v>2</v>
      </c>
      <c r="M2775" s="7">
        <f t="shared" si="172"/>
        <v>16324</v>
      </c>
      <c r="N2775" s="7">
        <f t="shared" si="173"/>
        <v>17476</v>
      </c>
      <c r="O2775" s="2">
        <v>64</v>
      </c>
      <c r="P2775" s="8">
        <f t="shared" si="174"/>
        <v>17540</v>
      </c>
      <c r="Q2775" s="8">
        <f t="shared" si="175"/>
        <v>17412</v>
      </c>
      <c r="R2775" s="2" t="s">
        <v>28</v>
      </c>
      <c r="S2775" s="9">
        <f>VLOOKUP(P2775,$T$2:U2772,2,1)</f>
        <v>0.05</v>
      </c>
    </row>
    <row r="2776" spans="1:19" x14ac:dyDescent="0.25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e">
        <f>VLOOKUP(F2776,'Customer Info'!A2768:I3267,2,0)</f>
        <v>#N/A</v>
      </c>
      <c r="H2776" s="6" t="e">
        <f>VLOOKUP(F2776,'Customer Info'!A2768:I3267,3,0)</f>
        <v>#N/A</v>
      </c>
      <c r="I2776" s="6" t="e">
        <f>VLOOKUP(F2776,'Customer Info'!A2768:I3267,5,0)</f>
        <v>#N/A</v>
      </c>
      <c r="J2776" s="2">
        <v>8686</v>
      </c>
      <c r="K2776" s="2">
        <v>8035</v>
      </c>
      <c r="L2776" s="2">
        <v>7</v>
      </c>
      <c r="M2776" s="7">
        <f t="shared" si="172"/>
        <v>56245</v>
      </c>
      <c r="N2776" s="7">
        <f t="shared" si="173"/>
        <v>60802</v>
      </c>
      <c r="O2776" s="2">
        <v>31</v>
      </c>
      <c r="P2776" s="8">
        <f t="shared" si="174"/>
        <v>60833</v>
      </c>
      <c r="Q2776" s="8">
        <f t="shared" si="175"/>
        <v>60771</v>
      </c>
      <c r="R2776" s="2" t="s">
        <v>50</v>
      </c>
      <c r="S2776" s="9">
        <f>VLOOKUP(P2776,$T$2:U2773,2,1)</f>
        <v>0.09</v>
      </c>
    </row>
    <row r="2777" spans="1:19" x14ac:dyDescent="0.25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e">
        <f>VLOOKUP(F2777,'Customer Info'!A2769:I3268,2,0)</f>
        <v>#N/A</v>
      </c>
      <c r="H2777" s="6" t="e">
        <f>VLOOKUP(F2777,'Customer Info'!A2769:I3268,3,0)</f>
        <v>#N/A</v>
      </c>
      <c r="I2777" s="6" t="e">
        <f>VLOOKUP(F2777,'Customer Info'!A2769:I3268,5,0)</f>
        <v>#N/A</v>
      </c>
      <c r="J2777" s="2">
        <v>8199</v>
      </c>
      <c r="K2777" s="2">
        <v>7523</v>
      </c>
      <c r="L2777" s="2">
        <v>3</v>
      </c>
      <c r="M2777" s="7">
        <f t="shared" si="172"/>
        <v>22569</v>
      </c>
      <c r="N2777" s="7">
        <f t="shared" si="173"/>
        <v>24597</v>
      </c>
      <c r="O2777" s="2">
        <v>21</v>
      </c>
      <c r="P2777" s="8">
        <f t="shared" si="174"/>
        <v>24618</v>
      </c>
      <c r="Q2777" s="8">
        <f t="shared" si="175"/>
        <v>24576</v>
      </c>
      <c r="R2777" s="2" t="s">
        <v>28</v>
      </c>
      <c r="S2777" s="9">
        <f>VLOOKUP(P2777,$T$2:U2774,2,1)</f>
        <v>0.05</v>
      </c>
    </row>
    <row r="2778" spans="1:19" x14ac:dyDescent="0.25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e">
        <f>VLOOKUP(F2778,'Customer Info'!A2770:I3269,2,0)</f>
        <v>#N/A</v>
      </c>
      <c r="H2778" s="6" t="e">
        <f>VLOOKUP(F2778,'Customer Info'!A2770:I3269,3,0)</f>
        <v>#N/A</v>
      </c>
      <c r="I2778" s="6" t="e">
        <f>VLOOKUP(F2778,'Customer Info'!A2770:I3269,5,0)</f>
        <v>#N/A</v>
      </c>
      <c r="J2778" s="2">
        <v>681</v>
      </c>
      <c r="K2778" s="2">
        <v>642</v>
      </c>
      <c r="L2778" s="2">
        <v>1</v>
      </c>
      <c r="M2778" s="7">
        <f t="shared" si="172"/>
        <v>642</v>
      </c>
      <c r="N2778" s="7">
        <f t="shared" si="173"/>
        <v>681</v>
      </c>
      <c r="O2778" s="2">
        <v>38</v>
      </c>
      <c r="P2778" s="8">
        <f t="shared" si="174"/>
        <v>719</v>
      </c>
      <c r="Q2778" s="8">
        <f t="shared" si="175"/>
        <v>643</v>
      </c>
      <c r="R2778" s="2" t="s">
        <v>28</v>
      </c>
      <c r="S2778" s="9">
        <f>VLOOKUP(P2778,$T$2:U2775,2,1)</f>
        <v>0.02</v>
      </c>
    </row>
    <row r="2779" spans="1:19" x14ac:dyDescent="0.25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e">
        <f>VLOOKUP(F2779,'Customer Info'!A2771:I3270,2,0)</f>
        <v>#N/A</v>
      </c>
      <c r="H2779" s="6" t="e">
        <f>VLOOKUP(F2779,'Customer Info'!A2771:I3270,3,0)</f>
        <v>#N/A</v>
      </c>
      <c r="I2779" s="6" t="e">
        <f>VLOOKUP(F2779,'Customer Info'!A2771:I3270,5,0)</f>
        <v>#N/A</v>
      </c>
      <c r="J2779" s="2">
        <v>1332</v>
      </c>
      <c r="K2779" s="2">
        <v>1209</v>
      </c>
      <c r="L2779" s="2">
        <v>3</v>
      </c>
      <c r="M2779" s="7">
        <f t="shared" si="172"/>
        <v>3627</v>
      </c>
      <c r="N2779" s="7">
        <f t="shared" si="173"/>
        <v>3996</v>
      </c>
      <c r="O2779" s="2">
        <v>84</v>
      </c>
      <c r="P2779" s="8">
        <f t="shared" si="174"/>
        <v>4080</v>
      </c>
      <c r="Q2779" s="8">
        <f t="shared" si="175"/>
        <v>3912</v>
      </c>
      <c r="R2779" s="2" t="s">
        <v>50</v>
      </c>
      <c r="S2779" s="9">
        <f>VLOOKUP(P2779,$T$2:U2776,2,1)</f>
        <v>0.02</v>
      </c>
    </row>
    <row r="2780" spans="1:19" x14ac:dyDescent="0.25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e">
        <f>VLOOKUP(F2780,'Customer Info'!A2772:I3271,2,0)</f>
        <v>#N/A</v>
      </c>
      <c r="H2780" s="6" t="e">
        <f>VLOOKUP(F2780,'Customer Info'!A2772:I3271,3,0)</f>
        <v>#N/A</v>
      </c>
      <c r="I2780" s="6" t="e">
        <f>VLOOKUP(F2780,'Customer Info'!A2772:I3271,5,0)</f>
        <v>#N/A</v>
      </c>
      <c r="J2780" s="2">
        <v>2965</v>
      </c>
      <c r="K2780" s="2">
        <v>2694</v>
      </c>
      <c r="L2780" s="2">
        <v>1</v>
      </c>
      <c r="M2780" s="7">
        <f t="shared" si="172"/>
        <v>2694</v>
      </c>
      <c r="N2780" s="7">
        <f t="shared" si="173"/>
        <v>2965</v>
      </c>
      <c r="O2780" s="2">
        <v>46</v>
      </c>
      <c r="P2780" s="8">
        <f t="shared" si="174"/>
        <v>3011</v>
      </c>
      <c r="Q2780" s="8">
        <f t="shared" si="175"/>
        <v>2919</v>
      </c>
      <c r="R2780" s="2" t="s">
        <v>28</v>
      </c>
      <c r="S2780" s="9">
        <f>VLOOKUP(P2780,$T$2:U2777,2,1)</f>
        <v>0.02</v>
      </c>
    </row>
    <row r="2781" spans="1:19" x14ac:dyDescent="0.25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e">
        <f>VLOOKUP(F2781,'Customer Info'!A2773:I3272,2,0)</f>
        <v>#N/A</v>
      </c>
      <c r="H2781" s="6" t="e">
        <f>VLOOKUP(F2781,'Customer Info'!A2773:I3272,3,0)</f>
        <v>#N/A</v>
      </c>
      <c r="I2781" s="6" t="e">
        <f>VLOOKUP(F2781,'Customer Info'!A2773:I3272,5,0)</f>
        <v>#N/A</v>
      </c>
      <c r="J2781" s="2">
        <v>8202</v>
      </c>
      <c r="K2781" s="2">
        <v>7594</v>
      </c>
      <c r="L2781" s="2">
        <v>2</v>
      </c>
      <c r="M2781" s="7">
        <f t="shared" si="172"/>
        <v>15188</v>
      </c>
      <c r="N2781" s="7">
        <f t="shared" si="173"/>
        <v>16404</v>
      </c>
      <c r="O2781" s="2">
        <v>56</v>
      </c>
      <c r="P2781" s="8">
        <f t="shared" si="174"/>
        <v>16460</v>
      </c>
      <c r="Q2781" s="8">
        <f t="shared" si="175"/>
        <v>16348</v>
      </c>
      <c r="R2781" s="2" t="s">
        <v>28</v>
      </c>
      <c r="S2781" s="9">
        <f>VLOOKUP(P2781,$T$2:U2778,2,1)</f>
        <v>0.05</v>
      </c>
    </row>
    <row r="2782" spans="1:19" x14ac:dyDescent="0.25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e">
        <f>VLOOKUP(F2782,'Customer Info'!A2774:I3273,2,0)</f>
        <v>#N/A</v>
      </c>
      <c r="H2782" s="6" t="e">
        <f>VLOOKUP(F2782,'Customer Info'!A2774:I3273,3,0)</f>
        <v>#N/A</v>
      </c>
      <c r="I2782" s="6" t="e">
        <f>VLOOKUP(F2782,'Customer Info'!A2774:I3273,5,0)</f>
        <v>#N/A</v>
      </c>
      <c r="J2782" s="2">
        <v>175</v>
      </c>
      <c r="K2782" s="2">
        <v>158</v>
      </c>
      <c r="L2782" s="2">
        <v>8</v>
      </c>
      <c r="M2782" s="7">
        <f t="shared" si="172"/>
        <v>1264</v>
      </c>
      <c r="N2782" s="7">
        <f t="shared" si="173"/>
        <v>1400</v>
      </c>
      <c r="O2782" s="2">
        <v>30</v>
      </c>
      <c r="P2782" s="8">
        <f t="shared" si="174"/>
        <v>1430</v>
      </c>
      <c r="Q2782" s="8">
        <f t="shared" si="175"/>
        <v>1370</v>
      </c>
      <c r="R2782" s="2" t="s">
        <v>56</v>
      </c>
      <c r="S2782" s="9">
        <f>VLOOKUP(P2782,$T$2:U2779,2,1)</f>
        <v>0.02</v>
      </c>
    </row>
    <row r="2783" spans="1:19" x14ac:dyDescent="0.25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e">
        <f>VLOOKUP(F2783,'Customer Info'!A2775:I3274,2,0)</f>
        <v>#N/A</v>
      </c>
      <c r="H2783" s="6" t="e">
        <f>VLOOKUP(F2783,'Customer Info'!A2775:I3274,3,0)</f>
        <v>#N/A</v>
      </c>
      <c r="I2783" s="6" t="e">
        <f>VLOOKUP(F2783,'Customer Info'!A2775:I3274,5,0)</f>
        <v>#N/A</v>
      </c>
      <c r="J2783" s="2">
        <v>8199</v>
      </c>
      <c r="K2783" s="2">
        <v>7523</v>
      </c>
      <c r="L2783" s="2">
        <v>1</v>
      </c>
      <c r="M2783" s="7">
        <f t="shared" si="172"/>
        <v>7523</v>
      </c>
      <c r="N2783" s="7">
        <f t="shared" si="173"/>
        <v>8199</v>
      </c>
      <c r="O2783" s="2">
        <v>60</v>
      </c>
      <c r="P2783" s="8">
        <f t="shared" si="174"/>
        <v>8259</v>
      </c>
      <c r="Q2783" s="8">
        <f t="shared" si="175"/>
        <v>8139</v>
      </c>
      <c r="R2783" s="2" t="s">
        <v>50</v>
      </c>
      <c r="S2783" s="9">
        <f>VLOOKUP(P2783,$T$2:U2780,2,1)</f>
        <v>0.05</v>
      </c>
    </row>
    <row r="2784" spans="1:19" x14ac:dyDescent="0.25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e">
        <f>VLOOKUP(F2784,'Customer Info'!A2776:I3275,2,0)</f>
        <v>#N/A</v>
      </c>
      <c r="H2784" s="6" t="e">
        <f>VLOOKUP(F2784,'Customer Info'!A2776:I3275,3,0)</f>
        <v>#N/A</v>
      </c>
      <c r="I2784" s="6" t="e">
        <f>VLOOKUP(F2784,'Customer Info'!A2776:I3275,5,0)</f>
        <v>#N/A</v>
      </c>
      <c r="J2784" s="2">
        <v>887</v>
      </c>
      <c r="K2784" s="2">
        <v>814</v>
      </c>
      <c r="L2784" s="2">
        <v>6</v>
      </c>
      <c r="M2784" s="7">
        <f t="shared" si="172"/>
        <v>4884</v>
      </c>
      <c r="N2784" s="7">
        <f t="shared" si="173"/>
        <v>5322</v>
      </c>
      <c r="O2784" s="2">
        <v>64</v>
      </c>
      <c r="P2784" s="8">
        <f t="shared" si="174"/>
        <v>5386</v>
      </c>
      <c r="Q2784" s="8">
        <f t="shared" si="175"/>
        <v>5258</v>
      </c>
      <c r="R2784" s="2" t="s">
        <v>50</v>
      </c>
      <c r="S2784" s="9">
        <f>VLOOKUP(P2784,$T$2:U2781,2,1)</f>
        <v>0.05</v>
      </c>
    </row>
    <row r="2785" spans="1:19" x14ac:dyDescent="0.25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e">
        <f>VLOOKUP(F2785,'Customer Info'!A2777:I3276,2,0)</f>
        <v>#N/A</v>
      </c>
      <c r="H2785" s="6" t="e">
        <f>VLOOKUP(F2785,'Customer Info'!A2777:I3276,3,0)</f>
        <v>#N/A</v>
      </c>
      <c r="I2785" s="6" t="e">
        <f>VLOOKUP(F2785,'Customer Info'!A2777:I3276,5,0)</f>
        <v>#N/A</v>
      </c>
      <c r="J2785" s="2">
        <v>2453</v>
      </c>
      <c r="K2785" s="2">
        <v>2336</v>
      </c>
      <c r="L2785" s="2">
        <v>3</v>
      </c>
      <c r="M2785" s="7">
        <f t="shared" si="172"/>
        <v>7008</v>
      </c>
      <c r="N2785" s="7">
        <f t="shared" si="173"/>
        <v>7359</v>
      </c>
      <c r="O2785" s="2">
        <v>52</v>
      </c>
      <c r="P2785" s="8">
        <f t="shared" si="174"/>
        <v>7411</v>
      </c>
      <c r="Q2785" s="8">
        <f t="shared" si="175"/>
        <v>7307</v>
      </c>
      <c r="R2785" s="2" t="s">
        <v>28</v>
      </c>
      <c r="S2785" s="9">
        <f>VLOOKUP(P2785,$T$2:U2782,2,1)</f>
        <v>0.05</v>
      </c>
    </row>
    <row r="2786" spans="1:19" x14ac:dyDescent="0.25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e">
        <f>VLOOKUP(F2786,'Customer Info'!A2778:I3277,2,0)</f>
        <v>#N/A</v>
      </c>
      <c r="H2786" s="6" t="e">
        <f>VLOOKUP(F2786,'Customer Info'!A2778:I3277,3,0)</f>
        <v>#N/A</v>
      </c>
      <c r="I2786" s="6" t="e">
        <f>VLOOKUP(F2786,'Customer Info'!A2778:I3277,5,0)</f>
        <v>#N/A</v>
      </c>
      <c r="J2786" s="2">
        <v>214</v>
      </c>
      <c r="K2786" s="2">
        <v>200</v>
      </c>
      <c r="L2786" s="2">
        <v>1</v>
      </c>
      <c r="M2786" s="7">
        <f t="shared" si="172"/>
        <v>200</v>
      </c>
      <c r="N2786" s="7">
        <f t="shared" si="173"/>
        <v>214</v>
      </c>
      <c r="O2786" s="2">
        <v>30</v>
      </c>
      <c r="P2786" s="8">
        <f t="shared" si="174"/>
        <v>244</v>
      </c>
      <c r="Q2786" s="8">
        <f t="shared" si="175"/>
        <v>184</v>
      </c>
      <c r="R2786" s="2" t="s">
        <v>50</v>
      </c>
      <c r="S2786" s="9">
        <f>VLOOKUP(P2786,$T$2:U2783,2,1)</f>
        <v>0.02</v>
      </c>
    </row>
    <row r="2787" spans="1:19" x14ac:dyDescent="0.25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e">
        <f>VLOOKUP(F2787,'Customer Info'!A2779:I3278,2,0)</f>
        <v>#N/A</v>
      </c>
      <c r="H2787" s="6" t="e">
        <f>VLOOKUP(F2787,'Customer Info'!A2779:I3278,3,0)</f>
        <v>#N/A</v>
      </c>
      <c r="I2787" s="6" t="e">
        <f>VLOOKUP(F2787,'Customer Info'!A2779:I3278,5,0)</f>
        <v>#N/A</v>
      </c>
      <c r="J2787" s="2">
        <v>8281</v>
      </c>
      <c r="K2787" s="2">
        <v>7673</v>
      </c>
      <c r="L2787" s="2">
        <v>1</v>
      </c>
      <c r="M2787" s="7">
        <f t="shared" si="172"/>
        <v>7673</v>
      </c>
      <c r="N2787" s="7">
        <f t="shared" si="173"/>
        <v>8281</v>
      </c>
      <c r="O2787" s="2">
        <v>75</v>
      </c>
      <c r="P2787" s="8">
        <f t="shared" si="174"/>
        <v>8356</v>
      </c>
      <c r="Q2787" s="8">
        <f t="shared" si="175"/>
        <v>8206</v>
      </c>
      <c r="R2787" s="2" t="s">
        <v>50</v>
      </c>
      <c r="S2787" s="9">
        <f>VLOOKUP(P2787,$T$2:U2784,2,1)</f>
        <v>0.05</v>
      </c>
    </row>
    <row r="2788" spans="1:19" x14ac:dyDescent="0.25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e">
        <f>VLOOKUP(F2788,'Customer Info'!A2780:I3279,2,0)</f>
        <v>#N/A</v>
      </c>
      <c r="H2788" s="6" t="e">
        <f>VLOOKUP(F2788,'Customer Info'!A2780:I3279,3,0)</f>
        <v>#N/A</v>
      </c>
      <c r="I2788" s="6" t="e">
        <f>VLOOKUP(F2788,'Customer Info'!A2780:I3279,5,0)</f>
        <v>#N/A</v>
      </c>
      <c r="J2788" s="2">
        <v>1364</v>
      </c>
      <c r="K2788" s="2">
        <v>1274</v>
      </c>
      <c r="L2788" s="2">
        <v>3</v>
      </c>
      <c r="M2788" s="7">
        <f t="shared" si="172"/>
        <v>3822</v>
      </c>
      <c r="N2788" s="7">
        <f t="shared" si="173"/>
        <v>4092</v>
      </c>
      <c r="O2788" s="2">
        <v>94</v>
      </c>
      <c r="P2788" s="8">
        <f t="shared" si="174"/>
        <v>4186</v>
      </c>
      <c r="Q2788" s="8">
        <f t="shared" si="175"/>
        <v>3998</v>
      </c>
      <c r="R2788" s="2" t="s">
        <v>50</v>
      </c>
      <c r="S2788" s="9">
        <f>VLOOKUP(P2788,$T$2:U2785,2,1)</f>
        <v>0.02</v>
      </c>
    </row>
    <row r="2789" spans="1:19" x14ac:dyDescent="0.25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e">
        <f>VLOOKUP(F2789,'Customer Info'!A2781:I3280,2,0)</f>
        <v>#N/A</v>
      </c>
      <c r="H2789" s="6" t="e">
        <f>VLOOKUP(F2789,'Customer Info'!A2781:I3280,3,0)</f>
        <v>#N/A</v>
      </c>
      <c r="I2789" s="6" t="e">
        <f>VLOOKUP(F2789,'Customer Info'!A2781:I3280,5,0)</f>
        <v>#N/A</v>
      </c>
      <c r="J2789" s="2">
        <v>793</v>
      </c>
      <c r="K2789" s="2">
        <v>755</v>
      </c>
      <c r="L2789" s="2">
        <v>4</v>
      </c>
      <c r="M2789" s="7">
        <f t="shared" si="172"/>
        <v>3020</v>
      </c>
      <c r="N2789" s="7">
        <f t="shared" si="173"/>
        <v>3172</v>
      </c>
      <c r="O2789" s="2">
        <v>86</v>
      </c>
      <c r="P2789" s="8">
        <f t="shared" si="174"/>
        <v>3258</v>
      </c>
      <c r="Q2789" s="8">
        <f t="shared" si="175"/>
        <v>3086</v>
      </c>
      <c r="R2789" s="2" t="s">
        <v>28</v>
      </c>
      <c r="S2789" s="9">
        <f>VLOOKUP(P2789,$T$2:U2786,2,1)</f>
        <v>0.02</v>
      </c>
    </row>
    <row r="2790" spans="1:19" x14ac:dyDescent="0.25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e">
        <f>VLOOKUP(F2790,'Customer Info'!A2782:I3281,2,0)</f>
        <v>#N/A</v>
      </c>
      <c r="H2790" s="6" t="e">
        <f>VLOOKUP(F2790,'Customer Info'!A2782:I3281,3,0)</f>
        <v>#N/A</v>
      </c>
      <c r="I2790" s="6" t="e">
        <f>VLOOKUP(F2790,'Customer Info'!A2782:I3281,5,0)</f>
        <v>#N/A</v>
      </c>
      <c r="J2790" s="2">
        <v>8889</v>
      </c>
      <c r="K2790" s="2">
        <v>8469</v>
      </c>
      <c r="L2790" s="2">
        <v>2</v>
      </c>
      <c r="M2790" s="7">
        <f t="shared" si="172"/>
        <v>16938</v>
      </c>
      <c r="N2790" s="7">
        <f t="shared" si="173"/>
        <v>17778</v>
      </c>
      <c r="O2790" s="2">
        <v>52</v>
      </c>
      <c r="P2790" s="8">
        <f t="shared" si="174"/>
        <v>17830</v>
      </c>
      <c r="Q2790" s="8">
        <f t="shared" si="175"/>
        <v>17726</v>
      </c>
      <c r="R2790" s="2" t="s">
        <v>28</v>
      </c>
      <c r="S2790" s="9">
        <f>VLOOKUP(P2790,$T$2:U2787,2,1)</f>
        <v>0.05</v>
      </c>
    </row>
    <row r="2791" spans="1:19" x14ac:dyDescent="0.25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e">
        <f>VLOOKUP(F2791,'Customer Info'!A2783:I3282,2,0)</f>
        <v>#N/A</v>
      </c>
      <c r="H2791" s="6" t="e">
        <f>VLOOKUP(F2791,'Customer Info'!A2783:I3282,3,0)</f>
        <v>#N/A</v>
      </c>
      <c r="I2791" s="6" t="e">
        <f>VLOOKUP(F2791,'Customer Info'!A2783:I3282,5,0)</f>
        <v>#N/A</v>
      </c>
      <c r="J2791" s="2">
        <v>691</v>
      </c>
      <c r="K2791" s="2">
        <v>627</v>
      </c>
      <c r="L2791" s="2">
        <v>5</v>
      </c>
      <c r="M2791" s="7">
        <f t="shared" si="172"/>
        <v>3135</v>
      </c>
      <c r="N2791" s="7">
        <f t="shared" si="173"/>
        <v>3455</v>
      </c>
      <c r="O2791" s="2">
        <v>31</v>
      </c>
      <c r="P2791" s="8">
        <f t="shared" si="174"/>
        <v>3486</v>
      </c>
      <c r="Q2791" s="8">
        <f t="shared" si="175"/>
        <v>3424</v>
      </c>
      <c r="R2791" s="2" t="s">
        <v>28</v>
      </c>
      <c r="S2791" s="9">
        <f>VLOOKUP(P2791,$T$2:U2788,2,1)</f>
        <v>0.02</v>
      </c>
    </row>
    <row r="2792" spans="1:19" x14ac:dyDescent="0.25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e">
        <f>VLOOKUP(F2792,'Customer Info'!A2784:I3283,2,0)</f>
        <v>#N/A</v>
      </c>
      <c r="H2792" s="6" t="e">
        <f>VLOOKUP(F2792,'Customer Info'!A2784:I3283,3,0)</f>
        <v>#N/A</v>
      </c>
      <c r="I2792" s="6" t="e">
        <f>VLOOKUP(F2792,'Customer Info'!A2784:I3283,5,0)</f>
        <v>#N/A</v>
      </c>
      <c r="J2792" s="2">
        <v>61</v>
      </c>
      <c r="K2792" s="2">
        <v>57</v>
      </c>
      <c r="L2792" s="2">
        <v>2</v>
      </c>
      <c r="M2792" s="7">
        <f t="shared" si="172"/>
        <v>114</v>
      </c>
      <c r="N2792" s="7">
        <f t="shared" si="173"/>
        <v>122</v>
      </c>
      <c r="O2792" s="2">
        <v>10</v>
      </c>
      <c r="P2792" s="8">
        <f t="shared" si="174"/>
        <v>132</v>
      </c>
      <c r="Q2792" s="8">
        <f t="shared" si="175"/>
        <v>112</v>
      </c>
      <c r="R2792" s="2" t="s">
        <v>28</v>
      </c>
      <c r="S2792" s="9">
        <f>VLOOKUP(P2792,$T$2:U2789,2,1)</f>
        <v>0.02</v>
      </c>
    </row>
    <row r="2793" spans="1:19" x14ac:dyDescent="0.25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e">
        <f>VLOOKUP(F2793,'Customer Info'!A2785:I3284,2,0)</f>
        <v>#N/A</v>
      </c>
      <c r="H2793" s="6" t="e">
        <f>VLOOKUP(F2793,'Customer Info'!A2785:I3284,3,0)</f>
        <v>#N/A</v>
      </c>
      <c r="I2793" s="6" t="e">
        <f>VLOOKUP(F2793,'Customer Info'!A2785:I3284,5,0)</f>
        <v>#N/A</v>
      </c>
      <c r="J2793" s="2">
        <v>4761</v>
      </c>
      <c r="K2793" s="2">
        <v>4368</v>
      </c>
      <c r="L2793" s="2">
        <v>2</v>
      </c>
      <c r="M2793" s="7">
        <f t="shared" si="172"/>
        <v>8736</v>
      </c>
      <c r="N2793" s="7">
        <f t="shared" si="173"/>
        <v>9522</v>
      </c>
      <c r="O2793" s="2">
        <v>39</v>
      </c>
      <c r="P2793" s="8">
        <f t="shared" si="174"/>
        <v>9561</v>
      </c>
      <c r="Q2793" s="8">
        <f t="shared" si="175"/>
        <v>9483</v>
      </c>
      <c r="R2793" s="2" t="s">
        <v>26</v>
      </c>
      <c r="S2793" s="9">
        <f>VLOOKUP(P2793,$T$2:U2790,2,1)</f>
        <v>0.05</v>
      </c>
    </row>
    <row r="2794" spans="1:19" x14ac:dyDescent="0.25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e">
        <f>VLOOKUP(F2794,'Customer Info'!A2786:I3285,2,0)</f>
        <v>#N/A</v>
      </c>
      <c r="H2794" s="6" t="e">
        <f>VLOOKUP(F2794,'Customer Info'!A2786:I3285,3,0)</f>
        <v>#N/A</v>
      </c>
      <c r="I2794" s="6" t="e">
        <f>VLOOKUP(F2794,'Customer Info'!A2786:I3285,5,0)</f>
        <v>#N/A</v>
      </c>
      <c r="J2794" s="2">
        <v>1700</v>
      </c>
      <c r="K2794" s="2">
        <v>1620</v>
      </c>
      <c r="L2794" s="2">
        <v>4</v>
      </c>
      <c r="M2794" s="7">
        <f t="shared" si="172"/>
        <v>6480</v>
      </c>
      <c r="N2794" s="7">
        <f t="shared" si="173"/>
        <v>6800</v>
      </c>
      <c r="O2794" s="2">
        <v>95</v>
      </c>
      <c r="P2794" s="8">
        <f t="shared" si="174"/>
        <v>6895</v>
      </c>
      <c r="Q2794" s="8">
        <f t="shared" si="175"/>
        <v>6705</v>
      </c>
      <c r="R2794" s="2" t="s">
        <v>26</v>
      </c>
      <c r="S2794" s="9">
        <f>VLOOKUP(P2794,$T$2:U2791,2,1)</f>
        <v>0.05</v>
      </c>
    </row>
    <row r="2795" spans="1:19" x14ac:dyDescent="0.25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e">
        <f>VLOOKUP(F2795,'Customer Info'!A2787:I3286,2,0)</f>
        <v>#N/A</v>
      </c>
      <c r="H2795" s="6" t="e">
        <f>VLOOKUP(F2795,'Customer Info'!A2787:I3286,3,0)</f>
        <v>#N/A</v>
      </c>
      <c r="I2795" s="6" t="e">
        <f>VLOOKUP(F2795,'Customer Info'!A2787:I3286,5,0)</f>
        <v>#N/A</v>
      </c>
      <c r="J2795" s="2">
        <v>2857</v>
      </c>
      <c r="K2795" s="2">
        <v>2622</v>
      </c>
      <c r="L2795" s="2">
        <v>1</v>
      </c>
      <c r="M2795" s="7">
        <f t="shared" si="172"/>
        <v>2622</v>
      </c>
      <c r="N2795" s="7">
        <f t="shared" si="173"/>
        <v>2857</v>
      </c>
      <c r="O2795" s="2">
        <v>68</v>
      </c>
      <c r="P2795" s="8">
        <f t="shared" si="174"/>
        <v>2925</v>
      </c>
      <c r="Q2795" s="8">
        <f t="shared" si="175"/>
        <v>2789</v>
      </c>
      <c r="R2795" s="2" t="s">
        <v>28</v>
      </c>
      <c r="S2795" s="9">
        <f>VLOOKUP(P2795,$T$2:U2792,2,1)</f>
        <v>0.02</v>
      </c>
    </row>
    <row r="2796" spans="1:19" x14ac:dyDescent="0.25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e">
        <f>VLOOKUP(F2796,'Customer Info'!A2788:I3287,2,0)</f>
        <v>#N/A</v>
      </c>
      <c r="H2796" s="6" t="e">
        <f>VLOOKUP(F2796,'Customer Info'!A2788:I3287,3,0)</f>
        <v>#N/A</v>
      </c>
      <c r="I2796" s="6" t="e">
        <f>VLOOKUP(F2796,'Customer Info'!A2788:I3287,5,0)</f>
        <v>#N/A</v>
      </c>
      <c r="J2796" s="2">
        <v>8967</v>
      </c>
      <c r="K2796" s="2">
        <v>8151</v>
      </c>
      <c r="L2796" s="2">
        <v>3</v>
      </c>
      <c r="M2796" s="7">
        <f t="shared" si="172"/>
        <v>24453</v>
      </c>
      <c r="N2796" s="7">
        <f t="shared" si="173"/>
        <v>26901</v>
      </c>
      <c r="O2796" s="2">
        <v>27</v>
      </c>
      <c r="P2796" s="8">
        <f t="shared" si="174"/>
        <v>26928</v>
      </c>
      <c r="Q2796" s="8">
        <f t="shared" si="175"/>
        <v>26874</v>
      </c>
      <c r="R2796" s="2" t="s">
        <v>28</v>
      </c>
      <c r="S2796" s="9">
        <f>VLOOKUP(P2796,$T$2:U2793,2,1)</f>
        <v>7.0000000000000007E-2</v>
      </c>
    </row>
    <row r="2797" spans="1:19" x14ac:dyDescent="0.25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e">
        <f>VLOOKUP(F2797,'Customer Info'!A2789:I3288,2,0)</f>
        <v>#N/A</v>
      </c>
      <c r="H2797" s="6" t="e">
        <f>VLOOKUP(F2797,'Customer Info'!A2789:I3288,3,0)</f>
        <v>#N/A</v>
      </c>
      <c r="I2797" s="6" t="e">
        <f>VLOOKUP(F2797,'Customer Info'!A2789:I3288,5,0)</f>
        <v>#N/A</v>
      </c>
      <c r="J2797" s="2">
        <v>8738</v>
      </c>
      <c r="K2797" s="2">
        <v>8162</v>
      </c>
      <c r="L2797" s="2">
        <v>7</v>
      </c>
      <c r="M2797" s="7">
        <f t="shared" si="172"/>
        <v>57134</v>
      </c>
      <c r="N2797" s="7">
        <f t="shared" si="173"/>
        <v>61166</v>
      </c>
      <c r="O2797" s="2">
        <v>45</v>
      </c>
      <c r="P2797" s="8">
        <f t="shared" si="174"/>
        <v>61211</v>
      </c>
      <c r="Q2797" s="8">
        <f t="shared" si="175"/>
        <v>61121</v>
      </c>
      <c r="R2797" s="2" t="s">
        <v>28</v>
      </c>
      <c r="S2797" s="9">
        <f>VLOOKUP(P2797,$T$2:U2794,2,1)</f>
        <v>0.09</v>
      </c>
    </row>
    <row r="2798" spans="1:19" x14ac:dyDescent="0.25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e">
        <f>VLOOKUP(F2798,'Customer Info'!A2790:I3289,2,0)</f>
        <v>#N/A</v>
      </c>
      <c r="H2798" s="6" t="e">
        <f>VLOOKUP(F2798,'Customer Info'!A2790:I3289,3,0)</f>
        <v>#N/A</v>
      </c>
      <c r="I2798" s="6" t="e">
        <f>VLOOKUP(F2798,'Customer Info'!A2790:I3289,5,0)</f>
        <v>#N/A</v>
      </c>
      <c r="J2798" s="2">
        <v>681</v>
      </c>
      <c r="K2798" s="2">
        <v>642</v>
      </c>
      <c r="L2798" s="2">
        <v>4</v>
      </c>
      <c r="M2798" s="7">
        <f t="shared" si="172"/>
        <v>2568</v>
      </c>
      <c r="N2798" s="7">
        <f t="shared" si="173"/>
        <v>2724</v>
      </c>
      <c r="O2798" s="2">
        <v>49</v>
      </c>
      <c r="P2798" s="8">
        <f t="shared" si="174"/>
        <v>2773</v>
      </c>
      <c r="Q2798" s="8">
        <f t="shared" si="175"/>
        <v>2675</v>
      </c>
      <c r="R2798" s="2" t="s">
        <v>28</v>
      </c>
      <c r="S2798" s="9">
        <f>VLOOKUP(P2798,$T$2:U2795,2,1)</f>
        <v>0.02</v>
      </c>
    </row>
    <row r="2799" spans="1:19" x14ac:dyDescent="0.25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e">
        <f>VLOOKUP(F2799,'Customer Info'!A2791:I3290,2,0)</f>
        <v>#N/A</v>
      </c>
      <c r="H2799" s="6" t="e">
        <f>VLOOKUP(F2799,'Customer Info'!A2791:I3290,3,0)</f>
        <v>#N/A</v>
      </c>
      <c r="I2799" s="6" t="e">
        <f>VLOOKUP(F2799,'Customer Info'!A2791:I3290,5,0)</f>
        <v>#N/A</v>
      </c>
      <c r="J2799" s="2">
        <v>520</v>
      </c>
      <c r="K2799" s="2">
        <v>477</v>
      </c>
      <c r="L2799" s="2">
        <v>4</v>
      </c>
      <c r="M2799" s="7">
        <f t="shared" si="172"/>
        <v>1908</v>
      </c>
      <c r="N2799" s="7">
        <f t="shared" si="173"/>
        <v>2080</v>
      </c>
      <c r="O2799" s="2">
        <v>26</v>
      </c>
      <c r="P2799" s="8">
        <f t="shared" si="174"/>
        <v>2106</v>
      </c>
      <c r="Q2799" s="8">
        <f t="shared" si="175"/>
        <v>2054</v>
      </c>
      <c r="R2799" s="2" t="s">
        <v>28</v>
      </c>
      <c r="S2799" s="9">
        <f>VLOOKUP(P2799,$T$2:U2796,2,1)</f>
        <v>0.02</v>
      </c>
    </row>
    <row r="2800" spans="1:19" x14ac:dyDescent="0.25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e">
        <f>VLOOKUP(F2800,'Customer Info'!A2792:I3291,2,0)</f>
        <v>#N/A</v>
      </c>
      <c r="H2800" s="6" t="e">
        <f>VLOOKUP(F2800,'Customer Info'!A2792:I3291,3,0)</f>
        <v>#N/A</v>
      </c>
      <c r="I2800" s="6" t="e">
        <f>VLOOKUP(F2800,'Customer Info'!A2792:I3291,5,0)</f>
        <v>#N/A</v>
      </c>
      <c r="J2800" s="2">
        <v>6701</v>
      </c>
      <c r="K2800" s="2">
        <v>6384</v>
      </c>
      <c r="L2800" s="2">
        <v>8</v>
      </c>
      <c r="M2800" s="7">
        <f t="shared" si="172"/>
        <v>51072</v>
      </c>
      <c r="N2800" s="7">
        <f t="shared" si="173"/>
        <v>53608</v>
      </c>
      <c r="O2800" s="2">
        <v>23</v>
      </c>
      <c r="P2800" s="8">
        <f t="shared" si="174"/>
        <v>53631</v>
      </c>
      <c r="Q2800" s="8">
        <f t="shared" si="175"/>
        <v>53585</v>
      </c>
      <c r="R2800" s="2" t="s">
        <v>28</v>
      </c>
      <c r="S2800" s="9">
        <f>VLOOKUP(P2800,$T$2:U2797,2,1)</f>
        <v>0.09</v>
      </c>
    </row>
    <row r="2801" spans="1:19" x14ac:dyDescent="0.25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e">
        <f>VLOOKUP(F2801,'Customer Info'!A2793:I3292,2,0)</f>
        <v>#N/A</v>
      </c>
      <c r="H2801" s="6" t="e">
        <f>VLOOKUP(F2801,'Customer Info'!A2793:I3292,3,0)</f>
        <v>#N/A</v>
      </c>
      <c r="I2801" s="6" t="e">
        <f>VLOOKUP(F2801,'Customer Info'!A2793:I3292,5,0)</f>
        <v>#N/A</v>
      </c>
      <c r="J2801" s="2">
        <v>2515</v>
      </c>
      <c r="K2801" s="2">
        <v>2397</v>
      </c>
      <c r="L2801" s="2">
        <v>4</v>
      </c>
      <c r="M2801" s="7">
        <f t="shared" si="172"/>
        <v>9588</v>
      </c>
      <c r="N2801" s="7">
        <f t="shared" si="173"/>
        <v>10060</v>
      </c>
      <c r="O2801" s="2">
        <v>61</v>
      </c>
      <c r="P2801" s="8">
        <f t="shared" si="174"/>
        <v>10121</v>
      </c>
      <c r="Q2801" s="8">
        <f t="shared" si="175"/>
        <v>9999</v>
      </c>
      <c r="R2801" s="2" t="s">
        <v>28</v>
      </c>
      <c r="S2801" s="9">
        <f>VLOOKUP(P2801,$T$2:U2798,2,1)</f>
        <v>0.05</v>
      </c>
    </row>
    <row r="2802" spans="1:19" x14ac:dyDescent="0.25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e">
        <f>VLOOKUP(F2802,'Customer Info'!A2794:I3293,2,0)</f>
        <v>#N/A</v>
      </c>
      <c r="H2802" s="6" t="e">
        <f>VLOOKUP(F2802,'Customer Info'!A2794:I3293,3,0)</f>
        <v>#N/A</v>
      </c>
      <c r="I2802" s="6" t="e">
        <f>VLOOKUP(F2802,'Customer Info'!A2794:I3293,5,0)</f>
        <v>#N/A</v>
      </c>
      <c r="J2802" s="2">
        <v>220</v>
      </c>
      <c r="K2802" s="2">
        <v>206</v>
      </c>
      <c r="L2802" s="2">
        <v>1</v>
      </c>
      <c r="M2802" s="7">
        <f t="shared" si="172"/>
        <v>206</v>
      </c>
      <c r="N2802" s="7">
        <f t="shared" si="173"/>
        <v>220</v>
      </c>
      <c r="O2802" s="2">
        <v>49</v>
      </c>
      <c r="P2802" s="8">
        <f t="shared" si="174"/>
        <v>269</v>
      </c>
      <c r="Q2802" s="8">
        <f t="shared" si="175"/>
        <v>171</v>
      </c>
      <c r="R2802" s="2" t="s">
        <v>50</v>
      </c>
      <c r="S2802" s="9">
        <f>VLOOKUP(P2802,$T$2:U2799,2,1)</f>
        <v>0.02</v>
      </c>
    </row>
    <row r="2803" spans="1:19" x14ac:dyDescent="0.25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e">
        <f>VLOOKUP(F2803,'Customer Info'!A2795:I3294,2,0)</f>
        <v>#N/A</v>
      </c>
      <c r="H2803" s="6" t="e">
        <f>VLOOKUP(F2803,'Customer Info'!A2795:I3294,3,0)</f>
        <v>#N/A</v>
      </c>
      <c r="I2803" s="6" t="e">
        <f>VLOOKUP(F2803,'Customer Info'!A2795:I3294,5,0)</f>
        <v>#N/A</v>
      </c>
      <c r="J2803" s="2">
        <v>8379</v>
      </c>
      <c r="K2803" s="2">
        <v>8061</v>
      </c>
      <c r="L2803" s="2">
        <v>2</v>
      </c>
      <c r="M2803" s="7">
        <f t="shared" si="172"/>
        <v>16122</v>
      </c>
      <c r="N2803" s="7">
        <f t="shared" si="173"/>
        <v>16758</v>
      </c>
      <c r="O2803" s="2">
        <v>46</v>
      </c>
      <c r="P2803" s="8">
        <f t="shared" si="174"/>
        <v>16804</v>
      </c>
      <c r="Q2803" s="8">
        <f t="shared" si="175"/>
        <v>16712</v>
      </c>
      <c r="R2803" s="2" t="s">
        <v>28</v>
      </c>
      <c r="S2803" s="9">
        <f>VLOOKUP(P2803,$T$2:U2800,2,1)</f>
        <v>0.05</v>
      </c>
    </row>
    <row r="2804" spans="1:19" x14ac:dyDescent="0.25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e">
        <f>VLOOKUP(F2804,'Customer Info'!A2796:I3295,2,0)</f>
        <v>#N/A</v>
      </c>
      <c r="H2804" s="6" t="e">
        <f>VLOOKUP(F2804,'Customer Info'!A2796:I3295,3,0)</f>
        <v>#N/A</v>
      </c>
      <c r="I2804" s="6" t="e">
        <f>VLOOKUP(F2804,'Customer Info'!A2796:I3295,5,0)</f>
        <v>#N/A</v>
      </c>
      <c r="J2804" s="2">
        <v>142</v>
      </c>
      <c r="K2804" s="2">
        <v>134</v>
      </c>
      <c r="L2804" s="2">
        <v>3</v>
      </c>
      <c r="M2804" s="7">
        <f t="shared" si="172"/>
        <v>402</v>
      </c>
      <c r="N2804" s="7">
        <f t="shared" si="173"/>
        <v>426</v>
      </c>
      <c r="O2804" s="2">
        <v>30</v>
      </c>
      <c r="P2804" s="8">
        <f t="shared" si="174"/>
        <v>456</v>
      </c>
      <c r="Q2804" s="8">
        <f t="shared" si="175"/>
        <v>396</v>
      </c>
      <c r="R2804" s="2" t="s">
        <v>50</v>
      </c>
      <c r="S2804" s="9">
        <f>VLOOKUP(P2804,$T$2:U2801,2,1)</f>
        <v>0.02</v>
      </c>
    </row>
    <row r="2805" spans="1:19" x14ac:dyDescent="0.25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e">
        <f>VLOOKUP(F2805,'Customer Info'!A2797:I3296,2,0)</f>
        <v>#N/A</v>
      </c>
      <c r="H2805" s="6" t="e">
        <f>VLOOKUP(F2805,'Customer Info'!A2797:I3296,3,0)</f>
        <v>#N/A</v>
      </c>
      <c r="I2805" s="6" t="e">
        <f>VLOOKUP(F2805,'Customer Info'!A2797:I3296,5,0)</f>
        <v>#N/A</v>
      </c>
      <c r="J2805" s="2">
        <v>1498</v>
      </c>
      <c r="K2805" s="2">
        <v>1335</v>
      </c>
      <c r="L2805" s="2">
        <v>1</v>
      </c>
      <c r="M2805" s="7">
        <f t="shared" si="172"/>
        <v>1335</v>
      </c>
      <c r="N2805" s="7">
        <f t="shared" si="173"/>
        <v>1498</v>
      </c>
      <c r="O2805" s="2">
        <v>43</v>
      </c>
      <c r="P2805" s="8">
        <f t="shared" si="174"/>
        <v>1541</v>
      </c>
      <c r="Q2805" s="8">
        <f t="shared" si="175"/>
        <v>1455</v>
      </c>
      <c r="R2805" s="2" t="s">
        <v>28</v>
      </c>
      <c r="S2805" s="9">
        <f>VLOOKUP(P2805,$T$2:U2802,2,1)</f>
        <v>0.02</v>
      </c>
    </row>
    <row r="2806" spans="1:19" x14ac:dyDescent="0.25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e">
        <f>VLOOKUP(F2806,'Customer Info'!A2798:I3297,2,0)</f>
        <v>#N/A</v>
      </c>
      <c r="H2806" s="6" t="e">
        <f>VLOOKUP(F2806,'Customer Info'!A2798:I3297,3,0)</f>
        <v>#N/A</v>
      </c>
      <c r="I2806" s="6" t="e">
        <f>VLOOKUP(F2806,'Customer Info'!A2798:I3297,5,0)</f>
        <v>#N/A</v>
      </c>
      <c r="J2806" s="2">
        <v>2365</v>
      </c>
      <c r="K2806" s="2">
        <v>2232</v>
      </c>
      <c r="L2806" s="2">
        <v>4</v>
      </c>
      <c r="M2806" s="7">
        <f t="shared" si="172"/>
        <v>8928</v>
      </c>
      <c r="N2806" s="7">
        <f t="shared" si="173"/>
        <v>9460</v>
      </c>
      <c r="O2806" s="2">
        <v>32</v>
      </c>
      <c r="P2806" s="8">
        <f t="shared" si="174"/>
        <v>9492</v>
      </c>
      <c r="Q2806" s="8">
        <f t="shared" si="175"/>
        <v>9428</v>
      </c>
      <c r="R2806" s="2" t="s">
        <v>50</v>
      </c>
      <c r="S2806" s="9">
        <f>VLOOKUP(P2806,$T$2:U2803,2,1)</f>
        <v>0.05</v>
      </c>
    </row>
    <row r="2807" spans="1:19" x14ac:dyDescent="0.25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e">
        <f>VLOOKUP(F2807,'Customer Info'!A2799:I3298,2,0)</f>
        <v>#N/A</v>
      </c>
      <c r="H2807" s="6" t="e">
        <f>VLOOKUP(F2807,'Customer Info'!A2799:I3298,3,0)</f>
        <v>#N/A</v>
      </c>
      <c r="I2807" s="6" t="e">
        <f>VLOOKUP(F2807,'Customer Info'!A2799:I3298,5,0)</f>
        <v>#N/A</v>
      </c>
      <c r="J2807" s="2">
        <v>1292</v>
      </c>
      <c r="K2807" s="2">
        <v>1185</v>
      </c>
      <c r="L2807" s="2">
        <v>3</v>
      </c>
      <c r="M2807" s="7">
        <f t="shared" si="172"/>
        <v>3555</v>
      </c>
      <c r="N2807" s="7">
        <f t="shared" si="173"/>
        <v>3876</v>
      </c>
      <c r="O2807" s="2">
        <v>65</v>
      </c>
      <c r="P2807" s="8">
        <f t="shared" si="174"/>
        <v>3941</v>
      </c>
      <c r="Q2807" s="8">
        <f t="shared" si="175"/>
        <v>3811</v>
      </c>
      <c r="R2807" s="2" t="s">
        <v>28</v>
      </c>
      <c r="S2807" s="9">
        <f>VLOOKUP(P2807,$T$2:U2804,2,1)</f>
        <v>0.02</v>
      </c>
    </row>
    <row r="2808" spans="1:19" x14ac:dyDescent="0.25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e">
        <f>VLOOKUP(F2808,'Customer Info'!A2800:I3299,2,0)</f>
        <v>#N/A</v>
      </c>
      <c r="H2808" s="6" t="e">
        <f>VLOOKUP(F2808,'Customer Info'!A2800:I3299,3,0)</f>
        <v>#N/A</v>
      </c>
      <c r="I2808" s="6" t="e">
        <f>VLOOKUP(F2808,'Customer Info'!A2800:I3299,5,0)</f>
        <v>#N/A</v>
      </c>
      <c r="J2808" s="2">
        <v>4122</v>
      </c>
      <c r="K2808" s="2">
        <v>3781</v>
      </c>
      <c r="L2808" s="2">
        <v>7</v>
      </c>
      <c r="M2808" s="7">
        <f t="shared" si="172"/>
        <v>26467</v>
      </c>
      <c r="N2808" s="7">
        <f t="shared" si="173"/>
        <v>28854</v>
      </c>
      <c r="O2808" s="2">
        <v>98</v>
      </c>
      <c r="P2808" s="8">
        <f t="shared" si="174"/>
        <v>28952</v>
      </c>
      <c r="Q2808" s="8">
        <f t="shared" si="175"/>
        <v>28756</v>
      </c>
      <c r="R2808" s="2" t="s">
        <v>50</v>
      </c>
      <c r="S2808" s="9">
        <f>VLOOKUP(P2808,$T$2:U2805,2,1)</f>
        <v>7.0000000000000007E-2</v>
      </c>
    </row>
    <row r="2809" spans="1:19" x14ac:dyDescent="0.25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e">
        <f>VLOOKUP(F2809,'Customer Info'!A2801:I3300,2,0)</f>
        <v>#N/A</v>
      </c>
      <c r="H2809" s="6" t="e">
        <f>VLOOKUP(F2809,'Customer Info'!A2801:I3300,3,0)</f>
        <v>#N/A</v>
      </c>
      <c r="I2809" s="6" t="e">
        <f>VLOOKUP(F2809,'Customer Info'!A2801:I3300,5,0)</f>
        <v>#N/A</v>
      </c>
      <c r="J2809" s="2">
        <v>1763</v>
      </c>
      <c r="K2809" s="2">
        <v>1602</v>
      </c>
      <c r="L2809" s="2">
        <v>5</v>
      </c>
      <c r="M2809" s="7">
        <f t="shared" si="172"/>
        <v>8010</v>
      </c>
      <c r="N2809" s="7">
        <f t="shared" si="173"/>
        <v>8815</v>
      </c>
      <c r="O2809" s="2">
        <v>64</v>
      </c>
      <c r="P2809" s="8">
        <f t="shared" si="174"/>
        <v>8879</v>
      </c>
      <c r="Q2809" s="8">
        <f t="shared" si="175"/>
        <v>8751</v>
      </c>
      <c r="R2809" s="2" t="s">
        <v>28</v>
      </c>
      <c r="S2809" s="9">
        <f>VLOOKUP(P2809,$T$2:U2806,2,1)</f>
        <v>0.05</v>
      </c>
    </row>
    <row r="2810" spans="1:19" x14ac:dyDescent="0.25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e">
        <f>VLOOKUP(F2810,'Customer Info'!A2802:I3301,2,0)</f>
        <v>#N/A</v>
      </c>
      <c r="H2810" s="6" t="e">
        <f>VLOOKUP(F2810,'Customer Info'!A2802:I3301,3,0)</f>
        <v>#N/A</v>
      </c>
      <c r="I2810" s="6" t="e">
        <f>VLOOKUP(F2810,'Customer Info'!A2802:I3301,5,0)</f>
        <v>#N/A</v>
      </c>
      <c r="J2810" s="2">
        <v>8448</v>
      </c>
      <c r="K2810" s="2">
        <v>7822</v>
      </c>
      <c r="L2810" s="2">
        <v>3</v>
      </c>
      <c r="M2810" s="7">
        <f t="shared" si="172"/>
        <v>23466</v>
      </c>
      <c r="N2810" s="7">
        <f t="shared" si="173"/>
        <v>25344</v>
      </c>
      <c r="O2810" s="2">
        <v>75</v>
      </c>
      <c r="P2810" s="8">
        <f t="shared" si="174"/>
        <v>25419</v>
      </c>
      <c r="Q2810" s="8">
        <f t="shared" si="175"/>
        <v>25269</v>
      </c>
      <c r="R2810" s="2" t="s">
        <v>26</v>
      </c>
      <c r="S2810" s="9">
        <f>VLOOKUP(P2810,$T$2:U2807,2,1)</f>
        <v>7.0000000000000007E-2</v>
      </c>
    </row>
    <row r="2811" spans="1:19" x14ac:dyDescent="0.25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e">
        <f>VLOOKUP(F2811,'Customer Info'!A2803:I3302,2,0)</f>
        <v>#N/A</v>
      </c>
      <c r="H2811" s="6" t="e">
        <f>VLOOKUP(F2811,'Customer Info'!A2803:I3302,3,0)</f>
        <v>#N/A</v>
      </c>
      <c r="I2811" s="6" t="e">
        <f>VLOOKUP(F2811,'Customer Info'!A2803:I3302,5,0)</f>
        <v>#N/A</v>
      </c>
      <c r="J2811" s="2">
        <v>1321</v>
      </c>
      <c r="K2811" s="2">
        <v>1211</v>
      </c>
      <c r="L2811" s="2">
        <v>2</v>
      </c>
      <c r="M2811" s="7">
        <f t="shared" si="172"/>
        <v>2422</v>
      </c>
      <c r="N2811" s="7">
        <f t="shared" si="173"/>
        <v>2642</v>
      </c>
      <c r="O2811" s="2">
        <v>71</v>
      </c>
      <c r="P2811" s="8">
        <f t="shared" si="174"/>
        <v>2713</v>
      </c>
      <c r="Q2811" s="8">
        <f t="shared" si="175"/>
        <v>2571</v>
      </c>
      <c r="R2811" s="2" t="s">
        <v>28</v>
      </c>
      <c r="S2811" s="9">
        <f>VLOOKUP(P2811,$T$2:U2808,2,1)</f>
        <v>0.02</v>
      </c>
    </row>
    <row r="2812" spans="1:19" x14ac:dyDescent="0.25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e">
        <f>VLOOKUP(F2812,'Customer Info'!A2804:I3303,2,0)</f>
        <v>#N/A</v>
      </c>
      <c r="H2812" s="6" t="e">
        <f>VLOOKUP(F2812,'Customer Info'!A2804:I3303,3,0)</f>
        <v>#N/A</v>
      </c>
      <c r="I2812" s="6" t="e">
        <f>VLOOKUP(F2812,'Customer Info'!A2804:I3303,5,0)</f>
        <v>#N/A</v>
      </c>
      <c r="J2812" s="2">
        <v>2921</v>
      </c>
      <c r="K2812" s="2">
        <v>2809</v>
      </c>
      <c r="L2812" s="2">
        <v>1</v>
      </c>
      <c r="M2812" s="7">
        <f t="shared" si="172"/>
        <v>2809</v>
      </c>
      <c r="N2812" s="7">
        <f t="shared" si="173"/>
        <v>2921</v>
      </c>
      <c r="O2812" s="2">
        <v>82</v>
      </c>
      <c r="P2812" s="8">
        <f t="shared" si="174"/>
        <v>3003</v>
      </c>
      <c r="Q2812" s="8">
        <f t="shared" si="175"/>
        <v>2839</v>
      </c>
      <c r="R2812" s="2" t="s">
        <v>28</v>
      </c>
      <c r="S2812" s="9">
        <f>VLOOKUP(P2812,$T$2:U2809,2,1)</f>
        <v>0.02</v>
      </c>
    </row>
    <row r="2813" spans="1:19" x14ac:dyDescent="0.25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e">
        <f>VLOOKUP(F2813,'Customer Info'!A2805:I3304,2,0)</f>
        <v>#N/A</v>
      </c>
      <c r="H2813" s="6" t="e">
        <f>VLOOKUP(F2813,'Customer Info'!A2805:I3304,3,0)</f>
        <v>#N/A</v>
      </c>
      <c r="I2813" s="6" t="e">
        <f>VLOOKUP(F2813,'Customer Info'!A2805:I3304,5,0)</f>
        <v>#N/A</v>
      </c>
      <c r="J2813" s="2">
        <v>2654</v>
      </c>
      <c r="K2813" s="2">
        <v>2410</v>
      </c>
      <c r="L2813" s="2">
        <v>1</v>
      </c>
      <c r="M2813" s="7">
        <f t="shared" si="172"/>
        <v>2410</v>
      </c>
      <c r="N2813" s="7">
        <f t="shared" si="173"/>
        <v>2654</v>
      </c>
      <c r="O2813" s="2">
        <v>95</v>
      </c>
      <c r="P2813" s="8">
        <f t="shared" si="174"/>
        <v>2749</v>
      </c>
      <c r="Q2813" s="8">
        <f t="shared" si="175"/>
        <v>2559</v>
      </c>
      <c r="R2813" s="2" t="s">
        <v>28</v>
      </c>
      <c r="S2813" s="9">
        <f>VLOOKUP(P2813,$T$2:U2810,2,1)</f>
        <v>0.02</v>
      </c>
    </row>
    <row r="2814" spans="1:19" x14ac:dyDescent="0.25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e">
        <f>VLOOKUP(F2814,'Customer Info'!A2806:I3305,2,0)</f>
        <v>#N/A</v>
      </c>
      <c r="H2814" s="6" t="e">
        <f>VLOOKUP(F2814,'Customer Info'!A2806:I3305,3,0)</f>
        <v>#N/A</v>
      </c>
      <c r="I2814" s="6" t="e">
        <f>VLOOKUP(F2814,'Customer Info'!A2806:I3305,5,0)</f>
        <v>#N/A</v>
      </c>
      <c r="J2814" s="2">
        <v>60</v>
      </c>
      <c r="K2814" s="2">
        <v>58</v>
      </c>
      <c r="L2814" s="2">
        <v>1</v>
      </c>
      <c r="M2814" s="7">
        <f t="shared" si="172"/>
        <v>58</v>
      </c>
      <c r="N2814" s="7">
        <f t="shared" si="173"/>
        <v>60</v>
      </c>
      <c r="O2814" s="2">
        <v>10</v>
      </c>
      <c r="P2814" s="8">
        <f t="shared" si="174"/>
        <v>70</v>
      </c>
      <c r="Q2814" s="8">
        <f t="shared" si="175"/>
        <v>50</v>
      </c>
      <c r="R2814" s="2" t="s">
        <v>28</v>
      </c>
      <c r="S2814" s="9">
        <f>VLOOKUP(P2814,$T$2:U2811,2,1)</f>
        <v>0.02</v>
      </c>
    </row>
    <row r="2815" spans="1:19" x14ac:dyDescent="0.25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e">
        <f>VLOOKUP(F2815,'Customer Info'!A2807:I3306,2,0)</f>
        <v>#N/A</v>
      </c>
      <c r="H2815" s="6" t="e">
        <f>VLOOKUP(F2815,'Customer Info'!A2807:I3306,3,0)</f>
        <v>#N/A</v>
      </c>
      <c r="I2815" s="6" t="e">
        <f>VLOOKUP(F2815,'Customer Info'!A2807:I3306,5,0)</f>
        <v>#N/A</v>
      </c>
      <c r="J2815" s="2">
        <v>1039</v>
      </c>
      <c r="K2815" s="2">
        <v>954</v>
      </c>
      <c r="L2815" s="2">
        <v>7</v>
      </c>
      <c r="M2815" s="7">
        <f t="shared" si="172"/>
        <v>6678</v>
      </c>
      <c r="N2815" s="7">
        <f t="shared" si="173"/>
        <v>7273</v>
      </c>
      <c r="O2815" s="2">
        <v>99</v>
      </c>
      <c r="P2815" s="8">
        <f t="shared" si="174"/>
        <v>7372</v>
      </c>
      <c r="Q2815" s="8">
        <f t="shared" si="175"/>
        <v>7174</v>
      </c>
      <c r="R2815" s="2" t="s">
        <v>28</v>
      </c>
      <c r="S2815" s="9">
        <f>VLOOKUP(P2815,$T$2:U2812,2,1)</f>
        <v>0.05</v>
      </c>
    </row>
    <row r="2816" spans="1:19" x14ac:dyDescent="0.25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e">
        <f>VLOOKUP(F2816,'Customer Info'!A2808:I3307,2,0)</f>
        <v>#N/A</v>
      </c>
      <c r="H2816" s="6" t="e">
        <f>VLOOKUP(F2816,'Customer Info'!A2808:I3307,3,0)</f>
        <v>#N/A</v>
      </c>
      <c r="I2816" s="6" t="e">
        <f>VLOOKUP(F2816,'Customer Info'!A2808:I3307,5,0)</f>
        <v>#N/A</v>
      </c>
      <c r="J2816" s="2">
        <v>7141</v>
      </c>
      <c r="K2816" s="2">
        <v>6541</v>
      </c>
      <c r="L2816" s="2">
        <v>2</v>
      </c>
      <c r="M2816" s="7">
        <f t="shared" si="172"/>
        <v>13082</v>
      </c>
      <c r="N2816" s="7">
        <f t="shared" si="173"/>
        <v>14282</v>
      </c>
      <c r="O2816" s="2">
        <v>90</v>
      </c>
      <c r="P2816" s="8">
        <f t="shared" si="174"/>
        <v>14372</v>
      </c>
      <c r="Q2816" s="8">
        <f t="shared" si="175"/>
        <v>14192</v>
      </c>
      <c r="R2816" s="2" t="s">
        <v>26</v>
      </c>
      <c r="S2816" s="9">
        <f>VLOOKUP(P2816,$T$2:U2813,2,1)</f>
        <v>0.05</v>
      </c>
    </row>
    <row r="2817" spans="1:19" x14ac:dyDescent="0.25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e">
        <f>VLOOKUP(F2817,'Customer Info'!A2809:I3308,2,0)</f>
        <v>#N/A</v>
      </c>
      <c r="H2817" s="6" t="e">
        <f>VLOOKUP(F2817,'Customer Info'!A2809:I3308,3,0)</f>
        <v>#N/A</v>
      </c>
      <c r="I2817" s="6" t="e">
        <f>VLOOKUP(F2817,'Customer Info'!A2809:I3308,5,0)</f>
        <v>#N/A</v>
      </c>
      <c r="J2817" s="2">
        <v>136</v>
      </c>
      <c r="K2817" s="2">
        <v>130</v>
      </c>
      <c r="L2817" s="2">
        <v>1</v>
      </c>
      <c r="M2817" s="7">
        <f t="shared" si="172"/>
        <v>130</v>
      </c>
      <c r="N2817" s="7">
        <f t="shared" si="173"/>
        <v>136</v>
      </c>
      <c r="O2817" s="2">
        <v>30</v>
      </c>
      <c r="P2817" s="8">
        <f t="shared" si="174"/>
        <v>166</v>
      </c>
      <c r="Q2817" s="8">
        <f t="shared" si="175"/>
        <v>106</v>
      </c>
      <c r="R2817" s="2" t="s">
        <v>26</v>
      </c>
      <c r="S2817" s="9">
        <f>VLOOKUP(P2817,$T$2:U2814,2,1)</f>
        <v>0.02</v>
      </c>
    </row>
    <row r="2818" spans="1:19" x14ac:dyDescent="0.25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e">
        <f>VLOOKUP(F2818,'Customer Info'!A2810:I3309,2,0)</f>
        <v>#N/A</v>
      </c>
      <c r="H2818" s="6" t="e">
        <f>VLOOKUP(F2818,'Customer Info'!A2810:I3309,3,0)</f>
        <v>#N/A</v>
      </c>
      <c r="I2818" s="6" t="e">
        <f>VLOOKUP(F2818,'Customer Info'!A2810:I3309,5,0)</f>
        <v>#N/A</v>
      </c>
      <c r="J2818" s="2">
        <v>60</v>
      </c>
      <c r="K2818" s="2">
        <v>55</v>
      </c>
      <c r="L2818" s="2">
        <v>2</v>
      </c>
      <c r="M2818" s="7">
        <f t="shared" si="172"/>
        <v>110</v>
      </c>
      <c r="N2818" s="7">
        <f t="shared" si="173"/>
        <v>120</v>
      </c>
      <c r="O2818" s="2">
        <v>10</v>
      </c>
      <c r="P2818" s="8">
        <f t="shared" si="174"/>
        <v>130</v>
      </c>
      <c r="Q2818" s="8">
        <f t="shared" si="175"/>
        <v>110</v>
      </c>
      <c r="R2818" s="2" t="s">
        <v>50</v>
      </c>
      <c r="S2818" s="9">
        <f>VLOOKUP(P2818,$T$2:U2815,2,1)</f>
        <v>0.02</v>
      </c>
    </row>
    <row r="2819" spans="1:19" x14ac:dyDescent="0.25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e">
        <f>VLOOKUP(F2819,'Customer Info'!A2811:I3310,2,0)</f>
        <v>#N/A</v>
      </c>
      <c r="H2819" s="6" t="e">
        <f>VLOOKUP(F2819,'Customer Info'!A2811:I3310,3,0)</f>
        <v>#N/A</v>
      </c>
      <c r="I2819" s="6" t="e">
        <f>VLOOKUP(F2819,'Customer Info'!A2811:I3310,5,0)</f>
        <v>#N/A</v>
      </c>
      <c r="J2819" s="2">
        <v>511</v>
      </c>
      <c r="K2819" s="2">
        <v>477</v>
      </c>
      <c r="L2819" s="2">
        <v>2</v>
      </c>
      <c r="M2819" s="7">
        <f t="shared" si="172"/>
        <v>954</v>
      </c>
      <c r="N2819" s="7">
        <f t="shared" si="173"/>
        <v>1022</v>
      </c>
      <c r="O2819" s="2">
        <v>41</v>
      </c>
      <c r="P2819" s="8">
        <f t="shared" si="174"/>
        <v>1063</v>
      </c>
      <c r="Q2819" s="8">
        <f t="shared" si="175"/>
        <v>981</v>
      </c>
      <c r="R2819" s="2" t="s">
        <v>28</v>
      </c>
      <c r="S2819" s="9">
        <f>VLOOKUP(P2819,$T$2:U2816,2,1)</f>
        <v>0.02</v>
      </c>
    </row>
    <row r="2820" spans="1:19" x14ac:dyDescent="0.25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e">
        <f>VLOOKUP(F2820,'Customer Info'!A2812:I3311,2,0)</f>
        <v>#N/A</v>
      </c>
      <c r="H2820" s="6" t="e">
        <f>VLOOKUP(F2820,'Customer Info'!A2812:I3311,3,0)</f>
        <v>#N/A</v>
      </c>
      <c r="I2820" s="6" t="e">
        <f>VLOOKUP(F2820,'Customer Info'!A2812:I3311,5,0)</f>
        <v>#N/A</v>
      </c>
      <c r="J2820" s="2">
        <v>129</v>
      </c>
      <c r="K2820" s="2">
        <v>118</v>
      </c>
      <c r="L2820" s="2">
        <v>8</v>
      </c>
      <c r="M2820" s="7">
        <f t="shared" si="172"/>
        <v>944</v>
      </c>
      <c r="N2820" s="7">
        <f t="shared" si="173"/>
        <v>1032</v>
      </c>
      <c r="O2820" s="2">
        <v>30</v>
      </c>
      <c r="P2820" s="8">
        <f t="shared" si="174"/>
        <v>1062</v>
      </c>
      <c r="Q2820" s="8">
        <f t="shared" si="175"/>
        <v>1002</v>
      </c>
      <c r="R2820" s="2" t="s">
        <v>28</v>
      </c>
      <c r="S2820" s="9">
        <f>VLOOKUP(P2820,$T$2:U2817,2,1)</f>
        <v>0.02</v>
      </c>
    </row>
    <row r="2821" spans="1:19" x14ac:dyDescent="0.25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e">
        <f>VLOOKUP(F2821,'Customer Info'!A2813:I3312,2,0)</f>
        <v>#N/A</v>
      </c>
      <c r="H2821" s="6" t="e">
        <f>VLOOKUP(F2821,'Customer Info'!A2813:I3312,3,0)</f>
        <v>#N/A</v>
      </c>
      <c r="I2821" s="6" t="e">
        <f>VLOOKUP(F2821,'Customer Info'!A2813:I3312,5,0)</f>
        <v>#N/A</v>
      </c>
      <c r="J2821" s="2">
        <v>4761</v>
      </c>
      <c r="K2821" s="2">
        <v>4368</v>
      </c>
      <c r="L2821" s="2">
        <v>4</v>
      </c>
      <c r="M2821" s="7">
        <f t="shared" si="172"/>
        <v>17472</v>
      </c>
      <c r="N2821" s="7">
        <f t="shared" si="173"/>
        <v>19044</v>
      </c>
      <c r="O2821" s="2">
        <v>78</v>
      </c>
      <c r="P2821" s="8">
        <f t="shared" si="174"/>
        <v>19122</v>
      </c>
      <c r="Q2821" s="8">
        <f t="shared" si="175"/>
        <v>18966</v>
      </c>
      <c r="R2821" s="2" t="s">
        <v>28</v>
      </c>
      <c r="S2821" s="9">
        <f>VLOOKUP(P2821,$T$2:U2818,2,1)</f>
        <v>0.05</v>
      </c>
    </row>
    <row r="2822" spans="1:19" x14ac:dyDescent="0.25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e">
        <f>VLOOKUP(F2822,'Customer Info'!A2814:I3313,2,0)</f>
        <v>#N/A</v>
      </c>
      <c r="H2822" s="6" t="e">
        <f>VLOOKUP(F2822,'Customer Info'!A2814:I3313,3,0)</f>
        <v>#N/A</v>
      </c>
      <c r="I2822" s="6" t="e">
        <f>VLOOKUP(F2822,'Customer Info'!A2814:I3313,5,0)</f>
        <v>#N/A</v>
      </c>
      <c r="J2822" s="2">
        <v>170</v>
      </c>
      <c r="K2822" s="2">
        <v>153</v>
      </c>
      <c r="L2822" s="2">
        <v>1</v>
      </c>
      <c r="M2822" s="7">
        <f t="shared" si="172"/>
        <v>153</v>
      </c>
      <c r="N2822" s="7">
        <f t="shared" si="173"/>
        <v>170</v>
      </c>
      <c r="O2822" s="2">
        <v>30</v>
      </c>
      <c r="P2822" s="8">
        <f t="shared" si="174"/>
        <v>200</v>
      </c>
      <c r="Q2822" s="8">
        <f t="shared" si="175"/>
        <v>140</v>
      </c>
      <c r="R2822" s="2" t="s">
        <v>50</v>
      </c>
      <c r="S2822" s="9">
        <f>VLOOKUP(P2822,$T$2:U2819,2,1)</f>
        <v>0.02</v>
      </c>
    </row>
    <row r="2823" spans="1:19" x14ac:dyDescent="0.25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e">
        <f>VLOOKUP(F2823,'Customer Info'!A2815:I3314,2,0)</f>
        <v>#N/A</v>
      </c>
      <c r="H2823" s="6" t="e">
        <f>VLOOKUP(F2823,'Customer Info'!A2815:I3314,3,0)</f>
        <v>#N/A</v>
      </c>
      <c r="I2823" s="6" t="e">
        <f>VLOOKUP(F2823,'Customer Info'!A2815:I3314,5,0)</f>
        <v>#N/A</v>
      </c>
      <c r="J2823" s="2">
        <v>1887</v>
      </c>
      <c r="K2823" s="2">
        <v>1763</v>
      </c>
      <c r="L2823" s="2">
        <v>2</v>
      </c>
      <c r="M2823" s="7">
        <f t="shared" si="172"/>
        <v>3526</v>
      </c>
      <c r="N2823" s="7">
        <f t="shared" si="173"/>
        <v>3774</v>
      </c>
      <c r="O2823" s="2">
        <v>45</v>
      </c>
      <c r="P2823" s="8">
        <f t="shared" si="174"/>
        <v>3819</v>
      </c>
      <c r="Q2823" s="8">
        <f t="shared" si="175"/>
        <v>3729</v>
      </c>
      <c r="R2823" s="2" t="s">
        <v>28</v>
      </c>
      <c r="S2823" s="9">
        <f>VLOOKUP(P2823,$T$2:U2820,2,1)</f>
        <v>0.02</v>
      </c>
    </row>
    <row r="2824" spans="1:19" x14ac:dyDescent="0.25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e">
        <f>VLOOKUP(F2824,'Customer Info'!A2816:I3315,2,0)</f>
        <v>#N/A</v>
      </c>
      <c r="H2824" s="6" t="e">
        <f>VLOOKUP(F2824,'Customer Info'!A2816:I3315,3,0)</f>
        <v>#N/A</v>
      </c>
      <c r="I2824" s="6" t="e">
        <f>VLOOKUP(F2824,'Customer Info'!A2816:I3315,5,0)</f>
        <v>#N/A</v>
      </c>
      <c r="J2824" s="2">
        <v>285</v>
      </c>
      <c r="K2824" s="2">
        <v>259</v>
      </c>
      <c r="L2824" s="2">
        <v>1</v>
      </c>
      <c r="M2824" s="7">
        <f t="shared" si="172"/>
        <v>259</v>
      </c>
      <c r="N2824" s="7">
        <f t="shared" si="173"/>
        <v>285</v>
      </c>
      <c r="O2824" s="2">
        <v>80</v>
      </c>
      <c r="P2824" s="8">
        <f t="shared" si="174"/>
        <v>365</v>
      </c>
      <c r="Q2824" s="8">
        <f t="shared" si="175"/>
        <v>205</v>
      </c>
      <c r="R2824" s="2" t="s">
        <v>50</v>
      </c>
      <c r="S2824" s="9">
        <f>VLOOKUP(P2824,$T$2:U2821,2,1)</f>
        <v>0.02</v>
      </c>
    </row>
    <row r="2825" spans="1:19" x14ac:dyDescent="0.25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e">
        <f>VLOOKUP(F2825,'Customer Info'!A2817:I3316,2,0)</f>
        <v>#N/A</v>
      </c>
      <c r="H2825" s="6" t="e">
        <f>VLOOKUP(F2825,'Customer Info'!A2817:I3316,3,0)</f>
        <v>#N/A</v>
      </c>
      <c r="I2825" s="6" t="e">
        <f>VLOOKUP(F2825,'Customer Info'!A2817:I3316,5,0)</f>
        <v>#N/A</v>
      </c>
      <c r="J2825" s="2">
        <v>2250</v>
      </c>
      <c r="K2825" s="2">
        <v>2207</v>
      </c>
      <c r="L2825" s="2">
        <v>2</v>
      </c>
      <c r="M2825" s="7">
        <f t="shared" si="172"/>
        <v>4414</v>
      </c>
      <c r="N2825" s="7">
        <f t="shared" si="173"/>
        <v>4500</v>
      </c>
      <c r="O2825" s="2">
        <v>31</v>
      </c>
      <c r="P2825" s="8">
        <f t="shared" si="174"/>
        <v>4531</v>
      </c>
      <c r="Q2825" s="8">
        <f t="shared" si="175"/>
        <v>4469</v>
      </c>
      <c r="R2825" s="2" t="s">
        <v>50</v>
      </c>
      <c r="S2825" s="9">
        <f>VLOOKUP(P2825,$T$2:U2822,2,1)</f>
        <v>0.02</v>
      </c>
    </row>
    <row r="2826" spans="1:19" x14ac:dyDescent="0.25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e">
        <f>VLOOKUP(F2826,'Customer Info'!A2818:I3317,2,0)</f>
        <v>#N/A</v>
      </c>
      <c r="H2826" s="6" t="e">
        <f>VLOOKUP(F2826,'Customer Info'!A2818:I3317,3,0)</f>
        <v>#N/A</v>
      </c>
      <c r="I2826" s="6" t="e">
        <f>VLOOKUP(F2826,'Customer Info'!A2818:I3317,5,0)</f>
        <v>#N/A</v>
      </c>
      <c r="J2826" s="2">
        <v>1358</v>
      </c>
      <c r="K2826" s="2">
        <v>1257</v>
      </c>
      <c r="L2826" s="2">
        <v>8</v>
      </c>
      <c r="M2826" s="7">
        <f t="shared" si="172"/>
        <v>10056</v>
      </c>
      <c r="N2826" s="7">
        <f t="shared" si="173"/>
        <v>10864</v>
      </c>
      <c r="O2826" s="2">
        <v>27</v>
      </c>
      <c r="P2826" s="8">
        <f t="shared" si="174"/>
        <v>10891</v>
      </c>
      <c r="Q2826" s="8">
        <f t="shared" si="175"/>
        <v>10837</v>
      </c>
      <c r="R2826" s="2" t="s">
        <v>50</v>
      </c>
      <c r="S2826" s="9">
        <f>VLOOKUP(P2826,$T$2:U2823,2,1)</f>
        <v>0.05</v>
      </c>
    </row>
    <row r="2827" spans="1:19" x14ac:dyDescent="0.25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e">
        <f>VLOOKUP(F2827,'Customer Info'!A2819:I3318,2,0)</f>
        <v>#N/A</v>
      </c>
      <c r="H2827" s="6" t="e">
        <f>VLOOKUP(F2827,'Customer Info'!A2819:I3318,3,0)</f>
        <v>#N/A</v>
      </c>
      <c r="I2827" s="6" t="e">
        <f>VLOOKUP(F2827,'Customer Info'!A2819:I3318,5,0)</f>
        <v>#N/A</v>
      </c>
      <c r="J2827" s="2">
        <v>2243</v>
      </c>
      <c r="K2827" s="2">
        <v>2000</v>
      </c>
      <c r="L2827" s="2">
        <v>3</v>
      </c>
      <c r="M2827" s="7">
        <f t="shared" ref="M2827:M2890" si="176">K2827*L2827</f>
        <v>6000</v>
      </c>
      <c r="N2827" s="7">
        <f t="shared" ref="N2827:N2890" si="177">J2827*L2827</f>
        <v>6729</v>
      </c>
      <c r="O2827" s="2">
        <v>73</v>
      </c>
      <c r="P2827" s="8">
        <f t="shared" ref="P2827:P2890" si="178">SUM(N2827,O2827)</f>
        <v>6802</v>
      </c>
      <c r="Q2827" s="8">
        <f t="shared" ref="Q2827:Q2890" si="179">N2827-O2827</f>
        <v>6656</v>
      </c>
      <c r="R2827" s="2" t="s">
        <v>28</v>
      </c>
      <c r="S2827" s="9">
        <f>VLOOKUP(P2827,$T$2:U2824,2,1)</f>
        <v>0.05</v>
      </c>
    </row>
    <row r="2828" spans="1:19" x14ac:dyDescent="0.25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e">
        <f>VLOOKUP(F2828,'Customer Info'!A2820:I3319,2,0)</f>
        <v>#N/A</v>
      </c>
      <c r="H2828" s="6" t="e">
        <f>VLOOKUP(F2828,'Customer Info'!A2820:I3319,3,0)</f>
        <v>#N/A</v>
      </c>
      <c r="I2828" s="6" t="e">
        <f>VLOOKUP(F2828,'Customer Info'!A2820:I3319,5,0)</f>
        <v>#N/A</v>
      </c>
      <c r="J2828" s="2">
        <v>8686</v>
      </c>
      <c r="K2828" s="2">
        <v>8035</v>
      </c>
      <c r="L2828" s="2">
        <v>13</v>
      </c>
      <c r="M2828" s="7">
        <f t="shared" si="176"/>
        <v>104455</v>
      </c>
      <c r="N2828" s="7">
        <f t="shared" si="177"/>
        <v>112918</v>
      </c>
      <c r="O2828" s="2">
        <v>24</v>
      </c>
      <c r="P2828" s="8">
        <f t="shared" si="178"/>
        <v>112942</v>
      </c>
      <c r="Q2828" s="8">
        <f t="shared" si="179"/>
        <v>112894</v>
      </c>
      <c r="R2828" s="2" t="s">
        <v>28</v>
      </c>
      <c r="S2828" s="9">
        <f>VLOOKUP(P2828,$T$2:U2825,2,1)</f>
        <v>0.12</v>
      </c>
    </row>
    <row r="2829" spans="1:19" x14ac:dyDescent="0.25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e">
        <f>VLOOKUP(F2829,'Customer Info'!A2821:I3320,2,0)</f>
        <v>#N/A</v>
      </c>
      <c r="H2829" s="6" t="e">
        <f>VLOOKUP(F2829,'Customer Info'!A2821:I3320,3,0)</f>
        <v>#N/A</v>
      </c>
      <c r="I2829" s="6" t="e">
        <f>VLOOKUP(F2829,'Customer Info'!A2821:I3320,5,0)</f>
        <v>#N/A</v>
      </c>
      <c r="J2829" s="2">
        <v>164</v>
      </c>
      <c r="K2829" s="2">
        <v>152</v>
      </c>
      <c r="L2829" s="2">
        <v>1</v>
      </c>
      <c r="M2829" s="7">
        <f t="shared" si="176"/>
        <v>152</v>
      </c>
      <c r="N2829" s="7">
        <f t="shared" si="177"/>
        <v>164</v>
      </c>
      <c r="O2829" s="2">
        <v>30</v>
      </c>
      <c r="P2829" s="8">
        <f t="shared" si="178"/>
        <v>194</v>
      </c>
      <c r="Q2829" s="8">
        <f t="shared" si="179"/>
        <v>134</v>
      </c>
      <c r="R2829" s="2" t="s">
        <v>50</v>
      </c>
      <c r="S2829" s="9">
        <f>VLOOKUP(P2829,$T$2:U2826,2,1)</f>
        <v>0.02</v>
      </c>
    </row>
    <row r="2830" spans="1:19" x14ac:dyDescent="0.25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e">
        <f>VLOOKUP(F2830,'Customer Info'!A2822:I3321,2,0)</f>
        <v>#N/A</v>
      </c>
      <c r="H2830" s="6" t="e">
        <f>VLOOKUP(F2830,'Customer Info'!A2822:I3321,3,0)</f>
        <v>#N/A</v>
      </c>
      <c r="I2830" s="6" t="e">
        <f>VLOOKUP(F2830,'Customer Info'!A2822:I3321,5,0)</f>
        <v>#N/A</v>
      </c>
      <c r="J2830" s="2">
        <v>932</v>
      </c>
      <c r="K2830" s="2">
        <v>838</v>
      </c>
      <c r="L2830" s="2">
        <v>2</v>
      </c>
      <c r="M2830" s="7">
        <f t="shared" si="176"/>
        <v>1676</v>
      </c>
      <c r="N2830" s="7">
        <f t="shared" si="177"/>
        <v>1864</v>
      </c>
      <c r="O2830" s="2">
        <v>90</v>
      </c>
      <c r="P2830" s="8">
        <f t="shared" si="178"/>
        <v>1954</v>
      </c>
      <c r="Q2830" s="8">
        <f t="shared" si="179"/>
        <v>1774</v>
      </c>
      <c r="R2830" s="2" t="s">
        <v>50</v>
      </c>
      <c r="S2830" s="9">
        <f>VLOOKUP(P2830,$T$2:U2827,2,1)</f>
        <v>0.02</v>
      </c>
    </row>
    <row r="2831" spans="1:19" x14ac:dyDescent="0.25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e">
        <f>VLOOKUP(F2831,'Customer Info'!A2823:I3322,2,0)</f>
        <v>#N/A</v>
      </c>
      <c r="H2831" s="6" t="e">
        <f>VLOOKUP(F2831,'Customer Info'!A2823:I3322,3,0)</f>
        <v>#N/A</v>
      </c>
      <c r="I2831" s="6" t="e">
        <f>VLOOKUP(F2831,'Customer Info'!A2823:I3322,5,0)</f>
        <v>#N/A</v>
      </c>
      <c r="J2831" s="2">
        <v>4704</v>
      </c>
      <c r="K2831" s="2">
        <v>4361</v>
      </c>
      <c r="L2831" s="2">
        <v>1</v>
      </c>
      <c r="M2831" s="7">
        <f t="shared" si="176"/>
        <v>4361</v>
      </c>
      <c r="N2831" s="7">
        <f t="shared" si="177"/>
        <v>4704</v>
      </c>
      <c r="O2831" s="2">
        <v>40</v>
      </c>
      <c r="P2831" s="8">
        <f t="shared" si="178"/>
        <v>4744</v>
      </c>
      <c r="Q2831" s="8">
        <f t="shared" si="179"/>
        <v>4664</v>
      </c>
      <c r="R2831" s="2" t="s">
        <v>28</v>
      </c>
      <c r="S2831" s="9">
        <f>VLOOKUP(P2831,$T$2:U2828,2,1)</f>
        <v>0.02</v>
      </c>
    </row>
    <row r="2832" spans="1:19" x14ac:dyDescent="0.25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e">
        <f>VLOOKUP(F2832,'Customer Info'!A2824:I3323,2,0)</f>
        <v>#N/A</v>
      </c>
      <c r="H2832" s="6" t="e">
        <f>VLOOKUP(F2832,'Customer Info'!A2824:I3323,3,0)</f>
        <v>#N/A</v>
      </c>
      <c r="I2832" s="6" t="e">
        <f>VLOOKUP(F2832,'Customer Info'!A2824:I3323,5,0)</f>
        <v>#N/A</v>
      </c>
      <c r="J2832" s="2">
        <v>954</v>
      </c>
      <c r="K2832" s="2">
        <v>901</v>
      </c>
      <c r="L2832" s="2">
        <v>3</v>
      </c>
      <c r="M2832" s="7">
        <f t="shared" si="176"/>
        <v>2703</v>
      </c>
      <c r="N2832" s="7">
        <f t="shared" si="177"/>
        <v>2862</v>
      </c>
      <c r="O2832" s="2">
        <v>60</v>
      </c>
      <c r="P2832" s="8">
        <f t="shared" si="178"/>
        <v>2922</v>
      </c>
      <c r="Q2832" s="8">
        <f t="shared" si="179"/>
        <v>2802</v>
      </c>
      <c r="R2832" s="2" t="s">
        <v>28</v>
      </c>
      <c r="S2832" s="9">
        <f>VLOOKUP(P2832,$T$2:U2829,2,1)</f>
        <v>0.02</v>
      </c>
    </row>
    <row r="2833" spans="1:19" x14ac:dyDescent="0.25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e">
        <f>VLOOKUP(F2833,'Customer Info'!A2825:I3324,2,0)</f>
        <v>#N/A</v>
      </c>
      <c r="H2833" s="6" t="e">
        <f>VLOOKUP(F2833,'Customer Info'!A2825:I3324,3,0)</f>
        <v>#N/A</v>
      </c>
      <c r="I2833" s="6" t="e">
        <f>VLOOKUP(F2833,'Customer Info'!A2825:I3324,5,0)</f>
        <v>#N/A</v>
      </c>
      <c r="J2833" s="2">
        <v>3041</v>
      </c>
      <c r="K2833" s="2">
        <v>2927</v>
      </c>
      <c r="L2833" s="2">
        <v>1</v>
      </c>
      <c r="M2833" s="7">
        <f t="shared" si="176"/>
        <v>2927</v>
      </c>
      <c r="N2833" s="7">
        <f t="shared" si="177"/>
        <v>3041</v>
      </c>
      <c r="O2833" s="2">
        <v>96</v>
      </c>
      <c r="P2833" s="8">
        <f t="shared" si="178"/>
        <v>3137</v>
      </c>
      <c r="Q2833" s="8">
        <f t="shared" si="179"/>
        <v>2945</v>
      </c>
      <c r="R2833" s="2" t="s">
        <v>28</v>
      </c>
      <c r="S2833" s="9">
        <f>VLOOKUP(P2833,$T$2:U2830,2,1)</f>
        <v>0.02</v>
      </c>
    </row>
    <row r="2834" spans="1:19" x14ac:dyDescent="0.25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e">
        <f>VLOOKUP(F2834,'Customer Info'!A2826:I3325,2,0)</f>
        <v>#N/A</v>
      </c>
      <c r="H2834" s="6" t="e">
        <f>VLOOKUP(F2834,'Customer Info'!A2826:I3325,3,0)</f>
        <v>#N/A</v>
      </c>
      <c r="I2834" s="6" t="e">
        <f>VLOOKUP(F2834,'Customer Info'!A2826:I3325,5,0)</f>
        <v>#N/A</v>
      </c>
      <c r="J2834" s="2">
        <v>7623</v>
      </c>
      <c r="K2834" s="2">
        <v>7064</v>
      </c>
      <c r="L2834" s="2">
        <v>3</v>
      </c>
      <c r="M2834" s="7">
        <f t="shared" si="176"/>
        <v>21192</v>
      </c>
      <c r="N2834" s="7">
        <f t="shared" si="177"/>
        <v>22869</v>
      </c>
      <c r="O2834" s="2">
        <v>90</v>
      </c>
      <c r="P2834" s="8">
        <f t="shared" si="178"/>
        <v>22959</v>
      </c>
      <c r="Q2834" s="8">
        <f t="shared" si="179"/>
        <v>22779</v>
      </c>
      <c r="R2834" s="2" t="s">
        <v>28</v>
      </c>
      <c r="S2834" s="9">
        <f>VLOOKUP(P2834,$T$2:U2831,2,1)</f>
        <v>0.05</v>
      </c>
    </row>
    <row r="2835" spans="1:19" x14ac:dyDescent="0.25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e">
        <f>VLOOKUP(F2835,'Customer Info'!A2827:I3326,2,0)</f>
        <v>#N/A</v>
      </c>
      <c r="H2835" s="6" t="e">
        <f>VLOOKUP(F2835,'Customer Info'!A2827:I3326,3,0)</f>
        <v>#N/A</v>
      </c>
      <c r="I2835" s="6" t="e">
        <f>VLOOKUP(F2835,'Customer Info'!A2827:I3326,5,0)</f>
        <v>#N/A</v>
      </c>
      <c r="J2835" s="2">
        <v>1635</v>
      </c>
      <c r="K2835" s="2">
        <v>1573</v>
      </c>
      <c r="L2835" s="2">
        <v>6</v>
      </c>
      <c r="M2835" s="7">
        <f t="shared" si="176"/>
        <v>9438</v>
      </c>
      <c r="N2835" s="7">
        <f t="shared" si="177"/>
        <v>9810</v>
      </c>
      <c r="O2835" s="2">
        <v>50</v>
      </c>
      <c r="P2835" s="8">
        <f t="shared" si="178"/>
        <v>9860</v>
      </c>
      <c r="Q2835" s="8">
        <f t="shared" si="179"/>
        <v>9760</v>
      </c>
      <c r="R2835" s="2" t="s">
        <v>28</v>
      </c>
      <c r="S2835" s="9">
        <f>VLOOKUP(P2835,$T$2:U2832,2,1)</f>
        <v>0.05</v>
      </c>
    </row>
    <row r="2836" spans="1:19" x14ac:dyDescent="0.25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e">
        <f>VLOOKUP(F2836,'Customer Info'!A2828:I3327,2,0)</f>
        <v>#N/A</v>
      </c>
      <c r="H2836" s="6" t="e">
        <f>VLOOKUP(F2836,'Customer Info'!A2828:I3327,3,0)</f>
        <v>#N/A</v>
      </c>
      <c r="I2836" s="6" t="e">
        <f>VLOOKUP(F2836,'Customer Info'!A2828:I3327,5,0)</f>
        <v>#N/A</v>
      </c>
      <c r="J2836" s="2">
        <v>6012</v>
      </c>
      <c r="K2836" s="2">
        <v>5677</v>
      </c>
      <c r="L2836" s="2">
        <v>2</v>
      </c>
      <c r="M2836" s="7">
        <f t="shared" si="176"/>
        <v>11354</v>
      </c>
      <c r="N2836" s="7">
        <f t="shared" si="177"/>
        <v>12024</v>
      </c>
      <c r="O2836" s="2">
        <v>31</v>
      </c>
      <c r="P2836" s="8">
        <f t="shared" si="178"/>
        <v>12055</v>
      </c>
      <c r="Q2836" s="8">
        <f t="shared" si="179"/>
        <v>11993</v>
      </c>
      <c r="R2836" s="2" t="s">
        <v>50</v>
      </c>
      <c r="S2836" s="9">
        <f>VLOOKUP(P2836,$T$2:U2833,2,1)</f>
        <v>0.05</v>
      </c>
    </row>
    <row r="2837" spans="1:19" x14ac:dyDescent="0.25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e">
        <f>VLOOKUP(F2837,'Customer Info'!A2829:I3328,2,0)</f>
        <v>#N/A</v>
      </c>
      <c r="H2837" s="6" t="e">
        <f>VLOOKUP(F2837,'Customer Info'!A2829:I3328,3,0)</f>
        <v>#N/A</v>
      </c>
      <c r="I2837" s="6" t="e">
        <f>VLOOKUP(F2837,'Customer Info'!A2829:I3328,5,0)</f>
        <v>#N/A</v>
      </c>
      <c r="J2837" s="2">
        <v>130</v>
      </c>
      <c r="K2837" s="2">
        <v>122</v>
      </c>
      <c r="L2837" s="2">
        <v>3</v>
      </c>
      <c r="M2837" s="7">
        <f t="shared" si="176"/>
        <v>366</v>
      </c>
      <c r="N2837" s="7">
        <f t="shared" si="177"/>
        <v>390</v>
      </c>
      <c r="O2837" s="2">
        <v>30</v>
      </c>
      <c r="P2837" s="8">
        <f t="shared" si="178"/>
        <v>420</v>
      </c>
      <c r="Q2837" s="8">
        <f t="shared" si="179"/>
        <v>360</v>
      </c>
      <c r="R2837" s="2" t="s">
        <v>50</v>
      </c>
      <c r="S2837" s="9">
        <f>VLOOKUP(P2837,$T$2:U2834,2,1)</f>
        <v>0.02</v>
      </c>
    </row>
    <row r="2838" spans="1:19" x14ac:dyDescent="0.25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e">
        <f>VLOOKUP(F2838,'Customer Info'!A2830:I3329,2,0)</f>
        <v>#N/A</v>
      </c>
      <c r="H2838" s="6" t="e">
        <f>VLOOKUP(F2838,'Customer Info'!A2830:I3329,3,0)</f>
        <v>#N/A</v>
      </c>
      <c r="I2838" s="6" t="e">
        <f>VLOOKUP(F2838,'Customer Info'!A2830:I3329,5,0)</f>
        <v>#N/A</v>
      </c>
      <c r="J2838" s="2">
        <v>8889</v>
      </c>
      <c r="K2838" s="2">
        <v>8469</v>
      </c>
      <c r="L2838" s="2">
        <v>6</v>
      </c>
      <c r="M2838" s="7">
        <f t="shared" si="176"/>
        <v>50814</v>
      </c>
      <c r="N2838" s="7">
        <f t="shared" si="177"/>
        <v>53334</v>
      </c>
      <c r="O2838" s="2">
        <v>75</v>
      </c>
      <c r="P2838" s="8">
        <f t="shared" si="178"/>
        <v>53409</v>
      </c>
      <c r="Q2838" s="8">
        <f t="shared" si="179"/>
        <v>53259</v>
      </c>
      <c r="R2838" s="2" t="s">
        <v>28</v>
      </c>
      <c r="S2838" s="9">
        <f>VLOOKUP(P2838,$T$2:U2835,2,1)</f>
        <v>0.09</v>
      </c>
    </row>
    <row r="2839" spans="1:19" x14ac:dyDescent="0.25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e">
        <f>VLOOKUP(F2839,'Customer Info'!A2831:I3330,2,0)</f>
        <v>#N/A</v>
      </c>
      <c r="H2839" s="6" t="e">
        <f>VLOOKUP(F2839,'Customer Info'!A2831:I3330,3,0)</f>
        <v>#N/A</v>
      </c>
      <c r="I2839" s="6" t="e">
        <f>VLOOKUP(F2839,'Customer Info'!A2831:I3330,5,0)</f>
        <v>#N/A</v>
      </c>
      <c r="J2839" s="2">
        <v>6664</v>
      </c>
      <c r="K2839" s="2">
        <v>6473</v>
      </c>
      <c r="L2839" s="2">
        <v>2</v>
      </c>
      <c r="M2839" s="7">
        <f t="shared" si="176"/>
        <v>12946</v>
      </c>
      <c r="N2839" s="7">
        <f t="shared" si="177"/>
        <v>13328</v>
      </c>
      <c r="O2839" s="2">
        <v>26</v>
      </c>
      <c r="P2839" s="8">
        <f t="shared" si="178"/>
        <v>13354</v>
      </c>
      <c r="Q2839" s="8">
        <f t="shared" si="179"/>
        <v>13302</v>
      </c>
      <c r="R2839" s="2" t="s">
        <v>28</v>
      </c>
      <c r="S2839" s="9">
        <f>VLOOKUP(P2839,$T$2:U2836,2,1)</f>
        <v>0.05</v>
      </c>
    </row>
    <row r="2840" spans="1:19" x14ac:dyDescent="0.25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e">
        <f>VLOOKUP(F2840,'Customer Info'!A2832:I3331,2,0)</f>
        <v>#N/A</v>
      </c>
      <c r="H2840" s="6" t="e">
        <f>VLOOKUP(F2840,'Customer Info'!A2832:I3331,3,0)</f>
        <v>#N/A</v>
      </c>
      <c r="I2840" s="6" t="e">
        <f>VLOOKUP(F2840,'Customer Info'!A2832:I3331,5,0)</f>
        <v>#N/A</v>
      </c>
      <c r="J2840" s="2">
        <v>7864</v>
      </c>
      <c r="K2840" s="2">
        <v>7563</v>
      </c>
      <c r="L2840" s="2">
        <v>1</v>
      </c>
      <c r="M2840" s="7">
        <f t="shared" si="176"/>
        <v>7563</v>
      </c>
      <c r="N2840" s="7">
        <f t="shared" si="177"/>
        <v>7864</v>
      </c>
      <c r="O2840" s="2">
        <v>54</v>
      </c>
      <c r="P2840" s="8">
        <f t="shared" si="178"/>
        <v>7918</v>
      </c>
      <c r="Q2840" s="8">
        <f t="shared" si="179"/>
        <v>7810</v>
      </c>
      <c r="R2840" s="2" t="s">
        <v>28</v>
      </c>
      <c r="S2840" s="9">
        <f>VLOOKUP(P2840,$T$2:U2837,2,1)</f>
        <v>0.05</v>
      </c>
    </row>
    <row r="2841" spans="1:19" x14ac:dyDescent="0.25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e">
        <f>VLOOKUP(F2841,'Customer Info'!A2833:I3332,2,0)</f>
        <v>#N/A</v>
      </c>
      <c r="H2841" s="6" t="e">
        <f>VLOOKUP(F2841,'Customer Info'!A2833:I3332,3,0)</f>
        <v>#N/A</v>
      </c>
      <c r="I2841" s="6" t="e">
        <f>VLOOKUP(F2841,'Customer Info'!A2833:I3332,5,0)</f>
        <v>#N/A</v>
      </c>
      <c r="J2841" s="2">
        <v>3408</v>
      </c>
      <c r="K2841" s="2">
        <v>3215</v>
      </c>
      <c r="L2841" s="2">
        <v>2</v>
      </c>
      <c r="M2841" s="7">
        <f t="shared" si="176"/>
        <v>6430</v>
      </c>
      <c r="N2841" s="7">
        <f t="shared" si="177"/>
        <v>6816</v>
      </c>
      <c r="O2841" s="2">
        <v>85</v>
      </c>
      <c r="P2841" s="8">
        <f t="shared" si="178"/>
        <v>6901</v>
      </c>
      <c r="Q2841" s="8">
        <f t="shared" si="179"/>
        <v>6731</v>
      </c>
      <c r="R2841" s="2" t="s">
        <v>26</v>
      </c>
      <c r="S2841" s="9">
        <f>VLOOKUP(P2841,$T$2:U2838,2,1)</f>
        <v>0.05</v>
      </c>
    </row>
    <row r="2842" spans="1:19" x14ac:dyDescent="0.25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e">
        <f>VLOOKUP(F2842,'Customer Info'!A2834:I3333,2,0)</f>
        <v>#N/A</v>
      </c>
      <c r="H2842" s="6" t="e">
        <f>VLOOKUP(F2842,'Customer Info'!A2834:I3333,3,0)</f>
        <v>#N/A</v>
      </c>
      <c r="I2842" s="6" t="e">
        <f>VLOOKUP(F2842,'Customer Info'!A2834:I3333,5,0)</f>
        <v>#N/A</v>
      </c>
      <c r="J2842" s="2">
        <v>224</v>
      </c>
      <c r="K2842" s="2">
        <v>210</v>
      </c>
      <c r="L2842" s="2">
        <v>5</v>
      </c>
      <c r="M2842" s="7">
        <f t="shared" si="176"/>
        <v>1050</v>
      </c>
      <c r="N2842" s="7">
        <f t="shared" si="177"/>
        <v>1120</v>
      </c>
      <c r="O2842" s="2">
        <v>73</v>
      </c>
      <c r="P2842" s="8">
        <f t="shared" si="178"/>
        <v>1193</v>
      </c>
      <c r="Q2842" s="8">
        <f t="shared" si="179"/>
        <v>1047</v>
      </c>
      <c r="R2842" s="2" t="s">
        <v>28</v>
      </c>
      <c r="S2842" s="9">
        <f>VLOOKUP(P2842,$T$2:U2839,2,1)</f>
        <v>0.02</v>
      </c>
    </row>
    <row r="2843" spans="1:19" x14ac:dyDescent="0.25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e">
        <f>VLOOKUP(F2843,'Customer Info'!A2835:I3334,2,0)</f>
        <v>#N/A</v>
      </c>
      <c r="H2843" s="6" t="e">
        <f>VLOOKUP(F2843,'Customer Info'!A2835:I3334,3,0)</f>
        <v>#N/A</v>
      </c>
      <c r="I2843" s="6" t="e">
        <f>VLOOKUP(F2843,'Customer Info'!A2835:I3334,5,0)</f>
        <v>#N/A</v>
      </c>
      <c r="J2843" s="2">
        <v>202</v>
      </c>
      <c r="K2843" s="2">
        <v>187</v>
      </c>
      <c r="L2843" s="2">
        <v>4</v>
      </c>
      <c r="M2843" s="7">
        <f t="shared" si="176"/>
        <v>748</v>
      </c>
      <c r="N2843" s="7">
        <f t="shared" si="177"/>
        <v>808</v>
      </c>
      <c r="O2843" s="2">
        <v>30</v>
      </c>
      <c r="P2843" s="8">
        <f t="shared" si="178"/>
        <v>838</v>
      </c>
      <c r="Q2843" s="8">
        <f t="shared" si="179"/>
        <v>778</v>
      </c>
      <c r="R2843" s="2" t="s">
        <v>50</v>
      </c>
      <c r="S2843" s="9">
        <f>VLOOKUP(P2843,$T$2:U2840,2,1)</f>
        <v>0.02</v>
      </c>
    </row>
    <row r="2844" spans="1:19" x14ac:dyDescent="0.25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e">
        <f>VLOOKUP(F2844,'Customer Info'!A2836:I3335,2,0)</f>
        <v>#N/A</v>
      </c>
      <c r="H2844" s="6" t="e">
        <f>VLOOKUP(F2844,'Customer Info'!A2836:I3335,3,0)</f>
        <v>#N/A</v>
      </c>
      <c r="I2844" s="6" t="e">
        <f>VLOOKUP(F2844,'Customer Info'!A2836:I3335,5,0)</f>
        <v>#N/A</v>
      </c>
      <c r="J2844" s="2">
        <v>2965</v>
      </c>
      <c r="K2844" s="2">
        <v>2694</v>
      </c>
      <c r="L2844" s="2">
        <v>6</v>
      </c>
      <c r="M2844" s="7">
        <f t="shared" si="176"/>
        <v>16164</v>
      </c>
      <c r="N2844" s="7">
        <f t="shared" si="177"/>
        <v>17790</v>
      </c>
      <c r="O2844" s="2">
        <v>49</v>
      </c>
      <c r="P2844" s="8">
        <f t="shared" si="178"/>
        <v>17839</v>
      </c>
      <c r="Q2844" s="8">
        <f t="shared" si="179"/>
        <v>17741</v>
      </c>
      <c r="R2844" s="2" t="s">
        <v>28</v>
      </c>
      <c r="S2844" s="9">
        <f>VLOOKUP(P2844,$T$2:U2841,2,1)</f>
        <v>0.05</v>
      </c>
    </row>
    <row r="2845" spans="1:19" x14ac:dyDescent="0.25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e">
        <f>VLOOKUP(F2845,'Customer Info'!A2837:I3336,2,0)</f>
        <v>#N/A</v>
      </c>
      <c r="H2845" s="6" t="e">
        <f>VLOOKUP(F2845,'Customer Info'!A2837:I3336,3,0)</f>
        <v>#N/A</v>
      </c>
      <c r="I2845" s="6" t="e">
        <f>VLOOKUP(F2845,'Customer Info'!A2837:I3336,5,0)</f>
        <v>#N/A</v>
      </c>
      <c r="J2845" s="2">
        <v>2365</v>
      </c>
      <c r="K2845" s="2">
        <v>2232</v>
      </c>
      <c r="L2845" s="2">
        <v>2</v>
      </c>
      <c r="M2845" s="7">
        <f t="shared" si="176"/>
        <v>4464</v>
      </c>
      <c r="N2845" s="7">
        <f t="shared" si="177"/>
        <v>4730</v>
      </c>
      <c r="O2845" s="2">
        <v>24</v>
      </c>
      <c r="P2845" s="8">
        <f t="shared" si="178"/>
        <v>4754</v>
      </c>
      <c r="Q2845" s="8">
        <f t="shared" si="179"/>
        <v>4706</v>
      </c>
      <c r="R2845" s="2" t="s">
        <v>28</v>
      </c>
      <c r="S2845" s="9">
        <f>VLOOKUP(P2845,$T$2:U2842,2,1)</f>
        <v>0.02</v>
      </c>
    </row>
    <row r="2846" spans="1:19" x14ac:dyDescent="0.25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e">
        <f>VLOOKUP(F2846,'Customer Info'!A2838:I3337,2,0)</f>
        <v>#N/A</v>
      </c>
      <c r="H2846" s="6" t="e">
        <f>VLOOKUP(F2846,'Customer Info'!A2838:I3337,3,0)</f>
        <v>#N/A</v>
      </c>
      <c r="I2846" s="6" t="e">
        <f>VLOOKUP(F2846,'Customer Info'!A2838:I3337,5,0)</f>
        <v>#N/A</v>
      </c>
      <c r="J2846" s="2">
        <v>3041</v>
      </c>
      <c r="K2846" s="2">
        <v>2927</v>
      </c>
      <c r="L2846" s="2">
        <v>1</v>
      </c>
      <c r="M2846" s="7">
        <f t="shared" si="176"/>
        <v>2927</v>
      </c>
      <c r="N2846" s="7">
        <f t="shared" si="177"/>
        <v>3041</v>
      </c>
      <c r="O2846" s="2">
        <v>81</v>
      </c>
      <c r="P2846" s="8">
        <f t="shared" si="178"/>
        <v>3122</v>
      </c>
      <c r="Q2846" s="8">
        <f t="shared" si="179"/>
        <v>2960</v>
      </c>
      <c r="R2846" s="2" t="s">
        <v>50</v>
      </c>
      <c r="S2846" s="9">
        <f>VLOOKUP(P2846,$T$2:U2843,2,1)</f>
        <v>0.02</v>
      </c>
    </row>
    <row r="2847" spans="1:19" x14ac:dyDescent="0.25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e">
        <f>VLOOKUP(F2847,'Customer Info'!A2839:I3338,2,0)</f>
        <v>#N/A</v>
      </c>
      <c r="H2847" s="6" t="e">
        <f>VLOOKUP(F2847,'Customer Info'!A2839:I3338,3,0)</f>
        <v>#N/A</v>
      </c>
      <c r="I2847" s="6" t="e">
        <f>VLOOKUP(F2847,'Customer Info'!A2839:I3338,5,0)</f>
        <v>#N/A</v>
      </c>
      <c r="J2847" s="2">
        <v>7623</v>
      </c>
      <c r="K2847" s="2">
        <v>7064</v>
      </c>
      <c r="L2847" s="2">
        <v>3</v>
      </c>
      <c r="M2847" s="7">
        <f t="shared" si="176"/>
        <v>21192</v>
      </c>
      <c r="N2847" s="7">
        <f t="shared" si="177"/>
        <v>22869</v>
      </c>
      <c r="O2847" s="2">
        <v>63</v>
      </c>
      <c r="P2847" s="8">
        <f t="shared" si="178"/>
        <v>22932</v>
      </c>
      <c r="Q2847" s="8">
        <f t="shared" si="179"/>
        <v>22806</v>
      </c>
      <c r="R2847" s="2" t="s">
        <v>50</v>
      </c>
      <c r="S2847" s="9">
        <f>VLOOKUP(P2847,$T$2:U2844,2,1)</f>
        <v>0.05</v>
      </c>
    </row>
    <row r="2848" spans="1:19" x14ac:dyDescent="0.25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e">
        <f>VLOOKUP(F2848,'Customer Info'!A2840:I3339,2,0)</f>
        <v>#N/A</v>
      </c>
      <c r="H2848" s="6" t="e">
        <f>VLOOKUP(F2848,'Customer Info'!A2840:I3339,3,0)</f>
        <v>#N/A</v>
      </c>
      <c r="I2848" s="6" t="e">
        <f>VLOOKUP(F2848,'Customer Info'!A2840:I3339,5,0)</f>
        <v>#N/A</v>
      </c>
      <c r="J2848" s="2">
        <v>1306</v>
      </c>
      <c r="K2848" s="2">
        <v>1197</v>
      </c>
      <c r="L2848" s="2">
        <v>1</v>
      </c>
      <c r="M2848" s="7">
        <f t="shared" si="176"/>
        <v>1197</v>
      </c>
      <c r="N2848" s="7">
        <f t="shared" si="177"/>
        <v>1306</v>
      </c>
      <c r="O2848" s="2">
        <v>70</v>
      </c>
      <c r="P2848" s="8">
        <f t="shared" si="178"/>
        <v>1376</v>
      </c>
      <c r="Q2848" s="8">
        <f t="shared" si="179"/>
        <v>1236</v>
      </c>
      <c r="R2848" s="2" t="s">
        <v>28</v>
      </c>
      <c r="S2848" s="9">
        <f>VLOOKUP(P2848,$T$2:U2845,2,1)</f>
        <v>0.02</v>
      </c>
    </row>
    <row r="2849" spans="1:19" x14ac:dyDescent="0.25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e">
        <f>VLOOKUP(F2849,'Customer Info'!A2841:I3340,2,0)</f>
        <v>#N/A</v>
      </c>
      <c r="H2849" s="6" t="e">
        <f>VLOOKUP(F2849,'Customer Info'!A2841:I3340,3,0)</f>
        <v>#N/A</v>
      </c>
      <c r="I2849" s="6" t="e">
        <f>VLOOKUP(F2849,'Customer Info'!A2841:I3340,5,0)</f>
        <v>#N/A</v>
      </c>
      <c r="J2849" s="2">
        <v>2829</v>
      </c>
      <c r="K2849" s="2">
        <v>2596</v>
      </c>
      <c r="L2849" s="2">
        <v>4</v>
      </c>
      <c r="M2849" s="7">
        <f t="shared" si="176"/>
        <v>10384</v>
      </c>
      <c r="N2849" s="7">
        <f t="shared" si="177"/>
        <v>11316</v>
      </c>
      <c r="O2849" s="2">
        <v>20</v>
      </c>
      <c r="P2849" s="8">
        <f t="shared" si="178"/>
        <v>11336</v>
      </c>
      <c r="Q2849" s="8">
        <f t="shared" si="179"/>
        <v>11296</v>
      </c>
      <c r="R2849" s="2" t="s">
        <v>28</v>
      </c>
      <c r="S2849" s="9">
        <f>VLOOKUP(P2849,$T$2:U2846,2,1)</f>
        <v>0.05</v>
      </c>
    </row>
    <row r="2850" spans="1:19" x14ac:dyDescent="0.25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e">
        <f>VLOOKUP(F2850,'Customer Info'!A2842:I3341,2,0)</f>
        <v>#N/A</v>
      </c>
      <c r="H2850" s="6" t="e">
        <f>VLOOKUP(F2850,'Customer Info'!A2842:I3341,3,0)</f>
        <v>#N/A</v>
      </c>
      <c r="I2850" s="6" t="e">
        <f>VLOOKUP(F2850,'Customer Info'!A2842:I3341,5,0)</f>
        <v>#N/A</v>
      </c>
      <c r="J2850" s="2">
        <v>3354</v>
      </c>
      <c r="K2850" s="2">
        <v>3102</v>
      </c>
      <c r="L2850" s="2">
        <v>3</v>
      </c>
      <c r="M2850" s="7">
        <f t="shared" si="176"/>
        <v>9306</v>
      </c>
      <c r="N2850" s="7">
        <f t="shared" si="177"/>
        <v>10062</v>
      </c>
      <c r="O2850" s="2">
        <v>49</v>
      </c>
      <c r="P2850" s="8">
        <f t="shared" si="178"/>
        <v>10111</v>
      </c>
      <c r="Q2850" s="8">
        <f t="shared" si="179"/>
        <v>10013</v>
      </c>
      <c r="R2850" s="2" t="s">
        <v>28</v>
      </c>
      <c r="S2850" s="9">
        <f>VLOOKUP(P2850,$T$2:U2847,2,1)</f>
        <v>0.05</v>
      </c>
    </row>
    <row r="2851" spans="1:19" x14ac:dyDescent="0.25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e">
        <f>VLOOKUP(F2851,'Customer Info'!A2843:I3342,2,0)</f>
        <v>#N/A</v>
      </c>
      <c r="H2851" s="6" t="e">
        <f>VLOOKUP(F2851,'Customer Info'!A2843:I3342,3,0)</f>
        <v>#N/A</v>
      </c>
      <c r="I2851" s="6" t="e">
        <f>VLOOKUP(F2851,'Customer Info'!A2843:I3342,5,0)</f>
        <v>#N/A</v>
      </c>
      <c r="J2851" s="2">
        <v>8433</v>
      </c>
      <c r="K2851" s="2">
        <v>7801</v>
      </c>
      <c r="L2851" s="2">
        <v>2</v>
      </c>
      <c r="M2851" s="7">
        <f t="shared" si="176"/>
        <v>15602</v>
      </c>
      <c r="N2851" s="7">
        <f t="shared" si="177"/>
        <v>16866</v>
      </c>
      <c r="O2851" s="2">
        <v>37</v>
      </c>
      <c r="P2851" s="8">
        <f t="shared" si="178"/>
        <v>16903</v>
      </c>
      <c r="Q2851" s="8">
        <f t="shared" si="179"/>
        <v>16829</v>
      </c>
      <c r="R2851" s="2" t="s">
        <v>28</v>
      </c>
      <c r="S2851" s="9">
        <f>VLOOKUP(P2851,$T$2:U2848,2,1)</f>
        <v>0.05</v>
      </c>
    </row>
    <row r="2852" spans="1:19" x14ac:dyDescent="0.25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e">
        <f>VLOOKUP(F2852,'Customer Info'!A2844:I3343,2,0)</f>
        <v>#N/A</v>
      </c>
      <c r="H2852" s="6" t="e">
        <f>VLOOKUP(F2852,'Customer Info'!A2844:I3343,3,0)</f>
        <v>#N/A</v>
      </c>
      <c r="I2852" s="6" t="e">
        <f>VLOOKUP(F2852,'Customer Info'!A2844:I3343,5,0)</f>
        <v>#N/A</v>
      </c>
      <c r="J2852" s="2">
        <v>68</v>
      </c>
      <c r="K2852" s="2">
        <v>63</v>
      </c>
      <c r="L2852" s="2">
        <v>1</v>
      </c>
      <c r="M2852" s="7">
        <f t="shared" si="176"/>
        <v>63</v>
      </c>
      <c r="N2852" s="7">
        <f t="shared" si="177"/>
        <v>68</v>
      </c>
      <c r="O2852" s="2">
        <v>10</v>
      </c>
      <c r="P2852" s="8">
        <f t="shared" si="178"/>
        <v>78</v>
      </c>
      <c r="Q2852" s="8">
        <f t="shared" si="179"/>
        <v>58</v>
      </c>
      <c r="R2852" s="2" t="s">
        <v>50</v>
      </c>
      <c r="S2852" s="9">
        <f>VLOOKUP(P2852,$T$2:U2849,2,1)</f>
        <v>0.02</v>
      </c>
    </row>
    <row r="2853" spans="1:19" x14ac:dyDescent="0.25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e">
        <f>VLOOKUP(F2853,'Customer Info'!A2845:I3344,2,0)</f>
        <v>#N/A</v>
      </c>
      <c r="H2853" s="6" t="e">
        <f>VLOOKUP(F2853,'Customer Info'!A2845:I3344,3,0)</f>
        <v>#N/A</v>
      </c>
      <c r="I2853" s="6" t="e">
        <f>VLOOKUP(F2853,'Customer Info'!A2845:I3344,5,0)</f>
        <v>#N/A</v>
      </c>
      <c r="J2853" s="2">
        <v>184</v>
      </c>
      <c r="K2853" s="2">
        <v>176</v>
      </c>
      <c r="L2853" s="2">
        <v>1</v>
      </c>
      <c r="M2853" s="7">
        <f t="shared" si="176"/>
        <v>176</v>
      </c>
      <c r="N2853" s="7">
        <f t="shared" si="177"/>
        <v>184</v>
      </c>
      <c r="O2853" s="2">
        <v>30</v>
      </c>
      <c r="P2853" s="8">
        <f t="shared" si="178"/>
        <v>214</v>
      </c>
      <c r="Q2853" s="8">
        <f t="shared" si="179"/>
        <v>154</v>
      </c>
      <c r="R2853" s="2" t="s">
        <v>50</v>
      </c>
      <c r="S2853" s="9">
        <f>VLOOKUP(P2853,$T$2:U2850,2,1)</f>
        <v>0.02</v>
      </c>
    </row>
    <row r="2854" spans="1:19" x14ac:dyDescent="0.25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e">
        <f>VLOOKUP(F2854,'Customer Info'!A2846:I3345,2,0)</f>
        <v>#N/A</v>
      </c>
      <c r="H2854" s="6" t="e">
        <f>VLOOKUP(F2854,'Customer Info'!A2846:I3345,3,0)</f>
        <v>#N/A</v>
      </c>
      <c r="I2854" s="6" t="e">
        <f>VLOOKUP(F2854,'Customer Info'!A2846:I3345,5,0)</f>
        <v>#N/A</v>
      </c>
      <c r="J2854" s="2">
        <v>224</v>
      </c>
      <c r="K2854" s="2">
        <v>210</v>
      </c>
      <c r="L2854" s="2">
        <v>12</v>
      </c>
      <c r="M2854" s="7">
        <f t="shared" si="176"/>
        <v>2520</v>
      </c>
      <c r="N2854" s="7">
        <f t="shared" si="177"/>
        <v>2688</v>
      </c>
      <c r="O2854" s="2">
        <v>65</v>
      </c>
      <c r="P2854" s="8">
        <f t="shared" si="178"/>
        <v>2753</v>
      </c>
      <c r="Q2854" s="8">
        <f t="shared" si="179"/>
        <v>2623</v>
      </c>
      <c r="R2854" s="2" t="s">
        <v>28</v>
      </c>
      <c r="S2854" s="9">
        <f>VLOOKUP(P2854,$T$2:U2851,2,1)</f>
        <v>0.02</v>
      </c>
    </row>
    <row r="2855" spans="1:19" x14ac:dyDescent="0.25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e">
        <f>VLOOKUP(F2855,'Customer Info'!A2847:I3346,2,0)</f>
        <v>#N/A</v>
      </c>
      <c r="H2855" s="6" t="e">
        <f>VLOOKUP(F2855,'Customer Info'!A2847:I3346,3,0)</f>
        <v>#N/A</v>
      </c>
      <c r="I2855" s="6" t="e">
        <f>VLOOKUP(F2855,'Customer Info'!A2847:I3346,5,0)</f>
        <v>#N/A</v>
      </c>
      <c r="J2855" s="2">
        <v>139</v>
      </c>
      <c r="K2855" s="2">
        <v>130</v>
      </c>
      <c r="L2855" s="2">
        <v>3</v>
      </c>
      <c r="M2855" s="7">
        <f t="shared" si="176"/>
        <v>390</v>
      </c>
      <c r="N2855" s="7">
        <f t="shared" si="177"/>
        <v>417</v>
      </c>
      <c r="O2855" s="2">
        <v>30</v>
      </c>
      <c r="P2855" s="8">
        <f t="shared" si="178"/>
        <v>447</v>
      </c>
      <c r="Q2855" s="8">
        <f t="shared" si="179"/>
        <v>387</v>
      </c>
      <c r="R2855" s="2" t="s">
        <v>26</v>
      </c>
      <c r="S2855" s="9">
        <f>VLOOKUP(P2855,$T$2:U2852,2,1)</f>
        <v>0.02</v>
      </c>
    </row>
    <row r="2856" spans="1:19" x14ac:dyDescent="0.25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e">
        <f>VLOOKUP(F2856,'Customer Info'!A2848:I3347,2,0)</f>
        <v>#N/A</v>
      </c>
      <c r="H2856" s="6" t="e">
        <f>VLOOKUP(F2856,'Customer Info'!A2848:I3347,3,0)</f>
        <v>#N/A</v>
      </c>
      <c r="I2856" s="6" t="e">
        <f>VLOOKUP(F2856,'Customer Info'!A2848:I3347,5,0)</f>
        <v>#N/A</v>
      </c>
      <c r="J2856" s="2">
        <v>1887</v>
      </c>
      <c r="K2856" s="2">
        <v>1763</v>
      </c>
      <c r="L2856" s="2">
        <v>2</v>
      </c>
      <c r="M2856" s="7">
        <f t="shared" si="176"/>
        <v>3526</v>
      </c>
      <c r="N2856" s="7">
        <f t="shared" si="177"/>
        <v>3774</v>
      </c>
      <c r="O2856" s="2">
        <v>39</v>
      </c>
      <c r="P2856" s="8">
        <f t="shared" si="178"/>
        <v>3813</v>
      </c>
      <c r="Q2856" s="8">
        <f t="shared" si="179"/>
        <v>3735</v>
      </c>
      <c r="R2856" s="2" t="s">
        <v>50</v>
      </c>
      <c r="S2856" s="9">
        <f>VLOOKUP(P2856,$T$2:U2853,2,1)</f>
        <v>0.02</v>
      </c>
    </row>
    <row r="2857" spans="1:19" x14ac:dyDescent="0.25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e">
        <f>VLOOKUP(F2857,'Customer Info'!A2849:I3348,2,0)</f>
        <v>#N/A</v>
      </c>
      <c r="H2857" s="6" t="e">
        <f>VLOOKUP(F2857,'Customer Info'!A2849:I3348,3,0)</f>
        <v>#N/A</v>
      </c>
      <c r="I2857" s="6" t="e">
        <f>VLOOKUP(F2857,'Customer Info'!A2849:I3348,5,0)</f>
        <v>#N/A</v>
      </c>
      <c r="J2857" s="2">
        <v>6520</v>
      </c>
      <c r="K2857" s="2">
        <v>5985</v>
      </c>
      <c r="L2857" s="2">
        <v>5</v>
      </c>
      <c r="M2857" s="7">
        <f t="shared" si="176"/>
        <v>29925</v>
      </c>
      <c r="N2857" s="7">
        <f t="shared" si="177"/>
        <v>32600</v>
      </c>
      <c r="O2857" s="2">
        <v>38</v>
      </c>
      <c r="P2857" s="8">
        <f t="shared" si="178"/>
        <v>32638</v>
      </c>
      <c r="Q2857" s="8">
        <f t="shared" si="179"/>
        <v>32562</v>
      </c>
      <c r="R2857" s="2" t="s">
        <v>50</v>
      </c>
      <c r="S2857" s="9">
        <f>VLOOKUP(P2857,$T$2:U2854,2,1)</f>
        <v>7.0000000000000007E-2</v>
      </c>
    </row>
    <row r="2858" spans="1:19" x14ac:dyDescent="0.25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e">
        <f>VLOOKUP(F2858,'Customer Info'!A2850:I3349,2,0)</f>
        <v>#N/A</v>
      </c>
      <c r="H2858" s="6" t="e">
        <f>VLOOKUP(F2858,'Customer Info'!A2850:I3349,3,0)</f>
        <v>#N/A</v>
      </c>
      <c r="I2858" s="6" t="e">
        <f>VLOOKUP(F2858,'Customer Info'!A2850:I3349,5,0)</f>
        <v>#N/A</v>
      </c>
      <c r="J2858" s="2">
        <v>3224</v>
      </c>
      <c r="K2858" s="2">
        <v>2984</v>
      </c>
      <c r="L2858" s="2">
        <v>2</v>
      </c>
      <c r="M2858" s="7">
        <f t="shared" si="176"/>
        <v>5968</v>
      </c>
      <c r="N2858" s="7">
        <f t="shared" si="177"/>
        <v>6448</v>
      </c>
      <c r="O2858" s="2">
        <v>77</v>
      </c>
      <c r="P2858" s="8">
        <f t="shared" si="178"/>
        <v>6525</v>
      </c>
      <c r="Q2858" s="8">
        <f t="shared" si="179"/>
        <v>6371</v>
      </c>
      <c r="R2858" s="2" t="s">
        <v>50</v>
      </c>
      <c r="S2858" s="9">
        <f>VLOOKUP(P2858,$T$2:U2855,2,1)</f>
        <v>0.05</v>
      </c>
    </row>
    <row r="2859" spans="1:19" x14ac:dyDescent="0.25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e">
        <f>VLOOKUP(F2859,'Customer Info'!A2851:I3350,2,0)</f>
        <v>#N/A</v>
      </c>
      <c r="H2859" s="6" t="e">
        <f>VLOOKUP(F2859,'Customer Info'!A2851:I3350,3,0)</f>
        <v>#N/A</v>
      </c>
      <c r="I2859" s="6" t="e">
        <f>VLOOKUP(F2859,'Customer Info'!A2851:I3350,5,0)</f>
        <v>#N/A</v>
      </c>
      <c r="J2859" s="2">
        <v>896</v>
      </c>
      <c r="K2859" s="2">
        <v>870</v>
      </c>
      <c r="L2859" s="2">
        <v>2</v>
      </c>
      <c r="M2859" s="7">
        <f t="shared" si="176"/>
        <v>1740</v>
      </c>
      <c r="N2859" s="7">
        <f t="shared" si="177"/>
        <v>1792</v>
      </c>
      <c r="O2859" s="2">
        <v>35</v>
      </c>
      <c r="P2859" s="8">
        <f t="shared" si="178"/>
        <v>1827</v>
      </c>
      <c r="Q2859" s="8">
        <f t="shared" si="179"/>
        <v>1757</v>
      </c>
      <c r="R2859" s="2" t="s">
        <v>28</v>
      </c>
      <c r="S2859" s="9">
        <f>VLOOKUP(P2859,$T$2:U2856,2,1)</f>
        <v>0.02</v>
      </c>
    </row>
    <row r="2860" spans="1:19" x14ac:dyDescent="0.25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e">
        <f>VLOOKUP(F2860,'Customer Info'!A2852:I3351,2,0)</f>
        <v>#N/A</v>
      </c>
      <c r="H2860" s="6" t="e">
        <f>VLOOKUP(F2860,'Customer Info'!A2852:I3351,3,0)</f>
        <v>#N/A</v>
      </c>
      <c r="I2860" s="6" t="e">
        <f>VLOOKUP(F2860,'Customer Info'!A2852:I3351,5,0)</f>
        <v>#N/A</v>
      </c>
      <c r="J2860" s="2">
        <v>69</v>
      </c>
      <c r="K2860" s="2">
        <v>63</v>
      </c>
      <c r="L2860" s="2">
        <v>3</v>
      </c>
      <c r="M2860" s="7">
        <f t="shared" si="176"/>
        <v>189</v>
      </c>
      <c r="N2860" s="7">
        <f t="shared" si="177"/>
        <v>207</v>
      </c>
      <c r="O2860" s="2">
        <v>10</v>
      </c>
      <c r="P2860" s="8">
        <f t="shared" si="178"/>
        <v>217</v>
      </c>
      <c r="Q2860" s="8">
        <f t="shared" si="179"/>
        <v>197</v>
      </c>
      <c r="R2860" s="2" t="s">
        <v>50</v>
      </c>
      <c r="S2860" s="9">
        <f>VLOOKUP(P2860,$T$2:U2857,2,1)</f>
        <v>0.02</v>
      </c>
    </row>
    <row r="2861" spans="1:19" x14ac:dyDescent="0.25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e">
        <f>VLOOKUP(F2861,'Customer Info'!A2853:I3352,2,0)</f>
        <v>#N/A</v>
      </c>
      <c r="H2861" s="6" t="e">
        <f>VLOOKUP(F2861,'Customer Info'!A2853:I3352,3,0)</f>
        <v>#N/A</v>
      </c>
      <c r="I2861" s="6" t="e">
        <f>VLOOKUP(F2861,'Customer Info'!A2853:I3352,5,0)</f>
        <v>#N/A</v>
      </c>
      <c r="J2861" s="2">
        <v>6864</v>
      </c>
      <c r="K2861" s="2">
        <v>6667</v>
      </c>
      <c r="L2861" s="2">
        <v>8</v>
      </c>
      <c r="M2861" s="7">
        <f t="shared" si="176"/>
        <v>53336</v>
      </c>
      <c r="N2861" s="7">
        <f t="shared" si="177"/>
        <v>54912</v>
      </c>
      <c r="O2861" s="2">
        <v>34</v>
      </c>
      <c r="P2861" s="8">
        <f t="shared" si="178"/>
        <v>54946</v>
      </c>
      <c r="Q2861" s="8">
        <f t="shared" si="179"/>
        <v>54878</v>
      </c>
      <c r="R2861" s="2" t="s">
        <v>50</v>
      </c>
      <c r="S2861" s="9">
        <f>VLOOKUP(P2861,$T$2:U2858,2,1)</f>
        <v>0.09</v>
      </c>
    </row>
    <row r="2862" spans="1:19" x14ac:dyDescent="0.25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e">
        <f>VLOOKUP(F2862,'Customer Info'!A2854:I3353,2,0)</f>
        <v>#N/A</v>
      </c>
      <c r="H2862" s="6" t="e">
        <f>VLOOKUP(F2862,'Customer Info'!A2854:I3353,3,0)</f>
        <v>#N/A</v>
      </c>
      <c r="I2862" s="6" t="e">
        <f>VLOOKUP(F2862,'Customer Info'!A2854:I3353,5,0)</f>
        <v>#N/A</v>
      </c>
      <c r="J2862" s="2">
        <v>456</v>
      </c>
      <c r="K2862" s="2">
        <v>430</v>
      </c>
      <c r="L2862" s="2">
        <v>3</v>
      </c>
      <c r="M2862" s="7">
        <f t="shared" si="176"/>
        <v>1290</v>
      </c>
      <c r="N2862" s="7">
        <f t="shared" si="177"/>
        <v>1368</v>
      </c>
      <c r="O2862" s="2">
        <v>22</v>
      </c>
      <c r="P2862" s="8">
        <f t="shared" si="178"/>
        <v>1390</v>
      </c>
      <c r="Q2862" s="8">
        <f t="shared" si="179"/>
        <v>1346</v>
      </c>
      <c r="R2862" s="2" t="s">
        <v>28</v>
      </c>
      <c r="S2862" s="9">
        <f>VLOOKUP(P2862,$T$2:U2859,2,1)</f>
        <v>0.02</v>
      </c>
    </row>
    <row r="2863" spans="1:19" x14ac:dyDescent="0.25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e">
        <f>VLOOKUP(F2863,'Customer Info'!A2855:I3354,2,0)</f>
        <v>#N/A</v>
      </c>
      <c r="H2863" s="6" t="e">
        <f>VLOOKUP(F2863,'Customer Info'!A2855:I3354,3,0)</f>
        <v>#N/A</v>
      </c>
      <c r="I2863" s="6" t="e">
        <f>VLOOKUP(F2863,'Customer Info'!A2855:I3354,5,0)</f>
        <v>#N/A</v>
      </c>
      <c r="J2863" s="2">
        <v>1441</v>
      </c>
      <c r="K2863" s="2">
        <v>1360</v>
      </c>
      <c r="L2863" s="2">
        <v>3</v>
      </c>
      <c r="M2863" s="7">
        <f t="shared" si="176"/>
        <v>4080</v>
      </c>
      <c r="N2863" s="7">
        <f t="shared" si="177"/>
        <v>4323</v>
      </c>
      <c r="O2863" s="2">
        <v>99</v>
      </c>
      <c r="P2863" s="8">
        <f t="shared" si="178"/>
        <v>4422</v>
      </c>
      <c r="Q2863" s="8">
        <f t="shared" si="179"/>
        <v>4224</v>
      </c>
      <c r="R2863" s="2" t="s">
        <v>50</v>
      </c>
      <c r="S2863" s="9">
        <f>VLOOKUP(P2863,$T$2:U2860,2,1)</f>
        <v>0.02</v>
      </c>
    </row>
    <row r="2864" spans="1:19" x14ac:dyDescent="0.25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e">
        <f>VLOOKUP(F2864,'Customer Info'!A2856:I3355,2,0)</f>
        <v>#N/A</v>
      </c>
      <c r="H2864" s="6" t="e">
        <f>VLOOKUP(F2864,'Customer Info'!A2856:I3355,3,0)</f>
        <v>#N/A</v>
      </c>
      <c r="I2864" s="6" t="e">
        <f>VLOOKUP(F2864,'Customer Info'!A2856:I3355,5,0)</f>
        <v>#N/A</v>
      </c>
      <c r="J2864" s="2">
        <v>1146</v>
      </c>
      <c r="K2864" s="2">
        <v>1061</v>
      </c>
      <c r="L2864" s="2">
        <v>2</v>
      </c>
      <c r="M2864" s="7">
        <f t="shared" si="176"/>
        <v>2122</v>
      </c>
      <c r="N2864" s="7">
        <f t="shared" si="177"/>
        <v>2292</v>
      </c>
      <c r="O2864" s="2">
        <v>53</v>
      </c>
      <c r="P2864" s="8">
        <f t="shared" si="178"/>
        <v>2345</v>
      </c>
      <c r="Q2864" s="8">
        <f t="shared" si="179"/>
        <v>2239</v>
      </c>
      <c r="R2864" s="2" t="s">
        <v>28</v>
      </c>
      <c r="S2864" s="9">
        <f>VLOOKUP(P2864,$T$2:U2861,2,1)</f>
        <v>0.02</v>
      </c>
    </row>
    <row r="2865" spans="1:19" x14ac:dyDescent="0.25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e">
        <f>VLOOKUP(F2865,'Customer Info'!A2857:I3356,2,0)</f>
        <v>#N/A</v>
      </c>
      <c r="H2865" s="6" t="e">
        <f>VLOOKUP(F2865,'Customer Info'!A2857:I3356,3,0)</f>
        <v>#N/A</v>
      </c>
      <c r="I2865" s="6" t="e">
        <f>VLOOKUP(F2865,'Customer Info'!A2857:I3356,5,0)</f>
        <v>#N/A</v>
      </c>
      <c r="J2865" s="2">
        <v>3408</v>
      </c>
      <c r="K2865" s="2">
        <v>3215</v>
      </c>
      <c r="L2865" s="2">
        <v>6</v>
      </c>
      <c r="M2865" s="7">
        <f t="shared" si="176"/>
        <v>19290</v>
      </c>
      <c r="N2865" s="7">
        <f t="shared" si="177"/>
        <v>20448</v>
      </c>
      <c r="O2865" s="2">
        <v>99</v>
      </c>
      <c r="P2865" s="8">
        <f t="shared" si="178"/>
        <v>20547</v>
      </c>
      <c r="Q2865" s="8">
        <f t="shared" si="179"/>
        <v>20349</v>
      </c>
      <c r="R2865" s="2" t="s">
        <v>28</v>
      </c>
      <c r="S2865" s="9">
        <f>VLOOKUP(P2865,$T$2:U2862,2,1)</f>
        <v>0.05</v>
      </c>
    </row>
    <row r="2866" spans="1:19" x14ac:dyDescent="0.25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e">
        <f>VLOOKUP(F2866,'Customer Info'!A2858:I3357,2,0)</f>
        <v>#N/A</v>
      </c>
      <c r="H2866" s="6" t="e">
        <f>VLOOKUP(F2866,'Customer Info'!A2858:I3357,3,0)</f>
        <v>#N/A</v>
      </c>
      <c r="I2866" s="6" t="e">
        <f>VLOOKUP(F2866,'Customer Info'!A2858:I3357,5,0)</f>
        <v>#N/A</v>
      </c>
      <c r="J2866" s="2">
        <v>63</v>
      </c>
      <c r="K2866" s="2">
        <v>59</v>
      </c>
      <c r="L2866" s="2">
        <v>5</v>
      </c>
      <c r="M2866" s="7">
        <f t="shared" si="176"/>
        <v>295</v>
      </c>
      <c r="N2866" s="7">
        <f t="shared" si="177"/>
        <v>315</v>
      </c>
      <c r="O2866" s="2">
        <v>10</v>
      </c>
      <c r="P2866" s="8">
        <f t="shared" si="178"/>
        <v>325</v>
      </c>
      <c r="Q2866" s="8">
        <f t="shared" si="179"/>
        <v>305</v>
      </c>
      <c r="R2866" s="2" t="s">
        <v>50</v>
      </c>
      <c r="S2866" s="9">
        <f>VLOOKUP(P2866,$T$2:U2863,2,1)</f>
        <v>0.02</v>
      </c>
    </row>
    <row r="2867" spans="1:19" x14ac:dyDescent="0.25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e">
        <f>VLOOKUP(F2867,'Customer Info'!A2859:I3358,2,0)</f>
        <v>#N/A</v>
      </c>
      <c r="H2867" s="6" t="e">
        <f>VLOOKUP(F2867,'Customer Info'!A2859:I3358,3,0)</f>
        <v>#N/A</v>
      </c>
      <c r="I2867" s="6" t="e">
        <f>VLOOKUP(F2867,'Customer Info'!A2859:I3358,5,0)</f>
        <v>#N/A</v>
      </c>
      <c r="J2867" s="2">
        <v>4002</v>
      </c>
      <c r="K2867" s="2">
        <v>3744</v>
      </c>
      <c r="L2867" s="2">
        <v>5</v>
      </c>
      <c r="M2867" s="7">
        <f t="shared" si="176"/>
        <v>18720</v>
      </c>
      <c r="N2867" s="7">
        <f t="shared" si="177"/>
        <v>20010</v>
      </c>
      <c r="O2867" s="2">
        <v>33</v>
      </c>
      <c r="P2867" s="8">
        <f t="shared" si="178"/>
        <v>20043</v>
      </c>
      <c r="Q2867" s="8">
        <f t="shared" si="179"/>
        <v>19977</v>
      </c>
      <c r="R2867" s="2" t="s">
        <v>28</v>
      </c>
      <c r="S2867" s="9">
        <f>VLOOKUP(P2867,$T$2:U2864,2,1)</f>
        <v>0.05</v>
      </c>
    </row>
    <row r="2868" spans="1:19" x14ac:dyDescent="0.25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e">
        <f>VLOOKUP(F2868,'Customer Info'!A2860:I3359,2,0)</f>
        <v>#N/A</v>
      </c>
      <c r="H2868" s="6" t="e">
        <f>VLOOKUP(F2868,'Customer Info'!A2860:I3359,3,0)</f>
        <v>#N/A</v>
      </c>
      <c r="I2868" s="6" t="e">
        <f>VLOOKUP(F2868,'Customer Info'!A2860:I3359,5,0)</f>
        <v>#N/A</v>
      </c>
      <c r="J2868" s="2">
        <v>183</v>
      </c>
      <c r="K2868" s="2">
        <v>168</v>
      </c>
      <c r="L2868" s="2">
        <v>3</v>
      </c>
      <c r="M2868" s="7">
        <f t="shared" si="176"/>
        <v>504</v>
      </c>
      <c r="N2868" s="7">
        <f t="shared" si="177"/>
        <v>549</v>
      </c>
      <c r="O2868" s="2">
        <v>30</v>
      </c>
      <c r="P2868" s="8">
        <f t="shared" si="178"/>
        <v>579</v>
      </c>
      <c r="Q2868" s="8">
        <f t="shared" si="179"/>
        <v>519</v>
      </c>
      <c r="R2868" s="2" t="s">
        <v>50</v>
      </c>
      <c r="S2868" s="9">
        <f>VLOOKUP(P2868,$T$2:U2865,2,1)</f>
        <v>0.02</v>
      </c>
    </row>
    <row r="2869" spans="1:19" x14ac:dyDescent="0.25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e">
        <f>VLOOKUP(F2869,'Customer Info'!A2861:I3360,2,0)</f>
        <v>#N/A</v>
      </c>
      <c r="H2869" s="6" t="e">
        <f>VLOOKUP(F2869,'Customer Info'!A2861:I3360,3,0)</f>
        <v>#N/A</v>
      </c>
      <c r="I2869" s="6" t="e">
        <f>VLOOKUP(F2869,'Customer Info'!A2861:I3360,5,0)</f>
        <v>#N/A</v>
      </c>
      <c r="J2869" s="2">
        <v>185</v>
      </c>
      <c r="K2869" s="2">
        <v>171</v>
      </c>
      <c r="L2869" s="2">
        <v>2</v>
      </c>
      <c r="M2869" s="7">
        <f t="shared" si="176"/>
        <v>342</v>
      </c>
      <c r="N2869" s="7">
        <f t="shared" si="177"/>
        <v>370</v>
      </c>
      <c r="O2869" s="2">
        <v>30</v>
      </c>
      <c r="P2869" s="8">
        <f t="shared" si="178"/>
        <v>400</v>
      </c>
      <c r="Q2869" s="8">
        <f t="shared" si="179"/>
        <v>340</v>
      </c>
      <c r="R2869" s="2" t="s">
        <v>28</v>
      </c>
      <c r="S2869" s="9">
        <f>VLOOKUP(P2869,$T$2:U2866,2,1)</f>
        <v>0.02</v>
      </c>
    </row>
    <row r="2870" spans="1:19" x14ac:dyDescent="0.25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e">
        <f>VLOOKUP(F2870,'Customer Info'!A2862:I3361,2,0)</f>
        <v>#N/A</v>
      </c>
      <c r="H2870" s="6" t="e">
        <f>VLOOKUP(F2870,'Customer Info'!A2862:I3361,3,0)</f>
        <v>#N/A</v>
      </c>
      <c r="I2870" s="6" t="e">
        <f>VLOOKUP(F2870,'Customer Info'!A2862:I3361,5,0)</f>
        <v>#N/A</v>
      </c>
      <c r="J2870" s="2">
        <v>2333</v>
      </c>
      <c r="K2870" s="2">
        <v>2060</v>
      </c>
      <c r="L2870" s="2">
        <v>5</v>
      </c>
      <c r="M2870" s="7">
        <f t="shared" si="176"/>
        <v>10300</v>
      </c>
      <c r="N2870" s="7">
        <f t="shared" si="177"/>
        <v>11665</v>
      </c>
      <c r="O2870" s="2">
        <v>84</v>
      </c>
      <c r="P2870" s="8">
        <f t="shared" si="178"/>
        <v>11749</v>
      </c>
      <c r="Q2870" s="8">
        <f t="shared" si="179"/>
        <v>11581</v>
      </c>
      <c r="R2870" s="2" t="s">
        <v>28</v>
      </c>
      <c r="S2870" s="9">
        <f>VLOOKUP(P2870,$T$2:U2867,2,1)</f>
        <v>0.05</v>
      </c>
    </row>
    <row r="2871" spans="1:19" x14ac:dyDescent="0.25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e">
        <f>VLOOKUP(F2871,'Customer Info'!A2863:I3362,2,0)</f>
        <v>#N/A</v>
      </c>
      <c r="H2871" s="6" t="e">
        <f>VLOOKUP(F2871,'Customer Info'!A2863:I3362,3,0)</f>
        <v>#N/A</v>
      </c>
      <c r="I2871" s="6" t="e">
        <f>VLOOKUP(F2871,'Customer Info'!A2863:I3362,5,0)</f>
        <v>#N/A</v>
      </c>
      <c r="J2871" s="2">
        <v>8351</v>
      </c>
      <c r="K2871" s="2">
        <v>8033</v>
      </c>
      <c r="L2871" s="2">
        <v>6</v>
      </c>
      <c r="M2871" s="7">
        <f t="shared" si="176"/>
        <v>48198</v>
      </c>
      <c r="N2871" s="7">
        <f t="shared" si="177"/>
        <v>50106</v>
      </c>
      <c r="O2871" s="2">
        <v>97</v>
      </c>
      <c r="P2871" s="8">
        <f t="shared" si="178"/>
        <v>50203</v>
      </c>
      <c r="Q2871" s="8">
        <f t="shared" si="179"/>
        <v>50009</v>
      </c>
      <c r="R2871" s="2" t="s">
        <v>28</v>
      </c>
      <c r="S2871" s="9">
        <f>VLOOKUP(P2871,$T$2:U2868,2,1)</f>
        <v>0.09</v>
      </c>
    </row>
    <row r="2872" spans="1:19" x14ac:dyDescent="0.25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e">
        <f>VLOOKUP(F2872,'Customer Info'!A2864:I3363,2,0)</f>
        <v>#N/A</v>
      </c>
      <c r="H2872" s="6" t="e">
        <f>VLOOKUP(F2872,'Customer Info'!A2864:I3363,3,0)</f>
        <v>#N/A</v>
      </c>
      <c r="I2872" s="6" t="e">
        <f>VLOOKUP(F2872,'Customer Info'!A2864:I3363,5,0)</f>
        <v>#N/A</v>
      </c>
      <c r="J2872" s="2">
        <v>1222</v>
      </c>
      <c r="K2872" s="2">
        <v>1187</v>
      </c>
      <c r="L2872" s="2">
        <v>2</v>
      </c>
      <c r="M2872" s="7">
        <f t="shared" si="176"/>
        <v>2374</v>
      </c>
      <c r="N2872" s="7">
        <f t="shared" si="177"/>
        <v>2444</v>
      </c>
      <c r="O2872" s="2">
        <v>26</v>
      </c>
      <c r="P2872" s="8">
        <f t="shared" si="178"/>
        <v>2470</v>
      </c>
      <c r="Q2872" s="8">
        <f t="shared" si="179"/>
        <v>2418</v>
      </c>
      <c r="R2872" s="2" t="s">
        <v>26</v>
      </c>
      <c r="S2872" s="9">
        <f>VLOOKUP(P2872,$T$2:U2869,2,1)</f>
        <v>0.02</v>
      </c>
    </row>
    <row r="2873" spans="1:19" x14ac:dyDescent="0.25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e">
        <f>VLOOKUP(F2873,'Customer Info'!A2865:I3364,2,0)</f>
        <v>#N/A</v>
      </c>
      <c r="H2873" s="6" t="e">
        <f>VLOOKUP(F2873,'Customer Info'!A2865:I3364,3,0)</f>
        <v>#N/A</v>
      </c>
      <c r="I2873" s="6" t="e">
        <f>VLOOKUP(F2873,'Customer Info'!A2865:I3364,5,0)</f>
        <v>#N/A</v>
      </c>
      <c r="J2873" s="2">
        <v>7623</v>
      </c>
      <c r="K2873" s="2">
        <v>7064</v>
      </c>
      <c r="L2873" s="2">
        <v>1</v>
      </c>
      <c r="M2873" s="7">
        <f t="shared" si="176"/>
        <v>7064</v>
      </c>
      <c r="N2873" s="7">
        <f t="shared" si="177"/>
        <v>7623</v>
      </c>
      <c r="O2873" s="2">
        <v>65</v>
      </c>
      <c r="P2873" s="8">
        <f t="shared" si="178"/>
        <v>7688</v>
      </c>
      <c r="Q2873" s="8">
        <f t="shared" si="179"/>
        <v>7558</v>
      </c>
      <c r="R2873" s="2" t="s">
        <v>50</v>
      </c>
      <c r="S2873" s="9">
        <f>VLOOKUP(P2873,$T$2:U2870,2,1)</f>
        <v>0.05</v>
      </c>
    </row>
    <row r="2874" spans="1:19" x14ac:dyDescent="0.25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e">
        <f>VLOOKUP(F2874,'Customer Info'!A2866:I3365,2,0)</f>
        <v>#N/A</v>
      </c>
      <c r="H2874" s="6" t="e">
        <f>VLOOKUP(F2874,'Customer Info'!A2866:I3365,3,0)</f>
        <v>#N/A</v>
      </c>
      <c r="I2874" s="6" t="e">
        <f>VLOOKUP(F2874,'Customer Info'!A2866:I3365,5,0)</f>
        <v>#N/A</v>
      </c>
      <c r="J2874" s="2">
        <v>4704</v>
      </c>
      <c r="K2874" s="2">
        <v>4361</v>
      </c>
      <c r="L2874" s="2">
        <v>1</v>
      </c>
      <c r="M2874" s="7">
        <f t="shared" si="176"/>
        <v>4361</v>
      </c>
      <c r="N2874" s="7">
        <f t="shared" si="177"/>
        <v>4704</v>
      </c>
      <c r="O2874" s="2">
        <v>57</v>
      </c>
      <c r="P2874" s="8">
        <f t="shared" si="178"/>
        <v>4761</v>
      </c>
      <c r="Q2874" s="8">
        <f t="shared" si="179"/>
        <v>4647</v>
      </c>
      <c r="R2874" s="2" t="s">
        <v>50</v>
      </c>
      <c r="S2874" s="9">
        <f>VLOOKUP(P2874,$T$2:U2871,2,1)</f>
        <v>0.02</v>
      </c>
    </row>
    <row r="2875" spans="1:19" x14ac:dyDescent="0.25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e">
        <f>VLOOKUP(F2875,'Customer Info'!A2867:I3366,2,0)</f>
        <v>#N/A</v>
      </c>
      <c r="H2875" s="6" t="e">
        <f>VLOOKUP(F2875,'Customer Info'!A2867:I3366,3,0)</f>
        <v>#N/A</v>
      </c>
      <c r="I2875" s="6" t="e">
        <f>VLOOKUP(F2875,'Customer Info'!A2867:I3366,5,0)</f>
        <v>#N/A</v>
      </c>
      <c r="J2875" s="2">
        <v>1834</v>
      </c>
      <c r="K2875" s="2">
        <v>1716</v>
      </c>
      <c r="L2875" s="2">
        <v>1</v>
      </c>
      <c r="M2875" s="7">
        <f t="shared" si="176"/>
        <v>1716</v>
      </c>
      <c r="N2875" s="7">
        <f t="shared" si="177"/>
        <v>1834</v>
      </c>
      <c r="O2875" s="2">
        <v>20</v>
      </c>
      <c r="P2875" s="8">
        <f t="shared" si="178"/>
        <v>1854</v>
      </c>
      <c r="Q2875" s="8">
        <f t="shared" si="179"/>
        <v>1814</v>
      </c>
      <c r="R2875" s="2" t="s">
        <v>28</v>
      </c>
      <c r="S2875" s="9">
        <f>VLOOKUP(P2875,$T$2:U2872,2,1)</f>
        <v>0.02</v>
      </c>
    </row>
    <row r="2876" spans="1:19" x14ac:dyDescent="0.25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e">
        <f>VLOOKUP(F2876,'Customer Info'!A2868:I3367,2,0)</f>
        <v>#N/A</v>
      </c>
      <c r="H2876" s="6" t="e">
        <f>VLOOKUP(F2876,'Customer Info'!A2868:I3367,3,0)</f>
        <v>#N/A</v>
      </c>
      <c r="I2876" s="6" t="e">
        <f>VLOOKUP(F2876,'Customer Info'!A2868:I3367,5,0)</f>
        <v>#N/A</v>
      </c>
      <c r="J2876" s="2">
        <v>1752</v>
      </c>
      <c r="K2876" s="2">
        <v>1576</v>
      </c>
      <c r="L2876" s="2">
        <v>5</v>
      </c>
      <c r="M2876" s="7">
        <f t="shared" si="176"/>
        <v>7880</v>
      </c>
      <c r="N2876" s="7">
        <f t="shared" si="177"/>
        <v>8760</v>
      </c>
      <c r="O2876" s="2">
        <v>81</v>
      </c>
      <c r="P2876" s="8">
        <f t="shared" si="178"/>
        <v>8841</v>
      </c>
      <c r="Q2876" s="8">
        <f t="shared" si="179"/>
        <v>8679</v>
      </c>
      <c r="R2876" s="2" t="s">
        <v>50</v>
      </c>
      <c r="S2876" s="9">
        <f>VLOOKUP(P2876,$T$2:U2873,2,1)</f>
        <v>0.05</v>
      </c>
    </row>
    <row r="2877" spans="1:19" x14ac:dyDescent="0.25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e">
        <f>VLOOKUP(F2877,'Customer Info'!A2869:I3368,2,0)</f>
        <v>#N/A</v>
      </c>
      <c r="H2877" s="6" t="e">
        <f>VLOOKUP(F2877,'Customer Info'!A2869:I3368,3,0)</f>
        <v>#N/A</v>
      </c>
      <c r="I2877" s="6" t="e">
        <f>VLOOKUP(F2877,'Customer Info'!A2869:I3368,5,0)</f>
        <v>#N/A</v>
      </c>
      <c r="J2877" s="2">
        <v>691</v>
      </c>
      <c r="K2877" s="2">
        <v>627</v>
      </c>
      <c r="L2877" s="2">
        <v>2</v>
      </c>
      <c r="M2877" s="7">
        <f t="shared" si="176"/>
        <v>1254</v>
      </c>
      <c r="N2877" s="7">
        <f t="shared" si="177"/>
        <v>1382</v>
      </c>
      <c r="O2877" s="2">
        <v>23</v>
      </c>
      <c r="P2877" s="8">
        <f t="shared" si="178"/>
        <v>1405</v>
      </c>
      <c r="Q2877" s="8">
        <f t="shared" si="179"/>
        <v>1359</v>
      </c>
      <c r="R2877" s="2" t="s">
        <v>28</v>
      </c>
      <c r="S2877" s="9">
        <f>VLOOKUP(P2877,$T$2:U2874,2,1)</f>
        <v>0.02</v>
      </c>
    </row>
    <row r="2878" spans="1:19" x14ac:dyDescent="0.25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e">
        <f>VLOOKUP(F2878,'Customer Info'!A2870:I3369,2,0)</f>
        <v>#N/A</v>
      </c>
      <c r="H2878" s="6" t="e">
        <f>VLOOKUP(F2878,'Customer Info'!A2870:I3369,3,0)</f>
        <v>#N/A</v>
      </c>
      <c r="I2878" s="6" t="e">
        <f>VLOOKUP(F2878,'Customer Info'!A2870:I3369,5,0)</f>
        <v>#N/A</v>
      </c>
      <c r="J2878" s="2">
        <v>8878</v>
      </c>
      <c r="K2878" s="2">
        <v>7914</v>
      </c>
      <c r="L2878" s="2">
        <v>2</v>
      </c>
      <c r="M2878" s="7">
        <f t="shared" si="176"/>
        <v>15828</v>
      </c>
      <c r="N2878" s="7">
        <f t="shared" si="177"/>
        <v>17756</v>
      </c>
      <c r="O2878" s="2">
        <v>29</v>
      </c>
      <c r="P2878" s="8">
        <f t="shared" si="178"/>
        <v>17785</v>
      </c>
      <c r="Q2878" s="8">
        <f t="shared" si="179"/>
        <v>17727</v>
      </c>
      <c r="R2878" s="2" t="s">
        <v>50</v>
      </c>
      <c r="S2878" s="9">
        <f>VLOOKUP(P2878,$T$2:U2875,2,1)</f>
        <v>0.05</v>
      </c>
    </row>
    <row r="2879" spans="1:19" x14ac:dyDescent="0.25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e">
        <f>VLOOKUP(F2879,'Customer Info'!A2871:I3370,2,0)</f>
        <v>#N/A</v>
      </c>
      <c r="H2879" s="6" t="e">
        <f>VLOOKUP(F2879,'Customer Info'!A2871:I3370,3,0)</f>
        <v>#N/A</v>
      </c>
      <c r="I2879" s="6" t="e">
        <f>VLOOKUP(F2879,'Customer Info'!A2871:I3370,5,0)</f>
        <v>#N/A</v>
      </c>
      <c r="J2879" s="2">
        <v>7658</v>
      </c>
      <c r="K2879" s="2">
        <v>7026</v>
      </c>
      <c r="L2879" s="2">
        <v>4</v>
      </c>
      <c r="M2879" s="7">
        <f t="shared" si="176"/>
        <v>28104</v>
      </c>
      <c r="N2879" s="7">
        <f t="shared" si="177"/>
        <v>30632</v>
      </c>
      <c r="O2879" s="2">
        <v>63</v>
      </c>
      <c r="P2879" s="8">
        <f t="shared" si="178"/>
        <v>30695</v>
      </c>
      <c r="Q2879" s="8">
        <f t="shared" si="179"/>
        <v>30569</v>
      </c>
      <c r="R2879" s="2" t="s">
        <v>26</v>
      </c>
      <c r="S2879" s="9">
        <f>VLOOKUP(P2879,$T$2:U2876,2,1)</f>
        <v>7.0000000000000007E-2</v>
      </c>
    </row>
    <row r="2880" spans="1:19" x14ac:dyDescent="0.25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e">
        <f>VLOOKUP(F2880,'Customer Info'!A2872:I3371,2,0)</f>
        <v>#N/A</v>
      </c>
      <c r="H2880" s="6" t="e">
        <f>VLOOKUP(F2880,'Customer Info'!A2872:I3371,3,0)</f>
        <v>#N/A</v>
      </c>
      <c r="I2880" s="6" t="e">
        <f>VLOOKUP(F2880,'Customer Info'!A2872:I3371,5,0)</f>
        <v>#N/A</v>
      </c>
      <c r="J2880" s="2">
        <v>93</v>
      </c>
      <c r="K2880" s="2">
        <v>86</v>
      </c>
      <c r="L2880" s="2">
        <v>1</v>
      </c>
      <c r="M2880" s="7">
        <f t="shared" si="176"/>
        <v>86</v>
      </c>
      <c r="N2880" s="7">
        <f t="shared" si="177"/>
        <v>93</v>
      </c>
      <c r="O2880" s="2">
        <v>10</v>
      </c>
      <c r="P2880" s="8">
        <f t="shared" si="178"/>
        <v>103</v>
      </c>
      <c r="Q2880" s="8">
        <f t="shared" si="179"/>
        <v>83</v>
      </c>
      <c r="R2880" s="2" t="s">
        <v>56</v>
      </c>
      <c r="S2880" s="9">
        <f>VLOOKUP(P2880,$T$2:U2877,2,1)</f>
        <v>0.02</v>
      </c>
    </row>
    <row r="2881" spans="1:19" x14ac:dyDescent="0.25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e">
        <f>VLOOKUP(F2881,'Customer Info'!A2873:I3372,2,0)</f>
        <v>#N/A</v>
      </c>
      <c r="H2881" s="6" t="e">
        <f>VLOOKUP(F2881,'Customer Info'!A2873:I3372,3,0)</f>
        <v>#N/A</v>
      </c>
      <c r="I2881" s="6" t="e">
        <f>VLOOKUP(F2881,'Customer Info'!A2873:I3372,5,0)</f>
        <v>#N/A</v>
      </c>
      <c r="J2881" s="2">
        <v>8026</v>
      </c>
      <c r="K2881" s="2">
        <v>7572</v>
      </c>
      <c r="L2881" s="2">
        <v>2</v>
      </c>
      <c r="M2881" s="7">
        <f t="shared" si="176"/>
        <v>15144</v>
      </c>
      <c r="N2881" s="7">
        <f t="shared" si="177"/>
        <v>16052</v>
      </c>
      <c r="O2881" s="2">
        <v>67</v>
      </c>
      <c r="P2881" s="8">
        <f t="shared" si="178"/>
        <v>16119</v>
      </c>
      <c r="Q2881" s="8">
        <f t="shared" si="179"/>
        <v>15985</v>
      </c>
      <c r="R2881" s="2" t="s">
        <v>28</v>
      </c>
      <c r="S2881" s="9">
        <f>VLOOKUP(P2881,$T$2:U2878,2,1)</f>
        <v>0.05</v>
      </c>
    </row>
    <row r="2882" spans="1:19" x14ac:dyDescent="0.25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e">
        <f>VLOOKUP(F2882,'Customer Info'!A2874:I3373,2,0)</f>
        <v>#N/A</v>
      </c>
      <c r="H2882" s="6" t="e">
        <f>VLOOKUP(F2882,'Customer Info'!A2874:I3373,3,0)</f>
        <v>#N/A</v>
      </c>
      <c r="I2882" s="6" t="e">
        <f>VLOOKUP(F2882,'Customer Info'!A2874:I3373,5,0)</f>
        <v>#N/A</v>
      </c>
      <c r="J2882" s="2">
        <v>691</v>
      </c>
      <c r="K2882" s="2">
        <v>646</v>
      </c>
      <c r="L2882" s="2">
        <v>3</v>
      </c>
      <c r="M2882" s="7">
        <f t="shared" si="176"/>
        <v>1938</v>
      </c>
      <c r="N2882" s="7">
        <f t="shared" si="177"/>
        <v>2073</v>
      </c>
      <c r="O2882" s="2">
        <v>63</v>
      </c>
      <c r="P2882" s="8">
        <f t="shared" si="178"/>
        <v>2136</v>
      </c>
      <c r="Q2882" s="8">
        <f t="shared" si="179"/>
        <v>2010</v>
      </c>
      <c r="R2882" s="2" t="s">
        <v>28</v>
      </c>
      <c r="S2882" s="9">
        <f>VLOOKUP(P2882,$T$2:U2879,2,1)</f>
        <v>0.02</v>
      </c>
    </row>
    <row r="2883" spans="1:19" x14ac:dyDescent="0.25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e">
        <f>VLOOKUP(F2883,'Customer Info'!A2875:I3374,2,0)</f>
        <v>#N/A</v>
      </c>
      <c r="H2883" s="6" t="e">
        <f>VLOOKUP(F2883,'Customer Info'!A2875:I3374,3,0)</f>
        <v>#N/A</v>
      </c>
      <c r="I2883" s="6" t="e">
        <f>VLOOKUP(F2883,'Customer Info'!A2875:I3374,5,0)</f>
        <v>#N/A</v>
      </c>
      <c r="J2883" s="2">
        <v>829</v>
      </c>
      <c r="K2883" s="2">
        <v>761</v>
      </c>
      <c r="L2883" s="2">
        <v>4</v>
      </c>
      <c r="M2883" s="7">
        <f t="shared" si="176"/>
        <v>3044</v>
      </c>
      <c r="N2883" s="7">
        <f t="shared" si="177"/>
        <v>3316</v>
      </c>
      <c r="O2883" s="2">
        <v>94</v>
      </c>
      <c r="P2883" s="8">
        <f t="shared" si="178"/>
        <v>3410</v>
      </c>
      <c r="Q2883" s="8">
        <f t="shared" si="179"/>
        <v>3222</v>
      </c>
      <c r="R2883" s="2" t="s">
        <v>26</v>
      </c>
      <c r="S2883" s="9">
        <f>VLOOKUP(P2883,$T$2:U2880,2,1)</f>
        <v>0.02</v>
      </c>
    </row>
    <row r="2884" spans="1:19" x14ac:dyDescent="0.25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e">
        <f>VLOOKUP(F2884,'Customer Info'!A2876:I3375,2,0)</f>
        <v>#N/A</v>
      </c>
      <c r="H2884" s="6" t="e">
        <f>VLOOKUP(F2884,'Customer Info'!A2876:I3375,3,0)</f>
        <v>#N/A</v>
      </c>
      <c r="I2884" s="6" t="e">
        <f>VLOOKUP(F2884,'Customer Info'!A2876:I3375,5,0)</f>
        <v>#N/A</v>
      </c>
      <c r="J2884" s="2">
        <v>3248</v>
      </c>
      <c r="K2884" s="2">
        <v>3035</v>
      </c>
      <c r="L2884" s="2">
        <v>4</v>
      </c>
      <c r="M2884" s="7">
        <f t="shared" si="176"/>
        <v>12140</v>
      </c>
      <c r="N2884" s="7">
        <f t="shared" si="177"/>
        <v>12992</v>
      </c>
      <c r="O2884" s="2">
        <v>92</v>
      </c>
      <c r="P2884" s="8">
        <f t="shared" si="178"/>
        <v>13084</v>
      </c>
      <c r="Q2884" s="8">
        <f t="shared" si="179"/>
        <v>12900</v>
      </c>
      <c r="R2884" s="2" t="s">
        <v>28</v>
      </c>
      <c r="S2884" s="9">
        <f>VLOOKUP(P2884,$T$2:U2881,2,1)</f>
        <v>0.05</v>
      </c>
    </row>
    <row r="2885" spans="1:19" x14ac:dyDescent="0.25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e">
        <f>VLOOKUP(F2885,'Customer Info'!A2877:I3376,2,0)</f>
        <v>#N/A</v>
      </c>
      <c r="H2885" s="6" t="e">
        <f>VLOOKUP(F2885,'Customer Info'!A2877:I3376,3,0)</f>
        <v>#N/A</v>
      </c>
      <c r="I2885" s="6" t="e">
        <f>VLOOKUP(F2885,'Customer Info'!A2877:I3376,5,0)</f>
        <v>#N/A</v>
      </c>
      <c r="J2885" s="2">
        <v>1901</v>
      </c>
      <c r="K2885" s="2">
        <v>1810</v>
      </c>
      <c r="L2885" s="2">
        <v>8</v>
      </c>
      <c r="M2885" s="7">
        <f t="shared" si="176"/>
        <v>14480</v>
      </c>
      <c r="N2885" s="7">
        <f t="shared" si="177"/>
        <v>15208</v>
      </c>
      <c r="O2885" s="2">
        <v>69</v>
      </c>
      <c r="P2885" s="8">
        <f t="shared" si="178"/>
        <v>15277</v>
      </c>
      <c r="Q2885" s="8">
        <f t="shared" si="179"/>
        <v>15139</v>
      </c>
      <c r="R2885" s="2" t="s">
        <v>56</v>
      </c>
      <c r="S2885" s="9">
        <f>VLOOKUP(P2885,$T$2:U2882,2,1)</f>
        <v>0.05</v>
      </c>
    </row>
    <row r="2886" spans="1:19" x14ac:dyDescent="0.25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e">
        <f>VLOOKUP(F2886,'Customer Info'!A2878:I3377,2,0)</f>
        <v>#N/A</v>
      </c>
      <c r="H2886" s="6" t="e">
        <f>VLOOKUP(F2886,'Customer Info'!A2878:I3377,3,0)</f>
        <v>#N/A</v>
      </c>
      <c r="I2886" s="6" t="e">
        <f>VLOOKUP(F2886,'Customer Info'!A2878:I3377,5,0)</f>
        <v>#N/A</v>
      </c>
      <c r="J2886" s="2">
        <v>5882</v>
      </c>
      <c r="K2886" s="2">
        <v>5713</v>
      </c>
      <c r="L2886" s="2">
        <v>4</v>
      </c>
      <c r="M2886" s="7">
        <f t="shared" si="176"/>
        <v>22852</v>
      </c>
      <c r="N2886" s="7">
        <f t="shared" si="177"/>
        <v>23528</v>
      </c>
      <c r="O2886" s="2">
        <v>31</v>
      </c>
      <c r="P2886" s="8">
        <f t="shared" si="178"/>
        <v>23559</v>
      </c>
      <c r="Q2886" s="8">
        <f t="shared" si="179"/>
        <v>23497</v>
      </c>
      <c r="R2886" s="2" t="s">
        <v>28</v>
      </c>
      <c r="S2886" s="9">
        <f>VLOOKUP(P2886,$T$2:U2883,2,1)</f>
        <v>0.05</v>
      </c>
    </row>
    <row r="2887" spans="1:19" x14ac:dyDescent="0.25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e">
        <f>VLOOKUP(F2887,'Customer Info'!A2879:I3378,2,0)</f>
        <v>#N/A</v>
      </c>
      <c r="H2887" s="6" t="e">
        <f>VLOOKUP(F2887,'Customer Info'!A2879:I3378,3,0)</f>
        <v>#N/A</v>
      </c>
      <c r="I2887" s="6" t="e">
        <f>VLOOKUP(F2887,'Customer Info'!A2879:I3378,5,0)</f>
        <v>#N/A</v>
      </c>
      <c r="J2887" s="2">
        <v>25155</v>
      </c>
      <c r="K2887" s="2">
        <v>23753</v>
      </c>
      <c r="L2887" s="2">
        <v>8</v>
      </c>
      <c r="M2887" s="7">
        <f t="shared" si="176"/>
        <v>190024</v>
      </c>
      <c r="N2887" s="7">
        <f t="shared" si="177"/>
        <v>201240</v>
      </c>
      <c r="O2887" s="2">
        <v>75</v>
      </c>
      <c r="P2887" s="8">
        <f t="shared" si="178"/>
        <v>201315</v>
      </c>
      <c r="Q2887" s="8">
        <f t="shared" si="179"/>
        <v>201165</v>
      </c>
      <c r="R2887" s="2" t="s">
        <v>28</v>
      </c>
      <c r="S2887" s="9">
        <f>VLOOKUP(P2887,$T$2:U2884,2,1)</f>
        <v>0.12</v>
      </c>
    </row>
    <row r="2888" spans="1:19" x14ac:dyDescent="0.25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e">
        <f>VLOOKUP(F2888,'Customer Info'!A2880:I3379,2,0)</f>
        <v>#N/A</v>
      </c>
      <c r="H2888" s="6" t="e">
        <f>VLOOKUP(F2888,'Customer Info'!A2880:I3379,3,0)</f>
        <v>#N/A</v>
      </c>
      <c r="I2888" s="6" t="e">
        <f>VLOOKUP(F2888,'Customer Info'!A2880:I3379,5,0)</f>
        <v>#N/A</v>
      </c>
      <c r="J2888" s="2">
        <v>941</v>
      </c>
      <c r="K2888" s="2">
        <v>905</v>
      </c>
      <c r="L2888" s="2">
        <v>3</v>
      </c>
      <c r="M2888" s="7">
        <f t="shared" si="176"/>
        <v>2715</v>
      </c>
      <c r="N2888" s="7">
        <f t="shared" si="177"/>
        <v>2823</v>
      </c>
      <c r="O2888" s="2">
        <v>94</v>
      </c>
      <c r="P2888" s="8">
        <f t="shared" si="178"/>
        <v>2917</v>
      </c>
      <c r="Q2888" s="8">
        <f t="shared" si="179"/>
        <v>2729</v>
      </c>
      <c r="R2888" s="2" t="s">
        <v>28</v>
      </c>
      <c r="S2888" s="9">
        <f>VLOOKUP(P2888,$T$2:U2885,2,1)</f>
        <v>0.02</v>
      </c>
    </row>
    <row r="2889" spans="1:19" x14ac:dyDescent="0.25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e">
        <f>VLOOKUP(F2889,'Customer Info'!A2881:I3380,2,0)</f>
        <v>#N/A</v>
      </c>
      <c r="H2889" s="6" t="e">
        <f>VLOOKUP(F2889,'Customer Info'!A2881:I3380,3,0)</f>
        <v>#N/A</v>
      </c>
      <c r="I2889" s="6" t="e">
        <f>VLOOKUP(F2889,'Customer Info'!A2881:I3380,5,0)</f>
        <v>#N/A</v>
      </c>
      <c r="J2889" s="2">
        <v>1654</v>
      </c>
      <c r="K2889" s="2">
        <v>1577</v>
      </c>
      <c r="L2889" s="2">
        <v>2</v>
      </c>
      <c r="M2889" s="7">
        <f t="shared" si="176"/>
        <v>3154</v>
      </c>
      <c r="N2889" s="7">
        <f t="shared" si="177"/>
        <v>3308</v>
      </c>
      <c r="O2889" s="2">
        <v>95</v>
      </c>
      <c r="P2889" s="8">
        <f t="shared" si="178"/>
        <v>3403</v>
      </c>
      <c r="Q2889" s="8">
        <f t="shared" si="179"/>
        <v>3213</v>
      </c>
      <c r="R2889" s="2" t="s">
        <v>28</v>
      </c>
      <c r="S2889" s="9">
        <f>VLOOKUP(P2889,$T$2:U2886,2,1)</f>
        <v>0.02</v>
      </c>
    </row>
    <row r="2890" spans="1:19" x14ac:dyDescent="0.25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e">
        <f>VLOOKUP(F2890,'Customer Info'!A2882:I3381,2,0)</f>
        <v>#N/A</v>
      </c>
      <c r="H2890" s="6" t="e">
        <f>VLOOKUP(F2890,'Customer Info'!A2882:I3381,3,0)</f>
        <v>#N/A</v>
      </c>
      <c r="I2890" s="6" t="e">
        <f>VLOOKUP(F2890,'Customer Info'!A2882:I3381,5,0)</f>
        <v>#N/A</v>
      </c>
      <c r="J2890" s="2">
        <v>82</v>
      </c>
      <c r="K2890" s="2">
        <v>79</v>
      </c>
      <c r="L2890" s="2">
        <v>7</v>
      </c>
      <c r="M2890" s="7">
        <f t="shared" si="176"/>
        <v>553</v>
      </c>
      <c r="N2890" s="7">
        <f t="shared" si="177"/>
        <v>574</v>
      </c>
      <c r="O2890" s="2">
        <v>10</v>
      </c>
      <c r="P2890" s="8">
        <f t="shared" si="178"/>
        <v>584</v>
      </c>
      <c r="Q2890" s="8">
        <f t="shared" si="179"/>
        <v>564</v>
      </c>
      <c r="R2890" s="2" t="s">
        <v>28</v>
      </c>
      <c r="S2890" s="9">
        <f>VLOOKUP(P2890,$T$2:U2887,2,1)</f>
        <v>0.02</v>
      </c>
    </row>
    <row r="2891" spans="1:19" x14ac:dyDescent="0.25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e">
        <f>VLOOKUP(F2891,'Customer Info'!A2883:I3382,2,0)</f>
        <v>#N/A</v>
      </c>
      <c r="H2891" s="6" t="e">
        <f>VLOOKUP(F2891,'Customer Info'!A2883:I3382,3,0)</f>
        <v>#N/A</v>
      </c>
      <c r="I2891" s="6" t="e">
        <f>VLOOKUP(F2891,'Customer Info'!A2883:I3382,5,0)</f>
        <v>#N/A</v>
      </c>
      <c r="J2891" s="2">
        <v>8617</v>
      </c>
      <c r="K2891" s="2">
        <v>7900</v>
      </c>
      <c r="L2891" s="2">
        <v>3</v>
      </c>
      <c r="M2891" s="7">
        <f t="shared" ref="M2891:M2954" si="180">K2891*L2891</f>
        <v>23700</v>
      </c>
      <c r="N2891" s="7">
        <f t="shared" ref="N2891:N2954" si="181">J2891*L2891</f>
        <v>25851</v>
      </c>
      <c r="O2891" s="2">
        <v>68</v>
      </c>
      <c r="P2891" s="8">
        <f t="shared" ref="P2891:P2954" si="182">SUM(N2891,O2891)</f>
        <v>25919</v>
      </c>
      <c r="Q2891" s="8">
        <f t="shared" ref="Q2891:Q2954" si="183">N2891-O2891</f>
        <v>25783</v>
      </c>
      <c r="R2891" s="2" t="s">
        <v>28</v>
      </c>
      <c r="S2891" s="9">
        <f>VLOOKUP(P2891,$T$2:U2888,2,1)</f>
        <v>7.0000000000000007E-2</v>
      </c>
    </row>
    <row r="2892" spans="1:19" x14ac:dyDescent="0.25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e">
        <f>VLOOKUP(F2892,'Customer Info'!A2884:I3383,2,0)</f>
        <v>#N/A</v>
      </c>
      <c r="H2892" s="6" t="e">
        <f>VLOOKUP(F2892,'Customer Info'!A2884:I3383,3,0)</f>
        <v>#N/A</v>
      </c>
      <c r="I2892" s="6" t="e">
        <f>VLOOKUP(F2892,'Customer Info'!A2884:I3383,5,0)</f>
        <v>#N/A</v>
      </c>
      <c r="J2892" s="2">
        <v>135</v>
      </c>
      <c r="K2892" s="2">
        <v>129</v>
      </c>
      <c r="L2892" s="2">
        <v>1</v>
      </c>
      <c r="M2892" s="7">
        <f t="shared" si="180"/>
        <v>129</v>
      </c>
      <c r="N2892" s="7">
        <f t="shared" si="181"/>
        <v>135</v>
      </c>
      <c r="O2892" s="2">
        <v>30</v>
      </c>
      <c r="P2892" s="8">
        <f t="shared" si="182"/>
        <v>165</v>
      </c>
      <c r="Q2892" s="8">
        <f t="shared" si="183"/>
        <v>105</v>
      </c>
      <c r="R2892" s="2" t="s">
        <v>28</v>
      </c>
      <c r="S2892" s="9">
        <f>VLOOKUP(P2892,$T$2:U2889,2,1)</f>
        <v>0.02</v>
      </c>
    </row>
    <row r="2893" spans="1:19" x14ac:dyDescent="0.25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e">
        <f>VLOOKUP(F2893,'Customer Info'!A2885:I3384,2,0)</f>
        <v>#N/A</v>
      </c>
      <c r="H2893" s="6" t="e">
        <f>VLOOKUP(F2893,'Customer Info'!A2885:I3384,3,0)</f>
        <v>#N/A</v>
      </c>
      <c r="I2893" s="6" t="e">
        <f>VLOOKUP(F2893,'Customer Info'!A2885:I3384,5,0)</f>
        <v>#N/A</v>
      </c>
      <c r="J2893" s="2">
        <v>2706</v>
      </c>
      <c r="K2893" s="2">
        <v>2553</v>
      </c>
      <c r="L2893" s="2">
        <v>4</v>
      </c>
      <c r="M2893" s="7">
        <f t="shared" si="180"/>
        <v>10212</v>
      </c>
      <c r="N2893" s="7">
        <f t="shared" si="181"/>
        <v>10824</v>
      </c>
      <c r="O2893" s="2">
        <v>82</v>
      </c>
      <c r="P2893" s="8">
        <f t="shared" si="182"/>
        <v>10906</v>
      </c>
      <c r="Q2893" s="8">
        <f t="shared" si="183"/>
        <v>10742</v>
      </c>
      <c r="R2893" s="2" t="s">
        <v>26</v>
      </c>
      <c r="S2893" s="9">
        <f>VLOOKUP(P2893,$T$2:U2890,2,1)</f>
        <v>0.05</v>
      </c>
    </row>
    <row r="2894" spans="1:19" x14ac:dyDescent="0.25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e">
        <f>VLOOKUP(F2894,'Customer Info'!A2886:I3385,2,0)</f>
        <v>#N/A</v>
      </c>
      <c r="H2894" s="6" t="e">
        <f>VLOOKUP(F2894,'Customer Info'!A2886:I3385,3,0)</f>
        <v>#N/A</v>
      </c>
      <c r="I2894" s="6" t="e">
        <f>VLOOKUP(F2894,'Customer Info'!A2886:I3385,5,0)</f>
        <v>#N/A</v>
      </c>
      <c r="J2894" s="2">
        <v>773</v>
      </c>
      <c r="K2894" s="2">
        <v>708</v>
      </c>
      <c r="L2894" s="2">
        <v>2</v>
      </c>
      <c r="M2894" s="7">
        <f t="shared" si="180"/>
        <v>1416</v>
      </c>
      <c r="N2894" s="7">
        <f t="shared" si="181"/>
        <v>1546</v>
      </c>
      <c r="O2894" s="2">
        <v>21</v>
      </c>
      <c r="P2894" s="8">
        <f t="shared" si="182"/>
        <v>1567</v>
      </c>
      <c r="Q2894" s="8">
        <f t="shared" si="183"/>
        <v>1525</v>
      </c>
      <c r="R2894" s="2" t="s">
        <v>50</v>
      </c>
      <c r="S2894" s="9">
        <f>VLOOKUP(P2894,$T$2:U2891,2,1)</f>
        <v>0.02</v>
      </c>
    </row>
    <row r="2895" spans="1:19" x14ac:dyDescent="0.25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e">
        <f>VLOOKUP(F2895,'Customer Info'!A2887:I3386,2,0)</f>
        <v>#N/A</v>
      </c>
      <c r="H2895" s="6" t="e">
        <f>VLOOKUP(F2895,'Customer Info'!A2887:I3386,3,0)</f>
        <v>#N/A</v>
      </c>
      <c r="I2895" s="6" t="e">
        <f>VLOOKUP(F2895,'Customer Info'!A2887:I3386,5,0)</f>
        <v>#N/A</v>
      </c>
      <c r="J2895" s="2">
        <v>60</v>
      </c>
      <c r="K2895" s="2">
        <v>57</v>
      </c>
      <c r="L2895" s="2">
        <v>2</v>
      </c>
      <c r="M2895" s="7">
        <f t="shared" si="180"/>
        <v>114</v>
      </c>
      <c r="N2895" s="7">
        <f t="shared" si="181"/>
        <v>120</v>
      </c>
      <c r="O2895" s="2">
        <v>10</v>
      </c>
      <c r="P2895" s="8">
        <f t="shared" si="182"/>
        <v>130</v>
      </c>
      <c r="Q2895" s="8">
        <f t="shared" si="183"/>
        <v>110</v>
      </c>
      <c r="R2895" s="2" t="s">
        <v>26</v>
      </c>
      <c r="S2895" s="9">
        <f>VLOOKUP(P2895,$T$2:U2892,2,1)</f>
        <v>0.02</v>
      </c>
    </row>
    <row r="2896" spans="1:19" x14ac:dyDescent="0.25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e">
        <f>VLOOKUP(F2896,'Customer Info'!A2888:I3387,2,0)</f>
        <v>#N/A</v>
      </c>
      <c r="H2896" s="6" t="e">
        <f>VLOOKUP(F2896,'Customer Info'!A2888:I3387,3,0)</f>
        <v>#N/A</v>
      </c>
      <c r="I2896" s="6" t="e">
        <f>VLOOKUP(F2896,'Customer Info'!A2888:I3387,5,0)</f>
        <v>#N/A</v>
      </c>
      <c r="J2896" s="2">
        <v>729</v>
      </c>
      <c r="K2896" s="2">
        <v>689</v>
      </c>
      <c r="L2896" s="2">
        <v>3</v>
      </c>
      <c r="M2896" s="7">
        <f t="shared" si="180"/>
        <v>2067</v>
      </c>
      <c r="N2896" s="7">
        <f t="shared" si="181"/>
        <v>2187</v>
      </c>
      <c r="O2896" s="2">
        <v>99</v>
      </c>
      <c r="P2896" s="8">
        <f t="shared" si="182"/>
        <v>2286</v>
      </c>
      <c r="Q2896" s="8">
        <f t="shared" si="183"/>
        <v>2088</v>
      </c>
      <c r="R2896" s="2" t="s">
        <v>50</v>
      </c>
      <c r="S2896" s="9">
        <f>VLOOKUP(P2896,$T$2:U2893,2,1)</f>
        <v>0.02</v>
      </c>
    </row>
    <row r="2897" spans="1:19" x14ac:dyDescent="0.25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e">
        <f>VLOOKUP(F2897,'Customer Info'!A2889:I3388,2,0)</f>
        <v>#N/A</v>
      </c>
      <c r="H2897" s="6" t="e">
        <f>VLOOKUP(F2897,'Customer Info'!A2889:I3388,3,0)</f>
        <v>#N/A</v>
      </c>
      <c r="I2897" s="6" t="e">
        <f>VLOOKUP(F2897,'Customer Info'!A2889:I3388,5,0)</f>
        <v>#N/A</v>
      </c>
      <c r="J2897" s="2">
        <v>1441</v>
      </c>
      <c r="K2897" s="2">
        <v>1360</v>
      </c>
      <c r="L2897" s="2">
        <v>5</v>
      </c>
      <c r="M2897" s="7">
        <f t="shared" si="180"/>
        <v>6800</v>
      </c>
      <c r="N2897" s="7">
        <f t="shared" si="181"/>
        <v>7205</v>
      </c>
      <c r="O2897" s="2">
        <v>53</v>
      </c>
      <c r="P2897" s="8">
        <f t="shared" si="182"/>
        <v>7258</v>
      </c>
      <c r="Q2897" s="8">
        <f t="shared" si="183"/>
        <v>7152</v>
      </c>
      <c r="R2897" s="2" t="s">
        <v>28</v>
      </c>
      <c r="S2897" s="9">
        <f>VLOOKUP(P2897,$T$2:U2894,2,1)</f>
        <v>0.05</v>
      </c>
    </row>
    <row r="2898" spans="1:19" x14ac:dyDescent="0.25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e">
        <f>VLOOKUP(F2898,'Customer Info'!A2890:I3389,2,0)</f>
        <v>#N/A</v>
      </c>
      <c r="H2898" s="6" t="e">
        <f>VLOOKUP(F2898,'Customer Info'!A2890:I3389,3,0)</f>
        <v>#N/A</v>
      </c>
      <c r="I2898" s="6" t="e">
        <f>VLOOKUP(F2898,'Customer Info'!A2890:I3389,5,0)</f>
        <v>#N/A</v>
      </c>
      <c r="J2898" s="2">
        <v>726</v>
      </c>
      <c r="K2898" s="2">
        <v>646</v>
      </c>
      <c r="L2898" s="2">
        <v>3</v>
      </c>
      <c r="M2898" s="7">
        <f t="shared" si="180"/>
        <v>1938</v>
      </c>
      <c r="N2898" s="7">
        <f t="shared" si="181"/>
        <v>2178</v>
      </c>
      <c r="O2898" s="2">
        <v>65</v>
      </c>
      <c r="P2898" s="8">
        <f t="shared" si="182"/>
        <v>2243</v>
      </c>
      <c r="Q2898" s="8">
        <f t="shared" si="183"/>
        <v>2113</v>
      </c>
      <c r="R2898" s="2" t="s">
        <v>28</v>
      </c>
      <c r="S2898" s="9">
        <f>VLOOKUP(P2898,$T$2:U2895,2,1)</f>
        <v>0.02</v>
      </c>
    </row>
    <row r="2899" spans="1:19" x14ac:dyDescent="0.25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e">
        <f>VLOOKUP(F2899,'Customer Info'!A2891:I3390,2,0)</f>
        <v>#N/A</v>
      </c>
      <c r="H2899" s="6" t="e">
        <f>VLOOKUP(F2899,'Customer Info'!A2891:I3390,3,0)</f>
        <v>#N/A</v>
      </c>
      <c r="I2899" s="6" t="e">
        <f>VLOOKUP(F2899,'Customer Info'!A2891:I3390,5,0)</f>
        <v>#N/A</v>
      </c>
      <c r="J2899" s="2">
        <v>8026</v>
      </c>
      <c r="K2899" s="2">
        <v>7572</v>
      </c>
      <c r="L2899" s="2">
        <v>1</v>
      </c>
      <c r="M2899" s="7">
        <f t="shared" si="180"/>
        <v>7572</v>
      </c>
      <c r="N2899" s="7">
        <f t="shared" si="181"/>
        <v>8026</v>
      </c>
      <c r="O2899" s="2">
        <v>70</v>
      </c>
      <c r="P2899" s="8">
        <f t="shared" si="182"/>
        <v>8096</v>
      </c>
      <c r="Q2899" s="8">
        <f t="shared" si="183"/>
        <v>7956</v>
      </c>
      <c r="R2899" s="2" t="s">
        <v>28</v>
      </c>
      <c r="S2899" s="9">
        <f>VLOOKUP(P2899,$T$2:U2896,2,1)</f>
        <v>0.05</v>
      </c>
    </row>
    <row r="2900" spans="1:19" x14ac:dyDescent="0.25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e">
        <f>VLOOKUP(F2900,'Customer Info'!A2892:I3391,2,0)</f>
        <v>#N/A</v>
      </c>
      <c r="H2900" s="6" t="e">
        <f>VLOOKUP(F2900,'Customer Info'!A2892:I3391,3,0)</f>
        <v>#N/A</v>
      </c>
      <c r="I2900" s="6" t="e">
        <f>VLOOKUP(F2900,'Customer Info'!A2892:I3391,5,0)</f>
        <v>#N/A</v>
      </c>
      <c r="J2900" s="2">
        <v>1653</v>
      </c>
      <c r="K2900" s="2">
        <v>1560</v>
      </c>
      <c r="L2900" s="2">
        <v>1</v>
      </c>
      <c r="M2900" s="7">
        <f t="shared" si="180"/>
        <v>1560</v>
      </c>
      <c r="N2900" s="7">
        <f t="shared" si="181"/>
        <v>1653</v>
      </c>
      <c r="O2900" s="2">
        <v>66</v>
      </c>
      <c r="P2900" s="8">
        <f t="shared" si="182"/>
        <v>1719</v>
      </c>
      <c r="Q2900" s="8">
        <f t="shared" si="183"/>
        <v>1587</v>
      </c>
      <c r="R2900" s="2" t="s">
        <v>28</v>
      </c>
      <c r="S2900" s="9">
        <f>VLOOKUP(P2900,$T$2:U2897,2,1)</f>
        <v>0.02</v>
      </c>
    </row>
    <row r="2901" spans="1:19" x14ac:dyDescent="0.25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e">
        <f>VLOOKUP(F2901,'Customer Info'!A2893:I3392,2,0)</f>
        <v>#N/A</v>
      </c>
      <c r="H2901" s="6" t="e">
        <f>VLOOKUP(F2901,'Customer Info'!A2893:I3392,3,0)</f>
        <v>#N/A</v>
      </c>
      <c r="I2901" s="6" t="e">
        <f>VLOOKUP(F2901,'Customer Info'!A2893:I3392,5,0)</f>
        <v>#N/A</v>
      </c>
      <c r="J2901" s="2">
        <v>92</v>
      </c>
      <c r="K2901" s="2">
        <v>85</v>
      </c>
      <c r="L2901" s="2">
        <v>2</v>
      </c>
      <c r="M2901" s="7">
        <f t="shared" si="180"/>
        <v>170</v>
      </c>
      <c r="N2901" s="7">
        <f t="shared" si="181"/>
        <v>184</v>
      </c>
      <c r="O2901" s="2">
        <v>10</v>
      </c>
      <c r="P2901" s="8">
        <f t="shared" si="182"/>
        <v>194</v>
      </c>
      <c r="Q2901" s="8">
        <f t="shared" si="183"/>
        <v>174</v>
      </c>
      <c r="R2901" s="2" t="s">
        <v>26</v>
      </c>
      <c r="S2901" s="9">
        <f>VLOOKUP(P2901,$T$2:U2898,2,1)</f>
        <v>0.02</v>
      </c>
    </row>
    <row r="2902" spans="1:19" x14ac:dyDescent="0.25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e">
        <f>VLOOKUP(F2902,'Customer Info'!A2894:I3393,2,0)</f>
        <v>#N/A</v>
      </c>
      <c r="H2902" s="6" t="e">
        <f>VLOOKUP(F2902,'Customer Info'!A2894:I3393,3,0)</f>
        <v>#N/A</v>
      </c>
      <c r="I2902" s="6" t="e">
        <f>VLOOKUP(F2902,'Customer Info'!A2894:I3393,5,0)</f>
        <v>#N/A</v>
      </c>
      <c r="J2902" s="2">
        <v>194</v>
      </c>
      <c r="K2902" s="2">
        <v>176</v>
      </c>
      <c r="L2902" s="2">
        <v>3</v>
      </c>
      <c r="M2902" s="7">
        <f t="shared" si="180"/>
        <v>528</v>
      </c>
      <c r="N2902" s="7">
        <f t="shared" si="181"/>
        <v>582</v>
      </c>
      <c r="O2902" s="2">
        <v>30</v>
      </c>
      <c r="P2902" s="8">
        <f t="shared" si="182"/>
        <v>612</v>
      </c>
      <c r="Q2902" s="8">
        <f t="shared" si="183"/>
        <v>552</v>
      </c>
      <c r="R2902" s="2" t="s">
        <v>28</v>
      </c>
      <c r="S2902" s="9">
        <f>VLOOKUP(P2902,$T$2:U2899,2,1)</f>
        <v>0.02</v>
      </c>
    </row>
    <row r="2903" spans="1:19" x14ac:dyDescent="0.25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e">
        <f>VLOOKUP(F2903,'Customer Info'!A2895:I3394,2,0)</f>
        <v>#N/A</v>
      </c>
      <c r="H2903" s="6" t="e">
        <f>VLOOKUP(F2903,'Customer Info'!A2895:I3394,3,0)</f>
        <v>#N/A</v>
      </c>
      <c r="I2903" s="6" t="e">
        <f>VLOOKUP(F2903,'Customer Info'!A2895:I3394,5,0)</f>
        <v>#N/A</v>
      </c>
      <c r="J2903" s="2">
        <v>3288</v>
      </c>
      <c r="K2903" s="2">
        <v>3041</v>
      </c>
      <c r="L2903" s="2">
        <v>3</v>
      </c>
      <c r="M2903" s="7">
        <f t="shared" si="180"/>
        <v>9123</v>
      </c>
      <c r="N2903" s="7">
        <f t="shared" si="181"/>
        <v>9864</v>
      </c>
      <c r="O2903" s="2">
        <v>26</v>
      </c>
      <c r="P2903" s="8">
        <f t="shared" si="182"/>
        <v>9890</v>
      </c>
      <c r="Q2903" s="8">
        <f t="shared" si="183"/>
        <v>9838</v>
      </c>
      <c r="R2903" s="2" t="s">
        <v>28</v>
      </c>
      <c r="S2903" s="9">
        <f>VLOOKUP(P2903,$T$2:U2900,2,1)</f>
        <v>0.05</v>
      </c>
    </row>
    <row r="2904" spans="1:19" x14ac:dyDescent="0.25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e">
        <f>VLOOKUP(F2904,'Customer Info'!A2896:I3395,2,0)</f>
        <v>#N/A</v>
      </c>
      <c r="H2904" s="6" t="e">
        <f>VLOOKUP(F2904,'Customer Info'!A2896:I3395,3,0)</f>
        <v>#N/A</v>
      </c>
      <c r="I2904" s="6" t="e">
        <f>VLOOKUP(F2904,'Customer Info'!A2896:I3395,5,0)</f>
        <v>#N/A</v>
      </c>
      <c r="J2904" s="2">
        <v>6337</v>
      </c>
      <c r="K2904" s="2">
        <v>6215</v>
      </c>
      <c r="L2904" s="2">
        <v>1</v>
      </c>
      <c r="M2904" s="7">
        <f t="shared" si="180"/>
        <v>6215</v>
      </c>
      <c r="N2904" s="7">
        <f t="shared" si="181"/>
        <v>6337</v>
      </c>
      <c r="O2904" s="2">
        <v>35</v>
      </c>
      <c r="P2904" s="8">
        <f t="shared" si="182"/>
        <v>6372</v>
      </c>
      <c r="Q2904" s="8">
        <f t="shared" si="183"/>
        <v>6302</v>
      </c>
      <c r="R2904" s="2" t="s">
        <v>26</v>
      </c>
      <c r="S2904" s="9">
        <f>VLOOKUP(P2904,$T$2:U2901,2,1)</f>
        <v>0.05</v>
      </c>
    </row>
    <row r="2905" spans="1:19" x14ac:dyDescent="0.25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e">
        <f>VLOOKUP(F2905,'Customer Info'!A2897:I3396,2,0)</f>
        <v>#N/A</v>
      </c>
      <c r="H2905" s="6" t="e">
        <f>VLOOKUP(F2905,'Customer Info'!A2897:I3396,3,0)</f>
        <v>#N/A</v>
      </c>
      <c r="I2905" s="6" t="e">
        <f>VLOOKUP(F2905,'Customer Info'!A2897:I3396,5,0)</f>
        <v>#N/A</v>
      </c>
      <c r="J2905" s="2">
        <v>166</v>
      </c>
      <c r="K2905" s="2">
        <v>157</v>
      </c>
      <c r="L2905" s="2">
        <v>5</v>
      </c>
      <c r="M2905" s="7">
        <f t="shared" si="180"/>
        <v>785</v>
      </c>
      <c r="N2905" s="7">
        <f t="shared" si="181"/>
        <v>830</v>
      </c>
      <c r="O2905" s="2">
        <v>30</v>
      </c>
      <c r="P2905" s="8">
        <f t="shared" si="182"/>
        <v>860</v>
      </c>
      <c r="Q2905" s="8">
        <f t="shared" si="183"/>
        <v>800</v>
      </c>
      <c r="R2905" s="2" t="s">
        <v>28</v>
      </c>
      <c r="S2905" s="9">
        <f>VLOOKUP(P2905,$T$2:U2902,2,1)</f>
        <v>0.02</v>
      </c>
    </row>
    <row r="2906" spans="1:19" x14ac:dyDescent="0.25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e">
        <f>VLOOKUP(F2906,'Customer Info'!A2898:I3397,2,0)</f>
        <v>#N/A</v>
      </c>
      <c r="H2906" s="6" t="e">
        <f>VLOOKUP(F2906,'Customer Info'!A2898:I3397,3,0)</f>
        <v>#N/A</v>
      </c>
      <c r="I2906" s="6" t="e">
        <f>VLOOKUP(F2906,'Customer Info'!A2898:I3397,5,0)</f>
        <v>#N/A</v>
      </c>
      <c r="J2906" s="2">
        <v>7315</v>
      </c>
      <c r="K2906" s="2">
        <v>6967</v>
      </c>
      <c r="L2906" s="2">
        <v>6</v>
      </c>
      <c r="M2906" s="7">
        <f t="shared" si="180"/>
        <v>41802</v>
      </c>
      <c r="N2906" s="7">
        <f t="shared" si="181"/>
        <v>43890</v>
      </c>
      <c r="O2906" s="2">
        <v>57</v>
      </c>
      <c r="P2906" s="8">
        <f t="shared" si="182"/>
        <v>43947</v>
      </c>
      <c r="Q2906" s="8">
        <f t="shared" si="183"/>
        <v>43833</v>
      </c>
      <c r="R2906" s="2" t="s">
        <v>28</v>
      </c>
      <c r="S2906" s="9">
        <f>VLOOKUP(P2906,$T$2:U2903,2,1)</f>
        <v>7.0000000000000007E-2</v>
      </c>
    </row>
    <row r="2907" spans="1:19" x14ac:dyDescent="0.25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e">
        <f>VLOOKUP(F2907,'Customer Info'!A2899:I3398,2,0)</f>
        <v>#N/A</v>
      </c>
      <c r="H2907" s="6" t="e">
        <f>VLOOKUP(F2907,'Customer Info'!A2899:I3398,3,0)</f>
        <v>#N/A</v>
      </c>
      <c r="I2907" s="6" t="e">
        <f>VLOOKUP(F2907,'Customer Info'!A2899:I3398,5,0)</f>
        <v>#N/A</v>
      </c>
      <c r="J2907" s="2">
        <v>1321</v>
      </c>
      <c r="K2907" s="2">
        <v>1211</v>
      </c>
      <c r="L2907" s="2">
        <v>2</v>
      </c>
      <c r="M2907" s="7">
        <f t="shared" si="180"/>
        <v>2422</v>
      </c>
      <c r="N2907" s="7">
        <f t="shared" si="181"/>
        <v>2642</v>
      </c>
      <c r="O2907" s="2">
        <v>65</v>
      </c>
      <c r="P2907" s="8">
        <f t="shared" si="182"/>
        <v>2707</v>
      </c>
      <c r="Q2907" s="8">
        <f t="shared" si="183"/>
        <v>2577</v>
      </c>
      <c r="R2907" s="2" t="s">
        <v>28</v>
      </c>
      <c r="S2907" s="9">
        <f>VLOOKUP(P2907,$T$2:U2904,2,1)</f>
        <v>0.02</v>
      </c>
    </row>
    <row r="2908" spans="1:19" x14ac:dyDescent="0.25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e">
        <f>VLOOKUP(F2908,'Customer Info'!A2900:I3399,2,0)</f>
        <v>#N/A</v>
      </c>
      <c r="H2908" s="6" t="e">
        <f>VLOOKUP(F2908,'Customer Info'!A2900:I3399,3,0)</f>
        <v>#N/A</v>
      </c>
      <c r="I2908" s="6" t="e">
        <f>VLOOKUP(F2908,'Customer Info'!A2900:I3399,5,0)</f>
        <v>#N/A</v>
      </c>
      <c r="J2908" s="2">
        <v>1734</v>
      </c>
      <c r="K2908" s="2">
        <v>1702</v>
      </c>
      <c r="L2908" s="2">
        <v>9</v>
      </c>
      <c r="M2908" s="7">
        <f t="shared" si="180"/>
        <v>15318</v>
      </c>
      <c r="N2908" s="7">
        <f t="shared" si="181"/>
        <v>15606</v>
      </c>
      <c r="O2908" s="2">
        <v>26</v>
      </c>
      <c r="P2908" s="8">
        <f t="shared" si="182"/>
        <v>15632</v>
      </c>
      <c r="Q2908" s="8">
        <f t="shared" si="183"/>
        <v>15580</v>
      </c>
      <c r="R2908" s="2" t="s">
        <v>28</v>
      </c>
      <c r="S2908" s="9">
        <f>VLOOKUP(P2908,$T$2:U2905,2,1)</f>
        <v>0.05</v>
      </c>
    </row>
    <row r="2909" spans="1:19" x14ac:dyDescent="0.25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e">
        <f>VLOOKUP(F2909,'Customer Info'!A2901:I3400,2,0)</f>
        <v>#N/A</v>
      </c>
      <c r="H2909" s="6" t="e">
        <f>VLOOKUP(F2909,'Customer Info'!A2901:I3400,3,0)</f>
        <v>#N/A</v>
      </c>
      <c r="I2909" s="6" t="e">
        <f>VLOOKUP(F2909,'Customer Info'!A2901:I3400,5,0)</f>
        <v>#N/A</v>
      </c>
      <c r="J2909" s="2">
        <v>811</v>
      </c>
      <c r="K2909" s="2">
        <v>780</v>
      </c>
      <c r="L2909" s="2">
        <v>6</v>
      </c>
      <c r="M2909" s="7">
        <f t="shared" si="180"/>
        <v>4680</v>
      </c>
      <c r="N2909" s="7">
        <f t="shared" si="181"/>
        <v>4866</v>
      </c>
      <c r="O2909" s="2">
        <v>44</v>
      </c>
      <c r="P2909" s="8">
        <f t="shared" si="182"/>
        <v>4910</v>
      </c>
      <c r="Q2909" s="8">
        <f t="shared" si="183"/>
        <v>4822</v>
      </c>
      <c r="R2909" s="2" t="s">
        <v>56</v>
      </c>
      <c r="S2909" s="9">
        <f>VLOOKUP(P2909,$T$2:U2906,2,1)</f>
        <v>0.02</v>
      </c>
    </row>
    <row r="2910" spans="1:19" x14ac:dyDescent="0.25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e">
        <f>VLOOKUP(F2910,'Customer Info'!A2902:I3401,2,0)</f>
        <v>#N/A</v>
      </c>
      <c r="H2910" s="6" t="e">
        <f>VLOOKUP(F2910,'Customer Info'!A2902:I3401,3,0)</f>
        <v>#N/A</v>
      </c>
      <c r="I2910" s="6" t="e">
        <f>VLOOKUP(F2910,'Customer Info'!A2902:I3401,5,0)</f>
        <v>#N/A</v>
      </c>
      <c r="J2910" s="2">
        <v>1916</v>
      </c>
      <c r="K2910" s="2">
        <v>1844</v>
      </c>
      <c r="L2910" s="2">
        <v>6</v>
      </c>
      <c r="M2910" s="7">
        <f t="shared" si="180"/>
        <v>11064</v>
      </c>
      <c r="N2910" s="7">
        <f t="shared" si="181"/>
        <v>11496</v>
      </c>
      <c r="O2910" s="2">
        <v>64</v>
      </c>
      <c r="P2910" s="8">
        <f t="shared" si="182"/>
        <v>11560</v>
      </c>
      <c r="Q2910" s="8">
        <f t="shared" si="183"/>
        <v>11432</v>
      </c>
      <c r="R2910" s="2" t="s">
        <v>50</v>
      </c>
      <c r="S2910" s="9">
        <f>VLOOKUP(P2910,$T$2:U2907,2,1)</f>
        <v>0.05</v>
      </c>
    </row>
    <row r="2911" spans="1:19" x14ac:dyDescent="0.25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e">
        <f>VLOOKUP(F2911,'Customer Info'!A2903:I3402,2,0)</f>
        <v>#N/A</v>
      </c>
      <c r="H2911" s="6" t="e">
        <f>VLOOKUP(F2911,'Customer Info'!A2903:I3402,3,0)</f>
        <v>#N/A</v>
      </c>
      <c r="I2911" s="6" t="e">
        <f>VLOOKUP(F2911,'Customer Info'!A2903:I3402,5,0)</f>
        <v>#N/A</v>
      </c>
      <c r="J2911" s="2">
        <v>664</v>
      </c>
      <c r="K2911" s="2">
        <v>576</v>
      </c>
      <c r="L2911" s="2">
        <v>1</v>
      </c>
      <c r="M2911" s="7">
        <f t="shared" si="180"/>
        <v>576</v>
      </c>
      <c r="N2911" s="7">
        <f t="shared" si="181"/>
        <v>664</v>
      </c>
      <c r="O2911" s="2">
        <v>93</v>
      </c>
      <c r="P2911" s="8">
        <f t="shared" si="182"/>
        <v>757</v>
      </c>
      <c r="Q2911" s="8">
        <f t="shared" si="183"/>
        <v>571</v>
      </c>
      <c r="R2911" s="2" t="s">
        <v>50</v>
      </c>
      <c r="S2911" s="9">
        <f>VLOOKUP(P2911,$T$2:U2908,2,1)</f>
        <v>0.02</v>
      </c>
    </row>
    <row r="2912" spans="1:19" x14ac:dyDescent="0.25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e">
        <f>VLOOKUP(F2912,'Customer Info'!A2904:I3403,2,0)</f>
        <v>#N/A</v>
      </c>
      <c r="H2912" s="6" t="e">
        <f>VLOOKUP(F2912,'Customer Info'!A2904:I3403,3,0)</f>
        <v>#N/A</v>
      </c>
      <c r="I2912" s="6" t="e">
        <f>VLOOKUP(F2912,'Customer Info'!A2904:I3403,5,0)</f>
        <v>#N/A</v>
      </c>
      <c r="J2912" s="2">
        <v>5882</v>
      </c>
      <c r="K2912" s="2">
        <v>5713</v>
      </c>
      <c r="L2912" s="2">
        <v>2</v>
      </c>
      <c r="M2912" s="7">
        <f t="shared" si="180"/>
        <v>11426</v>
      </c>
      <c r="N2912" s="7">
        <f t="shared" si="181"/>
        <v>11764</v>
      </c>
      <c r="O2912" s="2">
        <v>45</v>
      </c>
      <c r="P2912" s="8">
        <f t="shared" si="182"/>
        <v>11809</v>
      </c>
      <c r="Q2912" s="8">
        <f t="shared" si="183"/>
        <v>11719</v>
      </c>
      <c r="R2912" s="2" t="s">
        <v>26</v>
      </c>
      <c r="S2912" s="9">
        <f>VLOOKUP(P2912,$T$2:U2909,2,1)</f>
        <v>0.05</v>
      </c>
    </row>
    <row r="2913" spans="1:19" x14ac:dyDescent="0.25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e">
        <f>VLOOKUP(F2913,'Customer Info'!A2905:I3404,2,0)</f>
        <v>#N/A</v>
      </c>
      <c r="H2913" s="6" t="e">
        <f>VLOOKUP(F2913,'Customer Info'!A2905:I3404,3,0)</f>
        <v>#N/A</v>
      </c>
      <c r="I2913" s="6" t="e">
        <f>VLOOKUP(F2913,'Customer Info'!A2905:I3404,5,0)</f>
        <v>#N/A</v>
      </c>
      <c r="J2913" s="2">
        <v>5894</v>
      </c>
      <c r="K2913" s="2">
        <v>5621</v>
      </c>
      <c r="L2913" s="2">
        <v>3</v>
      </c>
      <c r="M2913" s="7">
        <f t="shared" si="180"/>
        <v>16863</v>
      </c>
      <c r="N2913" s="7">
        <f t="shared" si="181"/>
        <v>17682</v>
      </c>
      <c r="O2913" s="2">
        <v>89</v>
      </c>
      <c r="P2913" s="8">
        <f t="shared" si="182"/>
        <v>17771</v>
      </c>
      <c r="Q2913" s="8">
        <f t="shared" si="183"/>
        <v>17593</v>
      </c>
      <c r="R2913" s="2" t="s">
        <v>50</v>
      </c>
      <c r="S2913" s="9">
        <f>VLOOKUP(P2913,$T$2:U2910,2,1)</f>
        <v>0.05</v>
      </c>
    </row>
    <row r="2914" spans="1:19" x14ac:dyDescent="0.25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e">
        <f>VLOOKUP(F2914,'Customer Info'!A2906:I3405,2,0)</f>
        <v>#N/A</v>
      </c>
      <c r="H2914" s="6" t="e">
        <f>VLOOKUP(F2914,'Customer Info'!A2906:I3405,3,0)</f>
        <v>#N/A</v>
      </c>
      <c r="I2914" s="6" t="e">
        <f>VLOOKUP(F2914,'Customer Info'!A2906:I3405,5,0)</f>
        <v>#N/A</v>
      </c>
      <c r="J2914" s="2">
        <v>1528</v>
      </c>
      <c r="K2914" s="2">
        <v>1348</v>
      </c>
      <c r="L2914" s="2">
        <v>1</v>
      </c>
      <c r="M2914" s="7">
        <f t="shared" si="180"/>
        <v>1348</v>
      </c>
      <c r="N2914" s="7">
        <f t="shared" si="181"/>
        <v>1528</v>
      </c>
      <c r="O2914" s="2">
        <v>42</v>
      </c>
      <c r="P2914" s="8">
        <f t="shared" si="182"/>
        <v>1570</v>
      </c>
      <c r="Q2914" s="8">
        <f t="shared" si="183"/>
        <v>1486</v>
      </c>
      <c r="R2914" s="2" t="s">
        <v>28</v>
      </c>
      <c r="S2914" s="9">
        <f>VLOOKUP(P2914,$T$2:U2911,2,1)</f>
        <v>0.02</v>
      </c>
    </row>
    <row r="2915" spans="1:19" x14ac:dyDescent="0.25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e">
        <f>VLOOKUP(F2915,'Customer Info'!A2907:I3406,2,0)</f>
        <v>#N/A</v>
      </c>
      <c r="H2915" s="6" t="e">
        <f>VLOOKUP(F2915,'Customer Info'!A2907:I3406,3,0)</f>
        <v>#N/A</v>
      </c>
      <c r="I2915" s="6" t="e">
        <f>VLOOKUP(F2915,'Customer Info'!A2907:I3406,5,0)</f>
        <v>#N/A</v>
      </c>
      <c r="J2915" s="2">
        <v>7136</v>
      </c>
      <c r="K2915" s="2">
        <v>6676</v>
      </c>
      <c r="L2915" s="2">
        <v>4</v>
      </c>
      <c r="M2915" s="7">
        <f t="shared" si="180"/>
        <v>26704</v>
      </c>
      <c r="N2915" s="7">
        <f t="shared" si="181"/>
        <v>28544</v>
      </c>
      <c r="O2915" s="2">
        <v>41</v>
      </c>
      <c r="P2915" s="8">
        <f t="shared" si="182"/>
        <v>28585</v>
      </c>
      <c r="Q2915" s="8">
        <f t="shared" si="183"/>
        <v>28503</v>
      </c>
      <c r="R2915" s="2" t="s">
        <v>50</v>
      </c>
      <c r="S2915" s="9">
        <f>VLOOKUP(P2915,$T$2:U2912,2,1)</f>
        <v>7.0000000000000007E-2</v>
      </c>
    </row>
    <row r="2916" spans="1:19" x14ac:dyDescent="0.25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e">
        <f>VLOOKUP(F2916,'Customer Info'!A2908:I3407,2,0)</f>
        <v>#N/A</v>
      </c>
      <c r="H2916" s="6" t="e">
        <f>VLOOKUP(F2916,'Customer Info'!A2908:I3407,3,0)</f>
        <v>#N/A</v>
      </c>
      <c r="I2916" s="6" t="e">
        <f>VLOOKUP(F2916,'Customer Info'!A2908:I3407,5,0)</f>
        <v>#N/A</v>
      </c>
      <c r="J2916" s="2">
        <v>177</v>
      </c>
      <c r="K2916" s="2">
        <v>169</v>
      </c>
      <c r="L2916" s="2">
        <v>3</v>
      </c>
      <c r="M2916" s="7">
        <f t="shared" si="180"/>
        <v>507</v>
      </c>
      <c r="N2916" s="7">
        <f t="shared" si="181"/>
        <v>531</v>
      </c>
      <c r="O2916" s="2">
        <v>30</v>
      </c>
      <c r="P2916" s="8">
        <f t="shared" si="182"/>
        <v>561</v>
      </c>
      <c r="Q2916" s="8">
        <f t="shared" si="183"/>
        <v>501</v>
      </c>
      <c r="R2916" s="2" t="s">
        <v>56</v>
      </c>
      <c r="S2916" s="9">
        <f>VLOOKUP(P2916,$T$2:U2913,2,1)</f>
        <v>0.02</v>
      </c>
    </row>
    <row r="2917" spans="1:19" x14ac:dyDescent="0.25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e">
        <f>VLOOKUP(F2917,'Customer Info'!A2909:I3408,2,0)</f>
        <v>#N/A</v>
      </c>
      <c r="H2917" s="6" t="e">
        <f>VLOOKUP(F2917,'Customer Info'!A2909:I3408,3,0)</f>
        <v>#N/A</v>
      </c>
      <c r="I2917" s="6" t="e">
        <f>VLOOKUP(F2917,'Customer Info'!A2909:I3408,5,0)</f>
        <v>#N/A</v>
      </c>
      <c r="J2917" s="2">
        <v>1017</v>
      </c>
      <c r="K2917" s="2">
        <v>950</v>
      </c>
      <c r="L2917" s="2">
        <v>4</v>
      </c>
      <c r="M2917" s="7">
        <f t="shared" si="180"/>
        <v>3800</v>
      </c>
      <c r="N2917" s="7">
        <f t="shared" si="181"/>
        <v>4068</v>
      </c>
      <c r="O2917" s="2">
        <v>52</v>
      </c>
      <c r="P2917" s="8">
        <f t="shared" si="182"/>
        <v>4120</v>
      </c>
      <c r="Q2917" s="8">
        <f t="shared" si="183"/>
        <v>4016</v>
      </c>
      <c r="R2917" s="2" t="s">
        <v>28</v>
      </c>
      <c r="S2917" s="9">
        <f>VLOOKUP(P2917,$T$2:U2914,2,1)</f>
        <v>0.02</v>
      </c>
    </row>
    <row r="2918" spans="1:19" x14ac:dyDescent="0.25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e">
        <f>VLOOKUP(F2918,'Customer Info'!A2910:I3409,2,0)</f>
        <v>#N/A</v>
      </c>
      <c r="H2918" s="6" t="e">
        <f>VLOOKUP(F2918,'Customer Info'!A2910:I3409,3,0)</f>
        <v>#N/A</v>
      </c>
      <c r="I2918" s="6" t="e">
        <f>VLOOKUP(F2918,'Customer Info'!A2910:I3409,5,0)</f>
        <v>#N/A</v>
      </c>
      <c r="J2918" s="2">
        <v>1569</v>
      </c>
      <c r="K2918" s="2">
        <v>1466</v>
      </c>
      <c r="L2918" s="2">
        <v>6</v>
      </c>
      <c r="M2918" s="7">
        <f t="shared" si="180"/>
        <v>8796</v>
      </c>
      <c r="N2918" s="7">
        <f t="shared" si="181"/>
        <v>9414</v>
      </c>
      <c r="O2918" s="2">
        <v>43</v>
      </c>
      <c r="P2918" s="8">
        <f t="shared" si="182"/>
        <v>9457</v>
      </c>
      <c r="Q2918" s="8">
        <f t="shared" si="183"/>
        <v>9371</v>
      </c>
      <c r="R2918" s="2" t="s">
        <v>28</v>
      </c>
      <c r="S2918" s="9">
        <f>VLOOKUP(P2918,$T$2:U2915,2,1)</f>
        <v>0.05</v>
      </c>
    </row>
    <row r="2919" spans="1:19" x14ac:dyDescent="0.25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e">
        <f>VLOOKUP(F2919,'Customer Info'!A2911:I3410,2,0)</f>
        <v>#N/A</v>
      </c>
      <c r="H2919" s="6" t="e">
        <f>VLOOKUP(F2919,'Customer Info'!A2911:I3410,3,0)</f>
        <v>#N/A</v>
      </c>
      <c r="I2919" s="6" t="e">
        <f>VLOOKUP(F2919,'Customer Info'!A2911:I3410,5,0)</f>
        <v>#N/A</v>
      </c>
      <c r="J2919" s="2">
        <v>4577</v>
      </c>
      <c r="K2919" s="2">
        <v>4280</v>
      </c>
      <c r="L2919" s="2">
        <v>3</v>
      </c>
      <c r="M2919" s="7">
        <f t="shared" si="180"/>
        <v>12840</v>
      </c>
      <c r="N2919" s="7">
        <f t="shared" si="181"/>
        <v>13731</v>
      </c>
      <c r="O2919" s="2">
        <v>91</v>
      </c>
      <c r="P2919" s="8">
        <f t="shared" si="182"/>
        <v>13822</v>
      </c>
      <c r="Q2919" s="8">
        <f t="shared" si="183"/>
        <v>13640</v>
      </c>
      <c r="R2919" s="2" t="s">
        <v>50</v>
      </c>
      <c r="S2919" s="9">
        <f>VLOOKUP(P2919,$T$2:U2916,2,1)</f>
        <v>0.05</v>
      </c>
    </row>
    <row r="2920" spans="1:19" x14ac:dyDescent="0.25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e">
        <f>VLOOKUP(F2920,'Customer Info'!A2912:I3411,2,0)</f>
        <v>#N/A</v>
      </c>
      <c r="H2920" s="6" t="e">
        <f>VLOOKUP(F2920,'Customer Info'!A2912:I3411,3,0)</f>
        <v>#N/A</v>
      </c>
      <c r="I2920" s="6" t="e">
        <f>VLOOKUP(F2920,'Customer Info'!A2912:I3411,5,0)</f>
        <v>#N/A</v>
      </c>
      <c r="J2920" s="2">
        <v>78</v>
      </c>
      <c r="K2920" s="2">
        <v>74</v>
      </c>
      <c r="L2920" s="2">
        <v>6</v>
      </c>
      <c r="M2920" s="7">
        <f t="shared" si="180"/>
        <v>444</v>
      </c>
      <c r="N2920" s="7">
        <f t="shared" si="181"/>
        <v>468</v>
      </c>
      <c r="O2920" s="2">
        <v>10</v>
      </c>
      <c r="P2920" s="8">
        <f t="shared" si="182"/>
        <v>478</v>
      </c>
      <c r="Q2920" s="8">
        <f t="shared" si="183"/>
        <v>458</v>
      </c>
      <c r="R2920" s="2" t="s">
        <v>28</v>
      </c>
      <c r="S2920" s="9">
        <f>VLOOKUP(P2920,$T$2:U2917,2,1)</f>
        <v>0.02</v>
      </c>
    </row>
    <row r="2921" spans="1:19" x14ac:dyDescent="0.25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e">
        <f>VLOOKUP(F2921,'Customer Info'!A2913:I3412,2,0)</f>
        <v>#N/A</v>
      </c>
      <c r="H2921" s="6" t="e">
        <f>VLOOKUP(F2921,'Customer Info'!A2913:I3412,3,0)</f>
        <v>#N/A</v>
      </c>
      <c r="I2921" s="6" t="e">
        <f>VLOOKUP(F2921,'Customer Info'!A2913:I3412,5,0)</f>
        <v>#N/A</v>
      </c>
      <c r="J2921" s="2">
        <v>2017</v>
      </c>
      <c r="K2921" s="2">
        <v>1834</v>
      </c>
      <c r="L2921" s="2">
        <v>4</v>
      </c>
      <c r="M2921" s="7">
        <f t="shared" si="180"/>
        <v>7336</v>
      </c>
      <c r="N2921" s="7">
        <f t="shared" si="181"/>
        <v>8068</v>
      </c>
      <c r="O2921" s="2">
        <v>71</v>
      </c>
      <c r="P2921" s="8">
        <f t="shared" si="182"/>
        <v>8139</v>
      </c>
      <c r="Q2921" s="8">
        <f t="shared" si="183"/>
        <v>7997</v>
      </c>
      <c r="R2921" s="2" t="s">
        <v>28</v>
      </c>
      <c r="S2921" s="9">
        <f>VLOOKUP(P2921,$T$2:U2918,2,1)</f>
        <v>0.05</v>
      </c>
    </row>
    <row r="2922" spans="1:19" x14ac:dyDescent="0.25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e">
        <f>VLOOKUP(F2922,'Customer Info'!A2914:I3413,2,0)</f>
        <v>#N/A</v>
      </c>
      <c r="H2922" s="6" t="e">
        <f>VLOOKUP(F2922,'Customer Info'!A2914:I3413,3,0)</f>
        <v>#N/A</v>
      </c>
      <c r="I2922" s="6" t="e">
        <f>VLOOKUP(F2922,'Customer Info'!A2914:I3413,5,0)</f>
        <v>#N/A</v>
      </c>
      <c r="J2922" s="2">
        <v>658</v>
      </c>
      <c r="K2922" s="2">
        <v>615</v>
      </c>
      <c r="L2922" s="2">
        <v>2</v>
      </c>
      <c r="M2922" s="7">
        <f t="shared" si="180"/>
        <v>1230</v>
      </c>
      <c r="N2922" s="7">
        <f t="shared" si="181"/>
        <v>1316</v>
      </c>
      <c r="O2922" s="2">
        <v>53</v>
      </c>
      <c r="P2922" s="8">
        <f t="shared" si="182"/>
        <v>1369</v>
      </c>
      <c r="Q2922" s="8">
        <f t="shared" si="183"/>
        <v>1263</v>
      </c>
      <c r="R2922" s="2" t="s">
        <v>28</v>
      </c>
      <c r="S2922" s="9">
        <f>VLOOKUP(P2922,$T$2:U2919,2,1)</f>
        <v>0.02</v>
      </c>
    </row>
    <row r="2923" spans="1:19" x14ac:dyDescent="0.25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e">
        <f>VLOOKUP(F2923,'Customer Info'!A2915:I3414,2,0)</f>
        <v>#N/A</v>
      </c>
      <c r="H2923" s="6" t="e">
        <f>VLOOKUP(F2923,'Customer Info'!A2915:I3414,3,0)</f>
        <v>#N/A</v>
      </c>
      <c r="I2923" s="6" t="e">
        <f>VLOOKUP(F2923,'Customer Info'!A2915:I3414,5,0)</f>
        <v>#N/A</v>
      </c>
      <c r="J2923" s="2">
        <v>1808</v>
      </c>
      <c r="K2923" s="2">
        <v>1740</v>
      </c>
      <c r="L2923" s="2">
        <v>3</v>
      </c>
      <c r="M2923" s="7">
        <f t="shared" si="180"/>
        <v>5220</v>
      </c>
      <c r="N2923" s="7">
        <f t="shared" si="181"/>
        <v>5424</v>
      </c>
      <c r="O2923" s="2">
        <v>41</v>
      </c>
      <c r="P2923" s="8">
        <f t="shared" si="182"/>
        <v>5465</v>
      </c>
      <c r="Q2923" s="8">
        <f t="shared" si="183"/>
        <v>5383</v>
      </c>
      <c r="R2923" s="2" t="s">
        <v>28</v>
      </c>
      <c r="S2923" s="9">
        <f>VLOOKUP(P2923,$T$2:U2920,2,1)</f>
        <v>0.05</v>
      </c>
    </row>
    <row r="2924" spans="1:19" x14ac:dyDescent="0.25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e">
        <f>VLOOKUP(F2924,'Customer Info'!A2916:I3415,2,0)</f>
        <v>#N/A</v>
      </c>
      <c r="H2924" s="6" t="e">
        <f>VLOOKUP(F2924,'Customer Info'!A2916:I3415,3,0)</f>
        <v>#N/A</v>
      </c>
      <c r="I2924" s="6" t="e">
        <f>VLOOKUP(F2924,'Customer Info'!A2916:I3415,5,0)</f>
        <v>#N/A</v>
      </c>
      <c r="J2924" s="2">
        <v>4832</v>
      </c>
      <c r="K2924" s="2">
        <v>4563</v>
      </c>
      <c r="L2924" s="2">
        <v>1</v>
      </c>
      <c r="M2924" s="7">
        <f t="shared" si="180"/>
        <v>4563</v>
      </c>
      <c r="N2924" s="7">
        <f t="shared" si="181"/>
        <v>4832</v>
      </c>
      <c r="O2924" s="2">
        <v>51</v>
      </c>
      <c r="P2924" s="8">
        <f t="shared" si="182"/>
        <v>4883</v>
      </c>
      <c r="Q2924" s="8">
        <f t="shared" si="183"/>
        <v>4781</v>
      </c>
      <c r="R2924" s="2" t="s">
        <v>26</v>
      </c>
      <c r="S2924" s="9">
        <f>VLOOKUP(P2924,$T$2:U2921,2,1)</f>
        <v>0.02</v>
      </c>
    </row>
    <row r="2925" spans="1:19" x14ac:dyDescent="0.25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e">
        <f>VLOOKUP(F2925,'Customer Info'!A2917:I3416,2,0)</f>
        <v>#N/A</v>
      </c>
      <c r="H2925" s="6" t="e">
        <f>VLOOKUP(F2925,'Customer Info'!A2917:I3416,3,0)</f>
        <v>#N/A</v>
      </c>
      <c r="I2925" s="6" t="e">
        <f>VLOOKUP(F2925,'Customer Info'!A2917:I3416,5,0)</f>
        <v>#N/A</v>
      </c>
      <c r="J2925" s="2">
        <v>7960</v>
      </c>
      <c r="K2925" s="2">
        <v>7375</v>
      </c>
      <c r="L2925" s="2">
        <v>2</v>
      </c>
      <c r="M2925" s="7">
        <f t="shared" si="180"/>
        <v>14750</v>
      </c>
      <c r="N2925" s="7">
        <f t="shared" si="181"/>
        <v>15920</v>
      </c>
      <c r="O2925" s="2">
        <v>21</v>
      </c>
      <c r="P2925" s="8">
        <f t="shared" si="182"/>
        <v>15941</v>
      </c>
      <c r="Q2925" s="8">
        <f t="shared" si="183"/>
        <v>15899</v>
      </c>
      <c r="R2925" s="2" t="s">
        <v>50</v>
      </c>
      <c r="S2925" s="9">
        <f>VLOOKUP(P2925,$T$2:U2922,2,1)</f>
        <v>0.05</v>
      </c>
    </row>
    <row r="2926" spans="1:19" x14ac:dyDescent="0.25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e">
        <f>VLOOKUP(F2926,'Customer Info'!A2918:I3417,2,0)</f>
        <v>#N/A</v>
      </c>
      <c r="H2926" s="6" t="e">
        <f>VLOOKUP(F2926,'Customer Info'!A2918:I3417,3,0)</f>
        <v>#N/A</v>
      </c>
      <c r="I2926" s="6" t="e">
        <f>VLOOKUP(F2926,'Customer Info'!A2918:I3417,5,0)</f>
        <v>#N/A</v>
      </c>
      <c r="J2926" s="2">
        <v>835</v>
      </c>
      <c r="K2926" s="2">
        <v>796</v>
      </c>
      <c r="L2926" s="2">
        <v>4</v>
      </c>
      <c r="M2926" s="7">
        <f t="shared" si="180"/>
        <v>3184</v>
      </c>
      <c r="N2926" s="7">
        <f t="shared" si="181"/>
        <v>3340</v>
      </c>
      <c r="O2926" s="2">
        <v>56</v>
      </c>
      <c r="P2926" s="8">
        <f t="shared" si="182"/>
        <v>3396</v>
      </c>
      <c r="Q2926" s="8">
        <f t="shared" si="183"/>
        <v>3284</v>
      </c>
      <c r="R2926" s="2" t="s">
        <v>50</v>
      </c>
      <c r="S2926" s="9">
        <f>VLOOKUP(P2926,$T$2:U2923,2,1)</f>
        <v>0.02</v>
      </c>
    </row>
    <row r="2927" spans="1:19" x14ac:dyDescent="0.25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e">
        <f>VLOOKUP(F2927,'Customer Info'!A2919:I3418,2,0)</f>
        <v>#N/A</v>
      </c>
      <c r="H2927" s="6" t="e">
        <f>VLOOKUP(F2927,'Customer Info'!A2919:I3418,3,0)</f>
        <v>#N/A</v>
      </c>
      <c r="I2927" s="6" t="e">
        <f>VLOOKUP(F2927,'Customer Info'!A2919:I3418,5,0)</f>
        <v>#N/A</v>
      </c>
      <c r="J2927" s="2">
        <v>5882</v>
      </c>
      <c r="K2927" s="2">
        <v>5713</v>
      </c>
      <c r="L2927" s="2">
        <v>2</v>
      </c>
      <c r="M2927" s="7">
        <f t="shared" si="180"/>
        <v>11426</v>
      </c>
      <c r="N2927" s="7">
        <f t="shared" si="181"/>
        <v>11764</v>
      </c>
      <c r="O2927" s="2">
        <v>49</v>
      </c>
      <c r="P2927" s="8">
        <f t="shared" si="182"/>
        <v>11813</v>
      </c>
      <c r="Q2927" s="8">
        <f t="shared" si="183"/>
        <v>11715</v>
      </c>
      <c r="R2927" s="2" t="s">
        <v>28</v>
      </c>
      <c r="S2927" s="9">
        <f>VLOOKUP(P2927,$T$2:U2924,2,1)</f>
        <v>0.05</v>
      </c>
    </row>
    <row r="2928" spans="1:19" x14ac:dyDescent="0.25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e">
        <f>VLOOKUP(F2928,'Customer Info'!A2920:I3419,2,0)</f>
        <v>#N/A</v>
      </c>
      <c r="H2928" s="6" t="e">
        <f>VLOOKUP(F2928,'Customer Info'!A2920:I3419,3,0)</f>
        <v>#N/A</v>
      </c>
      <c r="I2928" s="6" t="e">
        <f>VLOOKUP(F2928,'Customer Info'!A2920:I3419,5,0)</f>
        <v>#N/A</v>
      </c>
      <c r="J2928" s="2">
        <v>171</v>
      </c>
      <c r="K2928" s="2">
        <v>153</v>
      </c>
      <c r="L2928" s="2">
        <v>2</v>
      </c>
      <c r="M2928" s="7">
        <f t="shared" si="180"/>
        <v>306</v>
      </c>
      <c r="N2928" s="7">
        <f t="shared" si="181"/>
        <v>342</v>
      </c>
      <c r="O2928" s="2">
        <v>30</v>
      </c>
      <c r="P2928" s="8">
        <f t="shared" si="182"/>
        <v>372</v>
      </c>
      <c r="Q2928" s="8">
        <f t="shared" si="183"/>
        <v>312</v>
      </c>
      <c r="R2928" s="2" t="s">
        <v>50</v>
      </c>
      <c r="S2928" s="9">
        <f>VLOOKUP(P2928,$T$2:U2925,2,1)</f>
        <v>0.02</v>
      </c>
    </row>
    <row r="2929" spans="1:19" x14ac:dyDescent="0.25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e">
        <f>VLOOKUP(F2929,'Customer Info'!A2921:I3420,2,0)</f>
        <v>#N/A</v>
      </c>
      <c r="H2929" s="6" t="e">
        <f>VLOOKUP(F2929,'Customer Info'!A2921:I3420,3,0)</f>
        <v>#N/A</v>
      </c>
      <c r="I2929" s="6" t="e">
        <f>VLOOKUP(F2929,'Customer Info'!A2921:I3420,5,0)</f>
        <v>#N/A</v>
      </c>
      <c r="J2929" s="2">
        <v>1552</v>
      </c>
      <c r="K2929" s="2">
        <v>1466</v>
      </c>
      <c r="L2929" s="2">
        <v>2</v>
      </c>
      <c r="M2929" s="7">
        <f t="shared" si="180"/>
        <v>2932</v>
      </c>
      <c r="N2929" s="7">
        <f t="shared" si="181"/>
        <v>3104</v>
      </c>
      <c r="O2929" s="2">
        <v>91</v>
      </c>
      <c r="P2929" s="8">
        <f t="shared" si="182"/>
        <v>3195</v>
      </c>
      <c r="Q2929" s="8">
        <f t="shared" si="183"/>
        <v>3013</v>
      </c>
      <c r="R2929" s="2" t="s">
        <v>50</v>
      </c>
      <c r="S2929" s="9">
        <f>VLOOKUP(P2929,$T$2:U2926,2,1)</f>
        <v>0.02</v>
      </c>
    </row>
    <row r="2930" spans="1:19" x14ac:dyDescent="0.25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e">
        <f>VLOOKUP(F2930,'Customer Info'!A2922:I3421,2,0)</f>
        <v>#N/A</v>
      </c>
      <c r="H2930" s="6" t="e">
        <f>VLOOKUP(F2930,'Customer Info'!A2922:I3421,3,0)</f>
        <v>#N/A</v>
      </c>
      <c r="I2930" s="6" t="e">
        <f>VLOOKUP(F2930,'Customer Info'!A2922:I3421,5,0)</f>
        <v>#N/A</v>
      </c>
      <c r="J2930" s="2">
        <v>405</v>
      </c>
      <c r="K2930" s="2">
        <v>381</v>
      </c>
      <c r="L2930" s="2">
        <v>5</v>
      </c>
      <c r="M2930" s="7">
        <f t="shared" si="180"/>
        <v>1905</v>
      </c>
      <c r="N2930" s="7">
        <f t="shared" si="181"/>
        <v>2025</v>
      </c>
      <c r="O2930" s="2">
        <v>52</v>
      </c>
      <c r="P2930" s="8">
        <f t="shared" si="182"/>
        <v>2077</v>
      </c>
      <c r="Q2930" s="8">
        <f t="shared" si="183"/>
        <v>1973</v>
      </c>
      <c r="R2930" s="2" t="s">
        <v>28</v>
      </c>
      <c r="S2930" s="9">
        <f>VLOOKUP(P2930,$T$2:U2927,2,1)</f>
        <v>0.02</v>
      </c>
    </row>
    <row r="2931" spans="1:19" x14ac:dyDescent="0.25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e">
        <f>VLOOKUP(F2931,'Customer Info'!A2923:I3422,2,0)</f>
        <v>#N/A</v>
      </c>
      <c r="H2931" s="6" t="e">
        <f>VLOOKUP(F2931,'Customer Info'!A2923:I3422,3,0)</f>
        <v>#N/A</v>
      </c>
      <c r="I2931" s="6" t="e">
        <f>VLOOKUP(F2931,'Customer Info'!A2923:I3422,5,0)</f>
        <v>#N/A</v>
      </c>
      <c r="J2931" s="2">
        <v>183</v>
      </c>
      <c r="K2931" s="2">
        <v>172</v>
      </c>
      <c r="L2931" s="2">
        <v>3</v>
      </c>
      <c r="M2931" s="7">
        <f t="shared" si="180"/>
        <v>516</v>
      </c>
      <c r="N2931" s="7">
        <f t="shared" si="181"/>
        <v>549</v>
      </c>
      <c r="O2931" s="2">
        <v>30</v>
      </c>
      <c r="P2931" s="8">
        <f t="shared" si="182"/>
        <v>579</v>
      </c>
      <c r="Q2931" s="8">
        <f t="shared" si="183"/>
        <v>519</v>
      </c>
      <c r="R2931" s="2" t="s">
        <v>28</v>
      </c>
      <c r="S2931" s="9">
        <f>VLOOKUP(P2931,$T$2:U2928,2,1)</f>
        <v>0.02</v>
      </c>
    </row>
    <row r="2932" spans="1:19" x14ac:dyDescent="0.25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e">
        <f>VLOOKUP(F2932,'Customer Info'!A2924:I3423,2,0)</f>
        <v>#N/A</v>
      </c>
      <c r="H2932" s="6" t="e">
        <f>VLOOKUP(F2932,'Customer Info'!A2924:I3423,3,0)</f>
        <v>#N/A</v>
      </c>
      <c r="I2932" s="6" t="e">
        <f>VLOOKUP(F2932,'Customer Info'!A2924:I3423,5,0)</f>
        <v>#N/A</v>
      </c>
      <c r="J2932" s="2">
        <v>1292</v>
      </c>
      <c r="K2932" s="2">
        <v>1185</v>
      </c>
      <c r="L2932" s="2">
        <v>3</v>
      </c>
      <c r="M2932" s="7">
        <f t="shared" si="180"/>
        <v>3555</v>
      </c>
      <c r="N2932" s="7">
        <f t="shared" si="181"/>
        <v>3876</v>
      </c>
      <c r="O2932" s="2">
        <v>63</v>
      </c>
      <c r="P2932" s="8">
        <f t="shared" si="182"/>
        <v>3939</v>
      </c>
      <c r="Q2932" s="8">
        <f t="shared" si="183"/>
        <v>3813</v>
      </c>
      <c r="R2932" s="2" t="s">
        <v>50</v>
      </c>
      <c r="S2932" s="9">
        <f>VLOOKUP(P2932,$T$2:U2929,2,1)</f>
        <v>0.02</v>
      </c>
    </row>
    <row r="2933" spans="1:19" x14ac:dyDescent="0.25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e">
        <f>VLOOKUP(F2933,'Customer Info'!A2925:I3424,2,0)</f>
        <v>#N/A</v>
      </c>
      <c r="H2933" s="6" t="e">
        <f>VLOOKUP(F2933,'Customer Info'!A2925:I3424,3,0)</f>
        <v>#N/A</v>
      </c>
      <c r="I2933" s="6" t="e">
        <f>VLOOKUP(F2933,'Customer Info'!A2925:I3424,5,0)</f>
        <v>#N/A</v>
      </c>
      <c r="J2933" s="2">
        <v>8738</v>
      </c>
      <c r="K2933" s="2">
        <v>8162</v>
      </c>
      <c r="L2933" s="2">
        <v>3</v>
      </c>
      <c r="M2933" s="7">
        <f t="shared" si="180"/>
        <v>24486</v>
      </c>
      <c r="N2933" s="7">
        <f t="shared" si="181"/>
        <v>26214</v>
      </c>
      <c r="O2933" s="2">
        <v>29</v>
      </c>
      <c r="P2933" s="8">
        <f t="shared" si="182"/>
        <v>26243</v>
      </c>
      <c r="Q2933" s="8">
        <f t="shared" si="183"/>
        <v>26185</v>
      </c>
      <c r="R2933" s="2" t="s">
        <v>28</v>
      </c>
      <c r="S2933" s="9">
        <f>VLOOKUP(P2933,$T$2:U2930,2,1)</f>
        <v>7.0000000000000007E-2</v>
      </c>
    </row>
    <row r="2934" spans="1:19" x14ac:dyDescent="0.25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e">
        <f>VLOOKUP(F2934,'Customer Info'!A2926:I3425,2,0)</f>
        <v>#N/A</v>
      </c>
      <c r="H2934" s="6" t="e">
        <f>VLOOKUP(F2934,'Customer Info'!A2926:I3425,3,0)</f>
        <v>#N/A</v>
      </c>
      <c r="I2934" s="6" t="e">
        <f>VLOOKUP(F2934,'Customer Info'!A2926:I3425,5,0)</f>
        <v>#N/A</v>
      </c>
      <c r="J2934" s="2">
        <v>1512</v>
      </c>
      <c r="K2934" s="2">
        <v>1497</v>
      </c>
      <c r="L2934" s="2">
        <v>9</v>
      </c>
      <c r="M2934" s="7">
        <f t="shared" si="180"/>
        <v>13473</v>
      </c>
      <c r="N2934" s="7">
        <f t="shared" si="181"/>
        <v>13608</v>
      </c>
      <c r="O2934" s="2">
        <v>63</v>
      </c>
      <c r="P2934" s="8">
        <f t="shared" si="182"/>
        <v>13671</v>
      </c>
      <c r="Q2934" s="8">
        <f t="shared" si="183"/>
        <v>13545</v>
      </c>
      <c r="R2934" s="2" t="s">
        <v>56</v>
      </c>
      <c r="S2934" s="9">
        <f>VLOOKUP(P2934,$T$2:U2931,2,1)</f>
        <v>0.05</v>
      </c>
    </row>
    <row r="2935" spans="1:19" x14ac:dyDescent="0.25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e">
        <f>VLOOKUP(F2935,'Customer Info'!A2927:I3426,2,0)</f>
        <v>#N/A</v>
      </c>
      <c r="H2935" s="6" t="e">
        <f>VLOOKUP(F2935,'Customer Info'!A2927:I3426,3,0)</f>
        <v>#N/A</v>
      </c>
      <c r="I2935" s="6" t="e">
        <f>VLOOKUP(F2935,'Customer Info'!A2927:I3426,5,0)</f>
        <v>#N/A</v>
      </c>
      <c r="J2935" s="2">
        <v>679</v>
      </c>
      <c r="K2935" s="2">
        <v>654</v>
      </c>
      <c r="L2935" s="2">
        <v>2</v>
      </c>
      <c r="M2935" s="7">
        <f t="shared" si="180"/>
        <v>1308</v>
      </c>
      <c r="N2935" s="7">
        <f t="shared" si="181"/>
        <v>1358</v>
      </c>
      <c r="O2935" s="2">
        <v>67</v>
      </c>
      <c r="P2935" s="8">
        <f t="shared" si="182"/>
        <v>1425</v>
      </c>
      <c r="Q2935" s="8">
        <f t="shared" si="183"/>
        <v>1291</v>
      </c>
      <c r="R2935" s="2" t="s">
        <v>28</v>
      </c>
      <c r="S2935" s="9">
        <f>VLOOKUP(P2935,$T$2:U2932,2,1)</f>
        <v>0.02</v>
      </c>
    </row>
    <row r="2936" spans="1:19" x14ac:dyDescent="0.25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e">
        <f>VLOOKUP(F2936,'Customer Info'!A2928:I3427,2,0)</f>
        <v>#N/A</v>
      </c>
      <c r="H2936" s="6" t="e">
        <f>VLOOKUP(F2936,'Customer Info'!A2928:I3427,3,0)</f>
        <v>#N/A</v>
      </c>
      <c r="I2936" s="6" t="e">
        <f>VLOOKUP(F2936,'Customer Info'!A2928:I3427,5,0)</f>
        <v>#N/A</v>
      </c>
      <c r="J2936" s="2">
        <v>8686</v>
      </c>
      <c r="K2936" s="2">
        <v>8035</v>
      </c>
      <c r="L2936" s="2">
        <v>3</v>
      </c>
      <c r="M2936" s="7">
        <f t="shared" si="180"/>
        <v>24105</v>
      </c>
      <c r="N2936" s="7">
        <f t="shared" si="181"/>
        <v>26058</v>
      </c>
      <c r="O2936" s="2">
        <v>40</v>
      </c>
      <c r="P2936" s="8">
        <f t="shared" si="182"/>
        <v>26098</v>
      </c>
      <c r="Q2936" s="8">
        <f t="shared" si="183"/>
        <v>26018</v>
      </c>
      <c r="R2936" s="2" t="s">
        <v>56</v>
      </c>
      <c r="S2936" s="9">
        <f>VLOOKUP(P2936,$T$2:U2933,2,1)</f>
        <v>7.0000000000000007E-2</v>
      </c>
    </row>
    <row r="2937" spans="1:19" x14ac:dyDescent="0.25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e">
        <f>VLOOKUP(F2937,'Customer Info'!A2929:I3428,2,0)</f>
        <v>#N/A</v>
      </c>
      <c r="H2937" s="6" t="e">
        <f>VLOOKUP(F2937,'Customer Info'!A2929:I3428,3,0)</f>
        <v>#N/A</v>
      </c>
      <c r="I2937" s="6" t="e">
        <f>VLOOKUP(F2937,'Customer Info'!A2929:I3428,5,0)</f>
        <v>#N/A</v>
      </c>
      <c r="J2937" s="2">
        <v>1834</v>
      </c>
      <c r="K2937" s="2">
        <v>1716</v>
      </c>
      <c r="L2937" s="2">
        <v>5</v>
      </c>
      <c r="M2937" s="7">
        <f t="shared" si="180"/>
        <v>8580</v>
      </c>
      <c r="N2937" s="7">
        <f t="shared" si="181"/>
        <v>9170</v>
      </c>
      <c r="O2937" s="2">
        <v>55</v>
      </c>
      <c r="P2937" s="8">
        <f t="shared" si="182"/>
        <v>9225</v>
      </c>
      <c r="Q2937" s="8">
        <f t="shared" si="183"/>
        <v>9115</v>
      </c>
      <c r="R2937" s="2" t="s">
        <v>28</v>
      </c>
      <c r="S2937" s="9">
        <f>VLOOKUP(P2937,$T$2:U2934,2,1)</f>
        <v>0.05</v>
      </c>
    </row>
    <row r="2938" spans="1:19" x14ac:dyDescent="0.25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e">
        <f>VLOOKUP(F2938,'Customer Info'!A2930:I3429,2,0)</f>
        <v>#N/A</v>
      </c>
      <c r="H2938" s="6" t="e">
        <f>VLOOKUP(F2938,'Customer Info'!A2930:I3429,3,0)</f>
        <v>#N/A</v>
      </c>
      <c r="I2938" s="6" t="e">
        <f>VLOOKUP(F2938,'Customer Info'!A2930:I3429,5,0)</f>
        <v>#N/A</v>
      </c>
      <c r="J2938" s="2">
        <v>8022</v>
      </c>
      <c r="K2938" s="2">
        <v>7868</v>
      </c>
      <c r="L2938" s="2">
        <v>3</v>
      </c>
      <c r="M2938" s="7">
        <f t="shared" si="180"/>
        <v>23604</v>
      </c>
      <c r="N2938" s="7">
        <f t="shared" si="181"/>
        <v>24066</v>
      </c>
      <c r="O2938" s="2">
        <v>59</v>
      </c>
      <c r="P2938" s="8">
        <f t="shared" si="182"/>
        <v>24125</v>
      </c>
      <c r="Q2938" s="8">
        <f t="shared" si="183"/>
        <v>24007</v>
      </c>
      <c r="R2938" s="2" t="s">
        <v>28</v>
      </c>
      <c r="S2938" s="9">
        <f>VLOOKUP(P2938,$T$2:U2935,2,1)</f>
        <v>0.05</v>
      </c>
    </row>
    <row r="2939" spans="1:19" x14ac:dyDescent="0.25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e">
        <f>VLOOKUP(F2939,'Customer Info'!A2931:I3430,2,0)</f>
        <v>#N/A</v>
      </c>
      <c r="H2939" s="6" t="e">
        <f>VLOOKUP(F2939,'Customer Info'!A2931:I3430,3,0)</f>
        <v>#N/A</v>
      </c>
      <c r="I2939" s="6" t="e">
        <f>VLOOKUP(F2939,'Customer Info'!A2931:I3430,5,0)</f>
        <v>#N/A</v>
      </c>
      <c r="J2939" s="2">
        <v>1528</v>
      </c>
      <c r="K2939" s="2">
        <v>1348</v>
      </c>
      <c r="L2939" s="2">
        <v>3</v>
      </c>
      <c r="M2939" s="7">
        <f t="shared" si="180"/>
        <v>4044</v>
      </c>
      <c r="N2939" s="7">
        <f t="shared" si="181"/>
        <v>4584</v>
      </c>
      <c r="O2939" s="2">
        <v>27</v>
      </c>
      <c r="P2939" s="8">
        <f t="shared" si="182"/>
        <v>4611</v>
      </c>
      <c r="Q2939" s="8">
        <f t="shared" si="183"/>
        <v>4557</v>
      </c>
      <c r="R2939" s="2" t="s">
        <v>28</v>
      </c>
      <c r="S2939" s="9">
        <f>VLOOKUP(P2939,$T$2:U2936,2,1)</f>
        <v>0.02</v>
      </c>
    </row>
    <row r="2940" spans="1:19" x14ac:dyDescent="0.25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e">
        <f>VLOOKUP(F2940,'Customer Info'!A2932:I3431,2,0)</f>
        <v>#N/A</v>
      </c>
      <c r="H2940" s="6" t="e">
        <f>VLOOKUP(F2940,'Customer Info'!A2932:I3431,3,0)</f>
        <v>#N/A</v>
      </c>
      <c r="I2940" s="6" t="e">
        <f>VLOOKUP(F2940,'Customer Info'!A2932:I3431,5,0)</f>
        <v>#N/A</v>
      </c>
      <c r="J2940" s="2">
        <v>4577</v>
      </c>
      <c r="K2940" s="2">
        <v>4285</v>
      </c>
      <c r="L2940" s="2">
        <v>3</v>
      </c>
      <c r="M2940" s="7">
        <f t="shared" si="180"/>
        <v>12855</v>
      </c>
      <c r="N2940" s="7">
        <f t="shared" si="181"/>
        <v>13731</v>
      </c>
      <c r="O2940" s="2">
        <v>46</v>
      </c>
      <c r="P2940" s="8">
        <f t="shared" si="182"/>
        <v>13777</v>
      </c>
      <c r="Q2940" s="8">
        <f t="shared" si="183"/>
        <v>13685</v>
      </c>
      <c r="R2940" s="2" t="s">
        <v>28</v>
      </c>
      <c r="S2940" s="9">
        <f>VLOOKUP(P2940,$T$2:U2937,2,1)</f>
        <v>0.05</v>
      </c>
    </row>
    <row r="2941" spans="1:19" x14ac:dyDescent="0.25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e">
        <f>VLOOKUP(F2941,'Customer Info'!A2933:I3432,2,0)</f>
        <v>#N/A</v>
      </c>
      <c r="H2941" s="6" t="e">
        <f>VLOOKUP(F2941,'Customer Info'!A2933:I3432,3,0)</f>
        <v>#N/A</v>
      </c>
      <c r="I2941" s="6" t="e">
        <f>VLOOKUP(F2941,'Customer Info'!A2933:I3432,5,0)</f>
        <v>#N/A</v>
      </c>
      <c r="J2941" s="2">
        <v>6768</v>
      </c>
      <c r="K2941" s="2">
        <v>6512</v>
      </c>
      <c r="L2941" s="2">
        <v>1</v>
      </c>
      <c r="M2941" s="7">
        <f t="shared" si="180"/>
        <v>6512</v>
      </c>
      <c r="N2941" s="7">
        <f t="shared" si="181"/>
        <v>6768</v>
      </c>
      <c r="O2941" s="2">
        <v>40</v>
      </c>
      <c r="P2941" s="8">
        <f t="shared" si="182"/>
        <v>6808</v>
      </c>
      <c r="Q2941" s="8">
        <f t="shared" si="183"/>
        <v>6728</v>
      </c>
      <c r="R2941" s="2" t="s">
        <v>26</v>
      </c>
      <c r="S2941" s="9">
        <f>VLOOKUP(P2941,$T$2:U2938,2,1)</f>
        <v>0.05</v>
      </c>
    </row>
    <row r="2942" spans="1:19" x14ac:dyDescent="0.25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e">
        <f>VLOOKUP(F2942,'Customer Info'!A2934:I3433,2,0)</f>
        <v>#N/A</v>
      </c>
      <c r="H2942" s="6" t="e">
        <f>VLOOKUP(F2942,'Customer Info'!A2934:I3433,3,0)</f>
        <v>#N/A</v>
      </c>
      <c r="I2942" s="6" t="e">
        <f>VLOOKUP(F2942,'Customer Info'!A2934:I3433,5,0)</f>
        <v>#N/A</v>
      </c>
      <c r="J2942" s="2">
        <v>1718</v>
      </c>
      <c r="K2942" s="2">
        <v>1545</v>
      </c>
      <c r="L2942" s="2">
        <v>5</v>
      </c>
      <c r="M2942" s="7">
        <f t="shared" si="180"/>
        <v>7725</v>
      </c>
      <c r="N2942" s="7">
        <f t="shared" si="181"/>
        <v>8590</v>
      </c>
      <c r="O2942" s="2">
        <v>81</v>
      </c>
      <c r="P2942" s="8">
        <f t="shared" si="182"/>
        <v>8671</v>
      </c>
      <c r="Q2942" s="8">
        <f t="shared" si="183"/>
        <v>8509</v>
      </c>
      <c r="R2942" s="2" t="s">
        <v>28</v>
      </c>
      <c r="S2942" s="9">
        <f>VLOOKUP(P2942,$T$2:U2939,2,1)</f>
        <v>0.05</v>
      </c>
    </row>
    <row r="2943" spans="1:19" x14ac:dyDescent="0.25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e">
        <f>VLOOKUP(F2943,'Customer Info'!A2935:I3434,2,0)</f>
        <v>#N/A</v>
      </c>
      <c r="H2943" s="6" t="e">
        <f>VLOOKUP(F2943,'Customer Info'!A2935:I3434,3,0)</f>
        <v>#N/A</v>
      </c>
      <c r="I2943" s="6" t="e">
        <f>VLOOKUP(F2943,'Customer Info'!A2935:I3434,5,0)</f>
        <v>#N/A</v>
      </c>
      <c r="J2943" s="2">
        <v>162</v>
      </c>
      <c r="K2943" s="2">
        <v>148</v>
      </c>
      <c r="L2943" s="2">
        <v>1</v>
      </c>
      <c r="M2943" s="7">
        <f t="shared" si="180"/>
        <v>148</v>
      </c>
      <c r="N2943" s="7">
        <f t="shared" si="181"/>
        <v>162</v>
      </c>
      <c r="O2943" s="2">
        <v>30</v>
      </c>
      <c r="P2943" s="8">
        <f t="shared" si="182"/>
        <v>192</v>
      </c>
      <c r="Q2943" s="8">
        <f t="shared" si="183"/>
        <v>132</v>
      </c>
      <c r="R2943" s="2" t="s">
        <v>28</v>
      </c>
      <c r="S2943" s="9">
        <f>VLOOKUP(P2943,$T$2:U2940,2,1)</f>
        <v>0.02</v>
      </c>
    </row>
    <row r="2944" spans="1:19" x14ac:dyDescent="0.25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e">
        <f>VLOOKUP(F2944,'Customer Info'!A2936:I3435,2,0)</f>
        <v>#N/A</v>
      </c>
      <c r="H2944" s="6" t="e">
        <f>VLOOKUP(F2944,'Customer Info'!A2936:I3435,3,0)</f>
        <v>#N/A</v>
      </c>
      <c r="I2944" s="6" t="e">
        <f>VLOOKUP(F2944,'Customer Info'!A2936:I3435,5,0)</f>
        <v>#N/A</v>
      </c>
      <c r="J2944" s="2">
        <v>1601</v>
      </c>
      <c r="K2944" s="2">
        <v>1510</v>
      </c>
      <c r="L2944" s="2">
        <v>1</v>
      </c>
      <c r="M2944" s="7">
        <f t="shared" si="180"/>
        <v>1510</v>
      </c>
      <c r="N2944" s="7">
        <f t="shared" si="181"/>
        <v>1601</v>
      </c>
      <c r="O2944" s="2">
        <v>28</v>
      </c>
      <c r="P2944" s="8">
        <f t="shared" si="182"/>
        <v>1629</v>
      </c>
      <c r="Q2944" s="8">
        <f t="shared" si="183"/>
        <v>1573</v>
      </c>
      <c r="R2944" s="2" t="s">
        <v>26</v>
      </c>
      <c r="S2944" s="9">
        <f>VLOOKUP(P2944,$T$2:U2941,2,1)</f>
        <v>0.02</v>
      </c>
    </row>
    <row r="2945" spans="1:19" x14ac:dyDescent="0.25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e">
        <f>VLOOKUP(F2945,'Customer Info'!A2937:I3436,2,0)</f>
        <v>#N/A</v>
      </c>
      <c r="H2945" s="6" t="e">
        <f>VLOOKUP(F2945,'Customer Info'!A2937:I3436,3,0)</f>
        <v>#N/A</v>
      </c>
      <c r="I2945" s="6" t="e">
        <f>VLOOKUP(F2945,'Customer Info'!A2937:I3436,5,0)</f>
        <v>#N/A</v>
      </c>
      <c r="J2945" s="2">
        <v>2706</v>
      </c>
      <c r="K2945" s="2">
        <v>2553</v>
      </c>
      <c r="L2945" s="2">
        <v>6</v>
      </c>
      <c r="M2945" s="7">
        <f t="shared" si="180"/>
        <v>15318</v>
      </c>
      <c r="N2945" s="7">
        <f t="shared" si="181"/>
        <v>16236</v>
      </c>
      <c r="O2945" s="2">
        <v>77</v>
      </c>
      <c r="P2945" s="8">
        <f t="shared" si="182"/>
        <v>16313</v>
      </c>
      <c r="Q2945" s="8">
        <f t="shared" si="183"/>
        <v>16159</v>
      </c>
      <c r="R2945" s="2" t="s">
        <v>28</v>
      </c>
      <c r="S2945" s="9">
        <f>VLOOKUP(P2945,$T$2:U2942,2,1)</f>
        <v>0.05</v>
      </c>
    </row>
    <row r="2946" spans="1:19" x14ac:dyDescent="0.25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e">
        <f>VLOOKUP(F2946,'Customer Info'!A2938:I3437,2,0)</f>
        <v>#N/A</v>
      </c>
      <c r="H2946" s="6" t="e">
        <f>VLOOKUP(F2946,'Customer Info'!A2938:I3437,3,0)</f>
        <v>#N/A</v>
      </c>
      <c r="I2946" s="6" t="e">
        <f>VLOOKUP(F2946,'Customer Info'!A2938:I3437,5,0)</f>
        <v>#N/A</v>
      </c>
      <c r="J2946" s="2">
        <v>3176</v>
      </c>
      <c r="K2946" s="2">
        <v>3116</v>
      </c>
      <c r="L2946" s="2">
        <v>3</v>
      </c>
      <c r="M2946" s="7">
        <f t="shared" si="180"/>
        <v>9348</v>
      </c>
      <c r="N2946" s="7">
        <f t="shared" si="181"/>
        <v>9528</v>
      </c>
      <c r="O2946" s="2">
        <v>37</v>
      </c>
      <c r="P2946" s="8">
        <f t="shared" si="182"/>
        <v>9565</v>
      </c>
      <c r="Q2946" s="8">
        <f t="shared" si="183"/>
        <v>9491</v>
      </c>
      <c r="R2946" s="2" t="s">
        <v>50</v>
      </c>
      <c r="S2946" s="9">
        <f>VLOOKUP(P2946,$T$2:U2943,2,1)</f>
        <v>0.05</v>
      </c>
    </row>
    <row r="2947" spans="1:19" x14ac:dyDescent="0.25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e">
        <f>VLOOKUP(F2947,'Customer Info'!A2939:I3438,2,0)</f>
        <v>#N/A</v>
      </c>
      <c r="H2947" s="6" t="e">
        <f>VLOOKUP(F2947,'Customer Info'!A2939:I3438,3,0)</f>
        <v>#N/A</v>
      </c>
      <c r="I2947" s="6" t="e">
        <f>VLOOKUP(F2947,'Customer Info'!A2939:I3438,5,0)</f>
        <v>#N/A</v>
      </c>
      <c r="J2947" s="2">
        <v>9214</v>
      </c>
      <c r="K2947" s="2">
        <v>8295</v>
      </c>
      <c r="L2947" s="2">
        <v>1</v>
      </c>
      <c r="M2947" s="7">
        <f t="shared" si="180"/>
        <v>8295</v>
      </c>
      <c r="N2947" s="7">
        <f t="shared" si="181"/>
        <v>9214</v>
      </c>
      <c r="O2947" s="2">
        <v>23</v>
      </c>
      <c r="P2947" s="8">
        <f t="shared" si="182"/>
        <v>9237</v>
      </c>
      <c r="Q2947" s="8">
        <f t="shared" si="183"/>
        <v>9191</v>
      </c>
      <c r="R2947" s="2" t="s">
        <v>26</v>
      </c>
      <c r="S2947" s="9">
        <f>VLOOKUP(P2947,$T$2:U2944,2,1)</f>
        <v>0.05</v>
      </c>
    </row>
    <row r="2948" spans="1:19" x14ac:dyDescent="0.25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e">
        <f>VLOOKUP(F2948,'Customer Info'!A2940:I3439,2,0)</f>
        <v>#N/A</v>
      </c>
      <c r="H2948" s="6" t="e">
        <f>VLOOKUP(F2948,'Customer Info'!A2940:I3439,3,0)</f>
        <v>#N/A</v>
      </c>
      <c r="I2948" s="6" t="e">
        <f>VLOOKUP(F2948,'Customer Info'!A2940:I3439,5,0)</f>
        <v>#N/A</v>
      </c>
      <c r="J2948" s="2">
        <v>1703</v>
      </c>
      <c r="K2948" s="2">
        <v>1639</v>
      </c>
      <c r="L2948" s="2">
        <v>1</v>
      </c>
      <c r="M2948" s="7">
        <f t="shared" si="180"/>
        <v>1639</v>
      </c>
      <c r="N2948" s="7">
        <f t="shared" si="181"/>
        <v>1703</v>
      </c>
      <c r="O2948" s="2">
        <v>54</v>
      </c>
      <c r="P2948" s="8">
        <f t="shared" si="182"/>
        <v>1757</v>
      </c>
      <c r="Q2948" s="8">
        <f t="shared" si="183"/>
        <v>1649</v>
      </c>
      <c r="R2948" s="2" t="s">
        <v>28</v>
      </c>
      <c r="S2948" s="9">
        <f>VLOOKUP(P2948,$T$2:U2945,2,1)</f>
        <v>0.02</v>
      </c>
    </row>
    <row r="2949" spans="1:19" x14ac:dyDescent="0.25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e">
        <f>VLOOKUP(F2949,'Customer Info'!A2941:I3440,2,0)</f>
        <v>#N/A</v>
      </c>
      <c r="H2949" s="6" t="e">
        <f>VLOOKUP(F2949,'Customer Info'!A2941:I3440,3,0)</f>
        <v>#N/A</v>
      </c>
      <c r="I2949" s="6" t="e">
        <f>VLOOKUP(F2949,'Customer Info'!A2941:I3440,5,0)</f>
        <v>#N/A</v>
      </c>
      <c r="J2949" s="2">
        <v>7922</v>
      </c>
      <c r="K2949" s="2">
        <v>7328</v>
      </c>
      <c r="L2949" s="2">
        <v>2</v>
      </c>
      <c r="M2949" s="7">
        <f t="shared" si="180"/>
        <v>14656</v>
      </c>
      <c r="N2949" s="7">
        <f t="shared" si="181"/>
        <v>15844</v>
      </c>
      <c r="O2949" s="2">
        <v>93</v>
      </c>
      <c r="P2949" s="8">
        <f t="shared" si="182"/>
        <v>15937</v>
      </c>
      <c r="Q2949" s="8">
        <f t="shared" si="183"/>
        <v>15751</v>
      </c>
      <c r="R2949" s="2" t="s">
        <v>28</v>
      </c>
      <c r="S2949" s="9">
        <f>VLOOKUP(P2949,$T$2:U2946,2,1)</f>
        <v>0.05</v>
      </c>
    </row>
    <row r="2950" spans="1:19" x14ac:dyDescent="0.25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e">
        <f>VLOOKUP(F2950,'Customer Info'!A2942:I3441,2,0)</f>
        <v>#N/A</v>
      </c>
      <c r="H2950" s="6" t="e">
        <f>VLOOKUP(F2950,'Customer Info'!A2942:I3441,3,0)</f>
        <v>#N/A</v>
      </c>
      <c r="I2950" s="6" t="e">
        <f>VLOOKUP(F2950,'Customer Info'!A2942:I3441,5,0)</f>
        <v>#N/A</v>
      </c>
      <c r="J2950" s="2">
        <v>60</v>
      </c>
      <c r="K2950" s="2">
        <v>55</v>
      </c>
      <c r="L2950" s="2">
        <v>2</v>
      </c>
      <c r="M2950" s="7">
        <f t="shared" si="180"/>
        <v>110</v>
      </c>
      <c r="N2950" s="7">
        <f t="shared" si="181"/>
        <v>120</v>
      </c>
      <c r="O2950" s="2">
        <v>10</v>
      </c>
      <c r="P2950" s="8">
        <f t="shared" si="182"/>
        <v>130</v>
      </c>
      <c r="Q2950" s="8">
        <f t="shared" si="183"/>
        <v>110</v>
      </c>
      <c r="R2950" s="2" t="s">
        <v>28</v>
      </c>
      <c r="S2950" s="9">
        <f>VLOOKUP(P2950,$T$2:U2947,2,1)</f>
        <v>0.02</v>
      </c>
    </row>
    <row r="2951" spans="1:19" x14ac:dyDescent="0.25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e">
        <f>VLOOKUP(F2951,'Customer Info'!A2943:I3442,2,0)</f>
        <v>#N/A</v>
      </c>
      <c r="H2951" s="6" t="e">
        <f>VLOOKUP(F2951,'Customer Info'!A2943:I3442,3,0)</f>
        <v>#N/A</v>
      </c>
      <c r="I2951" s="6" t="e">
        <f>VLOOKUP(F2951,'Customer Info'!A2943:I3442,5,0)</f>
        <v>#N/A</v>
      </c>
      <c r="J2951" s="2">
        <v>1568</v>
      </c>
      <c r="K2951" s="2">
        <v>1495</v>
      </c>
      <c r="L2951" s="2">
        <v>1</v>
      </c>
      <c r="M2951" s="7">
        <f t="shared" si="180"/>
        <v>1495</v>
      </c>
      <c r="N2951" s="7">
        <f t="shared" si="181"/>
        <v>1568</v>
      </c>
      <c r="O2951" s="2">
        <v>88</v>
      </c>
      <c r="P2951" s="8">
        <f t="shared" si="182"/>
        <v>1656</v>
      </c>
      <c r="Q2951" s="8">
        <f t="shared" si="183"/>
        <v>1480</v>
      </c>
      <c r="R2951" s="2" t="s">
        <v>28</v>
      </c>
      <c r="S2951" s="9">
        <f>VLOOKUP(P2951,$T$2:U2948,2,1)</f>
        <v>0.02</v>
      </c>
    </row>
    <row r="2952" spans="1:19" x14ac:dyDescent="0.25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e">
        <f>VLOOKUP(F2952,'Customer Info'!A2944:I3443,2,0)</f>
        <v>#N/A</v>
      </c>
      <c r="H2952" s="6" t="e">
        <f>VLOOKUP(F2952,'Customer Info'!A2944:I3443,3,0)</f>
        <v>#N/A</v>
      </c>
      <c r="I2952" s="6" t="e">
        <f>VLOOKUP(F2952,'Customer Info'!A2944:I3443,5,0)</f>
        <v>#N/A</v>
      </c>
      <c r="J2952" s="2">
        <v>82</v>
      </c>
      <c r="K2952" s="2">
        <v>79</v>
      </c>
      <c r="L2952" s="2">
        <v>5</v>
      </c>
      <c r="M2952" s="7">
        <f t="shared" si="180"/>
        <v>395</v>
      </c>
      <c r="N2952" s="7">
        <f t="shared" si="181"/>
        <v>410</v>
      </c>
      <c r="O2952" s="2">
        <v>10</v>
      </c>
      <c r="P2952" s="8">
        <f t="shared" si="182"/>
        <v>420</v>
      </c>
      <c r="Q2952" s="8">
        <f t="shared" si="183"/>
        <v>400</v>
      </c>
      <c r="R2952" s="2" t="s">
        <v>26</v>
      </c>
      <c r="S2952" s="9">
        <f>VLOOKUP(P2952,$T$2:U2949,2,1)</f>
        <v>0.02</v>
      </c>
    </row>
    <row r="2953" spans="1:19" x14ac:dyDescent="0.25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e">
        <f>VLOOKUP(F2953,'Customer Info'!A2945:I3444,2,0)</f>
        <v>#N/A</v>
      </c>
      <c r="H2953" s="6" t="e">
        <f>VLOOKUP(F2953,'Customer Info'!A2945:I3444,3,0)</f>
        <v>#N/A</v>
      </c>
      <c r="I2953" s="6" t="e">
        <f>VLOOKUP(F2953,'Customer Info'!A2945:I3444,5,0)</f>
        <v>#N/A</v>
      </c>
      <c r="J2953" s="2">
        <v>61</v>
      </c>
      <c r="K2953" s="2">
        <v>57</v>
      </c>
      <c r="L2953" s="2">
        <v>5</v>
      </c>
      <c r="M2953" s="7">
        <f t="shared" si="180"/>
        <v>285</v>
      </c>
      <c r="N2953" s="7">
        <f t="shared" si="181"/>
        <v>305</v>
      </c>
      <c r="O2953" s="2">
        <v>10</v>
      </c>
      <c r="P2953" s="8">
        <f t="shared" si="182"/>
        <v>315</v>
      </c>
      <c r="Q2953" s="8">
        <f t="shared" si="183"/>
        <v>295</v>
      </c>
      <c r="R2953" s="2" t="s">
        <v>50</v>
      </c>
      <c r="S2953" s="9">
        <f>VLOOKUP(P2953,$T$2:U2950,2,1)</f>
        <v>0.02</v>
      </c>
    </row>
    <row r="2954" spans="1:19" x14ac:dyDescent="0.25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e">
        <f>VLOOKUP(F2954,'Customer Info'!A2946:I3445,2,0)</f>
        <v>#N/A</v>
      </c>
      <c r="H2954" s="6" t="e">
        <f>VLOOKUP(F2954,'Customer Info'!A2946:I3445,3,0)</f>
        <v>#N/A</v>
      </c>
      <c r="I2954" s="6" t="e">
        <f>VLOOKUP(F2954,'Customer Info'!A2946:I3445,5,0)</f>
        <v>#N/A</v>
      </c>
      <c r="J2954" s="2">
        <v>2342</v>
      </c>
      <c r="K2954" s="2">
        <v>2210</v>
      </c>
      <c r="L2954" s="2">
        <v>1</v>
      </c>
      <c r="M2954" s="7">
        <f t="shared" si="180"/>
        <v>2210</v>
      </c>
      <c r="N2954" s="7">
        <f t="shared" si="181"/>
        <v>2342</v>
      </c>
      <c r="O2954" s="2">
        <v>25</v>
      </c>
      <c r="P2954" s="8">
        <f t="shared" si="182"/>
        <v>2367</v>
      </c>
      <c r="Q2954" s="8">
        <f t="shared" si="183"/>
        <v>2317</v>
      </c>
      <c r="R2954" s="2" t="s">
        <v>50</v>
      </c>
      <c r="S2954" s="9">
        <f>VLOOKUP(P2954,$T$2:U2951,2,1)</f>
        <v>0.02</v>
      </c>
    </row>
    <row r="2955" spans="1:19" x14ac:dyDescent="0.25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e">
        <f>VLOOKUP(F2955,'Customer Info'!A2947:I3446,2,0)</f>
        <v>#N/A</v>
      </c>
      <c r="H2955" s="6" t="e">
        <f>VLOOKUP(F2955,'Customer Info'!A2947:I3446,3,0)</f>
        <v>#N/A</v>
      </c>
      <c r="I2955" s="6" t="e">
        <f>VLOOKUP(F2955,'Customer Info'!A2947:I3446,5,0)</f>
        <v>#N/A</v>
      </c>
      <c r="J2955" s="2">
        <v>520</v>
      </c>
      <c r="K2955" s="2">
        <v>477</v>
      </c>
      <c r="L2955" s="2">
        <v>4</v>
      </c>
      <c r="M2955" s="7">
        <f t="shared" ref="M2955:M3018" si="184">K2955*L2955</f>
        <v>1908</v>
      </c>
      <c r="N2955" s="7">
        <f t="shared" ref="N2955:N3018" si="185">J2955*L2955</f>
        <v>2080</v>
      </c>
      <c r="O2955" s="2">
        <v>72</v>
      </c>
      <c r="P2955" s="8">
        <f t="shared" ref="P2955:P3018" si="186">SUM(N2955,O2955)</f>
        <v>2152</v>
      </c>
      <c r="Q2955" s="8">
        <f t="shared" ref="Q2955:Q3018" si="187">N2955-O2955</f>
        <v>2008</v>
      </c>
      <c r="R2955" s="2" t="s">
        <v>50</v>
      </c>
      <c r="S2955" s="9">
        <f>VLOOKUP(P2955,$T$2:U2952,2,1)</f>
        <v>0.02</v>
      </c>
    </row>
    <row r="2956" spans="1:19" x14ac:dyDescent="0.25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e">
        <f>VLOOKUP(F2956,'Customer Info'!A2948:I3447,2,0)</f>
        <v>#N/A</v>
      </c>
      <c r="H2956" s="6" t="e">
        <f>VLOOKUP(F2956,'Customer Info'!A2948:I3447,3,0)</f>
        <v>#N/A</v>
      </c>
      <c r="I2956" s="6" t="e">
        <f>VLOOKUP(F2956,'Customer Info'!A2948:I3447,5,0)</f>
        <v>#N/A</v>
      </c>
      <c r="J2956" s="2">
        <v>8752</v>
      </c>
      <c r="K2956" s="2">
        <v>7877</v>
      </c>
      <c r="L2956" s="2">
        <v>1</v>
      </c>
      <c r="M2956" s="7">
        <f t="shared" si="184"/>
        <v>7877</v>
      </c>
      <c r="N2956" s="7">
        <f t="shared" si="185"/>
        <v>8752</v>
      </c>
      <c r="O2956" s="2">
        <v>55</v>
      </c>
      <c r="P2956" s="8">
        <f t="shared" si="186"/>
        <v>8807</v>
      </c>
      <c r="Q2956" s="8">
        <f t="shared" si="187"/>
        <v>8697</v>
      </c>
      <c r="R2956" s="2" t="s">
        <v>28</v>
      </c>
      <c r="S2956" s="9">
        <f>VLOOKUP(P2956,$T$2:U2953,2,1)</f>
        <v>0.05</v>
      </c>
    </row>
    <row r="2957" spans="1:19" x14ac:dyDescent="0.25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e">
        <f>VLOOKUP(F2957,'Customer Info'!A2949:I3448,2,0)</f>
        <v>#N/A</v>
      </c>
      <c r="H2957" s="6" t="e">
        <f>VLOOKUP(F2957,'Customer Info'!A2949:I3448,3,0)</f>
        <v>#N/A</v>
      </c>
      <c r="I2957" s="6" t="e">
        <f>VLOOKUP(F2957,'Customer Info'!A2949:I3448,5,0)</f>
        <v>#N/A</v>
      </c>
      <c r="J2957" s="2">
        <v>3054</v>
      </c>
      <c r="K2957" s="2">
        <v>2721</v>
      </c>
      <c r="L2957" s="2">
        <v>5</v>
      </c>
      <c r="M2957" s="7">
        <f t="shared" si="184"/>
        <v>13605</v>
      </c>
      <c r="N2957" s="7">
        <f t="shared" si="185"/>
        <v>15270</v>
      </c>
      <c r="O2957" s="2">
        <v>93</v>
      </c>
      <c r="P2957" s="8">
        <f t="shared" si="186"/>
        <v>15363</v>
      </c>
      <c r="Q2957" s="8">
        <f t="shared" si="187"/>
        <v>15177</v>
      </c>
      <c r="R2957" s="2" t="s">
        <v>56</v>
      </c>
      <c r="S2957" s="9">
        <f>VLOOKUP(P2957,$T$2:U2954,2,1)</f>
        <v>0.05</v>
      </c>
    </row>
    <row r="2958" spans="1:19" x14ac:dyDescent="0.25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e">
        <f>VLOOKUP(F2958,'Customer Info'!A2950:I3449,2,0)</f>
        <v>#N/A</v>
      </c>
      <c r="H2958" s="6" t="e">
        <f>VLOOKUP(F2958,'Customer Info'!A2950:I3449,3,0)</f>
        <v>#N/A</v>
      </c>
      <c r="I2958" s="6" t="e">
        <f>VLOOKUP(F2958,'Customer Info'!A2950:I3449,5,0)</f>
        <v>#N/A</v>
      </c>
      <c r="J2958" s="2">
        <v>8889</v>
      </c>
      <c r="K2958" s="2">
        <v>8469</v>
      </c>
      <c r="L2958" s="2">
        <v>2</v>
      </c>
      <c r="M2958" s="7">
        <f t="shared" si="184"/>
        <v>16938</v>
      </c>
      <c r="N2958" s="7">
        <f t="shared" si="185"/>
        <v>17778</v>
      </c>
      <c r="O2958" s="2">
        <v>63</v>
      </c>
      <c r="P2958" s="8">
        <f t="shared" si="186"/>
        <v>17841</v>
      </c>
      <c r="Q2958" s="8">
        <f t="shared" si="187"/>
        <v>17715</v>
      </c>
      <c r="R2958" s="2" t="s">
        <v>50</v>
      </c>
      <c r="S2958" s="9">
        <f>VLOOKUP(P2958,$T$2:U2955,2,1)</f>
        <v>0.05</v>
      </c>
    </row>
    <row r="2959" spans="1:19" x14ac:dyDescent="0.25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e">
        <f>VLOOKUP(F2959,'Customer Info'!A2951:I3450,2,0)</f>
        <v>#N/A</v>
      </c>
      <c r="H2959" s="6" t="e">
        <f>VLOOKUP(F2959,'Customer Info'!A2951:I3450,3,0)</f>
        <v>#N/A</v>
      </c>
      <c r="I2959" s="6" t="e">
        <f>VLOOKUP(F2959,'Customer Info'!A2951:I3450,5,0)</f>
        <v>#N/A</v>
      </c>
      <c r="J2959" s="2">
        <v>1637</v>
      </c>
      <c r="K2959" s="2">
        <v>1532</v>
      </c>
      <c r="L2959" s="2">
        <v>1</v>
      </c>
      <c r="M2959" s="7">
        <f t="shared" si="184"/>
        <v>1532</v>
      </c>
      <c r="N2959" s="7">
        <f t="shared" si="185"/>
        <v>1637</v>
      </c>
      <c r="O2959" s="2">
        <v>20</v>
      </c>
      <c r="P2959" s="8">
        <f t="shared" si="186"/>
        <v>1657</v>
      </c>
      <c r="Q2959" s="8">
        <f t="shared" si="187"/>
        <v>1617</v>
      </c>
      <c r="R2959" s="2" t="s">
        <v>50</v>
      </c>
      <c r="S2959" s="9">
        <f>VLOOKUP(P2959,$T$2:U2956,2,1)</f>
        <v>0.02</v>
      </c>
    </row>
    <row r="2960" spans="1:19" x14ac:dyDescent="0.25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e">
        <f>VLOOKUP(F2960,'Customer Info'!A2952:I3451,2,0)</f>
        <v>#N/A</v>
      </c>
      <c r="H2960" s="6" t="e">
        <f>VLOOKUP(F2960,'Customer Info'!A2952:I3451,3,0)</f>
        <v>#N/A</v>
      </c>
      <c r="I2960" s="6" t="e">
        <f>VLOOKUP(F2960,'Customer Info'!A2952:I3451,5,0)</f>
        <v>#N/A</v>
      </c>
      <c r="J2960" s="2">
        <v>135</v>
      </c>
      <c r="K2960" s="2">
        <v>129</v>
      </c>
      <c r="L2960" s="2">
        <v>4</v>
      </c>
      <c r="M2960" s="7">
        <f t="shared" si="184"/>
        <v>516</v>
      </c>
      <c r="N2960" s="7">
        <f t="shared" si="185"/>
        <v>540</v>
      </c>
      <c r="O2960" s="2">
        <v>30</v>
      </c>
      <c r="P2960" s="8">
        <f t="shared" si="186"/>
        <v>570</v>
      </c>
      <c r="Q2960" s="8">
        <f t="shared" si="187"/>
        <v>510</v>
      </c>
      <c r="R2960" s="2" t="s">
        <v>50</v>
      </c>
      <c r="S2960" s="9">
        <f>VLOOKUP(P2960,$T$2:U2957,2,1)</f>
        <v>0.02</v>
      </c>
    </row>
    <row r="2961" spans="1:19" x14ac:dyDescent="0.25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e">
        <f>VLOOKUP(F2961,'Customer Info'!A2953:I3452,2,0)</f>
        <v>#N/A</v>
      </c>
      <c r="H2961" s="6" t="e">
        <f>VLOOKUP(F2961,'Customer Info'!A2953:I3452,3,0)</f>
        <v>#N/A</v>
      </c>
      <c r="I2961" s="6" t="e">
        <f>VLOOKUP(F2961,'Customer Info'!A2953:I3452,5,0)</f>
        <v>#N/A</v>
      </c>
      <c r="J2961" s="2">
        <v>1081</v>
      </c>
      <c r="K2961" s="2">
        <v>983</v>
      </c>
      <c r="L2961" s="2">
        <v>6</v>
      </c>
      <c r="M2961" s="7">
        <f t="shared" si="184"/>
        <v>5898</v>
      </c>
      <c r="N2961" s="7">
        <f t="shared" si="185"/>
        <v>6486</v>
      </c>
      <c r="O2961" s="2">
        <v>82</v>
      </c>
      <c r="P2961" s="8">
        <f t="shared" si="186"/>
        <v>6568</v>
      </c>
      <c r="Q2961" s="8">
        <f t="shared" si="187"/>
        <v>6404</v>
      </c>
      <c r="R2961" s="2" t="s">
        <v>28</v>
      </c>
      <c r="S2961" s="9">
        <f>VLOOKUP(P2961,$T$2:U2958,2,1)</f>
        <v>0.05</v>
      </c>
    </row>
    <row r="2962" spans="1:19" x14ac:dyDescent="0.25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e">
        <f>VLOOKUP(F2962,'Customer Info'!A2954:I3453,2,0)</f>
        <v>#N/A</v>
      </c>
      <c r="H2962" s="6" t="e">
        <f>VLOOKUP(F2962,'Customer Info'!A2954:I3453,3,0)</f>
        <v>#N/A</v>
      </c>
      <c r="I2962" s="6" t="e">
        <f>VLOOKUP(F2962,'Customer Info'!A2954:I3453,5,0)</f>
        <v>#N/A</v>
      </c>
      <c r="J2962" s="2">
        <v>7609</v>
      </c>
      <c r="K2962" s="2">
        <v>7248</v>
      </c>
      <c r="L2962" s="2">
        <v>3</v>
      </c>
      <c r="M2962" s="7">
        <f t="shared" si="184"/>
        <v>21744</v>
      </c>
      <c r="N2962" s="7">
        <f t="shared" si="185"/>
        <v>22827</v>
      </c>
      <c r="O2962" s="2">
        <v>21</v>
      </c>
      <c r="P2962" s="8">
        <f t="shared" si="186"/>
        <v>22848</v>
      </c>
      <c r="Q2962" s="8">
        <f t="shared" si="187"/>
        <v>22806</v>
      </c>
      <c r="R2962" s="2" t="s">
        <v>50</v>
      </c>
      <c r="S2962" s="9">
        <f>VLOOKUP(P2962,$T$2:U2959,2,1)</f>
        <v>0.05</v>
      </c>
    </row>
    <row r="2963" spans="1:19" x14ac:dyDescent="0.25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e">
        <f>VLOOKUP(F2963,'Customer Info'!A2955:I3454,2,0)</f>
        <v>#N/A</v>
      </c>
      <c r="H2963" s="6" t="e">
        <f>VLOOKUP(F2963,'Customer Info'!A2955:I3454,3,0)</f>
        <v>#N/A</v>
      </c>
      <c r="I2963" s="6" t="e">
        <f>VLOOKUP(F2963,'Customer Info'!A2955:I3454,5,0)</f>
        <v>#N/A</v>
      </c>
      <c r="J2963" s="2">
        <v>1283</v>
      </c>
      <c r="K2963" s="2">
        <v>1187</v>
      </c>
      <c r="L2963" s="2">
        <v>3</v>
      </c>
      <c r="M2963" s="7">
        <f t="shared" si="184"/>
        <v>3561</v>
      </c>
      <c r="N2963" s="7">
        <f t="shared" si="185"/>
        <v>3849</v>
      </c>
      <c r="O2963" s="2">
        <v>58</v>
      </c>
      <c r="P2963" s="8">
        <f t="shared" si="186"/>
        <v>3907</v>
      </c>
      <c r="Q2963" s="8">
        <f t="shared" si="187"/>
        <v>3791</v>
      </c>
      <c r="R2963" s="2" t="s">
        <v>28</v>
      </c>
      <c r="S2963" s="9">
        <f>VLOOKUP(P2963,$T$2:U2960,2,1)</f>
        <v>0.02</v>
      </c>
    </row>
    <row r="2964" spans="1:19" x14ac:dyDescent="0.25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e">
        <f>VLOOKUP(F2964,'Customer Info'!A2956:I3455,2,0)</f>
        <v>#N/A</v>
      </c>
      <c r="H2964" s="6" t="e">
        <f>VLOOKUP(F2964,'Customer Info'!A2956:I3455,3,0)</f>
        <v>#N/A</v>
      </c>
      <c r="I2964" s="6" t="e">
        <f>VLOOKUP(F2964,'Customer Info'!A2956:I3455,5,0)</f>
        <v>#N/A</v>
      </c>
      <c r="J2964" s="2">
        <v>184</v>
      </c>
      <c r="K2964" s="2">
        <v>176</v>
      </c>
      <c r="L2964" s="2">
        <v>7</v>
      </c>
      <c r="M2964" s="7">
        <f t="shared" si="184"/>
        <v>1232</v>
      </c>
      <c r="N2964" s="7">
        <f t="shared" si="185"/>
        <v>1288</v>
      </c>
      <c r="O2964" s="2">
        <v>30</v>
      </c>
      <c r="P2964" s="8">
        <f t="shared" si="186"/>
        <v>1318</v>
      </c>
      <c r="Q2964" s="8">
        <f t="shared" si="187"/>
        <v>1258</v>
      </c>
      <c r="R2964" s="2" t="s">
        <v>56</v>
      </c>
      <c r="S2964" s="9">
        <f>VLOOKUP(P2964,$T$2:U2961,2,1)</f>
        <v>0.02</v>
      </c>
    </row>
    <row r="2965" spans="1:19" x14ac:dyDescent="0.25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e">
        <f>VLOOKUP(F2965,'Customer Info'!A2957:I3456,2,0)</f>
        <v>#N/A</v>
      </c>
      <c r="H2965" s="6" t="e">
        <f>VLOOKUP(F2965,'Customer Info'!A2957:I3456,3,0)</f>
        <v>#N/A</v>
      </c>
      <c r="I2965" s="6" t="e">
        <f>VLOOKUP(F2965,'Customer Info'!A2957:I3456,5,0)</f>
        <v>#N/A</v>
      </c>
      <c r="J2965" s="2">
        <v>27691</v>
      </c>
      <c r="K2965" s="2">
        <v>25616</v>
      </c>
      <c r="L2965" s="2">
        <v>9</v>
      </c>
      <c r="M2965" s="7">
        <f t="shared" si="184"/>
        <v>230544</v>
      </c>
      <c r="N2965" s="7">
        <f t="shared" si="185"/>
        <v>249219</v>
      </c>
      <c r="O2965" s="2">
        <v>86</v>
      </c>
      <c r="P2965" s="8">
        <f t="shared" si="186"/>
        <v>249305</v>
      </c>
      <c r="Q2965" s="8">
        <f t="shared" si="187"/>
        <v>249133</v>
      </c>
      <c r="R2965" s="2" t="s">
        <v>28</v>
      </c>
      <c r="S2965" s="9">
        <f>VLOOKUP(P2965,$T$2:U2962,2,1)</f>
        <v>0.12</v>
      </c>
    </row>
    <row r="2966" spans="1:19" x14ac:dyDescent="0.25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e">
        <f>VLOOKUP(F2966,'Customer Info'!A2958:I3457,2,0)</f>
        <v>#N/A</v>
      </c>
      <c r="H2966" s="6" t="e">
        <f>VLOOKUP(F2966,'Customer Info'!A2958:I3457,3,0)</f>
        <v>#N/A</v>
      </c>
      <c r="I2966" s="6" t="e">
        <f>VLOOKUP(F2966,'Customer Info'!A2958:I3457,5,0)</f>
        <v>#N/A</v>
      </c>
      <c r="J2966" s="2">
        <v>6087</v>
      </c>
      <c r="K2966" s="2">
        <v>5808</v>
      </c>
      <c r="L2966" s="2">
        <v>2</v>
      </c>
      <c r="M2966" s="7">
        <f t="shared" si="184"/>
        <v>11616</v>
      </c>
      <c r="N2966" s="7">
        <f t="shared" si="185"/>
        <v>12174</v>
      </c>
      <c r="O2966" s="2">
        <v>58</v>
      </c>
      <c r="P2966" s="8">
        <f t="shared" si="186"/>
        <v>12232</v>
      </c>
      <c r="Q2966" s="8">
        <f t="shared" si="187"/>
        <v>12116</v>
      </c>
      <c r="R2966" s="2" t="s">
        <v>28</v>
      </c>
      <c r="S2966" s="9">
        <f>VLOOKUP(P2966,$T$2:U2963,2,1)</f>
        <v>0.05</v>
      </c>
    </row>
    <row r="2967" spans="1:19" x14ac:dyDescent="0.25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e">
        <f>VLOOKUP(F2967,'Customer Info'!A2959:I3458,2,0)</f>
        <v>#N/A</v>
      </c>
      <c r="H2967" s="6" t="e">
        <f>VLOOKUP(F2967,'Customer Info'!A2959:I3458,3,0)</f>
        <v>#N/A</v>
      </c>
      <c r="I2967" s="6" t="e">
        <f>VLOOKUP(F2967,'Customer Info'!A2959:I3458,5,0)</f>
        <v>#N/A</v>
      </c>
      <c r="J2967" s="2">
        <v>1968</v>
      </c>
      <c r="K2967" s="2">
        <v>1821</v>
      </c>
      <c r="L2967" s="2">
        <v>3</v>
      </c>
      <c r="M2967" s="7">
        <f t="shared" si="184"/>
        <v>5463</v>
      </c>
      <c r="N2967" s="7">
        <f t="shared" si="185"/>
        <v>5904</v>
      </c>
      <c r="O2967" s="2">
        <v>51</v>
      </c>
      <c r="P2967" s="8">
        <f t="shared" si="186"/>
        <v>5955</v>
      </c>
      <c r="Q2967" s="8">
        <f t="shared" si="187"/>
        <v>5853</v>
      </c>
      <c r="R2967" s="2" t="s">
        <v>50</v>
      </c>
      <c r="S2967" s="9">
        <f>VLOOKUP(P2967,$T$2:U2964,2,1)</f>
        <v>0.05</v>
      </c>
    </row>
    <row r="2968" spans="1:19" x14ac:dyDescent="0.25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e">
        <f>VLOOKUP(F2968,'Customer Info'!A2960:I3459,2,0)</f>
        <v>#N/A</v>
      </c>
      <c r="H2968" s="6" t="e">
        <f>VLOOKUP(F2968,'Customer Info'!A2960:I3459,3,0)</f>
        <v>#N/A</v>
      </c>
      <c r="I2968" s="6" t="e">
        <f>VLOOKUP(F2968,'Customer Info'!A2960:I3459,5,0)</f>
        <v>#N/A</v>
      </c>
      <c r="J2968" s="2">
        <v>2960</v>
      </c>
      <c r="K2968" s="2">
        <v>2635</v>
      </c>
      <c r="L2968" s="2">
        <v>3</v>
      </c>
      <c r="M2968" s="7">
        <f t="shared" si="184"/>
        <v>7905</v>
      </c>
      <c r="N2968" s="7">
        <f t="shared" si="185"/>
        <v>8880</v>
      </c>
      <c r="O2968" s="2">
        <v>52</v>
      </c>
      <c r="P2968" s="8">
        <f t="shared" si="186"/>
        <v>8932</v>
      </c>
      <c r="Q2968" s="8">
        <f t="shared" si="187"/>
        <v>8828</v>
      </c>
      <c r="R2968" s="2" t="s">
        <v>28</v>
      </c>
      <c r="S2968" s="9">
        <f>VLOOKUP(P2968,$T$2:U2965,2,1)</f>
        <v>0.05</v>
      </c>
    </row>
    <row r="2969" spans="1:19" x14ac:dyDescent="0.25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e">
        <f>VLOOKUP(F2969,'Customer Info'!A2961:I3460,2,0)</f>
        <v>#N/A</v>
      </c>
      <c r="H2969" s="6" t="e">
        <f>VLOOKUP(F2969,'Customer Info'!A2961:I3460,3,0)</f>
        <v>#N/A</v>
      </c>
      <c r="I2969" s="6" t="e">
        <f>VLOOKUP(F2969,'Customer Info'!A2961:I3460,5,0)</f>
        <v>#N/A</v>
      </c>
      <c r="J2969" s="2">
        <v>825</v>
      </c>
      <c r="K2969" s="2">
        <v>793</v>
      </c>
      <c r="L2969" s="2">
        <v>3</v>
      </c>
      <c r="M2969" s="7">
        <f t="shared" si="184"/>
        <v>2379</v>
      </c>
      <c r="N2969" s="7">
        <f t="shared" si="185"/>
        <v>2475</v>
      </c>
      <c r="O2969" s="2">
        <v>99</v>
      </c>
      <c r="P2969" s="8">
        <f t="shared" si="186"/>
        <v>2574</v>
      </c>
      <c r="Q2969" s="8">
        <f t="shared" si="187"/>
        <v>2376</v>
      </c>
      <c r="R2969" s="2" t="s">
        <v>28</v>
      </c>
      <c r="S2969" s="9">
        <f>VLOOKUP(P2969,$T$2:U2966,2,1)</f>
        <v>0.02</v>
      </c>
    </row>
    <row r="2970" spans="1:19" x14ac:dyDescent="0.25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e">
        <f>VLOOKUP(F2970,'Customer Info'!A2962:I3461,2,0)</f>
        <v>#N/A</v>
      </c>
      <c r="H2970" s="6" t="e">
        <f>VLOOKUP(F2970,'Customer Info'!A2962:I3461,3,0)</f>
        <v>#N/A</v>
      </c>
      <c r="I2970" s="6" t="e">
        <f>VLOOKUP(F2970,'Customer Info'!A2962:I3461,5,0)</f>
        <v>#N/A</v>
      </c>
      <c r="J2970" s="2">
        <v>2778</v>
      </c>
      <c r="K2970" s="2">
        <v>2573</v>
      </c>
      <c r="L2970" s="2">
        <v>3</v>
      </c>
      <c r="M2970" s="7">
        <f t="shared" si="184"/>
        <v>7719</v>
      </c>
      <c r="N2970" s="7">
        <f t="shared" si="185"/>
        <v>8334</v>
      </c>
      <c r="O2970" s="2">
        <v>69</v>
      </c>
      <c r="P2970" s="8">
        <f t="shared" si="186"/>
        <v>8403</v>
      </c>
      <c r="Q2970" s="8">
        <f t="shared" si="187"/>
        <v>8265</v>
      </c>
      <c r="R2970" s="2" t="s">
        <v>50</v>
      </c>
      <c r="S2970" s="9">
        <f>VLOOKUP(P2970,$T$2:U2967,2,1)</f>
        <v>0.05</v>
      </c>
    </row>
    <row r="2971" spans="1:19" x14ac:dyDescent="0.25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e">
        <f>VLOOKUP(F2971,'Customer Info'!A2963:I3462,2,0)</f>
        <v>#N/A</v>
      </c>
      <c r="H2971" s="6" t="e">
        <f>VLOOKUP(F2971,'Customer Info'!A2963:I3462,3,0)</f>
        <v>#N/A</v>
      </c>
      <c r="I2971" s="6" t="e">
        <f>VLOOKUP(F2971,'Customer Info'!A2963:I3462,5,0)</f>
        <v>#N/A</v>
      </c>
      <c r="J2971" s="2">
        <v>69</v>
      </c>
      <c r="K2971" s="2">
        <v>64</v>
      </c>
      <c r="L2971" s="2">
        <v>1</v>
      </c>
      <c r="M2971" s="7">
        <f t="shared" si="184"/>
        <v>64</v>
      </c>
      <c r="N2971" s="7">
        <f t="shared" si="185"/>
        <v>69</v>
      </c>
      <c r="O2971" s="2">
        <v>10</v>
      </c>
      <c r="P2971" s="8">
        <f t="shared" si="186"/>
        <v>79</v>
      </c>
      <c r="Q2971" s="8">
        <f t="shared" si="187"/>
        <v>59</v>
      </c>
      <c r="R2971" s="2" t="s">
        <v>28</v>
      </c>
      <c r="S2971" s="9">
        <f>VLOOKUP(P2971,$T$2:U2968,2,1)</f>
        <v>0.02</v>
      </c>
    </row>
    <row r="2972" spans="1:19" x14ac:dyDescent="0.25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e">
        <f>VLOOKUP(F2972,'Customer Info'!A2964:I3463,2,0)</f>
        <v>#N/A</v>
      </c>
      <c r="H2972" s="6" t="e">
        <f>VLOOKUP(F2972,'Customer Info'!A2964:I3463,3,0)</f>
        <v>#N/A</v>
      </c>
      <c r="I2972" s="6" t="e">
        <f>VLOOKUP(F2972,'Customer Info'!A2964:I3463,5,0)</f>
        <v>#N/A</v>
      </c>
      <c r="J2972" s="2">
        <v>1887</v>
      </c>
      <c r="K2972" s="2">
        <v>1763</v>
      </c>
      <c r="L2972" s="2">
        <v>5</v>
      </c>
      <c r="M2972" s="7">
        <f t="shared" si="184"/>
        <v>8815</v>
      </c>
      <c r="N2972" s="7">
        <f t="shared" si="185"/>
        <v>9435</v>
      </c>
      <c r="O2972" s="2">
        <v>70</v>
      </c>
      <c r="P2972" s="8">
        <f t="shared" si="186"/>
        <v>9505</v>
      </c>
      <c r="Q2972" s="8">
        <f t="shared" si="187"/>
        <v>9365</v>
      </c>
      <c r="R2972" s="2" t="s">
        <v>26</v>
      </c>
      <c r="S2972" s="9">
        <f>VLOOKUP(P2972,$T$2:U2969,2,1)</f>
        <v>0.05</v>
      </c>
    </row>
    <row r="2973" spans="1:19" x14ac:dyDescent="0.25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e">
        <f>VLOOKUP(F2973,'Customer Info'!A2965:I3464,2,0)</f>
        <v>#N/A</v>
      </c>
      <c r="H2973" s="6" t="e">
        <f>VLOOKUP(F2973,'Customer Info'!A2965:I3464,3,0)</f>
        <v>#N/A</v>
      </c>
      <c r="I2973" s="6" t="e">
        <f>VLOOKUP(F2973,'Customer Info'!A2965:I3464,5,0)</f>
        <v>#N/A</v>
      </c>
      <c r="J2973" s="2">
        <v>7864</v>
      </c>
      <c r="K2973" s="2">
        <v>7563</v>
      </c>
      <c r="L2973" s="2">
        <v>2</v>
      </c>
      <c r="M2973" s="7">
        <f t="shared" si="184"/>
        <v>15126</v>
      </c>
      <c r="N2973" s="7">
        <f t="shared" si="185"/>
        <v>15728</v>
      </c>
      <c r="O2973" s="2">
        <v>93</v>
      </c>
      <c r="P2973" s="8">
        <f t="shared" si="186"/>
        <v>15821</v>
      </c>
      <c r="Q2973" s="8">
        <f t="shared" si="187"/>
        <v>15635</v>
      </c>
      <c r="R2973" s="2" t="s">
        <v>50</v>
      </c>
      <c r="S2973" s="9">
        <f>VLOOKUP(P2973,$T$2:U2970,2,1)</f>
        <v>0.05</v>
      </c>
    </row>
    <row r="2974" spans="1:19" x14ac:dyDescent="0.25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e">
        <f>VLOOKUP(F2974,'Customer Info'!A2966:I3465,2,0)</f>
        <v>#N/A</v>
      </c>
      <c r="H2974" s="6" t="e">
        <f>VLOOKUP(F2974,'Customer Info'!A2966:I3465,3,0)</f>
        <v>#N/A</v>
      </c>
      <c r="I2974" s="6" t="e">
        <f>VLOOKUP(F2974,'Customer Info'!A2966:I3465,5,0)</f>
        <v>#N/A</v>
      </c>
      <c r="J2974" s="2">
        <v>169</v>
      </c>
      <c r="K2974" s="2">
        <v>160</v>
      </c>
      <c r="L2974" s="2">
        <v>1</v>
      </c>
      <c r="M2974" s="7">
        <f t="shared" si="184"/>
        <v>160</v>
      </c>
      <c r="N2974" s="7">
        <f t="shared" si="185"/>
        <v>169</v>
      </c>
      <c r="O2974" s="2">
        <v>30</v>
      </c>
      <c r="P2974" s="8">
        <f t="shared" si="186"/>
        <v>199</v>
      </c>
      <c r="Q2974" s="8">
        <f t="shared" si="187"/>
        <v>139</v>
      </c>
      <c r="R2974" s="2" t="s">
        <v>50</v>
      </c>
      <c r="S2974" s="9">
        <f>VLOOKUP(P2974,$T$2:U2971,2,1)</f>
        <v>0.02</v>
      </c>
    </row>
    <row r="2975" spans="1:19" x14ac:dyDescent="0.25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e">
        <f>VLOOKUP(F2975,'Customer Info'!A2967:I3466,2,0)</f>
        <v>#N/A</v>
      </c>
      <c r="H2975" s="6" t="e">
        <f>VLOOKUP(F2975,'Customer Info'!A2967:I3466,3,0)</f>
        <v>#N/A</v>
      </c>
      <c r="I2975" s="6" t="e">
        <f>VLOOKUP(F2975,'Customer Info'!A2967:I3466,5,0)</f>
        <v>#N/A</v>
      </c>
      <c r="J2975" s="2">
        <v>1169</v>
      </c>
      <c r="K2975" s="2">
        <v>1103</v>
      </c>
      <c r="L2975" s="2">
        <v>3</v>
      </c>
      <c r="M2975" s="7">
        <f t="shared" si="184"/>
        <v>3309</v>
      </c>
      <c r="N2975" s="7">
        <f t="shared" si="185"/>
        <v>3507</v>
      </c>
      <c r="O2975" s="2">
        <v>90</v>
      </c>
      <c r="P2975" s="8">
        <f t="shared" si="186"/>
        <v>3597</v>
      </c>
      <c r="Q2975" s="8">
        <f t="shared" si="187"/>
        <v>3417</v>
      </c>
      <c r="R2975" s="2" t="s">
        <v>50</v>
      </c>
      <c r="S2975" s="9">
        <f>VLOOKUP(P2975,$T$2:U2972,2,1)</f>
        <v>0.02</v>
      </c>
    </row>
    <row r="2976" spans="1:19" x14ac:dyDescent="0.25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e">
        <f>VLOOKUP(F2976,'Customer Info'!A2968:I3467,2,0)</f>
        <v>#N/A</v>
      </c>
      <c r="H2976" s="6" t="e">
        <f>VLOOKUP(F2976,'Customer Info'!A2968:I3467,3,0)</f>
        <v>#N/A</v>
      </c>
      <c r="I2976" s="6" t="e">
        <f>VLOOKUP(F2976,'Customer Info'!A2968:I3467,5,0)</f>
        <v>#N/A</v>
      </c>
      <c r="J2976" s="2">
        <v>142</v>
      </c>
      <c r="K2976" s="2">
        <v>134</v>
      </c>
      <c r="L2976" s="2">
        <v>3</v>
      </c>
      <c r="M2976" s="7">
        <f t="shared" si="184"/>
        <v>402</v>
      </c>
      <c r="N2976" s="7">
        <f t="shared" si="185"/>
        <v>426</v>
      </c>
      <c r="O2976" s="2">
        <v>30</v>
      </c>
      <c r="P2976" s="8">
        <f t="shared" si="186"/>
        <v>456</v>
      </c>
      <c r="Q2976" s="8">
        <f t="shared" si="187"/>
        <v>396</v>
      </c>
      <c r="R2976" s="2" t="s">
        <v>28</v>
      </c>
      <c r="S2976" s="9">
        <f>VLOOKUP(P2976,$T$2:U2973,2,1)</f>
        <v>0.02</v>
      </c>
    </row>
    <row r="2977" spans="1:19" x14ac:dyDescent="0.25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e">
        <f>VLOOKUP(F2977,'Customer Info'!A2969:I3468,2,0)</f>
        <v>#N/A</v>
      </c>
      <c r="H2977" s="6" t="e">
        <f>VLOOKUP(F2977,'Customer Info'!A2969:I3468,3,0)</f>
        <v>#N/A</v>
      </c>
      <c r="I2977" s="6" t="e">
        <f>VLOOKUP(F2977,'Customer Info'!A2969:I3468,5,0)</f>
        <v>#N/A</v>
      </c>
      <c r="J2977" s="2">
        <v>825</v>
      </c>
      <c r="K2977" s="2">
        <v>793</v>
      </c>
      <c r="L2977" s="2">
        <v>3</v>
      </c>
      <c r="M2977" s="7">
        <f t="shared" si="184"/>
        <v>2379</v>
      </c>
      <c r="N2977" s="7">
        <f t="shared" si="185"/>
        <v>2475</v>
      </c>
      <c r="O2977" s="2">
        <v>94</v>
      </c>
      <c r="P2977" s="8">
        <f t="shared" si="186"/>
        <v>2569</v>
      </c>
      <c r="Q2977" s="8">
        <f t="shared" si="187"/>
        <v>2381</v>
      </c>
      <c r="R2977" s="2" t="s">
        <v>50</v>
      </c>
      <c r="S2977" s="9">
        <f>VLOOKUP(P2977,$T$2:U2974,2,1)</f>
        <v>0.02</v>
      </c>
    </row>
    <row r="2978" spans="1:19" x14ac:dyDescent="0.25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e">
        <f>VLOOKUP(F2978,'Customer Info'!A2970:I3469,2,0)</f>
        <v>#N/A</v>
      </c>
      <c r="H2978" s="6" t="e">
        <f>VLOOKUP(F2978,'Customer Info'!A2970:I3469,3,0)</f>
        <v>#N/A</v>
      </c>
      <c r="I2978" s="6" t="e">
        <f>VLOOKUP(F2978,'Customer Info'!A2970:I3469,5,0)</f>
        <v>#N/A</v>
      </c>
      <c r="J2978" s="2">
        <v>6087</v>
      </c>
      <c r="K2978" s="2">
        <v>5808</v>
      </c>
      <c r="L2978" s="2">
        <v>1</v>
      </c>
      <c r="M2978" s="7">
        <f t="shared" si="184"/>
        <v>5808</v>
      </c>
      <c r="N2978" s="7">
        <f t="shared" si="185"/>
        <v>6087</v>
      </c>
      <c r="O2978" s="2">
        <v>32</v>
      </c>
      <c r="P2978" s="8">
        <f t="shared" si="186"/>
        <v>6119</v>
      </c>
      <c r="Q2978" s="8">
        <f t="shared" si="187"/>
        <v>6055</v>
      </c>
      <c r="R2978" s="2" t="s">
        <v>26</v>
      </c>
      <c r="S2978" s="9">
        <f>VLOOKUP(P2978,$T$2:U2975,2,1)</f>
        <v>0.05</v>
      </c>
    </row>
    <row r="2979" spans="1:19" x14ac:dyDescent="0.25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e">
        <f>VLOOKUP(F2979,'Customer Info'!A2971:I3470,2,0)</f>
        <v>#N/A</v>
      </c>
      <c r="H2979" s="6" t="e">
        <f>VLOOKUP(F2979,'Customer Info'!A2971:I3470,3,0)</f>
        <v>#N/A</v>
      </c>
      <c r="I2979" s="6" t="e">
        <f>VLOOKUP(F2979,'Customer Info'!A2971:I3470,5,0)</f>
        <v>#N/A</v>
      </c>
      <c r="J2979" s="2">
        <v>4846</v>
      </c>
      <c r="K2979" s="2">
        <v>4492</v>
      </c>
      <c r="L2979" s="2">
        <v>4</v>
      </c>
      <c r="M2979" s="7">
        <f t="shared" si="184"/>
        <v>17968</v>
      </c>
      <c r="N2979" s="7">
        <f t="shared" si="185"/>
        <v>19384</v>
      </c>
      <c r="O2979" s="2">
        <v>33</v>
      </c>
      <c r="P2979" s="8">
        <f t="shared" si="186"/>
        <v>19417</v>
      </c>
      <c r="Q2979" s="8">
        <f t="shared" si="187"/>
        <v>19351</v>
      </c>
      <c r="R2979" s="2" t="s">
        <v>28</v>
      </c>
      <c r="S2979" s="9">
        <f>VLOOKUP(P2979,$T$2:U2976,2,1)</f>
        <v>0.05</v>
      </c>
    </row>
    <row r="2980" spans="1:19" x14ac:dyDescent="0.25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e">
        <f>VLOOKUP(F2980,'Customer Info'!A2972:I3471,2,0)</f>
        <v>#N/A</v>
      </c>
      <c r="H2980" s="6" t="e">
        <f>VLOOKUP(F2980,'Customer Info'!A2972:I3471,3,0)</f>
        <v>#N/A</v>
      </c>
      <c r="I2980" s="6" t="e">
        <f>VLOOKUP(F2980,'Customer Info'!A2972:I3471,5,0)</f>
        <v>#N/A</v>
      </c>
      <c r="J2980" s="2">
        <v>78</v>
      </c>
      <c r="K2980" s="2">
        <v>74</v>
      </c>
      <c r="L2980" s="2">
        <v>7</v>
      </c>
      <c r="M2980" s="7">
        <f t="shared" si="184"/>
        <v>518</v>
      </c>
      <c r="N2980" s="7">
        <f t="shared" si="185"/>
        <v>546</v>
      </c>
      <c r="O2980" s="2">
        <v>10</v>
      </c>
      <c r="P2980" s="8">
        <f t="shared" si="186"/>
        <v>556</v>
      </c>
      <c r="Q2980" s="8">
        <f t="shared" si="187"/>
        <v>536</v>
      </c>
      <c r="R2980" s="2" t="s">
        <v>50</v>
      </c>
      <c r="S2980" s="9">
        <f>VLOOKUP(P2980,$T$2:U2977,2,1)</f>
        <v>0.02</v>
      </c>
    </row>
    <row r="2981" spans="1:19" x14ac:dyDescent="0.25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e">
        <f>VLOOKUP(F2981,'Customer Info'!A2973:I3472,2,0)</f>
        <v>#N/A</v>
      </c>
      <c r="H2981" s="6" t="e">
        <f>VLOOKUP(F2981,'Customer Info'!A2973:I3472,3,0)</f>
        <v>#N/A</v>
      </c>
      <c r="I2981" s="6" t="e">
        <f>VLOOKUP(F2981,'Customer Info'!A2973:I3472,5,0)</f>
        <v>#N/A</v>
      </c>
      <c r="J2981" s="2">
        <v>4487</v>
      </c>
      <c r="K2981" s="2">
        <v>4201</v>
      </c>
      <c r="L2981" s="2">
        <v>9</v>
      </c>
      <c r="M2981" s="7">
        <f t="shared" si="184"/>
        <v>37809</v>
      </c>
      <c r="N2981" s="7">
        <f t="shared" si="185"/>
        <v>40383</v>
      </c>
      <c r="O2981" s="2">
        <v>40</v>
      </c>
      <c r="P2981" s="8">
        <f t="shared" si="186"/>
        <v>40423</v>
      </c>
      <c r="Q2981" s="8">
        <f t="shared" si="187"/>
        <v>40343</v>
      </c>
      <c r="R2981" s="2" t="s">
        <v>26</v>
      </c>
      <c r="S2981" s="9">
        <f>VLOOKUP(P2981,$T$2:U2978,2,1)</f>
        <v>7.0000000000000007E-2</v>
      </c>
    </row>
    <row r="2982" spans="1:19" x14ac:dyDescent="0.25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e">
        <f>VLOOKUP(F2982,'Customer Info'!A2974:I3473,2,0)</f>
        <v>#N/A</v>
      </c>
      <c r="H2982" s="6" t="e">
        <f>VLOOKUP(F2982,'Customer Info'!A2974:I3473,3,0)</f>
        <v>#N/A</v>
      </c>
      <c r="I2982" s="6" t="e">
        <f>VLOOKUP(F2982,'Customer Info'!A2974:I3473,5,0)</f>
        <v>#N/A</v>
      </c>
      <c r="J2982" s="2">
        <v>7021</v>
      </c>
      <c r="K2982" s="2">
        <v>6686</v>
      </c>
      <c r="L2982" s="2">
        <v>1</v>
      </c>
      <c r="M2982" s="7">
        <f t="shared" si="184"/>
        <v>6686</v>
      </c>
      <c r="N2982" s="7">
        <f t="shared" si="185"/>
        <v>7021</v>
      </c>
      <c r="O2982" s="2">
        <v>50</v>
      </c>
      <c r="P2982" s="8">
        <f t="shared" si="186"/>
        <v>7071</v>
      </c>
      <c r="Q2982" s="8">
        <f t="shared" si="187"/>
        <v>6971</v>
      </c>
      <c r="R2982" s="2" t="s">
        <v>50</v>
      </c>
      <c r="S2982" s="9">
        <f>VLOOKUP(P2982,$T$2:U2979,2,1)</f>
        <v>0.05</v>
      </c>
    </row>
    <row r="2983" spans="1:19" x14ac:dyDescent="0.25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e">
        <f>VLOOKUP(F2983,'Customer Info'!A2975:I3474,2,0)</f>
        <v>#N/A</v>
      </c>
      <c r="H2983" s="6" t="e">
        <f>VLOOKUP(F2983,'Customer Info'!A2975:I3474,3,0)</f>
        <v>#N/A</v>
      </c>
      <c r="I2983" s="6" t="e">
        <f>VLOOKUP(F2983,'Customer Info'!A2975:I3474,5,0)</f>
        <v>#N/A</v>
      </c>
      <c r="J2983" s="2">
        <v>188</v>
      </c>
      <c r="K2983" s="2">
        <v>173</v>
      </c>
      <c r="L2983" s="2">
        <v>2</v>
      </c>
      <c r="M2983" s="7">
        <f t="shared" si="184"/>
        <v>346</v>
      </c>
      <c r="N2983" s="7">
        <f t="shared" si="185"/>
        <v>376</v>
      </c>
      <c r="O2983" s="2">
        <v>30</v>
      </c>
      <c r="P2983" s="8">
        <f t="shared" si="186"/>
        <v>406</v>
      </c>
      <c r="Q2983" s="8">
        <f t="shared" si="187"/>
        <v>346</v>
      </c>
      <c r="R2983" s="2" t="s">
        <v>56</v>
      </c>
      <c r="S2983" s="9">
        <f>VLOOKUP(P2983,$T$2:U2980,2,1)</f>
        <v>0.02</v>
      </c>
    </row>
    <row r="2984" spans="1:19" x14ac:dyDescent="0.25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e">
        <f>VLOOKUP(F2984,'Customer Info'!A2976:I3475,2,0)</f>
        <v>#N/A</v>
      </c>
      <c r="H2984" s="6" t="e">
        <f>VLOOKUP(F2984,'Customer Info'!A2976:I3475,3,0)</f>
        <v>#N/A</v>
      </c>
      <c r="I2984" s="6" t="e">
        <f>VLOOKUP(F2984,'Customer Info'!A2976:I3475,5,0)</f>
        <v>#N/A</v>
      </c>
      <c r="J2984" s="2">
        <v>1601</v>
      </c>
      <c r="K2984" s="2">
        <v>1510</v>
      </c>
      <c r="L2984" s="2">
        <v>4</v>
      </c>
      <c r="M2984" s="7">
        <f t="shared" si="184"/>
        <v>6040</v>
      </c>
      <c r="N2984" s="7">
        <f t="shared" si="185"/>
        <v>6404</v>
      </c>
      <c r="O2984" s="2">
        <v>78</v>
      </c>
      <c r="P2984" s="8">
        <f t="shared" si="186"/>
        <v>6482</v>
      </c>
      <c r="Q2984" s="8">
        <f t="shared" si="187"/>
        <v>6326</v>
      </c>
      <c r="R2984" s="2" t="s">
        <v>50</v>
      </c>
      <c r="S2984" s="9">
        <f>VLOOKUP(P2984,$T$2:U2981,2,1)</f>
        <v>0.05</v>
      </c>
    </row>
    <row r="2985" spans="1:19" x14ac:dyDescent="0.25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e">
        <f>VLOOKUP(F2985,'Customer Info'!A2977:I3476,2,0)</f>
        <v>#N/A</v>
      </c>
      <c r="H2985" s="6" t="e">
        <f>VLOOKUP(F2985,'Customer Info'!A2977:I3476,3,0)</f>
        <v>#N/A</v>
      </c>
      <c r="I2985" s="6" t="e">
        <f>VLOOKUP(F2985,'Customer Info'!A2977:I3476,5,0)</f>
        <v>#N/A</v>
      </c>
      <c r="J2985" s="2">
        <v>7609</v>
      </c>
      <c r="K2985" s="2">
        <v>7248</v>
      </c>
      <c r="L2985" s="2">
        <v>3</v>
      </c>
      <c r="M2985" s="7">
        <f t="shared" si="184"/>
        <v>21744</v>
      </c>
      <c r="N2985" s="7">
        <f t="shared" si="185"/>
        <v>22827</v>
      </c>
      <c r="O2985" s="2">
        <v>38</v>
      </c>
      <c r="P2985" s="8">
        <f t="shared" si="186"/>
        <v>22865</v>
      </c>
      <c r="Q2985" s="8">
        <f t="shared" si="187"/>
        <v>22789</v>
      </c>
      <c r="R2985" s="2" t="s">
        <v>28</v>
      </c>
      <c r="S2985" s="9">
        <f>VLOOKUP(P2985,$T$2:U2982,2,1)</f>
        <v>0.05</v>
      </c>
    </row>
    <row r="2986" spans="1:19" x14ac:dyDescent="0.25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e">
        <f>VLOOKUP(F2986,'Customer Info'!A2978:I3477,2,0)</f>
        <v>#N/A</v>
      </c>
      <c r="H2986" s="6" t="e">
        <f>VLOOKUP(F2986,'Customer Info'!A2978:I3477,3,0)</f>
        <v>#N/A</v>
      </c>
      <c r="I2986" s="6" t="e">
        <f>VLOOKUP(F2986,'Customer Info'!A2978:I3477,5,0)</f>
        <v>#N/A</v>
      </c>
      <c r="J2986" s="2">
        <v>2249</v>
      </c>
      <c r="K2986" s="2">
        <v>2102</v>
      </c>
      <c r="L2986" s="2">
        <v>2</v>
      </c>
      <c r="M2986" s="7">
        <f t="shared" si="184"/>
        <v>4204</v>
      </c>
      <c r="N2986" s="7">
        <f t="shared" si="185"/>
        <v>4498</v>
      </c>
      <c r="O2986" s="2">
        <v>97</v>
      </c>
      <c r="P2986" s="8">
        <f t="shared" si="186"/>
        <v>4595</v>
      </c>
      <c r="Q2986" s="8">
        <f t="shared" si="187"/>
        <v>4401</v>
      </c>
      <c r="R2986" s="2" t="s">
        <v>50</v>
      </c>
      <c r="S2986" s="9">
        <f>VLOOKUP(P2986,$T$2:U2983,2,1)</f>
        <v>0.02</v>
      </c>
    </row>
    <row r="2987" spans="1:19" x14ac:dyDescent="0.25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e">
        <f>VLOOKUP(F2987,'Customer Info'!A2979:I3478,2,0)</f>
        <v>#N/A</v>
      </c>
      <c r="H2987" s="6" t="e">
        <f>VLOOKUP(F2987,'Customer Info'!A2979:I3478,3,0)</f>
        <v>#N/A</v>
      </c>
      <c r="I2987" s="6" t="e">
        <f>VLOOKUP(F2987,'Customer Info'!A2979:I3478,5,0)</f>
        <v>#N/A</v>
      </c>
      <c r="J2987" s="2">
        <v>185</v>
      </c>
      <c r="K2987" s="2">
        <v>174</v>
      </c>
      <c r="L2987" s="2">
        <v>5</v>
      </c>
      <c r="M2987" s="7">
        <f t="shared" si="184"/>
        <v>870</v>
      </c>
      <c r="N2987" s="7">
        <f t="shared" si="185"/>
        <v>925</v>
      </c>
      <c r="O2987" s="2">
        <v>30</v>
      </c>
      <c r="P2987" s="8">
        <f t="shared" si="186"/>
        <v>955</v>
      </c>
      <c r="Q2987" s="8">
        <f t="shared" si="187"/>
        <v>895</v>
      </c>
      <c r="R2987" s="2" t="s">
        <v>28</v>
      </c>
      <c r="S2987" s="9">
        <f>VLOOKUP(P2987,$T$2:U2984,2,1)</f>
        <v>0.02</v>
      </c>
    </row>
    <row r="2988" spans="1:19" x14ac:dyDescent="0.25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e">
        <f>VLOOKUP(F2988,'Customer Info'!A2980:I3479,2,0)</f>
        <v>#N/A</v>
      </c>
      <c r="H2988" s="6" t="e">
        <f>VLOOKUP(F2988,'Customer Info'!A2980:I3479,3,0)</f>
        <v>#N/A</v>
      </c>
      <c r="I2988" s="6" t="e">
        <f>VLOOKUP(F2988,'Customer Info'!A2980:I3479,5,0)</f>
        <v>#N/A</v>
      </c>
      <c r="J2988" s="2">
        <v>1770</v>
      </c>
      <c r="K2988" s="2">
        <v>1592</v>
      </c>
      <c r="L2988" s="2">
        <v>6</v>
      </c>
      <c r="M2988" s="7">
        <f t="shared" si="184"/>
        <v>9552</v>
      </c>
      <c r="N2988" s="7">
        <f t="shared" si="185"/>
        <v>10620</v>
      </c>
      <c r="O2988" s="2">
        <v>81</v>
      </c>
      <c r="P2988" s="8">
        <f t="shared" si="186"/>
        <v>10701</v>
      </c>
      <c r="Q2988" s="8">
        <f t="shared" si="187"/>
        <v>10539</v>
      </c>
      <c r="R2988" s="2" t="s">
        <v>28</v>
      </c>
      <c r="S2988" s="9">
        <f>VLOOKUP(P2988,$T$2:U2985,2,1)</f>
        <v>0.05</v>
      </c>
    </row>
    <row r="2989" spans="1:19" x14ac:dyDescent="0.25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e">
        <f>VLOOKUP(F2989,'Customer Info'!A2981:I3480,2,0)</f>
        <v>#N/A</v>
      </c>
      <c r="H2989" s="6" t="e">
        <f>VLOOKUP(F2989,'Customer Info'!A2981:I3480,3,0)</f>
        <v>#N/A</v>
      </c>
      <c r="I2989" s="6" t="e">
        <f>VLOOKUP(F2989,'Customer Info'!A2981:I3480,5,0)</f>
        <v>#N/A</v>
      </c>
      <c r="J2989" s="2">
        <v>1734</v>
      </c>
      <c r="K2989" s="2">
        <v>1702</v>
      </c>
      <c r="L2989" s="2">
        <v>2</v>
      </c>
      <c r="M2989" s="7">
        <f t="shared" si="184"/>
        <v>3404</v>
      </c>
      <c r="N2989" s="7">
        <f t="shared" si="185"/>
        <v>3468</v>
      </c>
      <c r="O2989" s="2">
        <v>29</v>
      </c>
      <c r="P2989" s="8">
        <f t="shared" si="186"/>
        <v>3497</v>
      </c>
      <c r="Q2989" s="8">
        <f t="shared" si="187"/>
        <v>3439</v>
      </c>
      <c r="R2989" s="2" t="s">
        <v>26</v>
      </c>
      <c r="S2989" s="9">
        <f>VLOOKUP(P2989,$T$2:U2986,2,1)</f>
        <v>0.02</v>
      </c>
    </row>
    <row r="2990" spans="1:19" x14ac:dyDescent="0.25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e">
        <f>VLOOKUP(F2990,'Customer Info'!A2982:I3481,2,0)</f>
        <v>#N/A</v>
      </c>
      <c r="H2990" s="6" t="e">
        <f>VLOOKUP(F2990,'Customer Info'!A2982:I3481,3,0)</f>
        <v>#N/A</v>
      </c>
      <c r="I2990" s="6" t="e">
        <f>VLOOKUP(F2990,'Customer Info'!A2982:I3481,5,0)</f>
        <v>#N/A</v>
      </c>
      <c r="J2990" s="2">
        <v>8617</v>
      </c>
      <c r="K2990" s="2">
        <v>7900</v>
      </c>
      <c r="L2990" s="2">
        <v>14</v>
      </c>
      <c r="M2990" s="7">
        <f t="shared" si="184"/>
        <v>110600</v>
      </c>
      <c r="N2990" s="7">
        <f t="shared" si="185"/>
        <v>120638</v>
      </c>
      <c r="O2990" s="2">
        <v>35</v>
      </c>
      <c r="P2990" s="8">
        <f t="shared" si="186"/>
        <v>120673</v>
      </c>
      <c r="Q2990" s="8">
        <f t="shared" si="187"/>
        <v>120603</v>
      </c>
      <c r="R2990" s="2" t="s">
        <v>50</v>
      </c>
      <c r="S2990" s="9">
        <f>VLOOKUP(P2990,$T$2:U2987,2,1)</f>
        <v>0.12</v>
      </c>
    </row>
    <row r="2991" spans="1:19" x14ac:dyDescent="0.25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e">
        <f>VLOOKUP(F2991,'Customer Info'!A2983:I3482,2,0)</f>
        <v>#N/A</v>
      </c>
      <c r="H2991" s="6" t="e">
        <f>VLOOKUP(F2991,'Customer Info'!A2983:I3482,3,0)</f>
        <v>#N/A</v>
      </c>
      <c r="I2991" s="6" t="e">
        <f>VLOOKUP(F2991,'Customer Info'!A2983:I3482,5,0)</f>
        <v>#N/A</v>
      </c>
      <c r="J2991" s="2">
        <v>393</v>
      </c>
      <c r="K2991" s="2">
        <v>374</v>
      </c>
      <c r="L2991" s="2">
        <v>5</v>
      </c>
      <c r="M2991" s="7">
        <f t="shared" si="184"/>
        <v>1870</v>
      </c>
      <c r="N2991" s="7">
        <f t="shared" si="185"/>
        <v>1965</v>
      </c>
      <c r="O2991" s="2">
        <v>90</v>
      </c>
      <c r="P2991" s="8">
        <f t="shared" si="186"/>
        <v>2055</v>
      </c>
      <c r="Q2991" s="8">
        <f t="shared" si="187"/>
        <v>1875</v>
      </c>
      <c r="R2991" s="2" t="s">
        <v>28</v>
      </c>
      <c r="S2991" s="9">
        <f>VLOOKUP(P2991,$T$2:U2988,2,1)</f>
        <v>0.02</v>
      </c>
    </row>
    <row r="2992" spans="1:19" x14ac:dyDescent="0.25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e">
        <f>VLOOKUP(F2992,'Customer Info'!A2984:I3483,2,0)</f>
        <v>#N/A</v>
      </c>
      <c r="H2992" s="6" t="e">
        <f>VLOOKUP(F2992,'Customer Info'!A2984:I3483,3,0)</f>
        <v>#N/A</v>
      </c>
      <c r="I2992" s="6" t="e">
        <f>VLOOKUP(F2992,'Customer Info'!A2984:I3483,5,0)</f>
        <v>#N/A</v>
      </c>
      <c r="J2992" s="2">
        <v>2644</v>
      </c>
      <c r="K2992" s="2">
        <v>2425</v>
      </c>
      <c r="L2992" s="2">
        <v>3</v>
      </c>
      <c r="M2992" s="7">
        <f t="shared" si="184"/>
        <v>7275</v>
      </c>
      <c r="N2992" s="7">
        <f t="shared" si="185"/>
        <v>7932</v>
      </c>
      <c r="O2992" s="2">
        <v>29</v>
      </c>
      <c r="P2992" s="8">
        <f t="shared" si="186"/>
        <v>7961</v>
      </c>
      <c r="Q2992" s="8">
        <f t="shared" si="187"/>
        <v>7903</v>
      </c>
      <c r="R2992" s="2" t="s">
        <v>50</v>
      </c>
      <c r="S2992" s="9">
        <f>VLOOKUP(P2992,$T$2:U2989,2,1)</f>
        <v>0.05</v>
      </c>
    </row>
    <row r="2993" spans="1:19" x14ac:dyDescent="0.25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e">
        <f>VLOOKUP(F2993,'Customer Info'!A2985:I3484,2,0)</f>
        <v>#N/A</v>
      </c>
      <c r="H2993" s="6" t="e">
        <f>VLOOKUP(F2993,'Customer Info'!A2985:I3484,3,0)</f>
        <v>#N/A</v>
      </c>
      <c r="I2993" s="6" t="e">
        <f>VLOOKUP(F2993,'Customer Info'!A2985:I3484,5,0)</f>
        <v>#N/A</v>
      </c>
      <c r="J2993" s="2">
        <v>1306</v>
      </c>
      <c r="K2993" s="2">
        <v>1197</v>
      </c>
      <c r="L2993" s="2">
        <v>2</v>
      </c>
      <c r="M2993" s="7">
        <f t="shared" si="184"/>
        <v>2394</v>
      </c>
      <c r="N2993" s="7">
        <f t="shared" si="185"/>
        <v>2612</v>
      </c>
      <c r="O2993" s="2">
        <v>55</v>
      </c>
      <c r="P2993" s="8">
        <f t="shared" si="186"/>
        <v>2667</v>
      </c>
      <c r="Q2993" s="8">
        <f t="shared" si="187"/>
        <v>2557</v>
      </c>
      <c r="R2993" s="2" t="s">
        <v>28</v>
      </c>
      <c r="S2993" s="9">
        <f>VLOOKUP(P2993,$T$2:U2990,2,1)</f>
        <v>0.02</v>
      </c>
    </row>
    <row r="2994" spans="1:19" x14ac:dyDescent="0.25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e">
        <f>VLOOKUP(F2994,'Customer Info'!A2986:I3485,2,0)</f>
        <v>#N/A</v>
      </c>
      <c r="H2994" s="6" t="e">
        <f>VLOOKUP(F2994,'Customer Info'!A2986:I3485,3,0)</f>
        <v>#N/A</v>
      </c>
      <c r="I2994" s="6" t="e">
        <f>VLOOKUP(F2994,'Customer Info'!A2986:I3485,5,0)</f>
        <v>#N/A</v>
      </c>
      <c r="J2994" s="2">
        <v>2249</v>
      </c>
      <c r="K2994" s="2">
        <v>2102</v>
      </c>
      <c r="L2994" s="2">
        <v>3</v>
      </c>
      <c r="M2994" s="7">
        <f t="shared" si="184"/>
        <v>6306</v>
      </c>
      <c r="N2994" s="7">
        <f t="shared" si="185"/>
        <v>6747</v>
      </c>
      <c r="O2994" s="2">
        <v>88</v>
      </c>
      <c r="P2994" s="8">
        <f t="shared" si="186"/>
        <v>6835</v>
      </c>
      <c r="Q2994" s="8">
        <f t="shared" si="187"/>
        <v>6659</v>
      </c>
      <c r="R2994" s="2" t="s">
        <v>28</v>
      </c>
      <c r="S2994" s="9">
        <f>VLOOKUP(P2994,$T$2:U2991,2,1)</f>
        <v>0.05</v>
      </c>
    </row>
    <row r="2995" spans="1:19" x14ac:dyDescent="0.25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e">
        <f>VLOOKUP(F2995,'Customer Info'!A2987:I3486,2,0)</f>
        <v>#N/A</v>
      </c>
      <c r="H2995" s="6" t="e">
        <f>VLOOKUP(F2995,'Customer Info'!A2987:I3486,3,0)</f>
        <v>#N/A</v>
      </c>
      <c r="I2995" s="6" t="e">
        <f>VLOOKUP(F2995,'Customer Info'!A2987:I3486,5,0)</f>
        <v>#N/A</v>
      </c>
      <c r="J2995" s="2">
        <v>5906</v>
      </c>
      <c r="K2995" s="2">
        <v>5266</v>
      </c>
      <c r="L2995" s="2">
        <v>1</v>
      </c>
      <c r="M2995" s="7">
        <f t="shared" si="184"/>
        <v>5266</v>
      </c>
      <c r="N2995" s="7">
        <f t="shared" si="185"/>
        <v>5906</v>
      </c>
      <c r="O2995" s="2">
        <v>61</v>
      </c>
      <c r="P2995" s="8">
        <f t="shared" si="186"/>
        <v>5967</v>
      </c>
      <c r="Q2995" s="8">
        <f t="shared" si="187"/>
        <v>5845</v>
      </c>
      <c r="R2995" s="2" t="s">
        <v>28</v>
      </c>
      <c r="S2995" s="9">
        <f>VLOOKUP(P2995,$T$2:U2992,2,1)</f>
        <v>0.05</v>
      </c>
    </row>
    <row r="2996" spans="1:19" x14ac:dyDescent="0.25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e">
        <f>VLOOKUP(F2996,'Customer Info'!A2988:I3487,2,0)</f>
        <v>#N/A</v>
      </c>
      <c r="H2996" s="6" t="e">
        <f>VLOOKUP(F2996,'Customer Info'!A2988:I3487,3,0)</f>
        <v>#N/A</v>
      </c>
      <c r="I2996" s="6" t="e">
        <f>VLOOKUP(F2996,'Customer Info'!A2988:I3487,5,0)</f>
        <v>#N/A</v>
      </c>
      <c r="J2996" s="2">
        <v>79</v>
      </c>
      <c r="K2996" s="2">
        <v>75</v>
      </c>
      <c r="L2996" s="2">
        <v>3</v>
      </c>
      <c r="M2996" s="7">
        <f t="shared" si="184"/>
        <v>225</v>
      </c>
      <c r="N2996" s="7">
        <f t="shared" si="185"/>
        <v>237</v>
      </c>
      <c r="O2996" s="2">
        <v>10</v>
      </c>
      <c r="P2996" s="8">
        <f t="shared" si="186"/>
        <v>247</v>
      </c>
      <c r="Q2996" s="8">
        <f t="shared" si="187"/>
        <v>227</v>
      </c>
      <c r="R2996" s="2" t="s">
        <v>28</v>
      </c>
      <c r="S2996" s="9">
        <f>VLOOKUP(P2996,$T$2:U2993,2,1)</f>
        <v>0.02</v>
      </c>
    </row>
    <row r="2997" spans="1:19" x14ac:dyDescent="0.25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e">
        <f>VLOOKUP(F2997,'Customer Info'!A2989:I3488,2,0)</f>
        <v>#N/A</v>
      </c>
      <c r="H2997" s="6" t="e">
        <f>VLOOKUP(F2997,'Customer Info'!A2989:I3488,3,0)</f>
        <v>#N/A</v>
      </c>
      <c r="I2997" s="6" t="e">
        <f>VLOOKUP(F2997,'Customer Info'!A2989:I3488,5,0)</f>
        <v>#N/A</v>
      </c>
      <c r="J2997" s="2">
        <v>2829</v>
      </c>
      <c r="K2997" s="2">
        <v>2596</v>
      </c>
      <c r="L2997" s="2">
        <v>2</v>
      </c>
      <c r="M2997" s="7">
        <f t="shared" si="184"/>
        <v>5192</v>
      </c>
      <c r="N2997" s="7">
        <f t="shared" si="185"/>
        <v>5658</v>
      </c>
      <c r="O2997" s="2">
        <v>48</v>
      </c>
      <c r="P2997" s="8">
        <f t="shared" si="186"/>
        <v>5706</v>
      </c>
      <c r="Q2997" s="8">
        <f t="shared" si="187"/>
        <v>5610</v>
      </c>
      <c r="R2997" s="2" t="s">
        <v>28</v>
      </c>
      <c r="S2997" s="9">
        <f>VLOOKUP(P2997,$T$2:U2994,2,1)</f>
        <v>0.05</v>
      </c>
    </row>
    <row r="2998" spans="1:19" x14ac:dyDescent="0.25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e">
        <f>VLOOKUP(F2998,'Customer Info'!A2990:I3489,2,0)</f>
        <v>#N/A</v>
      </c>
      <c r="H2998" s="6" t="e">
        <f>VLOOKUP(F2998,'Customer Info'!A2990:I3489,3,0)</f>
        <v>#N/A</v>
      </c>
      <c r="I2998" s="6" t="e">
        <f>VLOOKUP(F2998,'Customer Info'!A2990:I3489,5,0)</f>
        <v>#N/A</v>
      </c>
      <c r="J2998" s="2">
        <v>151</v>
      </c>
      <c r="K2998" s="2">
        <v>139</v>
      </c>
      <c r="L2998" s="2">
        <v>2</v>
      </c>
      <c r="M2998" s="7">
        <f t="shared" si="184"/>
        <v>278</v>
      </c>
      <c r="N2998" s="7">
        <f t="shared" si="185"/>
        <v>302</v>
      </c>
      <c r="O2998" s="2">
        <v>30</v>
      </c>
      <c r="P2998" s="8">
        <f t="shared" si="186"/>
        <v>332</v>
      </c>
      <c r="Q2998" s="8">
        <f t="shared" si="187"/>
        <v>272</v>
      </c>
      <c r="R2998" s="2" t="s">
        <v>50</v>
      </c>
      <c r="S2998" s="9">
        <f>VLOOKUP(P2998,$T$2:U2995,2,1)</f>
        <v>0.02</v>
      </c>
    </row>
    <row r="2999" spans="1:19" x14ac:dyDescent="0.25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e">
        <f>VLOOKUP(F2999,'Customer Info'!A2991:I3490,2,0)</f>
        <v>#N/A</v>
      </c>
      <c r="H2999" s="6" t="e">
        <f>VLOOKUP(F2999,'Customer Info'!A2991:I3490,3,0)</f>
        <v>#N/A</v>
      </c>
      <c r="I2999" s="6" t="e">
        <f>VLOOKUP(F2999,'Customer Info'!A2991:I3490,5,0)</f>
        <v>#N/A</v>
      </c>
      <c r="J2999" s="2">
        <v>8187</v>
      </c>
      <c r="K2999" s="2">
        <v>7799</v>
      </c>
      <c r="L2999" s="2">
        <v>6</v>
      </c>
      <c r="M2999" s="7">
        <f t="shared" si="184"/>
        <v>46794</v>
      </c>
      <c r="N2999" s="7">
        <f t="shared" si="185"/>
        <v>49122</v>
      </c>
      <c r="O2999" s="2">
        <v>57</v>
      </c>
      <c r="P2999" s="8">
        <f t="shared" si="186"/>
        <v>49179</v>
      </c>
      <c r="Q2999" s="8">
        <f t="shared" si="187"/>
        <v>49065</v>
      </c>
      <c r="R2999" s="2" t="s">
        <v>28</v>
      </c>
      <c r="S2999" s="9">
        <f>VLOOKUP(P2999,$T$2:U2996,2,1)</f>
        <v>7.0000000000000007E-2</v>
      </c>
    </row>
    <row r="3000" spans="1:19" x14ac:dyDescent="0.25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e">
        <f>VLOOKUP(F3000,'Customer Info'!A2992:I3491,2,0)</f>
        <v>#N/A</v>
      </c>
      <c r="H3000" s="6" t="e">
        <f>VLOOKUP(F3000,'Customer Info'!A2992:I3491,3,0)</f>
        <v>#N/A</v>
      </c>
      <c r="I3000" s="6" t="e">
        <f>VLOOKUP(F3000,'Customer Info'!A2992:I3491,5,0)</f>
        <v>#N/A</v>
      </c>
      <c r="J3000" s="2">
        <v>2960</v>
      </c>
      <c r="K3000" s="2">
        <v>2635</v>
      </c>
      <c r="L3000" s="2">
        <v>2</v>
      </c>
      <c r="M3000" s="7">
        <f t="shared" si="184"/>
        <v>5270</v>
      </c>
      <c r="N3000" s="7">
        <f t="shared" si="185"/>
        <v>5920</v>
      </c>
      <c r="O3000" s="2">
        <v>86</v>
      </c>
      <c r="P3000" s="8">
        <f t="shared" si="186"/>
        <v>6006</v>
      </c>
      <c r="Q3000" s="8">
        <f t="shared" si="187"/>
        <v>5834</v>
      </c>
      <c r="R3000" s="2" t="s">
        <v>28</v>
      </c>
      <c r="S3000" s="9">
        <f>VLOOKUP(P3000,$T$2:U2997,2,1)</f>
        <v>0.05</v>
      </c>
    </row>
    <row r="3001" spans="1:19" x14ac:dyDescent="0.25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e">
        <f>VLOOKUP(F3001,'Customer Info'!A2993:I3492,2,0)</f>
        <v>#N/A</v>
      </c>
      <c r="H3001" s="6" t="e">
        <f>VLOOKUP(F3001,'Customer Info'!A2993:I3492,3,0)</f>
        <v>#N/A</v>
      </c>
      <c r="I3001" s="6" t="e">
        <f>VLOOKUP(F3001,'Customer Info'!A2993:I3492,5,0)</f>
        <v>#N/A</v>
      </c>
      <c r="J3001" s="2">
        <v>829</v>
      </c>
      <c r="K3001" s="2">
        <v>761</v>
      </c>
      <c r="L3001" s="2">
        <v>6</v>
      </c>
      <c r="M3001" s="7">
        <f t="shared" si="184"/>
        <v>4566</v>
      </c>
      <c r="N3001" s="7">
        <f t="shared" si="185"/>
        <v>4974</v>
      </c>
      <c r="O3001" s="2">
        <v>67</v>
      </c>
      <c r="P3001" s="8">
        <f t="shared" si="186"/>
        <v>5041</v>
      </c>
      <c r="Q3001" s="8">
        <f t="shared" si="187"/>
        <v>4907</v>
      </c>
      <c r="R3001" s="2" t="s">
        <v>26</v>
      </c>
      <c r="S3001" s="9">
        <f>VLOOKUP(P3001,$T$2:U2998,2,1)</f>
        <v>0.05</v>
      </c>
    </row>
    <row r="3002" spans="1:19" x14ac:dyDescent="0.25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e">
        <f>VLOOKUP(F3002,'Customer Info'!A2994:I3493,2,0)</f>
        <v>#N/A</v>
      </c>
      <c r="H3002" s="6" t="e">
        <f>VLOOKUP(F3002,'Customer Info'!A2994:I3493,3,0)</f>
        <v>#N/A</v>
      </c>
      <c r="I3002" s="6" t="e">
        <f>VLOOKUP(F3002,'Customer Info'!A2994:I3493,5,0)</f>
        <v>#N/A</v>
      </c>
      <c r="J3002" s="2">
        <v>2365</v>
      </c>
      <c r="K3002" s="2">
        <v>2232</v>
      </c>
      <c r="L3002" s="2">
        <v>5</v>
      </c>
      <c r="M3002" s="7">
        <f t="shared" si="184"/>
        <v>11160</v>
      </c>
      <c r="N3002" s="7">
        <f t="shared" si="185"/>
        <v>11825</v>
      </c>
      <c r="O3002" s="2">
        <v>78</v>
      </c>
      <c r="P3002" s="8">
        <f t="shared" si="186"/>
        <v>11903</v>
      </c>
      <c r="Q3002" s="8">
        <f t="shared" si="187"/>
        <v>11747</v>
      </c>
      <c r="R3002" s="2" t="s">
        <v>50</v>
      </c>
      <c r="S3002" s="9">
        <f>VLOOKUP(P3002,$T$2:U2999,2,1)</f>
        <v>0.05</v>
      </c>
    </row>
    <row r="3003" spans="1:19" x14ac:dyDescent="0.25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e">
        <f>VLOOKUP(F3003,'Customer Info'!A2995:I3494,2,0)</f>
        <v>#N/A</v>
      </c>
      <c r="H3003" s="6" t="e">
        <f>VLOOKUP(F3003,'Customer Info'!A2995:I3494,3,0)</f>
        <v>#N/A</v>
      </c>
      <c r="I3003" s="6" t="e">
        <f>VLOOKUP(F3003,'Customer Info'!A2995:I3494,5,0)</f>
        <v>#N/A</v>
      </c>
      <c r="J3003" s="2">
        <v>1103</v>
      </c>
      <c r="K3003" s="2">
        <v>1030</v>
      </c>
      <c r="L3003" s="2">
        <v>3</v>
      </c>
      <c r="M3003" s="7">
        <f t="shared" si="184"/>
        <v>3090</v>
      </c>
      <c r="N3003" s="7">
        <f t="shared" si="185"/>
        <v>3309</v>
      </c>
      <c r="O3003" s="2">
        <v>69</v>
      </c>
      <c r="P3003" s="8">
        <f t="shared" si="186"/>
        <v>3378</v>
      </c>
      <c r="Q3003" s="8">
        <f t="shared" si="187"/>
        <v>3240</v>
      </c>
      <c r="R3003" s="2" t="s">
        <v>28</v>
      </c>
      <c r="S3003" s="9">
        <f>VLOOKUP(P3003,$T$2:U3000,2,1)</f>
        <v>0.02</v>
      </c>
    </row>
    <row r="3004" spans="1:19" x14ac:dyDescent="0.25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e">
        <f>VLOOKUP(F3004,'Customer Info'!A2996:I3495,2,0)</f>
        <v>#N/A</v>
      </c>
      <c r="H3004" s="6" t="e">
        <f>VLOOKUP(F3004,'Customer Info'!A2996:I3495,3,0)</f>
        <v>#N/A</v>
      </c>
      <c r="I3004" s="6" t="e">
        <f>VLOOKUP(F3004,'Customer Info'!A2996:I3495,5,0)</f>
        <v>#N/A</v>
      </c>
      <c r="J3004" s="2">
        <v>2453</v>
      </c>
      <c r="K3004" s="2">
        <v>2336</v>
      </c>
      <c r="L3004" s="2">
        <v>2</v>
      </c>
      <c r="M3004" s="7">
        <f t="shared" si="184"/>
        <v>4672</v>
      </c>
      <c r="N3004" s="7">
        <f t="shared" si="185"/>
        <v>4906</v>
      </c>
      <c r="O3004" s="2">
        <v>35</v>
      </c>
      <c r="P3004" s="8">
        <f t="shared" si="186"/>
        <v>4941</v>
      </c>
      <c r="Q3004" s="8">
        <f t="shared" si="187"/>
        <v>4871</v>
      </c>
      <c r="R3004" s="2" t="s">
        <v>28</v>
      </c>
      <c r="S3004" s="9">
        <f>VLOOKUP(P3004,$T$2:U3001,2,1)</f>
        <v>0.02</v>
      </c>
    </row>
    <row r="3005" spans="1:19" x14ac:dyDescent="0.25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e">
        <f>VLOOKUP(F3005,'Customer Info'!A2997:I3496,2,0)</f>
        <v>#N/A</v>
      </c>
      <c r="H3005" s="6" t="e">
        <f>VLOOKUP(F3005,'Customer Info'!A2997:I3496,3,0)</f>
        <v>#N/A</v>
      </c>
      <c r="I3005" s="6" t="e">
        <f>VLOOKUP(F3005,'Customer Info'!A2997:I3496,5,0)</f>
        <v>#N/A</v>
      </c>
      <c r="J3005" s="2">
        <v>1790</v>
      </c>
      <c r="K3005" s="2">
        <v>1706</v>
      </c>
      <c r="L3005" s="2">
        <v>6</v>
      </c>
      <c r="M3005" s="7">
        <f t="shared" si="184"/>
        <v>10236</v>
      </c>
      <c r="N3005" s="7">
        <f t="shared" si="185"/>
        <v>10740</v>
      </c>
      <c r="O3005" s="2">
        <v>20</v>
      </c>
      <c r="P3005" s="8">
        <f t="shared" si="186"/>
        <v>10760</v>
      </c>
      <c r="Q3005" s="8">
        <f t="shared" si="187"/>
        <v>10720</v>
      </c>
      <c r="R3005" s="2" t="s">
        <v>50</v>
      </c>
      <c r="S3005" s="9">
        <f>VLOOKUP(P3005,$T$2:U3002,2,1)</f>
        <v>0.05</v>
      </c>
    </row>
    <row r="3006" spans="1:19" x14ac:dyDescent="0.25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e">
        <f>VLOOKUP(F3006,'Customer Info'!A2998:I3497,2,0)</f>
        <v>#N/A</v>
      </c>
      <c r="H3006" s="6" t="e">
        <f>VLOOKUP(F3006,'Customer Info'!A2998:I3497,3,0)</f>
        <v>#N/A</v>
      </c>
      <c r="I3006" s="6" t="e">
        <f>VLOOKUP(F3006,'Customer Info'!A2998:I3497,5,0)</f>
        <v>#N/A</v>
      </c>
      <c r="J3006" s="2">
        <v>7474</v>
      </c>
      <c r="K3006" s="2">
        <v>6858</v>
      </c>
      <c r="L3006" s="2">
        <v>5</v>
      </c>
      <c r="M3006" s="7">
        <f t="shared" si="184"/>
        <v>34290</v>
      </c>
      <c r="N3006" s="7">
        <f t="shared" si="185"/>
        <v>37370</v>
      </c>
      <c r="O3006" s="2">
        <v>21</v>
      </c>
      <c r="P3006" s="8">
        <f t="shared" si="186"/>
        <v>37391</v>
      </c>
      <c r="Q3006" s="8">
        <f t="shared" si="187"/>
        <v>37349</v>
      </c>
      <c r="R3006" s="2" t="s">
        <v>28</v>
      </c>
      <c r="S3006" s="9">
        <f>VLOOKUP(P3006,$T$2:U3003,2,1)</f>
        <v>7.0000000000000007E-2</v>
      </c>
    </row>
    <row r="3007" spans="1:19" x14ac:dyDescent="0.25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e">
        <f>VLOOKUP(F3007,'Customer Info'!A2999:I3498,2,0)</f>
        <v>#N/A</v>
      </c>
      <c r="H3007" s="6" t="e">
        <f>VLOOKUP(F3007,'Customer Info'!A2999:I3498,3,0)</f>
        <v>#N/A</v>
      </c>
      <c r="I3007" s="6" t="e">
        <f>VLOOKUP(F3007,'Customer Info'!A2999:I3498,5,0)</f>
        <v>#N/A</v>
      </c>
      <c r="J3007" s="2">
        <v>8399</v>
      </c>
      <c r="K3007" s="2">
        <v>8001</v>
      </c>
      <c r="L3007" s="2">
        <v>4</v>
      </c>
      <c r="M3007" s="7">
        <f t="shared" si="184"/>
        <v>32004</v>
      </c>
      <c r="N3007" s="7">
        <f t="shared" si="185"/>
        <v>33596</v>
      </c>
      <c r="O3007" s="2">
        <v>36</v>
      </c>
      <c r="P3007" s="8">
        <f t="shared" si="186"/>
        <v>33632</v>
      </c>
      <c r="Q3007" s="8">
        <f t="shared" si="187"/>
        <v>33560</v>
      </c>
      <c r="R3007" s="2" t="s">
        <v>28</v>
      </c>
      <c r="S3007" s="9">
        <f>VLOOKUP(P3007,$T$2:U3004,2,1)</f>
        <v>7.0000000000000007E-2</v>
      </c>
    </row>
    <row r="3008" spans="1:19" x14ac:dyDescent="0.25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e">
        <f>VLOOKUP(F3008,'Customer Info'!A3000:I3499,2,0)</f>
        <v>#N/A</v>
      </c>
      <c r="H3008" s="6" t="e">
        <f>VLOOKUP(F3008,'Customer Info'!A3000:I3499,3,0)</f>
        <v>#N/A</v>
      </c>
      <c r="I3008" s="6" t="e">
        <f>VLOOKUP(F3008,'Customer Info'!A3000:I3499,5,0)</f>
        <v>#N/A</v>
      </c>
      <c r="J3008" s="2">
        <v>2088</v>
      </c>
      <c r="K3008" s="2">
        <v>1970</v>
      </c>
      <c r="L3008" s="2">
        <v>5</v>
      </c>
      <c r="M3008" s="7">
        <f t="shared" si="184"/>
        <v>9850</v>
      </c>
      <c r="N3008" s="7">
        <f t="shared" si="185"/>
        <v>10440</v>
      </c>
      <c r="O3008" s="2">
        <v>78</v>
      </c>
      <c r="P3008" s="8">
        <f t="shared" si="186"/>
        <v>10518</v>
      </c>
      <c r="Q3008" s="8">
        <f t="shared" si="187"/>
        <v>10362</v>
      </c>
      <c r="R3008" s="2" t="s">
        <v>50</v>
      </c>
      <c r="S3008" s="9">
        <f>VLOOKUP(P3008,$T$2:U3005,2,1)</f>
        <v>0.05</v>
      </c>
    </row>
    <row r="3009" spans="1:19" x14ac:dyDescent="0.25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e">
        <f>VLOOKUP(F3009,'Customer Info'!A3001:I3500,2,0)</f>
        <v>#N/A</v>
      </c>
      <c r="H3009" s="6" t="e">
        <f>VLOOKUP(F3009,'Customer Info'!A3001:I3500,3,0)</f>
        <v>#N/A</v>
      </c>
      <c r="I3009" s="6" t="e">
        <f>VLOOKUP(F3009,'Customer Info'!A3001:I3500,5,0)</f>
        <v>#N/A</v>
      </c>
      <c r="J3009" s="2">
        <v>82</v>
      </c>
      <c r="K3009" s="2">
        <v>79</v>
      </c>
      <c r="L3009" s="2">
        <v>2</v>
      </c>
      <c r="M3009" s="7">
        <f t="shared" si="184"/>
        <v>158</v>
      </c>
      <c r="N3009" s="7">
        <f t="shared" si="185"/>
        <v>164</v>
      </c>
      <c r="O3009" s="2">
        <v>10</v>
      </c>
      <c r="P3009" s="8">
        <f t="shared" si="186"/>
        <v>174</v>
      </c>
      <c r="Q3009" s="8">
        <f t="shared" si="187"/>
        <v>154</v>
      </c>
      <c r="R3009" s="2" t="s">
        <v>28</v>
      </c>
      <c r="S3009" s="9">
        <f>VLOOKUP(P3009,$T$2:U3006,2,1)</f>
        <v>0.02</v>
      </c>
    </row>
    <row r="3010" spans="1:19" x14ac:dyDescent="0.25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e">
        <f>VLOOKUP(F3010,'Customer Info'!A3002:I3501,2,0)</f>
        <v>#N/A</v>
      </c>
      <c r="H3010" s="6" t="e">
        <f>VLOOKUP(F3010,'Customer Info'!A3002:I3501,3,0)</f>
        <v>#N/A</v>
      </c>
      <c r="I3010" s="6" t="e">
        <f>VLOOKUP(F3010,'Customer Info'!A3002:I3501,5,0)</f>
        <v>#N/A</v>
      </c>
      <c r="J3010" s="2">
        <v>8878</v>
      </c>
      <c r="K3010" s="2">
        <v>7914</v>
      </c>
      <c r="L3010" s="2">
        <v>5</v>
      </c>
      <c r="M3010" s="7">
        <f t="shared" si="184"/>
        <v>39570</v>
      </c>
      <c r="N3010" s="7">
        <f t="shared" si="185"/>
        <v>44390</v>
      </c>
      <c r="O3010" s="2">
        <v>60</v>
      </c>
      <c r="P3010" s="8">
        <f t="shared" si="186"/>
        <v>44450</v>
      </c>
      <c r="Q3010" s="8">
        <f t="shared" si="187"/>
        <v>44330</v>
      </c>
      <c r="R3010" s="2" t="s">
        <v>28</v>
      </c>
      <c r="S3010" s="9">
        <f>VLOOKUP(P3010,$T$2:U3007,2,1)</f>
        <v>7.0000000000000007E-2</v>
      </c>
    </row>
    <row r="3011" spans="1:19" x14ac:dyDescent="0.25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e">
        <f>VLOOKUP(F3011,'Customer Info'!A3003:I3502,2,0)</f>
        <v>#N/A</v>
      </c>
      <c r="H3011" s="6" t="e">
        <f>VLOOKUP(F3011,'Customer Info'!A3003:I3502,3,0)</f>
        <v>#N/A</v>
      </c>
      <c r="I3011" s="6" t="e">
        <f>VLOOKUP(F3011,'Customer Info'!A3003:I3502,5,0)</f>
        <v>#N/A</v>
      </c>
      <c r="J3011" s="2">
        <v>140</v>
      </c>
      <c r="K3011" s="2">
        <v>137</v>
      </c>
      <c r="L3011" s="2">
        <v>3</v>
      </c>
      <c r="M3011" s="7">
        <f t="shared" si="184"/>
        <v>411</v>
      </c>
      <c r="N3011" s="7">
        <f t="shared" si="185"/>
        <v>420</v>
      </c>
      <c r="O3011" s="2">
        <v>30</v>
      </c>
      <c r="P3011" s="8">
        <f t="shared" si="186"/>
        <v>450</v>
      </c>
      <c r="Q3011" s="8">
        <f t="shared" si="187"/>
        <v>390</v>
      </c>
      <c r="R3011" s="2" t="s">
        <v>26</v>
      </c>
      <c r="S3011" s="9">
        <f>VLOOKUP(P3011,$T$2:U3008,2,1)</f>
        <v>0.02</v>
      </c>
    </row>
    <row r="3012" spans="1:19" x14ac:dyDescent="0.25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e">
        <f>VLOOKUP(F3012,'Customer Info'!A3004:I3503,2,0)</f>
        <v>#N/A</v>
      </c>
      <c r="H3012" s="6" t="e">
        <f>VLOOKUP(F3012,'Customer Info'!A3004:I3503,3,0)</f>
        <v>#N/A</v>
      </c>
      <c r="I3012" s="6" t="e">
        <f>VLOOKUP(F3012,'Customer Info'!A3004:I3503,5,0)</f>
        <v>#N/A</v>
      </c>
      <c r="J3012" s="2">
        <v>4704</v>
      </c>
      <c r="K3012" s="2">
        <v>4361</v>
      </c>
      <c r="L3012" s="2">
        <v>2</v>
      </c>
      <c r="M3012" s="7">
        <f t="shared" si="184"/>
        <v>8722</v>
      </c>
      <c r="N3012" s="7">
        <f t="shared" si="185"/>
        <v>9408</v>
      </c>
      <c r="O3012" s="2">
        <v>43</v>
      </c>
      <c r="P3012" s="8">
        <f t="shared" si="186"/>
        <v>9451</v>
      </c>
      <c r="Q3012" s="8">
        <f t="shared" si="187"/>
        <v>9365</v>
      </c>
      <c r="R3012" s="2" t="s">
        <v>28</v>
      </c>
      <c r="S3012" s="9">
        <f>VLOOKUP(P3012,$T$2:U3009,2,1)</f>
        <v>0.05</v>
      </c>
    </row>
    <row r="3013" spans="1:19" x14ac:dyDescent="0.25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e">
        <f>VLOOKUP(F3013,'Customer Info'!A3005:I3504,2,0)</f>
        <v>#N/A</v>
      </c>
      <c r="H3013" s="6" t="e">
        <f>VLOOKUP(F3013,'Customer Info'!A3005:I3504,3,0)</f>
        <v>#N/A</v>
      </c>
      <c r="I3013" s="6" t="e">
        <f>VLOOKUP(F3013,'Customer Info'!A3005:I3504,5,0)</f>
        <v>#N/A</v>
      </c>
      <c r="J3013" s="2">
        <v>1585</v>
      </c>
      <c r="K3013" s="2">
        <v>1495</v>
      </c>
      <c r="L3013" s="2">
        <v>3</v>
      </c>
      <c r="M3013" s="7">
        <f t="shared" si="184"/>
        <v>4485</v>
      </c>
      <c r="N3013" s="7">
        <f t="shared" si="185"/>
        <v>4755</v>
      </c>
      <c r="O3013" s="2">
        <v>39</v>
      </c>
      <c r="P3013" s="8">
        <f t="shared" si="186"/>
        <v>4794</v>
      </c>
      <c r="Q3013" s="8">
        <f t="shared" si="187"/>
        <v>4716</v>
      </c>
      <c r="R3013" s="2" t="s">
        <v>50</v>
      </c>
      <c r="S3013" s="9">
        <f>VLOOKUP(P3013,$T$2:U3010,2,1)</f>
        <v>0.02</v>
      </c>
    </row>
    <row r="3014" spans="1:19" x14ac:dyDescent="0.25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e">
        <f>VLOOKUP(F3014,'Customer Info'!A3006:I3505,2,0)</f>
        <v>#N/A</v>
      </c>
      <c r="H3014" s="6" t="e">
        <f>VLOOKUP(F3014,'Customer Info'!A3006:I3505,3,0)</f>
        <v>#N/A</v>
      </c>
      <c r="I3014" s="6" t="e">
        <f>VLOOKUP(F3014,'Customer Info'!A3006:I3505,5,0)</f>
        <v>#N/A</v>
      </c>
      <c r="J3014" s="2">
        <v>1358</v>
      </c>
      <c r="K3014" s="2">
        <v>1257</v>
      </c>
      <c r="L3014" s="2">
        <v>4</v>
      </c>
      <c r="M3014" s="7">
        <f t="shared" si="184"/>
        <v>5028</v>
      </c>
      <c r="N3014" s="7">
        <f t="shared" si="185"/>
        <v>5432</v>
      </c>
      <c r="O3014" s="2">
        <v>26</v>
      </c>
      <c r="P3014" s="8">
        <f t="shared" si="186"/>
        <v>5458</v>
      </c>
      <c r="Q3014" s="8">
        <f t="shared" si="187"/>
        <v>5406</v>
      </c>
      <c r="R3014" s="2" t="s">
        <v>50</v>
      </c>
      <c r="S3014" s="9">
        <f>VLOOKUP(P3014,$T$2:U3011,2,1)</f>
        <v>0.05</v>
      </c>
    </row>
    <row r="3015" spans="1:19" x14ac:dyDescent="0.25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e">
        <f>VLOOKUP(F3015,'Customer Info'!A3007:I3506,2,0)</f>
        <v>#N/A</v>
      </c>
      <c r="H3015" s="6" t="e">
        <f>VLOOKUP(F3015,'Customer Info'!A3007:I3506,3,0)</f>
        <v>#N/A</v>
      </c>
      <c r="I3015" s="6" t="e">
        <f>VLOOKUP(F3015,'Customer Info'!A3007:I3506,5,0)</f>
        <v>#N/A</v>
      </c>
      <c r="J3015" s="2">
        <v>7922</v>
      </c>
      <c r="K3015" s="2">
        <v>7328</v>
      </c>
      <c r="L3015" s="2">
        <v>3</v>
      </c>
      <c r="M3015" s="7">
        <f t="shared" si="184"/>
        <v>21984</v>
      </c>
      <c r="N3015" s="7">
        <f t="shared" si="185"/>
        <v>23766</v>
      </c>
      <c r="O3015" s="2">
        <v>69</v>
      </c>
      <c r="P3015" s="8">
        <f t="shared" si="186"/>
        <v>23835</v>
      </c>
      <c r="Q3015" s="8">
        <f t="shared" si="187"/>
        <v>23697</v>
      </c>
      <c r="R3015" s="2" t="s">
        <v>28</v>
      </c>
      <c r="S3015" s="9">
        <f>VLOOKUP(P3015,$T$2:U3012,2,1)</f>
        <v>0.05</v>
      </c>
    </row>
    <row r="3016" spans="1:19" x14ac:dyDescent="0.25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e">
        <f>VLOOKUP(F3016,'Customer Info'!A3008:I3507,2,0)</f>
        <v>#N/A</v>
      </c>
      <c r="H3016" s="6" t="e">
        <f>VLOOKUP(F3016,'Customer Info'!A3008:I3507,3,0)</f>
        <v>#N/A</v>
      </c>
      <c r="I3016" s="6" t="e">
        <f>VLOOKUP(F3016,'Customer Info'!A3008:I3507,5,0)</f>
        <v>#N/A</v>
      </c>
      <c r="J3016" s="2">
        <v>3288</v>
      </c>
      <c r="K3016" s="2">
        <v>3041</v>
      </c>
      <c r="L3016" s="2">
        <v>4</v>
      </c>
      <c r="M3016" s="7">
        <f t="shared" si="184"/>
        <v>12164</v>
      </c>
      <c r="N3016" s="7">
        <f t="shared" si="185"/>
        <v>13152</v>
      </c>
      <c r="O3016" s="2">
        <v>54</v>
      </c>
      <c r="P3016" s="8">
        <f t="shared" si="186"/>
        <v>13206</v>
      </c>
      <c r="Q3016" s="8">
        <f t="shared" si="187"/>
        <v>13098</v>
      </c>
      <c r="R3016" s="2" t="s">
        <v>50</v>
      </c>
      <c r="S3016" s="9">
        <f>VLOOKUP(P3016,$T$2:U3013,2,1)</f>
        <v>0.05</v>
      </c>
    </row>
    <row r="3017" spans="1:19" x14ac:dyDescent="0.25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e">
        <f>VLOOKUP(F3017,'Customer Info'!A3009:I3508,2,0)</f>
        <v>#N/A</v>
      </c>
      <c r="H3017" s="6" t="e">
        <f>VLOOKUP(F3017,'Customer Info'!A3009:I3508,3,0)</f>
        <v>#N/A</v>
      </c>
      <c r="I3017" s="6" t="e">
        <f>VLOOKUP(F3017,'Customer Info'!A3009:I3508,5,0)</f>
        <v>#N/A</v>
      </c>
      <c r="J3017" s="2">
        <v>183</v>
      </c>
      <c r="K3017" s="2">
        <v>168</v>
      </c>
      <c r="L3017" s="2">
        <v>7</v>
      </c>
      <c r="M3017" s="7">
        <f t="shared" si="184"/>
        <v>1176</v>
      </c>
      <c r="N3017" s="7">
        <f t="shared" si="185"/>
        <v>1281</v>
      </c>
      <c r="O3017" s="2">
        <v>30</v>
      </c>
      <c r="P3017" s="8">
        <f t="shared" si="186"/>
        <v>1311</v>
      </c>
      <c r="Q3017" s="8">
        <f t="shared" si="187"/>
        <v>1251</v>
      </c>
      <c r="R3017" s="2" t="s">
        <v>28</v>
      </c>
      <c r="S3017" s="9">
        <f>VLOOKUP(P3017,$T$2:U3014,2,1)</f>
        <v>0.02</v>
      </c>
    </row>
    <row r="3018" spans="1:19" x14ac:dyDescent="0.25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e">
        <f>VLOOKUP(F3018,'Customer Info'!A3010:I3509,2,0)</f>
        <v>#N/A</v>
      </c>
      <c r="H3018" s="6" t="e">
        <f>VLOOKUP(F3018,'Customer Info'!A3010:I3509,3,0)</f>
        <v>#N/A</v>
      </c>
      <c r="I3018" s="6" t="e">
        <f>VLOOKUP(F3018,'Customer Info'!A3010:I3509,5,0)</f>
        <v>#N/A</v>
      </c>
      <c r="J3018" s="2">
        <v>1718</v>
      </c>
      <c r="K3018" s="2">
        <v>1545</v>
      </c>
      <c r="L3018" s="2">
        <v>6</v>
      </c>
      <c r="M3018" s="7">
        <f t="shared" si="184"/>
        <v>9270</v>
      </c>
      <c r="N3018" s="7">
        <f t="shared" si="185"/>
        <v>10308</v>
      </c>
      <c r="O3018" s="2">
        <v>32</v>
      </c>
      <c r="P3018" s="8">
        <f t="shared" si="186"/>
        <v>10340</v>
      </c>
      <c r="Q3018" s="8">
        <f t="shared" si="187"/>
        <v>10276</v>
      </c>
      <c r="R3018" s="2" t="s">
        <v>28</v>
      </c>
      <c r="S3018" s="9">
        <f>VLOOKUP(P3018,$T$2:U3015,2,1)</f>
        <v>0.05</v>
      </c>
    </row>
    <row r="3019" spans="1:19" x14ac:dyDescent="0.25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e">
        <f>VLOOKUP(F3019,'Customer Info'!A3011:I3510,2,0)</f>
        <v>#N/A</v>
      </c>
      <c r="H3019" s="6" t="e">
        <f>VLOOKUP(F3019,'Customer Info'!A3011:I3510,3,0)</f>
        <v>#N/A</v>
      </c>
      <c r="I3019" s="6" t="e">
        <f>VLOOKUP(F3019,'Customer Info'!A3011:I3510,5,0)</f>
        <v>#N/A</v>
      </c>
      <c r="J3019" s="2">
        <v>1545</v>
      </c>
      <c r="K3019" s="2">
        <v>1486</v>
      </c>
      <c r="L3019" s="2">
        <v>2</v>
      </c>
      <c r="M3019" s="7">
        <f t="shared" ref="M3019:M3082" si="188">K3019*L3019</f>
        <v>2972</v>
      </c>
      <c r="N3019" s="7">
        <f t="shared" ref="N3019:N3082" si="189">J3019*L3019</f>
        <v>3090</v>
      </c>
      <c r="O3019" s="2">
        <v>92</v>
      </c>
      <c r="P3019" s="8">
        <f t="shared" ref="P3019:P3082" si="190">SUM(N3019,O3019)</f>
        <v>3182</v>
      </c>
      <c r="Q3019" s="8">
        <f t="shared" ref="Q3019:Q3082" si="191">N3019-O3019</f>
        <v>2998</v>
      </c>
      <c r="R3019" s="2" t="s">
        <v>26</v>
      </c>
      <c r="S3019" s="9">
        <f>VLOOKUP(P3019,$T$2:U3016,2,1)</f>
        <v>0.02</v>
      </c>
    </row>
    <row r="3020" spans="1:19" x14ac:dyDescent="0.25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e">
        <f>VLOOKUP(F3020,'Customer Info'!A3012:I3511,2,0)</f>
        <v>#N/A</v>
      </c>
      <c r="H3020" s="6" t="e">
        <f>VLOOKUP(F3020,'Customer Info'!A3012:I3511,3,0)</f>
        <v>#N/A</v>
      </c>
      <c r="I3020" s="6" t="e">
        <f>VLOOKUP(F3020,'Customer Info'!A3012:I3511,5,0)</f>
        <v>#N/A</v>
      </c>
      <c r="J3020" s="2">
        <v>1734</v>
      </c>
      <c r="K3020" s="2">
        <v>1702</v>
      </c>
      <c r="L3020" s="2">
        <v>1</v>
      </c>
      <c r="M3020" s="7">
        <f t="shared" si="188"/>
        <v>1702</v>
      </c>
      <c r="N3020" s="7">
        <f t="shared" si="189"/>
        <v>1734</v>
      </c>
      <c r="O3020" s="2">
        <v>21</v>
      </c>
      <c r="P3020" s="8">
        <f t="shared" si="190"/>
        <v>1755</v>
      </c>
      <c r="Q3020" s="8">
        <f t="shared" si="191"/>
        <v>1713</v>
      </c>
      <c r="R3020" s="2" t="s">
        <v>28</v>
      </c>
      <c r="S3020" s="9">
        <f>VLOOKUP(P3020,$T$2:U3017,2,1)</f>
        <v>0.02</v>
      </c>
    </row>
    <row r="3021" spans="1:19" x14ac:dyDescent="0.25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e">
        <f>VLOOKUP(F3021,'Customer Info'!A3013:I3512,2,0)</f>
        <v>#N/A</v>
      </c>
      <c r="H3021" s="6" t="e">
        <f>VLOOKUP(F3021,'Customer Info'!A3013:I3512,3,0)</f>
        <v>#N/A</v>
      </c>
      <c r="I3021" s="6" t="e">
        <f>VLOOKUP(F3021,'Customer Info'!A3013:I3512,5,0)</f>
        <v>#N/A</v>
      </c>
      <c r="J3021" s="2">
        <v>456</v>
      </c>
      <c r="K3021" s="2">
        <v>430</v>
      </c>
      <c r="L3021" s="2">
        <v>7</v>
      </c>
      <c r="M3021" s="7">
        <f t="shared" si="188"/>
        <v>3010</v>
      </c>
      <c r="N3021" s="7">
        <f t="shared" si="189"/>
        <v>3192</v>
      </c>
      <c r="O3021" s="2">
        <v>78</v>
      </c>
      <c r="P3021" s="8">
        <f t="shared" si="190"/>
        <v>3270</v>
      </c>
      <c r="Q3021" s="8">
        <f t="shared" si="191"/>
        <v>3114</v>
      </c>
      <c r="R3021" s="2" t="s">
        <v>28</v>
      </c>
      <c r="S3021" s="9">
        <f>VLOOKUP(P3021,$T$2:U3018,2,1)</f>
        <v>0.02</v>
      </c>
    </row>
    <row r="3022" spans="1:19" x14ac:dyDescent="0.25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e">
        <f>VLOOKUP(F3022,'Customer Info'!A3014:I3513,2,0)</f>
        <v>#N/A</v>
      </c>
      <c r="H3022" s="6" t="e">
        <f>VLOOKUP(F3022,'Customer Info'!A3014:I3513,3,0)</f>
        <v>#N/A</v>
      </c>
      <c r="I3022" s="6" t="e">
        <f>VLOOKUP(F3022,'Customer Info'!A3014:I3513,5,0)</f>
        <v>#N/A</v>
      </c>
      <c r="J3022" s="2">
        <v>1878</v>
      </c>
      <c r="K3022" s="2">
        <v>1790</v>
      </c>
      <c r="L3022" s="2">
        <v>3</v>
      </c>
      <c r="M3022" s="7">
        <f t="shared" si="188"/>
        <v>5370</v>
      </c>
      <c r="N3022" s="7">
        <f t="shared" si="189"/>
        <v>5634</v>
      </c>
      <c r="O3022" s="2">
        <v>24</v>
      </c>
      <c r="P3022" s="8">
        <f t="shared" si="190"/>
        <v>5658</v>
      </c>
      <c r="Q3022" s="8">
        <f t="shared" si="191"/>
        <v>5610</v>
      </c>
      <c r="R3022" s="2" t="s">
        <v>28</v>
      </c>
      <c r="S3022" s="9">
        <f>VLOOKUP(P3022,$T$2:U3019,2,1)</f>
        <v>0.05</v>
      </c>
    </row>
    <row r="3023" spans="1:19" x14ac:dyDescent="0.25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e">
        <f>VLOOKUP(F3023,'Customer Info'!A3015:I3514,2,0)</f>
        <v>#N/A</v>
      </c>
      <c r="H3023" s="6" t="e">
        <f>VLOOKUP(F3023,'Customer Info'!A3015:I3514,3,0)</f>
        <v>#N/A</v>
      </c>
      <c r="I3023" s="6" t="e">
        <f>VLOOKUP(F3023,'Customer Info'!A3015:I3514,5,0)</f>
        <v>#N/A</v>
      </c>
      <c r="J3023" s="2">
        <v>6354</v>
      </c>
      <c r="K3023" s="2">
        <v>5769</v>
      </c>
      <c r="L3023" s="2">
        <v>8</v>
      </c>
      <c r="M3023" s="7">
        <f t="shared" si="188"/>
        <v>46152</v>
      </c>
      <c r="N3023" s="7">
        <f t="shared" si="189"/>
        <v>50832</v>
      </c>
      <c r="O3023" s="2">
        <v>47</v>
      </c>
      <c r="P3023" s="8">
        <f t="shared" si="190"/>
        <v>50879</v>
      </c>
      <c r="Q3023" s="8">
        <f t="shared" si="191"/>
        <v>50785</v>
      </c>
      <c r="R3023" s="2" t="s">
        <v>50</v>
      </c>
      <c r="S3023" s="9">
        <f>VLOOKUP(P3023,$T$2:U3020,2,1)</f>
        <v>0.09</v>
      </c>
    </row>
    <row r="3024" spans="1:19" x14ac:dyDescent="0.25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e">
        <f>VLOOKUP(F3024,'Customer Info'!A3016:I3515,2,0)</f>
        <v>#N/A</v>
      </c>
      <c r="H3024" s="6" t="e">
        <f>VLOOKUP(F3024,'Customer Info'!A3016:I3515,3,0)</f>
        <v>#N/A</v>
      </c>
      <c r="I3024" s="6" t="e">
        <f>VLOOKUP(F3024,'Customer Info'!A3016:I3515,5,0)</f>
        <v>#N/A</v>
      </c>
      <c r="J3024" s="2">
        <v>2453</v>
      </c>
      <c r="K3024" s="2">
        <v>2336</v>
      </c>
      <c r="L3024" s="2">
        <v>2</v>
      </c>
      <c r="M3024" s="7">
        <f t="shared" si="188"/>
        <v>4672</v>
      </c>
      <c r="N3024" s="7">
        <f t="shared" si="189"/>
        <v>4906</v>
      </c>
      <c r="O3024" s="2">
        <v>61</v>
      </c>
      <c r="P3024" s="8">
        <f t="shared" si="190"/>
        <v>4967</v>
      </c>
      <c r="Q3024" s="8">
        <f t="shared" si="191"/>
        <v>4845</v>
      </c>
      <c r="R3024" s="2" t="s">
        <v>28</v>
      </c>
      <c r="S3024" s="9">
        <f>VLOOKUP(P3024,$T$2:U3021,2,1)</f>
        <v>0.02</v>
      </c>
    </row>
    <row r="3025" spans="1:19" x14ac:dyDescent="0.25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e">
        <f>VLOOKUP(F3025,'Customer Info'!A3017:I3516,2,0)</f>
        <v>#N/A</v>
      </c>
      <c r="H3025" s="6" t="e">
        <f>VLOOKUP(F3025,'Customer Info'!A3017:I3516,3,0)</f>
        <v>#N/A</v>
      </c>
      <c r="I3025" s="6" t="e">
        <f>VLOOKUP(F3025,'Customer Info'!A3017:I3516,5,0)</f>
        <v>#N/A</v>
      </c>
      <c r="J3025" s="2">
        <v>923</v>
      </c>
      <c r="K3025" s="2">
        <v>879</v>
      </c>
      <c r="L3025" s="2">
        <v>6</v>
      </c>
      <c r="M3025" s="7">
        <f t="shared" si="188"/>
        <v>5274</v>
      </c>
      <c r="N3025" s="7">
        <f t="shared" si="189"/>
        <v>5538</v>
      </c>
      <c r="O3025" s="2">
        <v>49</v>
      </c>
      <c r="P3025" s="8">
        <f t="shared" si="190"/>
        <v>5587</v>
      </c>
      <c r="Q3025" s="8">
        <f t="shared" si="191"/>
        <v>5489</v>
      </c>
      <c r="R3025" s="2" t="s">
        <v>50</v>
      </c>
      <c r="S3025" s="9">
        <f>VLOOKUP(P3025,$T$2:U3022,2,1)</f>
        <v>0.05</v>
      </c>
    </row>
    <row r="3026" spans="1:19" x14ac:dyDescent="0.25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e">
        <f>VLOOKUP(F3026,'Customer Info'!A3018:I3517,2,0)</f>
        <v>#N/A</v>
      </c>
      <c r="H3026" s="6" t="e">
        <f>VLOOKUP(F3026,'Customer Info'!A3018:I3517,3,0)</f>
        <v>#N/A</v>
      </c>
      <c r="I3026" s="6" t="e">
        <f>VLOOKUP(F3026,'Customer Info'!A3018:I3517,5,0)</f>
        <v>#N/A</v>
      </c>
      <c r="J3026" s="2">
        <v>7609</v>
      </c>
      <c r="K3026" s="2">
        <v>7248</v>
      </c>
      <c r="L3026" s="2">
        <v>6</v>
      </c>
      <c r="M3026" s="7">
        <f t="shared" si="188"/>
        <v>43488</v>
      </c>
      <c r="N3026" s="7">
        <f t="shared" si="189"/>
        <v>45654</v>
      </c>
      <c r="O3026" s="2">
        <v>47</v>
      </c>
      <c r="P3026" s="8">
        <f t="shared" si="190"/>
        <v>45701</v>
      </c>
      <c r="Q3026" s="8">
        <f t="shared" si="191"/>
        <v>45607</v>
      </c>
      <c r="R3026" s="2" t="s">
        <v>28</v>
      </c>
      <c r="S3026" s="9">
        <f>VLOOKUP(P3026,$T$2:U3023,2,1)</f>
        <v>7.0000000000000007E-2</v>
      </c>
    </row>
    <row r="3027" spans="1:19" x14ac:dyDescent="0.25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e">
        <f>VLOOKUP(F3027,'Customer Info'!A3019:I3518,2,0)</f>
        <v>#N/A</v>
      </c>
      <c r="H3027" s="6" t="e">
        <f>VLOOKUP(F3027,'Customer Info'!A3019:I3518,3,0)</f>
        <v>#N/A</v>
      </c>
      <c r="I3027" s="6" t="e">
        <f>VLOOKUP(F3027,'Customer Info'!A3019:I3518,5,0)</f>
        <v>#N/A</v>
      </c>
      <c r="J3027" s="2">
        <v>164</v>
      </c>
      <c r="K3027" s="2">
        <v>152</v>
      </c>
      <c r="L3027" s="2">
        <v>2</v>
      </c>
      <c r="M3027" s="7">
        <f t="shared" si="188"/>
        <v>304</v>
      </c>
      <c r="N3027" s="7">
        <f t="shared" si="189"/>
        <v>328</v>
      </c>
      <c r="O3027" s="2">
        <v>30</v>
      </c>
      <c r="P3027" s="8">
        <f t="shared" si="190"/>
        <v>358</v>
      </c>
      <c r="Q3027" s="8">
        <f t="shared" si="191"/>
        <v>298</v>
      </c>
      <c r="R3027" s="2" t="s">
        <v>28</v>
      </c>
      <c r="S3027" s="9">
        <f>VLOOKUP(P3027,$T$2:U3024,2,1)</f>
        <v>0.02</v>
      </c>
    </row>
    <row r="3028" spans="1:19" x14ac:dyDescent="0.25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e">
        <f>VLOOKUP(F3028,'Customer Info'!A3020:I3519,2,0)</f>
        <v>#N/A</v>
      </c>
      <c r="H3028" s="6" t="e">
        <f>VLOOKUP(F3028,'Customer Info'!A3020:I3519,3,0)</f>
        <v>#N/A</v>
      </c>
      <c r="I3028" s="6" t="e">
        <f>VLOOKUP(F3028,'Customer Info'!A3020:I3519,5,0)</f>
        <v>#N/A</v>
      </c>
      <c r="J3028" s="2">
        <v>2540</v>
      </c>
      <c r="K3028" s="2">
        <v>2397</v>
      </c>
      <c r="L3028" s="2">
        <v>2</v>
      </c>
      <c r="M3028" s="7">
        <f t="shared" si="188"/>
        <v>4794</v>
      </c>
      <c r="N3028" s="7">
        <f t="shared" si="189"/>
        <v>5080</v>
      </c>
      <c r="O3028" s="2">
        <v>92</v>
      </c>
      <c r="P3028" s="8">
        <f t="shared" si="190"/>
        <v>5172</v>
      </c>
      <c r="Q3028" s="8">
        <f t="shared" si="191"/>
        <v>4988</v>
      </c>
      <c r="R3028" s="2" t="s">
        <v>56</v>
      </c>
      <c r="S3028" s="9">
        <f>VLOOKUP(P3028,$T$2:U3025,2,1)</f>
        <v>0.05</v>
      </c>
    </row>
    <row r="3029" spans="1:19" x14ac:dyDescent="0.25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e">
        <f>VLOOKUP(F3029,'Customer Info'!A3021:I3520,2,0)</f>
        <v>#N/A</v>
      </c>
      <c r="H3029" s="6" t="e">
        <f>VLOOKUP(F3029,'Customer Info'!A3021:I3520,3,0)</f>
        <v>#N/A</v>
      </c>
      <c r="I3029" s="6" t="e">
        <f>VLOOKUP(F3029,'Customer Info'!A3021:I3520,5,0)</f>
        <v>#N/A</v>
      </c>
      <c r="J3029" s="2">
        <v>87</v>
      </c>
      <c r="K3029" s="2">
        <v>80</v>
      </c>
      <c r="L3029" s="2">
        <v>1</v>
      </c>
      <c r="M3029" s="7">
        <f t="shared" si="188"/>
        <v>80</v>
      </c>
      <c r="N3029" s="7">
        <f t="shared" si="189"/>
        <v>87</v>
      </c>
      <c r="O3029" s="2">
        <v>10</v>
      </c>
      <c r="P3029" s="8">
        <f t="shared" si="190"/>
        <v>97</v>
      </c>
      <c r="Q3029" s="8">
        <f t="shared" si="191"/>
        <v>77</v>
      </c>
      <c r="R3029" s="2" t="s">
        <v>28</v>
      </c>
      <c r="S3029" s="9">
        <f>VLOOKUP(P3029,$T$2:U3026,2,1)</f>
        <v>0.02</v>
      </c>
    </row>
    <row r="3030" spans="1:19" x14ac:dyDescent="0.25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e">
        <f>VLOOKUP(F3030,'Customer Info'!A3022:I3521,2,0)</f>
        <v>#N/A</v>
      </c>
      <c r="H3030" s="6" t="e">
        <f>VLOOKUP(F3030,'Customer Info'!A3022:I3521,3,0)</f>
        <v>#N/A</v>
      </c>
      <c r="I3030" s="6" t="e">
        <f>VLOOKUP(F3030,'Customer Info'!A3022:I3521,5,0)</f>
        <v>#N/A</v>
      </c>
      <c r="J3030" s="2">
        <v>2602</v>
      </c>
      <c r="K3030" s="2">
        <v>2363</v>
      </c>
      <c r="L3030" s="2">
        <v>1</v>
      </c>
      <c r="M3030" s="7">
        <f t="shared" si="188"/>
        <v>2363</v>
      </c>
      <c r="N3030" s="7">
        <f t="shared" si="189"/>
        <v>2602</v>
      </c>
      <c r="O3030" s="2">
        <v>64</v>
      </c>
      <c r="P3030" s="8">
        <f t="shared" si="190"/>
        <v>2666</v>
      </c>
      <c r="Q3030" s="8">
        <f t="shared" si="191"/>
        <v>2538</v>
      </c>
      <c r="R3030" s="2" t="s">
        <v>50</v>
      </c>
      <c r="S3030" s="9">
        <f>VLOOKUP(P3030,$T$2:U3027,2,1)</f>
        <v>0.02</v>
      </c>
    </row>
    <row r="3031" spans="1:19" x14ac:dyDescent="0.25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e">
        <f>VLOOKUP(F3031,'Customer Info'!A3023:I3522,2,0)</f>
        <v>#N/A</v>
      </c>
      <c r="H3031" s="6" t="e">
        <f>VLOOKUP(F3031,'Customer Info'!A3023:I3522,3,0)</f>
        <v>#N/A</v>
      </c>
      <c r="I3031" s="6" t="e">
        <f>VLOOKUP(F3031,'Customer Info'!A3023:I3522,5,0)</f>
        <v>#N/A</v>
      </c>
      <c r="J3031" s="2">
        <v>1637</v>
      </c>
      <c r="K3031" s="2">
        <v>1591</v>
      </c>
      <c r="L3031" s="2">
        <v>4</v>
      </c>
      <c r="M3031" s="7">
        <f t="shared" si="188"/>
        <v>6364</v>
      </c>
      <c r="N3031" s="7">
        <f t="shared" si="189"/>
        <v>6548</v>
      </c>
      <c r="O3031" s="2">
        <v>63</v>
      </c>
      <c r="P3031" s="8">
        <f t="shared" si="190"/>
        <v>6611</v>
      </c>
      <c r="Q3031" s="8">
        <f t="shared" si="191"/>
        <v>6485</v>
      </c>
      <c r="R3031" s="2" t="s">
        <v>56</v>
      </c>
      <c r="S3031" s="9">
        <f>VLOOKUP(P3031,$T$2:U3028,2,1)</f>
        <v>0.05</v>
      </c>
    </row>
    <row r="3032" spans="1:19" x14ac:dyDescent="0.25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e">
        <f>VLOOKUP(F3032,'Customer Info'!A3024:I3523,2,0)</f>
        <v>#N/A</v>
      </c>
      <c r="H3032" s="6" t="e">
        <f>VLOOKUP(F3032,'Customer Info'!A3024:I3523,3,0)</f>
        <v>#N/A</v>
      </c>
      <c r="I3032" s="6" t="e">
        <f>VLOOKUP(F3032,'Customer Info'!A3024:I3523,5,0)</f>
        <v>#N/A</v>
      </c>
      <c r="J3032" s="2">
        <v>63</v>
      </c>
      <c r="K3032" s="2">
        <v>59</v>
      </c>
      <c r="L3032" s="2">
        <v>1</v>
      </c>
      <c r="M3032" s="7">
        <f t="shared" si="188"/>
        <v>59</v>
      </c>
      <c r="N3032" s="7">
        <f t="shared" si="189"/>
        <v>63</v>
      </c>
      <c r="O3032" s="2">
        <v>10</v>
      </c>
      <c r="P3032" s="8">
        <f t="shared" si="190"/>
        <v>73</v>
      </c>
      <c r="Q3032" s="8">
        <f t="shared" si="191"/>
        <v>53</v>
      </c>
      <c r="R3032" s="2" t="s">
        <v>50</v>
      </c>
      <c r="S3032" s="9">
        <f>VLOOKUP(P3032,$T$2:U3029,2,1)</f>
        <v>0.02</v>
      </c>
    </row>
    <row r="3033" spans="1:19" x14ac:dyDescent="0.25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e">
        <f>VLOOKUP(F3033,'Customer Info'!A3025:I3524,2,0)</f>
        <v>#N/A</v>
      </c>
      <c r="H3033" s="6" t="e">
        <f>VLOOKUP(F3033,'Customer Info'!A3025:I3524,3,0)</f>
        <v>#N/A</v>
      </c>
      <c r="I3033" s="6" t="e">
        <f>VLOOKUP(F3033,'Customer Info'!A3025:I3524,5,0)</f>
        <v>#N/A</v>
      </c>
      <c r="J3033" s="2">
        <v>6768</v>
      </c>
      <c r="K3033" s="2">
        <v>6512</v>
      </c>
      <c r="L3033" s="2">
        <v>4</v>
      </c>
      <c r="M3033" s="7">
        <f t="shared" si="188"/>
        <v>26048</v>
      </c>
      <c r="N3033" s="7">
        <f t="shared" si="189"/>
        <v>27072</v>
      </c>
      <c r="O3033" s="2">
        <v>38</v>
      </c>
      <c r="P3033" s="8">
        <f t="shared" si="190"/>
        <v>27110</v>
      </c>
      <c r="Q3033" s="8">
        <f t="shared" si="191"/>
        <v>27034</v>
      </c>
      <c r="R3033" s="2" t="s">
        <v>26</v>
      </c>
      <c r="S3033" s="9">
        <f>VLOOKUP(P3033,$T$2:U3030,2,1)</f>
        <v>7.0000000000000007E-2</v>
      </c>
    </row>
    <row r="3034" spans="1:19" x14ac:dyDescent="0.25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e">
        <f>VLOOKUP(F3034,'Customer Info'!A3026:I3525,2,0)</f>
        <v>#N/A</v>
      </c>
      <c r="H3034" s="6" t="e">
        <f>VLOOKUP(F3034,'Customer Info'!A3026:I3525,3,0)</f>
        <v>#N/A</v>
      </c>
      <c r="I3034" s="6" t="e">
        <f>VLOOKUP(F3034,'Customer Info'!A3026:I3525,5,0)</f>
        <v>#N/A</v>
      </c>
      <c r="J3034" s="2">
        <v>8781</v>
      </c>
      <c r="K3034" s="2">
        <v>7828</v>
      </c>
      <c r="L3034" s="2">
        <v>9</v>
      </c>
      <c r="M3034" s="7">
        <f t="shared" si="188"/>
        <v>70452</v>
      </c>
      <c r="N3034" s="7">
        <f t="shared" si="189"/>
        <v>79029</v>
      </c>
      <c r="O3034" s="2">
        <v>39</v>
      </c>
      <c r="P3034" s="8">
        <f t="shared" si="190"/>
        <v>79068</v>
      </c>
      <c r="Q3034" s="8">
        <f t="shared" si="191"/>
        <v>78990</v>
      </c>
      <c r="R3034" s="2" t="s">
        <v>28</v>
      </c>
      <c r="S3034" s="9">
        <f>VLOOKUP(P3034,$T$2:U3031,2,1)</f>
        <v>0.09</v>
      </c>
    </row>
    <row r="3035" spans="1:19" x14ac:dyDescent="0.25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e">
        <f>VLOOKUP(F3035,'Customer Info'!A3027:I3526,2,0)</f>
        <v>#N/A</v>
      </c>
      <c r="H3035" s="6" t="e">
        <f>VLOOKUP(F3035,'Customer Info'!A3027:I3526,3,0)</f>
        <v>#N/A</v>
      </c>
      <c r="I3035" s="6" t="e">
        <f>VLOOKUP(F3035,'Customer Info'!A3027:I3526,5,0)</f>
        <v>#N/A</v>
      </c>
      <c r="J3035" s="2">
        <v>3256</v>
      </c>
      <c r="K3035" s="2">
        <v>3044</v>
      </c>
      <c r="L3035" s="2">
        <v>3</v>
      </c>
      <c r="M3035" s="7">
        <f t="shared" si="188"/>
        <v>9132</v>
      </c>
      <c r="N3035" s="7">
        <f t="shared" si="189"/>
        <v>9768</v>
      </c>
      <c r="O3035" s="2">
        <v>64</v>
      </c>
      <c r="P3035" s="8">
        <f t="shared" si="190"/>
        <v>9832</v>
      </c>
      <c r="Q3035" s="8">
        <f t="shared" si="191"/>
        <v>9704</v>
      </c>
      <c r="R3035" s="2" t="s">
        <v>56</v>
      </c>
      <c r="S3035" s="9">
        <f>VLOOKUP(P3035,$T$2:U3032,2,1)</f>
        <v>0.05</v>
      </c>
    </row>
    <row r="3036" spans="1:19" x14ac:dyDescent="0.25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e">
        <f>VLOOKUP(F3036,'Customer Info'!A3028:I3527,2,0)</f>
        <v>#N/A</v>
      </c>
      <c r="H3036" s="6" t="e">
        <f>VLOOKUP(F3036,'Customer Info'!A3028:I3527,3,0)</f>
        <v>#N/A</v>
      </c>
      <c r="I3036" s="6" t="e">
        <f>VLOOKUP(F3036,'Customer Info'!A3028:I3527,5,0)</f>
        <v>#N/A</v>
      </c>
      <c r="J3036" s="2">
        <v>8202</v>
      </c>
      <c r="K3036" s="2">
        <v>7594</v>
      </c>
      <c r="L3036" s="2">
        <v>9</v>
      </c>
      <c r="M3036" s="7">
        <f t="shared" si="188"/>
        <v>68346</v>
      </c>
      <c r="N3036" s="7">
        <f t="shared" si="189"/>
        <v>73818</v>
      </c>
      <c r="O3036" s="2">
        <v>57</v>
      </c>
      <c r="P3036" s="8">
        <f t="shared" si="190"/>
        <v>73875</v>
      </c>
      <c r="Q3036" s="8">
        <f t="shared" si="191"/>
        <v>73761</v>
      </c>
      <c r="R3036" s="2" t="s">
        <v>28</v>
      </c>
      <c r="S3036" s="9">
        <f>VLOOKUP(P3036,$T$2:U3033,2,1)</f>
        <v>0.09</v>
      </c>
    </row>
    <row r="3037" spans="1:19" x14ac:dyDescent="0.25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e">
        <f>VLOOKUP(F3037,'Customer Info'!A3029:I3528,2,0)</f>
        <v>#N/A</v>
      </c>
      <c r="H3037" s="6" t="e">
        <f>VLOOKUP(F3037,'Customer Info'!A3029:I3528,3,0)</f>
        <v>#N/A</v>
      </c>
      <c r="I3037" s="6" t="e">
        <f>VLOOKUP(F3037,'Customer Info'!A3029:I3528,5,0)</f>
        <v>#N/A</v>
      </c>
      <c r="J3037" s="2">
        <v>7065</v>
      </c>
      <c r="K3037" s="2">
        <v>6545</v>
      </c>
      <c r="L3037" s="2">
        <v>5</v>
      </c>
      <c r="M3037" s="7">
        <f t="shared" si="188"/>
        <v>32725</v>
      </c>
      <c r="N3037" s="7">
        <f t="shared" si="189"/>
        <v>35325</v>
      </c>
      <c r="O3037" s="2">
        <v>65</v>
      </c>
      <c r="P3037" s="8">
        <f t="shared" si="190"/>
        <v>35390</v>
      </c>
      <c r="Q3037" s="8">
        <f t="shared" si="191"/>
        <v>35260</v>
      </c>
      <c r="R3037" s="2" t="s">
        <v>28</v>
      </c>
      <c r="S3037" s="9">
        <f>VLOOKUP(P3037,$T$2:U3034,2,1)</f>
        <v>7.0000000000000007E-2</v>
      </c>
    </row>
    <row r="3038" spans="1:19" x14ac:dyDescent="0.25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e">
        <f>VLOOKUP(F3038,'Customer Info'!A3030:I3529,2,0)</f>
        <v>#N/A</v>
      </c>
      <c r="H3038" s="6" t="e">
        <f>VLOOKUP(F3038,'Customer Info'!A3030:I3529,3,0)</f>
        <v>#N/A</v>
      </c>
      <c r="I3038" s="6" t="e">
        <f>VLOOKUP(F3038,'Customer Info'!A3030:I3529,5,0)</f>
        <v>#N/A</v>
      </c>
      <c r="J3038" s="2">
        <v>78</v>
      </c>
      <c r="K3038" s="2">
        <v>74</v>
      </c>
      <c r="L3038" s="2">
        <v>3</v>
      </c>
      <c r="M3038" s="7">
        <f t="shared" si="188"/>
        <v>222</v>
      </c>
      <c r="N3038" s="7">
        <f t="shared" si="189"/>
        <v>234</v>
      </c>
      <c r="O3038" s="2">
        <v>10</v>
      </c>
      <c r="P3038" s="8">
        <f t="shared" si="190"/>
        <v>244</v>
      </c>
      <c r="Q3038" s="8">
        <f t="shared" si="191"/>
        <v>224</v>
      </c>
      <c r="R3038" s="2" t="s">
        <v>28</v>
      </c>
      <c r="S3038" s="9">
        <f>VLOOKUP(P3038,$T$2:U3035,2,1)</f>
        <v>0.02</v>
      </c>
    </row>
    <row r="3039" spans="1:19" x14ac:dyDescent="0.25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e">
        <f>VLOOKUP(F3039,'Customer Info'!A3031:I3530,2,0)</f>
        <v>#N/A</v>
      </c>
      <c r="H3039" s="6" t="e">
        <f>VLOOKUP(F3039,'Customer Info'!A3031:I3530,3,0)</f>
        <v>#N/A</v>
      </c>
      <c r="I3039" s="6" t="e">
        <f>VLOOKUP(F3039,'Customer Info'!A3031:I3530,5,0)</f>
        <v>#N/A</v>
      </c>
      <c r="J3039" s="2">
        <v>2310</v>
      </c>
      <c r="K3039" s="2">
        <v>2040</v>
      </c>
      <c r="L3039" s="2">
        <v>4</v>
      </c>
      <c r="M3039" s="7">
        <f t="shared" si="188"/>
        <v>8160</v>
      </c>
      <c r="N3039" s="7">
        <f t="shared" si="189"/>
        <v>9240</v>
      </c>
      <c r="O3039" s="2">
        <v>72</v>
      </c>
      <c r="P3039" s="8">
        <f t="shared" si="190"/>
        <v>9312</v>
      </c>
      <c r="Q3039" s="8">
        <f t="shared" si="191"/>
        <v>9168</v>
      </c>
      <c r="R3039" s="2" t="s">
        <v>28</v>
      </c>
      <c r="S3039" s="9">
        <f>VLOOKUP(P3039,$T$2:U3036,2,1)</f>
        <v>0.05</v>
      </c>
    </row>
    <row r="3040" spans="1:19" x14ac:dyDescent="0.25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e">
        <f>VLOOKUP(F3040,'Customer Info'!A3032:I3531,2,0)</f>
        <v>#N/A</v>
      </c>
      <c r="H3040" s="6" t="e">
        <f>VLOOKUP(F3040,'Customer Info'!A3032:I3531,3,0)</f>
        <v>#N/A</v>
      </c>
      <c r="I3040" s="6" t="e">
        <f>VLOOKUP(F3040,'Customer Info'!A3032:I3531,5,0)</f>
        <v>#N/A</v>
      </c>
      <c r="J3040" s="2">
        <v>193</v>
      </c>
      <c r="K3040" s="2">
        <v>173</v>
      </c>
      <c r="L3040" s="2">
        <v>6</v>
      </c>
      <c r="M3040" s="7">
        <f t="shared" si="188"/>
        <v>1038</v>
      </c>
      <c r="N3040" s="7">
        <f t="shared" si="189"/>
        <v>1158</v>
      </c>
      <c r="O3040" s="2">
        <v>30</v>
      </c>
      <c r="P3040" s="8">
        <f t="shared" si="190"/>
        <v>1188</v>
      </c>
      <c r="Q3040" s="8">
        <f t="shared" si="191"/>
        <v>1128</v>
      </c>
      <c r="R3040" s="2" t="s">
        <v>28</v>
      </c>
      <c r="S3040" s="9">
        <f>VLOOKUP(P3040,$T$2:U3037,2,1)</f>
        <v>0.02</v>
      </c>
    </row>
    <row r="3041" spans="1:19" x14ac:dyDescent="0.25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e">
        <f>VLOOKUP(F3041,'Customer Info'!A3033:I3532,2,0)</f>
        <v>#N/A</v>
      </c>
      <c r="H3041" s="6" t="e">
        <f>VLOOKUP(F3041,'Customer Info'!A3033:I3532,3,0)</f>
        <v>#N/A</v>
      </c>
      <c r="I3041" s="6" t="e">
        <f>VLOOKUP(F3041,'Customer Info'!A3033:I3532,5,0)</f>
        <v>#N/A</v>
      </c>
      <c r="J3041" s="2">
        <v>3176</v>
      </c>
      <c r="K3041" s="2">
        <v>3116</v>
      </c>
      <c r="L3041" s="2">
        <v>8</v>
      </c>
      <c r="M3041" s="7">
        <f t="shared" si="188"/>
        <v>24928</v>
      </c>
      <c r="N3041" s="7">
        <f t="shared" si="189"/>
        <v>25408</v>
      </c>
      <c r="O3041" s="2">
        <v>70</v>
      </c>
      <c r="P3041" s="8">
        <f t="shared" si="190"/>
        <v>25478</v>
      </c>
      <c r="Q3041" s="8">
        <f t="shared" si="191"/>
        <v>25338</v>
      </c>
      <c r="R3041" s="2" t="s">
        <v>50</v>
      </c>
      <c r="S3041" s="9">
        <f>VLOOKUP(P3041,$T$2:U3038,2,1)</f>
        <v>7.0000000000000007E-2</v>
      </c>
    </row>
    <row r="3042" spans="1:19" x14ac:dyDescent="0.25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e">
        <f>VLOOKUP(F3042,'Customer Info'!A3034:I3533,2,0)</f>
        <v>#N/A</v>
      </c>
      <c r="H3042" s="6" t="e">
        <f>VLOOKUP(F3042,'Customer Info'!A3034:I3533,3,0)</f>
        <v>#N/A</v>
      </c>
      <c r="I3042" s="6" t="e">
        <f>VLOOKUP(F3042,'Customer Info'!A3034:I3533,5,0)</f>
        <v>#N/A</v>
      </c>
      <c r="J3042" s="2">
        <v>2551</v>
      </c>
      <c r="K3042" s="2">
        <v>2456</v>
      </c>
      <c r="L3042" s="2">
        <v>3</v>
      </c>
      <c r="M3042" s="7">
        <f t="shared" si="188"/>
        <v>7368</v>
      </c>
      <c r="N3042" s="7">
        <f t="shared" si="189"/>
        <v>7653</v>
      </c>
      <c r="O3042" s="2">
        <v>35</v>
      </c>
      <c r="P3042" s="8">
        <f t="shared" si="190"/>
        <v>7688</v>
      </c>
      <c r="Q3042" s="8">
        <f t="shared" si="191"/>
        <v>7618</v>
      </c>
      <c r="R3042" s="2" t="s">
        <v>28</v>
      </c>
      <c r="S3042" s="9">
        <f>VLOOKUP(P3042,$T$2:U3039,2,1)</f>
        <v>0.05</v>
      </c>
    </row>
    <row r="3043" spans="1:19" x14ac:dyDescent="0.25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e">
        <f>VLOOKUP(F3043,'Customer Info'!A3035:I3534,2,0)</f>
        <v>#N/A</v>
      </c>
      <c r="H3043" s="6" t="e">
        <f>VLOOKUP(F3043,'Customer Info'!A3035:I3534,3,0)</f>
        <v>#N/A</v>
      </c>
      <c r="I3043" s="6" t="e">
        <f>VLOOKUP(F3043,'Customer Info'!A3035:I3534,5,0)</f>
        <v>#N/A</v>
      </c>
      <c r="J3043" s="2">
        <v>5909</v>
      </c>
      <c r="K3043" s="2">
        <v>5528</v>
      </c>
      <c r="L3043" s="2">
        <v>2</v>
      </c>
      <c r="M3043" s="7">
        <f t="shared" si="188"/>
        <v>11056</v>
      </c>
      <c r="N3043" s="7">
        <f t="shared" si="189"/>
        <v>11818</v>
      </c>
      <c r="O3043" s="2">
        <v>98</v>
      </c>
      <c r="P3043" s="8">
        <f t="shared" si="190"/>
        <v>11916</v>
      </c>
      <c r="Q3043" s="8">
        <f t="shared" si="191"/>
        <v>11720</v>
      </c>
      <c r="R3043" s="2" t="s">
        <v>50</v>
      </c>
      <c r="S3043" s="9">
        <f>VLOOKUP(P3043,$T$2:U3040,2,1)</f>
        <v>0.05</v>
      </c>
    </row>
    <row r="3044" spans="1:19" x14ac:dyDescent="0.25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e">
        <f>VLOOKUP(F3044,'Customer Info'!A3036:I3535,2,0)</f>
        <v>#N/A</v>
      </c>
      <c r="H3044" s="6" t="e">
        <f>VLOOKUP(F3044,'Customer Info'!A3036:I3535,3,0)</f>
        <v>#N/A</v>
      </c>
      <c r="I3044" s="6" t="e">
        <f>VLOOKUP(F3044,'Customer Info'!A3036:I3535,5,0)</f>
        <v>#N/A</v>
      </c>
      <c r="J3044" s="2">
        <v>1358</v>
      </c>
      <c r="K3044" s="2">
        <v>1294</v>
      </c>
      <c r="L3044" s="2">
        <v>1</v>
      </c>
      <c r="M3044" s="7">
        <f t="shared" si="188"/>
        <v>1294</v>
      </c>
      <c r="N3044" s="7">
        <f t="shared" si="189"/>
        <v>1358</v>
      </c>
      <c r="O3044" s="2">
        <v>33</v>
      </c>
      <c r="P3044" s="8">
        <f t="shared" si="190"/>
        <v>1391</v>
      </c>
      <c r="Q3044" s="8">
        <f t="shared" si="191"/>
        <v>1325</v>
      </c>
      <c r="R3044" s="2" t="s">
        <v>28</v>
      </c>
      <c r="S3044" s="9">
        <f>VLOOKUP(P3044,$T$2:U3041,2,1)</f>
        <v>0.02</v>
      </c>
    </row>
    <row r="3045" spans="1:19" x14ac:dyDescent="0.25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e">
        <f>VLOOKUP(F3045,'Customer Info'!A3037:I3536,2,0)</f>
        <v>#N/A</v>
      </c>
      <c r="H3045" s="6" t="e">
        <f>VLOOKUP(F3045,'Customer Info'!A3037:I3536,3,0)</f>
        <v>#N/A</v>
      </c>
      <c r="I3045" s="6" t="e">
        <f>VLOOKUP(F3045,'Customer Info'!A3037:I3536,5,0)</f>
        <v>#N/A</v>
      </c>
      <c r="J3045" s="2">
        <v>6024</v>
      </c>
      <c r="K3045" s="2">
        <v>5424</v>
      </c>
      <c r="L3045" s="2">
        <v>9</v>
      </c>
      <c r="M3045" s="7">
        <f t="shared" si="188"/>
        <v>48816</v>
      </c>
      <c r="N3045" s="7">
        <f t="shared" si="189"/>
        <v>54216</v>
      </c>
      <c r="O3045" s="2">
        <v>78</v>
      </c>
      <c r="P3045" s="8">
        <f t="shared" si="190"/>
        <v>54294</v>
      </c>
      <c r="Q3045" s="8">
        <f t="shared" si="191"/>
        <v>54138</v>
      </c>
      <c r="R3045" s="2" t="s">
        <v>50</v>
      </c>
      <c r="S3045" s="9">
        <f>VLOOKUP(P3045,$T$2:U3042,2,1)</f>
        <v>0.09</v>
      </c>
    </row>
    <row r="3046" spans="1:19" x14ac:dyDescent="0.25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e">
        <f>VLOOKUP(F3046,'Customer Info'!A3038:I3537,2,0)</f>
        <v>#N/A</v>
      </c>
      <c r="H3046" s="6" t="e">
        <f>VLOOKUP(F3046,'Customer Info'!A3038:I3537,3,0)</f>
        <v>#N/A</v>
      </c>
      <c r="I3046" s="6" t="e">
        <f>VLOOKUP(F3046,'Customer Info'!A3038:I3537,5,0)</f>
        <v>#N/A</v>
      </c>
      <c r="J3046" s="2">
        <v>4714</v>
      </c>
      <c r="K3046" s="2">
        <v>4323</v>
      </c>
      <c r="L3046" s="2">
        <v>2</v>
      </c>
      <c r="M3046" s="7">
        <f t="shared" si="188"/>
        <v>8646</v>
      </c>
      <c r="N3046" s="7">
        <f t="shared" si="189"/>
        <v>9428</v>
      </c>
      <c r="O3046" s="2">
        <v>25</v>
      </c>
      <c r="P3046" s="8">
        <f t="shared" si="190"/>
        <v>9453</v>
      </c>
      <c r="Q3046" s="8">
        <f t="shared" si="191"/>
        <v>9403</v>
      </c>
      <c r="R3046" s="2" t="s">
        <v>50</v>
      </c>
      <c r="S3046" s="9">
        <f>VLOOKUP(P3046,$T$2:U3043,2,1)</f>
        <v>0.05</v>
      </c>
    </row>
    <row r="3047" spans="1:19" x14ac:dyDescent="0.25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e">
        <f>VLOOKUP(F3047,'Customer Info'!A3039:I3538,2,0)</f>
        <v>#N/A</v>
      </c>
      <c r="H3047" s="6" t="e">
        <f>VLOOKUP(F3047,'Customer Info'!A3039:I3538,3,0)</f>
        <v>#N/A</v>
      </c>
      <c r="I3047" s="6" t="e">
        <f>VLOOKUP(F3047,'Customer Info'!A3039:I3538,5,0)</f>
        <v>#N/A</v>
      </c>
      <c r="J3047" s="2">
        <v>474</v>
      </c>
      <c r="K3047" s="2">
        <v>443</v>
      </c>
      <c r="L3047" s="2">
        <v>6</v>
      </c>
      <c r="M3047" s="7">
        <f t="shared" si="188"/>
        <v>2658</v>
      </c>
      <c r="N3047" s="7">
        <f t="shared" si="189"/>
        <v>2844</v>
      </c>
      <c r="O3047" s="2">
        <v>68</v>
      </c>
      <c r="P3047" s="8">
        <f t="shared" si="190"/>
        <v>2912</v>
      </c>
      <c r="Q3047" s="8">
        <f t="shared" si="191"/>
        <v>2776</v>
      </c>
      <c r="R3047" s="2" t="s">
        <v>28</v>
      </c>
      <c r="S3047" s="9">
        <f>VLOOKUP(P3047,$T$2:U3044,2,1)</f>
        <v>0.02</v>
      </c>
    </row>
    <row r="3048" spans="1:19" x14ac:dyDescent="0.25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e">
        <f>VLOOKUP(F3048,'Customer Info'!A3040:I3539,2,0)</f>
        <v>#N/A</v>
      </c>
      <c r="H3048" s="6" t="e">
        <f>VLOOKUP(F3048,'Customer Info'!A3040:I3539,3,0)</f>
        <v>#N/A</v>
      </c>
      <c r="I3048" s="6" t="e">
        <f>VLOOKUP(F3048,'Customer Info'!A3040:I3539,5,0)</f>
        <v>#N/A</v>
      </c>
      <c r="J3048" s="2">
        <v>4761</v>
      </c>
      <c r="K3048" s="2">
        <v>4368</v>
      </c>
      <c r="L3048" s="2">
        <v>4</v>
      </c>
      <c r="M3048" s="7">
        <f t="shared" si="188"/>
        <v>17472</v>
      </c>
      <c r="N3048" s="7">
        <f t="shared" si="189"/>
        <v>19044</v>
      </c>
      <c r="O3048" s="2">
        <v>71</v>
      </c>
      <c r="P3048" s="8">
        <f t="shared" si="190"/>
        <v>19115</v>
      </c>
      <c r="Q3048" s="8">
        <f t="shared" si="191"/>
        <v>18973</v>
      </c>
      <c r="R3048" s="2" t="s">
        <v>50</v>
      </c>
      <c r="S3048" s="9">
        <f>VLOOKUP(P3048,$T$2:U3045,2,1)</f>
        <v>0.05</v>
      </c>
    </row>
    <row r="3049" spans="1:19" x14ac:dyDescent="0.25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e">
        <f>VLOOKUP(F3049,'Customer Info'!A3041:I3540,2,0)</f>
        <v>#N/A</v>
      </c>
      <c r="H3049" s="6" t="e">
        <f>VLOOKUP(F3049,'Customer Info'!A3041:I3540,3,0)</f>
        <v>#N/A</v>
      </c>
      <c r="I3049" s="6" t="e">
        <f>VLOOKUP(F3049,'Customer Info'!A3041:I3540,5,0)</f>
        <v>#N/A</v>
      </c>
      <c r="J3049" s="2">
        <v>63</v>
      </c>
      <c r="K3049" s="2">
        <v>59</v>
      </c>
      <c r="L3049" s="2">
        <v>1</v>
      </c>
      <c r="M3049" s="7">
        <f t="shared" si="188"/>
        <v>59</v>
      </c>
      <c r="N3049" s="7">
        <f t="shared" si="189"/>
        <v>63</v>
      </c>
      <c r="O3049" s="2">
        <v>10</v>
      </c>
      <c r="P3049" s="8">
        <f t="shared" si="190"/>
        <v>73</v>
      </c>
      <c r="Q3049" s="8">
        <f t="shared" si="191"/>
        <v>53</v>
      </c>
      <c r="R3049" s="2" t="s">
        <v>28</v>
      </c>
      <c r="S3049" s="9">
        <f>VLOOKUP(P3049,$T$2:U3046,2,1)</f>
        <v>0.02</v>
      </c>
    </row>
    <row r="3050" spans="1:19" x14ac:dyDescent="0.25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e">
        <f>VLOOKUP(F3050,'Customer Info'!A3042:I3541,2,0)</f>
        <v>#N/A</v>
      </c>
      <c r="H3050" s="6" t="e">
        <f>VLOOKUP(F3050,'Customer Info'!A3042:I3541,3,0)</f>
        <v>#N/A</v>
      </c>
      <c r="I3050" s="6" t="e">
        <f>VLOOKUP(F3050,'Customer Info'!A3042:I3541,5,0)</f>
        <v>#N/A</v>
      </c>
      <c r="J3050" s="2">
        <v>664</v>
      </c>
      <c r="K3050" s="2">
        <v>576</v>
      </c>
      <c r="L3050" s="2">
        <v>4</v>
      </c>
      <c r="M3050" s="7">
        <f t="shared" si="188"/>
        <v>2304</v>
      </c>
      <c r="N3050" s="7">
        <f t="shared" si="189"/>
        <v>2656</v>
      </c>
      <c r="O3050" s="2">
        <v>46</v>
      </c>
      <c r="P3050" s="8">
        <f t="shared" si="190"/>
        <v>2702</v>
      </c>
      <c r="Q3050" s="8">
        <f t="shared" si="191"/>
        <v>2610</v>
      </c>
      <c r="R3050" s="2" t="s">
        <v>28</v>
      </c>
      <c r="S3050" s="9">
        <f>VLOOKUP(P3050,$T$2:U3047,2,1)</f>
        <v>0.02</v>
      </c>
    </row>
    <row r="3051" spans="1:19" x14ac:dyDescent="0.25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e">
        <f>VLOOKUP(F3051,'Customer Info'!A3043:I3542,2,0)</f>
        <v>#N/A</v>
      </c>
      <c r="H3051" s="6" t="e">
        <f>VLOOKUP(F3051,'Customer Info'!A3043:I3542,3,0)</f>
        <v>#N/A</v>
      </c>
      <c r="I3051" s="6" t="e">
        <f>VLOOKUP(F3051,'Customer Info'!A3043:I3542,5,0)</f>
        <v>#N/A</v>
      </c>
      <c r="J3051" s="2">
        <v>28522</v>
      </c>
      <c r="K3051" s="2">
        <v>26384</v>
      </c>
      <c r="L3051" s="2">
        <v>7</v>
      </c>
      <c r="M3051" s="7">
        <f t="shared" si="188"/>
        <v>184688</v>
      </c>
      <c r="N3051" s="7">
        <f t="shared" si="189"/>
        <v>199654</v>
      </c>
      <c r="O3051" s="2">
        <v>38</v>
      </c>
      <c r="P3051" s="8">
        <f t="shared" si="190"/>
        <v>199692</v>
      </c>
      <c r="Q3051" s="8">
        <f t="shared" si="191"/>
        <v>199616</v>
      </c>
      <c r="R3051" s="2" t="s">
        <v>28</v>
      </c>
      <c r="S3051" s="9">
        <f>VLOOKUP(P3051,$T$2:U3048,2,1)</f>
        <v>0.12</v>
      </c>
    </row>
    <row r="3052" spans="1:19" x14ac:dyDescent="0.25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e">
        <f>VLOOKUP(F3052,'Customer Info'!A3044:I3543,2,0)</f>
        <v>#N/A</v>
      </c>
      <c r="H3052" s="6" t="e">
        <f>VLOOKUP(F3052,'Customer Info'!A3044:I3543,3,0)</f>
        <v>#N/A</v>
      </c>
      <c r="I3052" s="6" t="e">
        <f>VLOOKUP(F3052,'Customer Info'!A3044:I3543,5,0)</f>
        <v>#N/A</v>
      </c>
      <c r="J3052" s="2">
        <v>1654</v>
      </c>
      <c r="K3052" s="2">
        <v>1577</v>
      </c>
      <c r="L3052" s="2">
        <v>1</v>
      </c>
      <c r="M3052" s="7">
        <f t="shared" si="188"/>
        <v>1577</v>
      </c>
      <c r="N3052" s="7">
        <f t="shared" si="189"/>
        <v>1654</v>
      </c>
      <c r="O3052" s="2">
        <v>78</v>
      </c>
      <c r="P3052" s="8">
        <f t="shared" si="190"/>
        <v>1732</v>
      </c>
      <c r="Q3052" s="8">
        <f t="shared" si="191"/>
        <v>1576</v>
      </c>
      <c r="R3052" s="2" t="s">
        <v>50</v>
      </c>
      <c r="S3052" s="9">
        <f>VLOOKUP(P3052,$T$2:U3049,2,1)</f>
        <v>0.02</v>
      </c>
    </row>
    <row r="3053" spans="1:19" x14ac:dyDescent="0.25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e">
        <f>VLOOKUP(F3053,'Customer Info'!A3045:I3544,2,0)</f>
        <v>#N/A</v>
      </c>
      <c r="H3053" s="6" t="e">
        <f>VLOOKUP(F3053,'Customer Info'!A3045:I3544,3,0)</f>
        <v>#N/A</v>
      </c>
      <c r="I3053" s="6" t="e">
        <f>VLOOKUP(F3053,'Customer Info'!A3045:I3544,5,0)</f>
        <v>#N/A</v>
      </c>
      <c r="J3053" s="2">
        <v>691</v>
      </c>
      <c r="K3053" s="2">
        <v>627</v>
      </c>
      <c r="L3053" s="2">
        <v>5</v>
      </c>
      <c r="M3053" s="7">
        <f t="shared" si="188"/>
        <v>3135</v>
      </c>
      <c r="N3053" s="7">
        <f t="shared" si="189"/>
        <v>3455</v>
      </c>
      <c r="O3053" s="2">
        <v>79</v>
      </c>
      <c r="P3053" s="8">
        <f t="shared" si="190"/>
        <v>3534</v>
      </c>
      <c r="Q3053" s="8">
        <f t="shared" si="191"/>
        <v>3376</v>
      </c>
      <c r="R3053" s="2" t="s">
        <v>28</v>
      </c>
      <c r="S3053" s="9">
        <f>VLOOKUP(P3053,$T$2:U3050,2,1)</f>
        <v>0.02</v>
      </c>
    </row>
    <row r="3054" spans="1:19" x14ac:dyDescent="0.25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e">
        <f>VLOOKUP(F3054,'Customer Info'!A3046:I3545,2,0)</f>
        <v>#N/A</v>
      </c>
      <c r="H3054" s="6" t="e">
        <f>VLOOKUP(F3054,'Customer Info'!A3046:I3545,3,0)</f>
        <v>#N/A</v>
      </c>
      <c r="I3054" s="6" t="e">
        <f>VLOOKUP(F3054,'Customer Info'!A3046:I3545,5,0)</f>
        <v>#N/A</v>
      </c>
      <c r="J3054" s="2">
        <v>69</v>
      </c>
      <c r="K3054" s="2">
        <v>64</v>
      </c>
      <c r="L3054" s="2">
        <v>1</v>
      </c>
      <c r="M3054" s="7">
        <f t="shared" si="188"/>
        <v>64</v>
      </c>
      <c r="N3054" s="7">
        <f t="shared" si="189"/>
        <v>69</v>
      </c>
      <c r="O3054" s="2">
        <v>10</v>
      </c>
      <c r="P3054" s="8">
        <f t="shared" si="190"/>
        <v>79</v>
      </c>
      <c r="Q3054" s="8">
        <f t="shared" si="191"/>
        <v>59</v>
      </c>
      <c r="R3054" s="2" t="s">
        <v>28</v>
      </c>
      <c r="S3054" s="9">
        <f>VLOOKUP(P3054,$T$2:U3051,2,1)</f>
        <v>0.02</v>
      </c>
    </row>
    <row r="3055" spans="1:19" x14ac:dyDescent="0.25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e">
        <f>VLOOKUP(F3055,'Customer Info'!A3047:I3546,2,0)</f>
        <v>#N/A</v>
      </c>
      <c r="H3055" s="6" t="e">
        <f>VLOOKUP(F3055,'Customer Info'!A3047:I3546,3,0)</f>
        <v>#N/A</v>
      </c>
      <c r="I3055" s="6" t="e">
        <f>VLOOKUP(F3055,'Customer Info'!A3047:I3546,5,0)</f>
        <v>#N/A</v>
      </c>
      <c r="J3055" s="2">
        <v>185</v>
      </c>
      <c r="K3055" s="2">
        <v>171</v>
      </c>
      <c r="L3055" s="2">
        <v>2</v>
      </c>
      <c r="M3055" s="7">
        <f t="shared" si="188"/>
        <v>342</v>
      </c>
      <c r="N3055" s="7">
        <f t="shared" si="189"/>
        <v>370</v>
      </c>
      <c r="O3055" s="2">
        <v>30</v>
      </c>
      <c r="P3055" s="8">
        <f t="shared" si="190"/>
        <v>400</v>
      </c>
      <c r="Q3055" s="8">
        <f t="shared" si="191"/>
        <v>340</v>
      </c>
      <c r="R3055" s="2" t="s">
        <v>28</v>
      </c>
      <c r="S3055" s="9">
        <f>VLOOKUP(P3055,$T$2:U3052,2,1)</f>
        <v>0.02</v>
      </c>
    </row>
    <row r="3056" spans="1:19" x14ac:dyDescent="0.25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e">
        <f>VLOOKUP(F3056,'Customer Info'!A3048:I3547,2,0)</f>
        <v>#N/A</v>
      </c>
      <c r="H3056" s="6" t="e">
        <f>VLOOKUP(F3056,'Customer Info'!A3048:I3547,3,0)</f>
        <v>#N/A</v>
      </c>
      <c r="I3056" s="6" t="e">
        <f>VLOOKUP(F3056,'Customer Info'!A3048:I3547,5,0)</f>
        <v>#N/A</v>
      </c>
      <c r="J3056" s="2">
        <v>1399</v>
      </c>
      <c r="K3056" s="2">
        <v>1333</v>
      </c>
      <c r="L3056" s="2">
        <v>2</v>
      </c>
      <c r="M3056" s="7">
        <f t="shared" si="188"/>
        <v>2666</v>
      </c>
      <c r="N3056" s="7">
        <f t="shared" si="189"/>
        <v>2798</v>
      </c>
      <c r="O3056" s="2">
        <v>55</v>
      </c>
      <c r="P3056" s="8">
        <f t="shared" si="190"/>
        <v>2853</v>
      </c>
      <c r="Q3056" s="8">
        <f t="shared" si="191"/>
        <v>2743</v>
      </c>
      <c r="R3056" s="2" t="s">
        <v>28</v>
      </c>
      <c r="S3056" s="9">
        <f>VLOOKUP(P3056,$T$2:U3053,2,1)</f>
        <v>0.02</v>
      </c>
    </row>
    <row r="3057" spans="1:19" x14ac:dyDescent="0.25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e">
        <f>VLOOKUP(F3057,'Customer Info'!A3049:I3548,2,0)</f>
        <v>#N/A</v>
      </c>
      <c r="H3057" s="6" t="e">
        <f>VLOOKUP(F3057,'Customer Info'!A3049:I3548,3,0)</f>
        <v>#N/A</v>
      </c>
      <c r="I3057" s="6" t="e">
        <f>VLOOKUP(F3057,'Customer Info'!A3049:I3548,5,0)</f>
        <v>#N/A</v>
      </c>
      <c r="J3057" s="2">
        <v>4704</v>
      </c>
      <c r="K3057" s="2">
        <v>4361</v>
      </c>
      <c r="L3057" s="2">
        <v>2</v>
      </c>
      <c r="M3057" s="7">
        <f t="shared" si="188"/>
        <v>8722</v>
      </c>
      <c r="N3057" s="7">
        <f t="shared" si="189"/>
        <v>9408</v>
      </c>
      <c r="O3057" s="2">
        <v>96</v>
      </c>
      <c r="P3057" s="8">
        <f t="shared" si="190"/>
        <v>9504</v>
      </c>
      <c r="Q3057" s="8">
        <f t="shared" si="191"/>
        <v>9312</v>
      </c>
      <c r="R3057" s="2" t="s">
        <v>50</v>
      </c>
      <c r="S3057" s="9">
        <f>VLOOKUP(P3057,$T$2:U3054,2,1)</f>
        <v>0.05</v>
      </c>
    </row>
    <row r="3058" spans="1:19" x14ac:dyDescent="0.25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e">
        <f>VLOOKUP(F3058,'Customer Info'!A3050:I3549,2,0)</f>
        <v>#N/A</v>
      </c>
      <c r="H3058" s="6" t="e">
        <f>VLOOKUP(F3058,'Customer Info'!A3050:I3549,3,0)</f>
        <v>#N/A</v>
      </c>
      <c r="I3058" s="6" t="e">
        <f>VLOOKUP(F3058,'Customer Info'!A3050:I3549,5,0)</f>
        <v>#N/A</v>
      </c>
      <c r="J3058" s="2">
        <v>78</v>
      </c>
      <c r="K3058" s="2">
        <v>74</v>
      </c>
      <c r="L3058" s="2">
        <v>3</v>
      </c>
      <c r="M3058" s="7">
        <f t="shared" si="188"/>
        <v>222</v>
      </c>
      <c r="N3058" s="7">
        <f t="shared" si="189"/>
        <v>234</v>
      </c>
      <c r="O3058" s="2">
        <v>10</v>
      </c>
      <c r="P3058" s="8">
        <f t="shared" si="190"/>
        <v>244</v>
      </c>
      <c r="Q3058" s="8">
        <f t="shared" si="191"/>
        <v>224</v>
      </c>
      <c r="R3058" s="2" t="s">
        <v>28</v>
      </c>
      <c r="S3058" s="9">
        <f>VLOOKUP(P3058,$T$2:U3055,2,1)</f>
        <v>0.02</v>
      </c>
    </row>
    <row r="3059" spans="1:19" x14ac:dyDescent="0.25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e">
        <f>VLOOKUP(F3059,'Customer Info'!A3051:I3550,2,0)</f>
        <v>#N/A</v>
      </c>
      <c r="H3059" s="6" t="e">
        <f>VLOOKUP(F3059,'Customer Info'!A3051:I3550,3,0)</f>
        <v>#N/A</v>
      </c>
      <c r="I3059" s="6" t="e">
        <f>VLOOKUP(F3059,'Customer Info'!A3051:I3550,5,0)</f>
        <v>#N/A</v>
      </c>
      <c r="J3059" s="2">
        <v>1958</v>
      </c>
      <c r="K3059" s="2">
        <v>1846</v>
      </c>
      <c r="L3059" s="2">
        <v>3</v>
      </c>
      <c r="M3059" s="7">
        <f t="shared" si="188"/>
        <v>5538</v>
      </c>
      <c r="N3059" s="7">
        <f t="shared" si="189"/>
        <v>5874</v>
      </c>
      <c r="O3059" s="2">
        <v>95</v>
      </c>
      <c r="P3059" s="8">
        <f t="shared" si="190"/>
        <v>5969</v>
      </c>
      <c r="Q3059" s="8">
        <f t="shared" si="191"/>
        <v>5779</v>
      </c>
      <c r="R3059" s="2" t="s">
        <v>28</v>
      </c>
      <c r="S3059" s="9">
        <f>VLOOKUP(P3059,$T$2:U3056,2,1)</f>
        <v>0.05</v>
      </c>
    </row>
    <row r="3060" spans="1:19" x14ac:dyDescent="0.25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e">
        <f>VLOOKUP(F3060,'Customer Info'!A3052:I3551,2,0)</f>
        <v>#N/A</v>
      </c>
      <c r="H3060" s="6" t="e">
        <f>VLOOKUP(F3060,'Customer Info'!A3052:I3551,3,0)</f>
        <v>#N/A</v>
      </c>
      <c r="I3060" s="6" t="e">
        <f>VLOOKUP(F3060,'Customer Info'!A3052:I3551,5,0)</f>
        <v>#N/A</v>
      </c>
      <c r="J3060" s="2">
        <v>127</v>
      </c>
      <c r="K3060" s="2">
        <v>116</v>
      </c>
      <c r="L3060" s="2">
        <v>3</v>
      </c>
      <c r="M3060" s="7">
        <f t="shared" si="188"/>
        <v>348</v>
      </c>
      <c r="N3060" s="7">
        <f t="shared" si="189"/>
        <v>381</v>
      </c>
      <c r="O3060" s="2">
        <v>30</v>
      </c>
      <c r="P3060" s="8">
        <f t="shared" si="190"/>
        <v>411</v>
      </c>
      <c r="Q3060" s="8">
        <f t="shared" si="191"/>
        <v>351</v>
      </c>
      <c r="R3060" s="2" t="s">
        <v>50</v>
      </c>
      <c r="S3060" s="9">
        <f>VLOOKUP(P3060,$T$2:U3057,2,1)</f>
        <v>0.02</v>
      </c>
    </row>
    <row r="3061" spans="1:19" x14ac:dyDescent="0.25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e">
        <f>VLOOKUP(F3061,'Customer Info'!A3053:I3552,2,0)</f>
        <v>#N/A</v>
      </c>
      <c r="H3061" s="6" t="e">
        <f>VLOOKUP(F3061,'Customer Info'!A3053:I3552,3,0)</f>
        <v>#N/A</v>
      </c>
      <c r="I3061" s="6" t="e">
        <f>VLOOKUP(F3061,'Customer Info'!A3053:I3552,5,0)</f>
        <v>#N/A</v>
      </c>
      <c r="J3061" s="2">
        <v>140</v>
      </c>
      <c r="K3061" s="2">
        <v>137</v>
      </c>
      <c r="L3061" s="2">
        <v>4</v>
      </c>
      <c r="M3061" s="7">
        <f t="shared" si="188"/>
        <v>548</v>
      </c>
      <c r="N3061" s="7">
        <f t="shared" si="189"/>
        <v>560</v>
      </c>
      <c r="O3061" s="2">
        <v>30</v>
      </c>
      <c r="P3061" s="8">
        <f t="shared" si="190"/>
        <v>590</v>
      </c>
      <c r="Q3061" s="8">
        <f t="shared" si="191"/>
        <v>530</v>
      </c>
      <c r="R3061" s="2" t="s">
        <v>50</v>
      </c>
      <c r="S3061" s="9">
        <f>VLOOKUP(P3061,$T$2:U3058,2,1)</f>
        <v>0.02</v>
      </c>
    </row>
    <row r="3062" spans="1:19" x14ac:dyDescent="0.25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e">
        <f>VLOOKUP(F3062,'Customer Info'!A3054:I3553,2,0)</f>
        <v>#N/A</v>
      </c>
      <c r="H3062" s="6" t="e">
        <f>VLOOKUP(F3062,'Customer Info'!A3054:I3553,3,0)</f>
        <v>#N/A</v>
      </c>
      <c r="I3062" s="6" t="e">
        <f>VLOOKUP(F3062,'Customer Info'!A3054:I3553,5,0)</f>
        <v>#N/A</v>
      </c>
      <c r="J3062" s="2">
        <v>1169</v>
      </c>
      <c r="K3062" s="2">
        <v>1072</v>
      </c>
      <c r="L3062" s="2">
        <v>8</v>
      </c>
      <c r="M3062" s="7">
        <f t="shared" si="188"/>
        <v>8576</v>
      </c>
      <c r="N3062" s="7">
        <f t="shared" si="189"/>
        <v>9352</v>
      </c>
      <c r="O3062" s="2">
        <v>47</v>
      </c>
      <c r="P3062" s="8">
        <f t="shared" si="190"/>
        <v>9399</v>
      </c>
      <c r="Q3062" s="8">
        <f t="shared" si="191"/>
        <v>9305</v>
      </c>
      <c r="R3062" s="2" t="s">
        <v>26</v>
      </c>
      <c r="S3062" s="9">
        <f>VLOOKUP(P3062,$T$2:U3059,2,1)</f>
        <v>0.05</v>
      </c>
    </row>
    <row r="3063" spans="1:19" x14ac:dyDescent="0.25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e">
        <f>VLOOKUP(F3063,'Customer Info'!A3055:I3554,2,0)</f>
        <v>#N/A</v>
      </c>
      <c r="H3063" s="6" t="e">
        <f>VLOOKUP(F3063,'Customer Info'!A3055:I3554,3,0)</f>
        <v>#N/A</v>
      </c>
      <c r="I3063" s="6" t="e">
        <f>VLOOKUP(F3063,'Customer Info'!A3055:I3554,5,0)</f>
        <v>#N/A</v>
      </c>
      <c r="J3063" s="2">
        <v>175</v>
      </c>
      <c r="K3063" s="2">
        <v>162</v>
      </c>
      <c r="L3063" s="2">
        <v>3</v>
      </c>
      <c r="M3063" s="7">
        <f t="shared" si="188"/>
        <v>486</v>
      </c>
      <c r="N3063" s="7">
        <f t="shared" si="189"/>
        <v>525</v>
      </c>
      <c r="O3063" s="2">
        <v>30</v>
      </c>
      <c r="P3063" s="8">
        <f t="shared" si="190"/>
        <v>555</v>
      </c>
      <c r="Q3063" s="8">
        <f t="shared" si="191"/>
        <v>495</v>
      </c>
      <c r="R3063" s="2" t="s">
        <v>28</v>
      </c>
      <c r="S3063" s="9">
        <f>VLOOKUP(P3063,$T$2:U3060,2,1)</f>
        <v>0.02</v>
      </c>
    </row>
    <row r="3064" spans="1:19" x14ac:dyDescent="0.25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e">
        <f>VLOOKUP(F3064,'Customer Info'!A3056:I3555,2,0)</f>
        <v>#N/A</v>
      </c>
      <c r="H3064" s="6" t="e">
        <f>VLOOKUP(F3064,'Customer Info'!A3056:I3555,3,0)</f>
        <v>#N/A</v>
      </c>
      <c r="I3064" s="6" t="e">
        <f>VLOOKUP(F3064,'Customer Info'!A3056:I3555,5,0)</f>
        <v>#N/A</v>
      </c>
      <c r="J3064" s="2">
        <v>167</v>
      </c>
      <c r="K3064" s="2">
        <v>155</v>
      </c>
      <c r="L3064" s="2">
        <v>1</v>
      </c>
      <c r="M3064" s="7">
        <f t="shared" si="188"/>
        <v>155</v>
      </c>
      <c r="N3064" s="7">
        <f t="shared" si="189"/>
        <v>167</v>
      </c>
      <c r="O3064" s="2">
        <v>30</v>
      </c>
      <c r="P3064" s="8">
        <f t="shared" si="190"/>
        <v>197</v>
      </c>
      <c r="Q3064" s="8">
        <f t="shared" si="191"/>
        <v>137</v>
      </c>
      <c r="R3064" s="2" t="s">
        <v>28</v>
      </c>
      <c r="S3064" s="9">
        <f>VLOOKUP(P3064,$T$2:U3061,2,1)</f>
        <v>0.02</v>
      </c>
    </row>
    <row r="3065" spans="1:19" x14ac:dyDescent="0.25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e">
        <f>VLOOKUP(F3065,'Customer Info'!A3057:I3556,2,0)</f>
        <v>#N/A</v>
      </c>
      <c r="H3065" s="6" t="e">
        <f>VLOOKUP(F3065,'Customer Info'!A3057:I3556,3,0)</f>
        <v>#N/A</v>
      </c>
      <c r="I3065" s="6" t="e">
        <f>VLOOKUP(F3065,'Customer Info'!A3057:I3556,5,0)</f>
        <v>#N/A</v>
      </c>
      <c r="J3065" s="2">
        <v>191</v>
      </c>
      <c r="K3065" s="2">
        <v>170</v>
      </c>
      <c r="L3065" s="2">
        <v>2</v>
      </c>
      <c r="M3065" s="7">
        <f t="shared" si="188"/>
        <v>340</v>
      </c>
      <c r="N3065" s="7">
        <f t="shared" si="189"/>
        <v>382</v>
      </c>
      <c r="O3065" s="2">
        <v>30</v>
      </c>
      <c r="P3065" s="8">
        <f t="shared" si="190"/>
        <v>412</v>
      </c>
      <c r="Q3065" s="8">
        <f t="shared" si="191"/>
        <v>352</v>
      </c>
      <c r="R3065" s="2" t="s">
        <v>28</v>
      </c>
      <c r="S3065" s="9">
        <f>VLOOKUP(P3065,$T$2:U3062,2,1)</f>
        <v>0.02</v>
      </c>
    </row>
    <row r="3066" spans="1:19" x14ac:dyDescent="0.25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e">
        <f>VLOOKUP(F3066,'Customer Info'!A3058:I3557,2,0)</f>
        <v>#N/A</v>
      </c>
      <c r="H3066" s="6" t="e">
        <f>VLOOKUP(F3066,'Customer Info'!A3058:I3557,3,0)</f>
        <v>#N/A</v>
      </c>
      <c r="I3066" s="6" t="e">
        <f>VLOOKUP(F3066,'Customer Info'!A3058:I3557,5,0)</f>
        <v>#N/A</v>
      </c>
      <c r="J3066" s="2">
        <v>8651</v>
      </c>
      <c r="K3066" s="2">
        <v>8081</v>
      </c>
      <c r="L3066" s="2">
        <v>2</v>
      </c>
      <c r="M3066" s="7">
        <f t="shared" si="188"/>
        <v>16162</v>
      </c>
      <c r="N3066" s="7">
        <f t="shared" si="189"/>
        <v>17302</v>
      </c>
      <c r="O3066" s="2">
        <v>54</v>
      </c>
      <c r="P3066" s="8">
        <f t="shared" si="190"/>
        <v>17356</v>
      </c>
      <c r="Q3066" s="8">
        <f t="shared" si="191"/>
        <v>17248</v>
      </c>
      <c r="R3066" s="2" t="s">
        <v>56</v>
      </c>
      <c r="S3066" s="9">
        <f>VLOOKUP(P3066,$T$2:U3063,2,1)</f>
        <v>0.05</v>
      </c>
    </row>
    <row r="3067" spans="1:19" x14ac:dyDescent="0.25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e">
        <f>VLOOKUP(F3067,'Customer Info'!A3059:I3558,2,0)</f>
        <v>#N/A</v>
      </c>
      <c r="H3067" s="6" t="e">
        <f>VLOOKUP(F3067,'Customer Info'!A3059:I3558,3,0)</f>
        <v>#N/A</v>
      </c>
      <c r="I3067" s="6" t="e">
        <f>VLOOKUP(F3067,'Customer Info'!A3059:I3558,5,0)</f>
        <v>#N/A</v>
      </c>
      <c r="J3067" s="2">
        <v>1916</v>
      </c>
      <c r="K3067" s="2">
        <v>1844</v>
      </c>
      <c r="L3067" s="2">
        <v>2</v>
      </c>
      <c r="M3067" s="7">
        <f t="shared" si="188"/>
        <v>3688</v>
      </c>
      <c r="N3067" s="7">
        <f t="shared" si="189"/>
        <v>3832</v>
      </c>
      <c r="O3067" s="2">
        <v>23</v>
      </c>
      <c r="P3067" s="8">
        <f t="shared" si="190"/>
        <v>3855</v>
      </c>
      <c r="Q3067" s="8">
        <f t="shared" si="191"/>
        <v>3809</v>
      </c>
      <c r="R3067" s="2" t="s">
        <v>28</v>
      </c>
      <c r="S3067" s="9">
        <f>VLOOKUP(P3067,$T$2:U3064,2,1)</f>
        <v>0.02</v>
      </c>
    </row>
    <row r="3068" spans="1:19" x14ac:dyDescent="0.25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e">
        <f>VLOOKUP(F3068,'Customer Info'!A3060:I3559,2,0)</f>
        <v>#N/A</v>
      </c>
      <c r="H3068" s="6" t="e">
        <f>VLOOKUP(F3068,'Customer Info'!A3060:I3559,3,0)</f>
        <v>#N/A</v>
      </c>
      <c r="I3068" s="6" t="e">
        <f>VLOOKUP(F3068,'Customer Info'!A3060:I3559,5,0)</f>
        <v>#N/A</v>
      </c>
      <c r="J3068" s="2">
        <v>1058</v>
      </c>
      <c r="K3068" s="2">
        <v>989</v>
      </c>
      <c r="L3068" s="2">
        <v>1</v>
      </c>
      <c r="M3068" s="7">
        <f t="shared" si="188"/>
        <v>989</v>
      </c>
      <c r="N3068" s="7">
        <f t="shared" si="189"/>
        <v>1058</v>
      </c>
      <c r="O3068" s="2">
        <v>84</v>
      </c>
      <c r="P3068" s="8">
        <f t="shared" si="190"/>
        <v>1142</v>
      </c>
      <c r="Q3068" s="8">
        <f t="shared" si="191"/>
        <v>974</v>
      </c>
      <c r="R3068" s="2" t="s">
        <v>50</v>
      </c>
      <c r="S3068" s="9">
        <f>VLOOKUP(P3068,$T$2:U3065,2,1)</f>
        <v>0.02</v>
      </c>
    </row>
    <row r="3069" spans="1:19" x14ac:dyDescent="0.25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e">
        <f>VLOOKUP(F3069,'Customer Info'!A3061:I3560,2,0)</f>
        <v>#N/A</v>
      </c>
      <c r="H3069" s="6" t="e">
        <f>VLOOKUP(F3069,'Customer Info'!A3061:I3560,3,0)</f>
        <v>#N/A</v>
      </c>
      <c r="I3069" s="6" t="e">
        <f>VLOOKUP(F3069,'Customer Info'!A3061:I3560,5,0)</f>
        <v>#N/A</v>
      </c>
      <c r="J3069" s="2">
        <v>7141</v>
      </c>
      <c r="K3069" s="2">
        <v>6541</v>
      </c>
      <c r="L3069" s="2">
        <v>13</v>
      </c>
      <c r="M3069" s="7">
        <f t="shared" si="188"/>
        <v>85033</v>
      </c>
      <c r="N3069" s="7">
        <f t="shared" si="189"/>
        <v>92833</v>
      </c>
      <c r="O3069" s="2">
        <v>65</v>
      </c>
      <c r="P3069" s="8">
        <f t="shared" si="190"/>
        <v>92898</v>
      </c>
      <c r="Q3069" s="8">
        <f t="shared" si="191"/>
        <v>92768</v>
      </c>
      <c r="R3069" s="2" t="s">
        <v>50</v>
      </c>
      <c r="S3069" s="9">
        <f>VLOOKUP(P3069,$T$2:U3066,2,1)</f>
        <v>0.09</v>
      </c>
    </row>
    <row r="3070" spans="1:19" x14ac:dyDescent="0.25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e">
        <f>VLOOKUP(F3070,'Customer Info'!A3062:I3561,2,0)</f>
        <v>#N/A</v>
      </c>
      <c r="H3070" s="6" t="e">
        <f>VLOOKUP(F3070,'Customer Info'!A3062:I3561,3,0)</f>
        <v>#N/A</v>
      </c>
      <c r="I3070" s="6" t="e">
        <f>VLOOKUP(F3070,'Customer Info'!A3062:I3561,5,0)</f>
        <v>#N/A</v>
      </c>
      <c r="J3070" s="2">
        <v>1686</v>
      </c>
      <c r="K3070" s="2">
        <v>1591</v>
      </c>
      <c r="L3070" s="2">
        <v>1</v>
      </c>
      <c r="M3070" s="7">
        <f t="shared" si="188"/>
        <v>1591</v>
      </c>
      <c r="N3070" s="7">
        <f t="shared" si="189"/>
        <v>1686</v>
      </c>
      <c r="O3070" s="2">
        <v>79</v>
      </c>
      <c r="P3070" s="8">
        <f t="shared" si="190"/>
        <v>1765</v>
      </c>
      <c r="Q3070" s="8">
        <f t="shared" si="191"/>
        <v>1607</v>
      </c>
      <c r="R3070" s="2" t="s">
        <v>50</v>
      </c>
      <c r="S3070" s="9">
        <f>VLOOKUP(P3070,$T$2:U3067,2,1)</f>
        <v>0.02</v>
      </c>
    </row>
    <row r="3071" spans="1:19" x14ac:dyDescent="0.25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e">
        <f>VLOOKUP(F3071,'Customer Info'!A3063:I3562,2,0)</f>
        <v>#N/A</v>
      </c>
      <c r="H3071" s="6" t="e">
        <f>VLOOKUP(F3071,'Customer Info'!A3063:I3562,3,0)</f>
        <v>#N/A</v>
      </c>
      <c r="I3071" s="6" t="e">
        <f>VLOOKUP(F3071,'Customer Info'!A3063:I3562,5,0)</f>
        <v>#N/A</v>
      </c>
      <c r="J3071" s="2">
        <v>1568</v>
      </c>
      <c r="K3071" s="2">
        <v>1495</v>
      </c>
      <c r="L3071" s="2">
        <v>2</v>
      </c>
      <c r="M3071" s="7">
        <f t="shared" si="188"/>
        <v>2990</v>
      </c>
      <c r="N3071" s="7">
        <f t="shared" si="189"/>
        <v>3136</v>
      </c>
      <c r="O3071" s="2">
        <v>36</v>
      </c>
      <c r="P3071" s="8">
        <f t="shared" si="190"/>
        <v>3172</v>
      </c>
      <c r="Q3071" s="8">
        <f t="shared" si="191"/>
        <v>3100</v>
      </c>
      <c r="R3071" s="2" t="s">
        <v>26</v>
      </c>
      <c r="S3071" s="9">
        <f>VLOOKUP(P3071,$T$2:U3068,2,1)</f>
        <v>0.02</v>
      </c>
    </row>
    <row r="3072" spans="1:19" x14ac:dyDescent="0.25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e">
        <f>VLOOKUP(F3072,'Customer Info'!A3064:I3563,2,0)</f>
        <v>#N/A</v>
      </c>
      <c r="H3072" s="6" t="e">
        <f>VLOOKUP(F3072,'Customer Info'!A3064:I3563,3,0)</f>
        <v>#N/A</v>
      </c>
      <c r="I3072" s="6" t="e">
        <f>VLOOKUP(F3072,'Customer Info'!A3064:I3563,5,0)</f>
        <v>#N/A</v>
      </c>
      <c r="J3072" s="2">
        <v>4846</v>
      </c>
      <c r="K3072" s="2">
        <v>4492</v>
      </c>
      <c r="L3072" s="2">
        <v>6</v>
      </c>
      <c r="M3072" s="7">
        <f t="shared" si="188"/>
        <v>26952</v>
      </c>
      <c r="N3072" s="7">
        <f t="shared" si="189"/>
        <v>29076</v>
      </c>
      <c r="O3072" s="2">
        <v>71</v>
      </c>
      <c r="P3072" s="8">
        <f t="shared" si="190"/>
        <v>29147</v>
      </c>
      <c r="Q3072" s="8">
        <f t="shared" si="191"/>
        <v>29005</v>
      </c>
      <c r="R3072" s="2" t="s">
        <v>28</v>
      </c>
      <c r="S3072" s="9">
        <f>VLOOKUP(P3072,$T$2:U3069,2,1)</f>
        <v>7.0000000000000007E-2</v>
      </c>
    </row>
    <row r="3073" spans="1:19" x14ac:dyDescent="0.25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e">
        <f>VLOOKUP(F3073,'Customer Info'!A3065:I3564,2,0)</f>
        <v>#N/A</v>
      </c>
      <c r="H3073" s="6" t="e">
        <f>VLOOKUP(F3073,'Customer Info'!A3065:I3564,3,0)</f>
        <v>#N/A</v>
      </c>
      <c r="I3073" s="6" t="e">
        <f>VLOOKUP(F3073,'Customer Info'!A3065:I3564,5,0)</f>
        <v>#N/A</v>
      </c>
      <c r="J3073" s="2">
        <v>169</v>
      </c>
      <c r="K3073" s="2">
        <v>160</v>
      </c>
      <c r="L3073" s="2">
        <v>3</v>
      </c>
      <c r="M3073" s="7">
        <f t="shared" si="188"/>
        <v>480</v>
      </c>
      <c r="N3073" s="7">
        <f t="shared" si="189"/>
        <v>507</v>
      </c>
      <c r="O3073" s="2">
        <v>30</v>
      </c>
      <c r="P3073" s="8">
        <f t="shared" si="190"/>
        <v>537</v>
      </c>
      <c r="Q3073" s="8">
        <f t="shared" si="191"/>
        <v>477</v>
      </c>
      <c r="R3073" s="2" t="s">
        <v>26</v>
      </c>
      <c r="S3073" s="9">
        <f>VLOOKUP(P3073,$T$2:U3070,2,1)</f>
        <v>0.02</v>
      </c>
    </row>
    <row r="3074" spans="1:19" x14ac:dyDescent="0.25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e">
        <f>VLOOKUP(F3074,'Customer Info'!A3066:I3565,2,0)</f>
        <v>#N/A</v>
      </c>
      <c r="H3074" s="6" t="e">
        <f>VLOOKUP(F3074,'Customer Info'!A3066:I3565,3,0)</f>
        <v>#N/A</v>
      </c>
      <c r="I3074" s="6" t="e">
        <f>VLOOKUP(F3074,'Customer Info'!A3066:I3565,5,0)</f>
        <v>#N/A</v>
      </c>
      <c r="J3074" s="2">
        <v>1482</v>
      </c>
      <c r="K3074" s="2">
        <v>1453</v>
      </c>
      <c r="L3074" s="2">
        <v>1</v>
      </c>
      <c r="M3074" s="7">
        <f t="shared" si="188"/>
        <v>1453</v>
      </c>
      <c r="N3074" s="7">
        <f t="shared" si="189"/>
        <v>1482</v>
      </c>
      <c r="O3074" s="2">
        <v>25</v>
      </c>
      <c r="P3074" s="8">
        <f t="shared" si="190"/>
        <v>1507</v>
      </c>
      <c r="Q3074" s="8">
        <f t="shared" si="191"/>
        <v>1457</v>
      </c>
      <c r="R3074" s="2" t="s">
        <v>28</v>
      </c>
      <c r="S3074" s="9">
        <f>VLOOKUP(P3074,$T$2:U3071,2,1)</f>
        <v>0.02</v>
      </c>
    </row>
    <row r="3075" spans="1:19" x14ac:dyDescent="0.25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e">
        <f>VLOOKUP(F3075,'Customer Info'!A3067:I3566,2,0)</f>
        <v>#N/A</v>
      </c>
      <c r="H3075" s="6" t="e">
        <f>VLOOKUP(F3075,'Customer Info'!A3067:I3566,3,0)</f>
        <v>#N/A</v>
      </c>
      <c r="I3075" s="6" t="e">
        <f>VLOOKUP(F3075,'Customer Info'!A3067:I3566,5,0)</f>
        <v>#N/A</v>
      </c>
      <c r="J3075" s="2">
        <v>129</v>
      </c>
      <c r="K3075" s="2">
        <v>118</v>
      </c>
      <c r="L3075" s="2">
        <v>1</v>
      </c>
      <c r="M3075" s="7">
        <f t="shared" si="188"/>
        <v>118</v>
      </c>
      <c r="N3075" s="7">
        <f t="shared" si="189"/>
        <v>129</v>
      </c>
      <c r="O3075" s="2">
        <v>30</v>
      </c>
      <c r="P3075" s="8">
        <f t="shared" si="190"/>
        <v>159</v>
      </c>
      <c r="Q3075" s="8">
        <f t="shared" si="191"/>
        <v>99</v>
      </c>
      <c r="R3075" s="2" t="s">
        <v>50</v>
      </c>
      <c r="S3075" s="9">
        <f>VLOOKUP(P3075,$T$2:U3072,2,1)</f>
        <v>0.02</v>
      </c>
    </row>
    <row r="3076" spans="1:19" x14ac:dyDescent="0.25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e">
        <f>VLOOKUP(F3076,'Customer Info'!A3068:I3567,2,0)</f>
        <v>#N/A</v>
      </c>
      <c r="H3076" s="6" t="e">
        <f>VLOOKUP(F3076,'Customer Info'!A3068:I3567,3,0)</f>
        <v>#N/A</v>
      </c>
      <c r="I3076" s="6" t="e">
        <f>VLOOKUP(F3076,'Customer Info'!A3068:I3567,5,0)</f>
        <v>#N/A</v>
      </c>
      <c r="J3076" s="2">
        <v>4487</v>
      </c>
      <c r="K3076" s="2">
        <v>4201</v>
      </c>
      <c r="L3076" s="2">
        <v>6</v>
      </c>
      <c r="M3076" s="7">
        <f t="shared" si="188"/>
        <v>25206</v>
      </c>
      <c r="N3076" s="7">
        <f t="shared" si="189"/>
        <v>26922</v>
      </c>
      <c r="O3076" s="2">
        <v>20</v>
      </c>
      <c r="P3076" s="8">
        <f t="shared" si="190"/>
        <v>26942</v>
      </c>
      <c r="Q3076" s="8">
        <f t="shared" si="191"/>
        <v>26902</v>
      </c>
      <c r="R3076" s="2" t="s">
        <v>50</v>
      </c>
      <c r="S3076" s="9">
        <f>VLOOKUP(P3076,$T$2:U3073,2,1)</f>
        <v>7.0000000000000007E-2</v>
      </c>
    </row>
    <row r="3077" spans="1:19" x14ac:dyDescent="0.25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e">
        <f>VLOOKUP(F3077,'Customer Info'!A3069:I3568,2,0)</f>
        <v>#N/A</v>
      </c>
      <c r="H3077" s="6" t="e">
        <f>VLOOKUP(F3077,'Customer Info'!A3069:I3568,3,0)</f>
        <v>#N/A</v>
      </c>
      <c r="I3077" s="6" t="e">
        <f>VLOOKUP(F3077,'Customer Info'!A3069:I3568,5,0)</f>
        <v>#N/A</v>
      </c>
      <c r="J3077" s="2">
        <v>2027</v>
      </c>
      <c r="K3077" s="2">
        <v>1913</v>
      </c>
      <c r="L3077" s="2">
        <v>5</v>
      </c>
      <c r="M3077" s="7">
        <f t="shared" si="188"/>
        <v>9565</v>
      </c>
      <c r="N3077" s="7">
        <f t="shared" si="189"/>
        <v>10135</v>
      </c>
      <c r="O3077" s="2">
        <v>42</v>
      </c>
      <c r="P3077" s="8">
        <f t="shared" si="190"/>
        <v>10177</v>
      </c>
      <c r="Q3077" s="8">
        <f t="shared" si="191"/>
        <v>10093</v>
      </c>
      <c r="R3077" s="2" t="s">
        <v>28</v>
      </c>
      <c r="S3077" s="9">
        <f>VLOOKUP(P3077,$T$2:U3074,2,1)</f>
        <v>0.05</v>
      </c>
    </row>
    <row r="3078" spans="1:19" x14ac:dyDescent="0.25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e">
        <f>VLOOKUP(F3078,'Customer Info'!A3070:I3569,2,0)</f>
        <v>#N/A</v>
      </c>
      <c r="H3078" s="6" t="e">
        <f>VLOOKUP(F3078,'Customer Info'!A3070:I3569,3,0)</f>
        <v>#N/A</v>
      </c>
      <c r="I3078" s="6" t="e">
        <f>VLOOKUP(F3078,'Customer Info'!A3070:I3569,5,0)</f>
        <v>#N/A</v>
      </c>
      <c r="J3078" s="2">
        <v>185</v>
      </c>
      <c r="K3078" s="2">
        <v>174</v>
      </c>
      <c r="L3078" s="2">
        <v>2</v>
      </c>
      <c r="M3078" s="7">
        <f t="shared" si="188"/>
        <v>348</v>
      </c>
      <c r="N3078" s="7">
        <f t="shared" si="189"/>
        <v>370</v>
      </c>
      <c r="O3078" s="2">
        <v>30</v>
      </c>
      <c r="P3078" s="8">
        <f t="shared" si="190"/>
        <v>400</v>
      </c>
      <c r="Q3078" s="8">
        <f t="shared" si="191"/>
        <v>340</v>
      </c>
      <c r="R3078" s="2" t="s">
        <v>26</v>
      </c>
      <c r="S3078" s="9">
        <f>VLOOKUP(P3078,$T$2:U3075,2,1)</f>
        <v>0.02</v>
      </c>
    </row>
    <row r="3079" spans="1:19" x14ac:dyDescent="0.25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e">
        <f>VLOOKUP(F3079,'Customer Info'!A3071:I3570,2,0)</f>
        <v>#N/A</v>
      </c>
      <c r="H3079" s="6" t="e">
        <f>VLOOKUP(F3079,'Customer Info'!A3071:I3570,3,0)</f>
        <v>#N/A</v>
      </c>
      <c r="I3079" s="6" t="e">
        <f>VLOOKUP(F3079,'Customer Info'!A3071:I3570,5,0)</f>
        <v>#N/A</v>
      </c>
      <c r="J3079" s="2">
        <v>2759</v>
      </c>
      <c r="K3079" s="2">
        <v>2628</v>
      </c>
      <c r="L3079" s="2">
        <v>4</v>
      </c>
      <c r="M3079" s="7">
        <f t="shared" si="188"/>
        <v>10512</v>
      </c>
      <c r="N3079" s="7">
        <f t="shared" si="189"/>
        <v>11036</v>
      </c>
      <c r="O3079" s="2">
        <v>21</v>
      </c>
      <c r="P3079" s="8">
        <f t="shared" si="190"/>
        <v>11057</v>
      </c>
      <c r="Q3079" s="8">
        <f t="shared" si="191"/>
        <v>11015</v>
      </c>
      <c r="R3079" s="2" t="s">
        <v>28</v>
      </c>
      <c r="S3079" s="9">
        <f>VLOOKUP(P3079,$T$2:U3076,2,1)</f>
        <v>0.05</v>
      </c>
    </row>
    <row r="3080" spans="1:19" x14ac:dyDescent="0.25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e">
        <f>VLOOKUP(F3080,'Customer Info'!A3072:I3571,2,0)</f>
        <v>#N/A</v>
      </c>
      <c r="H3080" s="6" t="e">
        <f>VLOOKUP(F3080,'Customer Info'!A3072:I3571,3,0)</f>
        <v>#N/A</v>
      </c>
      <c r="I3080" s="6" t="e">
        <f>VLOOKUP(F3080,'Customer Info'!A3072:I3571,5,0)</f>
        <v>#N/A</v>
      </c>
      <c r="J3080" s="2">
        <v>4443</v>
      </c>
      <c r="K3080" s="2">
        <v>4079</v>
      </c>
      <c r="L3080" s="2">
        <v>1</v>
      </c>
      <c r="M3080" s="7">
        <f t="shared" si="188"/>
        <v>4079</v>
      </c>
      <c r="N3080" s="7">
        <f t="shared" si="189"/>
        <v>4443</v>
      </c>
      <c r="O3080" s="2">
        <v>73</v>
      </c>
      <c r="P3080" s="8">
        <f t="shared" si="190"/>
        <v>4516</v>
      </c>
      <c r="Q3080" s="8">
        <f t="shared" si="191"/>
        <v>4370</v>
      </c>
      <c r="R3080" s="2" t="s">
        <v>28</v>
      </c>
      <c r="S3080" s="9">
        <f>VLOOKUP(P3080,$T$2:U3077,2,1)</f>
        <v>0.02</v>
      </c>
    </row>
    <row r="3081" spans="1:19" x14ac:dyDescent="0.25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e">
        <f>VLOOKUP(F3081,'Customer Info'!A3073:I3572,2,0)</f>
        <v>#N/A</v>
      </c>
      <c r="H3081" s="6" t="e">
        <f>VLOOKUP(F3081,'Customer Info'!A3073:I3572,3,0)</f>
        <v>#N/A</v>
      </c>
      <c r="I3081" s="6" t="e">
        <f>VLOOKUP(F3081,'Customer Info'!A3073:I3572,5,0)</f>
        <v>#N/A</v>
      </c>
      <c r="J3081" s="2">
        <v>5848</v>
      </c>
      <c r="K3081" s="2">
        <v>5214</v>
      </c>
      <c r="L3081" s="2">
        <v>6</v>
      </c>
      <c r="M3081" s="7">
        <f t="shared" si="188"/>
        <v>31284</v>
      </c>
      <c r="N3081" s="7">
        <f t="shared" si="189"/>
        <v>35088</v>
      </c>
      <c r="O3081" s="2">
        <v>55</v>
      </c>
      <c r="P3081" s="8">
        <f t="shared" si="190"/>
        <v>35143</v>
      </c>
      <c r="Q3081" s="8">
        <f t="shared" si="191"/>
        <v>35033</v>
      </c>
      <c r="R3081" s="2" t="s">
        <v>28</v>
      </c>
      <c r="S3081" s="9">
        <f>VLOOKUP(P3081,$T$2:U3078,2,1)</f>
        <v>7.0000000000000007E-2</v>
      </c>
    </row>
    <row r="3082" spans="1:19" x14ac:dyDescent="0.25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e">
        <f>VLOOKUP(F3082,'Customer Info'!A3074:I3573,2,0)</f>
        <v>#N/A</v>
      </c>
      <c r="H3082" s="6" t="e">
        <f>VLOOKUP(F3082,'Customer Info'!A3074:I3573,3,0)</f>
        <v>#N/A</v>
      </c>
      <c r="I3082" s="6" t="e">
        <f>VLOOKUP(F3082,'Customer Info'!A3074:I3573,5,0)</f>
        <v>#N/A</v>
      </c>
      <c r="J3082" s="2">
        <v>222</v>
      </c>
      <c r="K3082" s="2">
        <v>204</v>
      </c>
      <c r="L3082" s="2">
        <v>5</v>
      </c>
      <c r="M3082" s="7">
        <f t="shared" si="188"/>
        <v>1020</v>
      </c>
      <c r="N3082" s="7">
        <f t="shared" si="189"/>
        <v>1110</v>
      </c>
      <c r="O3082" s="2">
        <v>74</v>
      </c>
      <c r="P3082" s="8">
        <f t="shared" si="190"/>
        <v>1184</v>
      </c>
      <c r="Q3082" s="8">
        <f t="shared" si="191"/>
        <v>1036</v>
      </c>
      <c r="R3082" s="2" t="s">
        <v>50</v>
      </c>
      <c r="S3082" s="9">
        <f>VLOOKUP(P3082,$T$2:U3079,2,1)</f>
        <v>0.02</v>
      </c>
    </row>
    <row r="3083" spans="1:19" x14ac:dyDescent="0.25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e">
        <f>VLOOKUP(F3083,'Customer Info'!A3075:I3574,2,0)</f>
        <v>#N/A</v>
      </c>
      <c r="H3083" s="6" t="e">
        <f>VLOOKUP(F3083,'Customer Info'!A3075:I3574,3,0)</f>
        <v>#N/A</v>
      </c>
      <c r="I3083" s="6" t="e">
        <f>VLOOKUP(F3083,'Customer Info'!A3075:I3574,5,0)</f>
        <v>#N/A</v>
      </c>
      <c r="J3083" s="2">
        <v>2602</v>
      </c>
      <c r="K3083" s="2">
        <v>2363</v>
      </c>
      <c r="L3083" s="2">
        <v>7</v>
      </c>
      <c r="M3083" s="7">
        <f t="shared" ref="M3083:M3146" si="192">K3083*L3083</f>
        <v>16541</v>
      </c>
      <c r="N3083" s="7">
        <f t="shared" ref="N3083:N3146" si="193">J3083*L3083</f>
        <v>18214</v>
      </c>
      <c r="O3083" s="2">
        <v>73</v>
      </c>
      <c r="P3083" s="8">
        <f t="shared" ref="P3083:P3146" si="194">SUM(N3083,O3083)</f>
        <v>18287</v>
      </c>
      <c r="Q3083" s="8">
        <f t="shared" ref="Q3083:Q3146" si="195">N3083-O3083</f>
        <v>18141</v>
      </c>
      <c r="R3083" s="2" t="s">
        <v>28</v>
      </c>
      <c r="S3083" s="9">
        <f>VLOOKUP(P3083,$T$2:U3080,2,1)</f>
        <v>0.05</v>
      </c>
    </row>
    <row r="3084" spans="1:19" x14ac:dyDescent="0.25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e">
        <f>VLOOKUP(F3084,'Customer Info'!A3076:I3575,2,0)</f>
        <v>#N/A</v>
      </c>
      <c r="H3084" s="6" t="e">
        <f>VLOOKUP(F3084,'Customer Info'!A3076:I3575,3,0)</f>
        <v>#N/A</v>
      </c>
      <c r="I3084" s="6" t="e">
        <f>VLOOKUP(F3084,'Customer Info'!A3076:I3575,5,0)</f>
        <v>#N/A</v>
      </c>
      <c r="J3084" s="2">
        <v>645</v>
      </c>
      <c r="K3084" s="2">
        <v>565</v>
      </c>
      <c r="L3084" s="2">
        <v>4</v>
      </c>
      <c r="M3084" s="7">
        <f t="shared" si="192"/>
        <v>2260</v>
      </c>
      <c r="N3084" s="7">
        <f t="shared" si="193"/>
        <v>2580</v>
      </c>
      <c r="O3084" s="2">
        <v>68</v>
      </c>
      <c r="P3084" s="8">
        <f t="shared" si="194"/>
        <v>2648</v>
      </c>
      <c r="Q3084" s="8">
        <f t="shared" si="195"/>
        <v>2512</v>
      </c>
      <c r="R3084" s="2" t="s">
        <v>28</v>
      </c>
      <c r="S3084" s="9">
        <f>VLOOKUP(P3084,$T$2:U3081,2,1)</f>
        <v>0.02</v>
      </c>
    </row>
    <row r="3085" spans="1:19" x14ac:dyDescent="0.25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e">
        <f>VLOOKUP(F3085,'Customer Info'!A3077:I3576,2,0)</f>
        <v>#N/A</v>
      </c>
      <c r="H3085" s="6" t="e">
        <f>VLOOKUP(F3085,'Customer Info'!A3077:I3576,3,0)</f>
        <v>#N/A</v>
      </c>
      <c r="I3085" s="6" t="e">
        <f>VLOOKUP(F3085,'Customer Info'!A3077:I3576,5,0)</f>
        <v>#N/A</v>
      </c>
      <c r="J3085" s="2">
        <v>8026</v>
      </c>
      <c r="K3085" s="2">
        <v>7572</v>
      </c>
      <c r="L3085" s="2">
        <v>4</v>
      </c>
      <c r="M3085" s="7">
        <f t="shared" si="192"/>
        <v>30288</v>
      </c>
      <c r="N3085" s="7">
        <f t="shared" si="193"/>
        <v>32104</v>
      </c>
      <c r="O3085" s="2">
        <v>34</v>
      </c>
      <c r="P3085" s="8">
        <f t="shared" si="194"/>
        <v>32138</v>
      </c>
      <c r="Q3085" s="8">
        <f t="shared" si="195"/>
        <v>32070</v>
      </c>
      <c r="R3085" s="2" t="s">
        <v>56</v>
      </c>
      <c r="S3085" s="9">
        <f>VLOOKUP(P3085,$T$2:U3082,2,1)</f>
        <v>7.0000000000000007E-2</v>
      </c>
    </row>
    <row r="3086" spans="1:19" x14ac:dyDescent="0.25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e">
        <f>VLOOKUP(F3086,'Customer Info'!A3078:I3577,2,0)</f>
        <v>#N/A</v>
      </c>
      <c r="H3086" s="6" t="e">
        <f>VLOOKUP(F3086,'Customer Info'!A3078:I3577,3,0)</f>
        <v>#N/A</v>
      </c>
      <c r="I3086" s="6" t="e">
        <f>VLOOKUP(F3086,'Customer Info'!A3078:I3577,5,0)</f>
        <v>#N/A</v>
      </c>
      <c r="J3086" s="2">
        <v>1911</v>
      </c>
      <c r="K3086" s="2">
        <v>1785</v>
      </c>
      <c r="L3086" s="2">
        <v>1</v>
      </c>
      <c r="M3086" s="7">
        <f t="shared" si="192"/>
        <v>1785</v>
      </c>
      <c r="N3086" s="7">
        <f t="shared" si="193"/>
        <v>1911</v>
      </c>
      <c r="O3086" s="2">
        <v>78</v>
      </c>
      <c r="P3086" s="8">
        <f t="shared" si="194"/>
        <v>1989</v>
      </c>
      <c r="Q3086" s="8">
        <f t="shared" si="195"/>
        <v>1833</v>
      </c>
      <c r="R3086" s="2" t="s">
        <v>28</v>
      </c>
      <c r="S3086" s="9">
        <f>VLOOKUP(P3086,$T$2:U3083,2,1)</f>
        <v>0.02</v>
      </c>
    </row>
    <row r="3087" spans="1:19" x14ac:dyDescent="0.25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e">
        <f>VLOOKUP(F3087,'Customer Info'!A3079:I3578,2,0)</f>
        <v>#N/A</v>
      </c>
      <c r="H3087" s="6" t="e">
        <f>VLOOKUP(F3087,'Customer Info'!A3079:I3578,3,0)</f>
        <v>#N/A</v>
      </c>
      <c r="I3087" s="6" t="e">
        <f>VLOOKUP(F3087,'Customer Info'!A3079:I3578,5,0)</f>
        <v>#N/A</v>
      </c>
      <c r="J3087" s="2">
        <v>681</v>
      </c>
      <c r="K3087" s="2">
        <v>642</v>
      </c>
      <c r="L3087" s="2">
        <v>4</v>
      </c>
      <c r="M3087" s="7">
        <f t="shared" si="192"/>
        <v>2568</v>
      </c>
      <c r="N3087" s="7">
        <f t="shared" si="193"/>
        <v>2724</v>
      </c>
      <c r="O3087" s="2">
        <v>92</v>
      </c>
      <c r="P3087" s="8">
        <f t="shared" si="194"/>
        <v>2816</v>
      </c>
      <c r="Q3087" s="8">
        <f t="shared" si="195"/>
        <v>2632</v>
      </c>
      <c r="R3087" s="2" t="s">
        <v>28</v>
      </c>
      <c r="S3087" s="9">
        <f>VLOOKUP(P3087,$T$2:U3084,2,1)</f>
        <v>0.02</v>
      </c>
    </row>
    <row r="3088" spans="1:19" x14ac:dyDescent="0.25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e">
        <f>VLOOKUP(F3088,'Customer Info'!A3080:I3579,2,0)</f>
        <v>#N/A</v>
      </c>
      <c r="H3088" s="6" t="e">
        <f>VLOOKUP(F3088,'Customer Info'!A3080:I3579,3,0)</f>
        <v>#N/A</v>
      </c>
      <c r="I3088" s="6" t="e">
        <f>VLOOKUP(F3088,'Customer Info'!A3080:I3579,5,0)</f>
        <v>#N/A</v>
      </c>
      <c r="J3088" s="2">
        <v>69</v>
      </c>
      <c r="K3088" s="2">
        <v>64</v>
      </c>
      <c r="L3088" s="2">
        <v>1</v>
      </c>
      <c r="M3088" s="7">
        <f t="shared" si="192"/>
        <v>64</v>
      </c>
      <c r="N3088" s="7">
        <f t="shared" si="193"/>
        <v>69</v>
      </c>
      <c r="O3088" s="2">
        <v>10</v>
      </c>
      <c r="P3088" s="8">
        <f t="shared" si="194"/>
        <v>79</v>
      </c>
      <c r="Q3088" s="8">
        <f t="shared" si="195"/>
        <v>59</v>
      </c>
      <c r="R3088" s="2" t="s">
        <v>28</v>
      </c>
      <c r="S3088" s="9">
        <f>VLOOKUP(P3088,$T$2:U3085,2,1)</f>
        <v>0.02</v>
      </c>
    </row>
    <row r="3089" spans="1:19" x14ac:dyDescent="0.25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e">
        <f>VLOOKUP(F3089,'Customer Info'!A3081:I3580,2,0)</f>
        <v>#N/A</v>
      </c>
      <c r="H3089" s="6" t="e">
        <f>VLOOKUP(F3089,'Customer Info'!A3081:I3580,3,0)</f>
        <v>#N/A</v>
      </c>
      <c r="I3089" s="6" t="e">
        <f>VLOOKUP(F3089,'Customer Info'!A3081:I3580,5,0)</f>
        <v>#N/A</v>
      </c>
      <c r="J3089" s="2">
        <v>7021</v>
      </c>
      <c r="K3089" s="2">
        <v>6686</v>
      </c>
      <c r="L3089" s="2">
        <v>1</v>
      </c>
      <c r="M3089" s="7">
        <f t="shared" si="192"/>
        <v>6686</v>
      </c>
      <c r="N3089" s="7">
        <f t="shared" si="193"/>
        <v>7021</v>
      </c>
      <c r="O3089" s="2">
        <v>83</v>
      </c>
      <c r="P3089" s="8">
        <f t="shared" si="194"/>
        <v>7104</v>
      </c>
      <c r="Q3089" s="8">
        <f t="shared" si="195"/>
        <v>6938</v>
      </c>
      <c r="R3089" s="2" t="s">
        <v>56</v>
      </c>
      <c r="S3089" s="9">
        <f>VLOOKUP(P3089,$T$2:U3086,2,1)</f>
        <v>0.05</v>
      </c>
    </row>
    <row r="3090" spans="1:19" x14ac:dyDescent="0.25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e">
        <f>VLOOKUP(F3090,'Customer Info'!A3082:I3581,2,0)</f>
        <v>#N/A</v>
      </c>
      <c r="H3090" s="6" t="e">
        <f>VLOOKUP(F3090,'Customer Info'!A3082:I3581,3,0)</f>
        <v>#N/A</v>
      </c>
      <c r="I3090" s="6" t="e">
        <f>VLOOKUP(F3090,'Customer Info'!A3082:I3581,5,0)</f>
        <v>#N/A</v>
      </c>
      <c r="J3090" s="2">
        <v>4832</v>
      </c>
      <c r="K3090" s="2">
        <v>4563</v>
      </c>
      <c r="L3090" s="2">
        <v>3</v>
      </c>
      <c r="M3090" s="7">
        <f t="shared" si="192"/>
        <v>13689</v>
      </c>
      <c r="N3090" s="7">
        <f t="shared" si="193"/>
        <v>14496</v>
      </c>
      <c r="O3090" s="2">
        <v>82</v>
      </c>
      <c r="P3090" s="8">
        <f t="shared" si="194"/>
        <v>14578</v>
      </c>
      <c r="Q3090" s="8">
        <f t="shared" si="195"/>
        <v>14414</v>
      </c>
      <c r="R3090" s="2" t="s">
        <v>50</v>
      </c>
      <c r="S3090" s="9">
        <f>VLOOKUP(P3090,$T$2:U3087,2,1)</f>
        <v>0.05</v>
      </c>
    </row>
    <row r="3091" spans="1:19" x14ac:dyDescent="0.25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e">
        <f>VLOOKUP(F3091,'Customer Info'!A3083:I3582,2,0)</f>
        <v>#N/A</v>
      </c>
      <c r="H3091" s="6" t="e">
        <f>VLOOKUP(F3091,'Customer Info'!A3083:I3582,3,0)</f>
        <v>#N/A</v>
      </c>
      <c r="I3091" s="6" t="e">
        <f>VLOOKUP(F3091,'Customer Info'!A3083:I3582,5,0)</f>
        <v>#N/A</v>
      </c>
      <c r="J3091" s="2">
        <v>206</v>
      </c>
      <c r="K3091" s="2">
        <v>189</v>
      </c>
      <c r="L3091" s="2">
        <v>2</v>
      </c>
      <c r="M3091" s="7">
        <f t="shared" si="192"/>
        <v>378</v>
      </c>
      <c r="N3091" s="7">
        <f t="shared" si="193"/>
        <v>412</v>
      </c>
      <c r="O3091" s="2">
        <v>30</v>
      </c>
      <c r="P3091" s="8">
        <f t="shared" si="194"/>
        <v>442</v>
      </c>
      <c r="Q3091" s="8">
        <f t="shared" si="195"/>
        <v>382</v>
      </c>
      <c r="R3091" s="2" t="s">
        <v>28</v>
      </c>
      <c r="S3091" s="9">
        <f>VLOOKUP(P3091,$T$2:U3088,2,1)</f>
        <v>0.02</v>
      </c>
    </row>
    <row r="3092" spans="1:19" x14ac:dyDescent="0.25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e">
        <f>VLOOKUP(F3092,'Customer Info'!A3084:I3583,2,0)</f>
        <v>#N/A</v>
      </c>
      <c r="H3092" s="6" t="e">
        <f>VLOOKUP(F3092,'Customer Info'!A3084:I3583,3,0)</f>
        <v>#N/A</v>
      </c>
      <c r="I3092" s="6" t="e">
        <f>VLOOKUP(F3092,'Customer Info'!A3084:I3583,5,0)</f>
        <v>#N/A</v>
      </c>
      <c r="J3092" s="2">
        <v>773</v>
      </c>
      <c r="K3092" s="2">
        <v>708</v>
      </c>
      <c r="L3092" s="2">
        <v>1</v>
      </c>
      <c r="M3092" s="7">
        <f t="shared" si="192"/>
        <v>708</v>
      </c>
      <c r="N3092" s="7">
        <f t="shared" si="193"/>
        <v>773</v>
      </c>
      <c r="O3092" s="2">
        <v>42</v>
      </c>
      <c r="P3092" s="8">
        <f t="shared" si="194"/>
        <v>815</v>
      </c>
      <c r="Q3092" s="8">
        <f t="shared" si="195"/>
        <v>731</v>
      </c>
      <c r="R3092" s="2" t="s">
        <v>50</v>
      </c>
      <c r="S3092" s="9">
        <f>VLOOKUP(P3092,$T$2:U3089,2,1)</f>
        <v>0.02</v>
      </c>
    </row>
    <row r="3093" spans="1:19" x14ac:dyDescent="0.25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e">
        <f>VLOOKUP(F3093,'Customer Info'!A3085:I3584,2,0)</f>
        <v>#N/A</v>
      </c>
      <c r="H3093" s="6" t="e">
        <f>VLOOKUP(F3093,'Customer Info'!A3085:I3584,3,0)</f>
        <v>#N/A</v>
      </c>
      <c r="I3093" s="6" t="e">
        <f>VLOOKUP(F3093,'Customer Info'!A3085:I3584,5,0)</f>
        <v>#N/A</v>
      </c>
      <c r="J3093" s="2">
        <v>4577</v>
      </c>
      <c r="K3093" s="2">
        <v>4285</v>
      </c>
      <c r="L3093" s="2">
        <v>2</v>
      </c>
      <c r="M3093" s="7">
        <f t="shared" si="192"/>
        <v>8570</v>
      </c>
      <c r="N3093" s="7">
        <f t="shared" si="193"/>
        <v>9154</v>
      </c>
      <c r="O3093" s="2">
        <v>84</v>
      </c>
      <c r="P3093" s="8">
        <f t="shared" si="194"/>
        <v>9238</v>
      </c>
      <c r="Q3093" s="8">
        <f t="shared" si="195"/>
        <v>9070</v>
      </c>
      <c r="R3093" s="2" t="s">
        <v>50</v>
      </c>
      <c r="S3093" s="9">
        <f>VLOOKUP(P3093,$T$2:U3090,2,1)</f>
        <v>0.05</v>
      </c>
    </row>
    <row r="3094" spans="1:19" x14ac:dyDescent="0.25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e">
        <f>VLOOKUP(F3094,'Customer Info'!A3086:I3585,2,0)</f>
        <v>#N/A</v>
      </c>
      <c r="H3094" s="6" t="e">
        <f>VLOOKUP(F3094,'Customer Info'!A3086:I3585,3,0)</f>
        <v>#N/A</v>
      </c>
      <c r="I3094" s="6" t="e">
        <f>VLOOKUP(F3094,'Customer Info'!A3086:I3585,5,0)</f>
        <v>#N/A</v>
      </c>
      <c r="J3094" s="2">
        <v>2083</v>
      </c>
      <c r="K3094" s="2">
        <v>2004</v>
      </c>
      <c r="L3094" s="2">
        <v>1</v>
      </c>
      <c r="M3094" s="7">
        <f t="shared" si="192"/>
        <v>2004</v>
      </c>
      <c r="N3094" s="7">
        <f t="shared" si="193"/>
        <v>2083</v>
      </c>
      <c r="O3094" s="2">
        <v>35</v>
      </c>
      <c r="P3094" s="8">
        <f t="shared" si="194"/>
        <v>2118</v>
      </c>
      <c r="Q3094" s="8">
        <f t="shared" si="195"/>
        <v>2048</v>
      </c>
      <c r="R3094" s="2" t="s">
        <v>28</v>
      </c>
      <c r="S3094" s="9">
        <f>VLOOKUP(P3094,$T$2:U3091,2,1)</f>
        <v>0.02</v>
      </c>
    </row>
    <row r="3095" spans="1:19" x14ac:dyDescent="0.25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e">
        <f>VLOOKUP(F3095,'Customer Info'!A3087:I3586,2,0)</f>
        <v>#N/A</v>
      </c>
      <c r="H3095" s="6" t="e">
        <f>VLOOKUP(F3095,'Customer Info'!A3087:I3586,3,0)</f>
        <v>#N/A</v>
      </c>
      <c r="I3095" s="6" t="e">
        <f>VLOOKUP(F3095,'Customer Info'!A3087:I3586,5,0)</f>
        <v>#N/A</v>
      </c>
      <c r="J3095" s="2">
        <v>164</v>
      </c>
      <c r="K3095" s="2">
        <v>152</v>
      </c>
      <c r="L3095" s="2">
        <v>3</v>
      </c>
      <c r="M3095" s="7">
        <f t="shared" si="192"/>
        <v>456</v>
      </c>
      <c r="N3095" s="7">
        <f t="shared" si="193"/>
        <v>492</v>
      </c>
      <c r="O3095" s="2">
        <v>30</v>
      </c>
      <c r="P3095" s="8">
        <f t="shared" si="194"/>
        <v>522</v>
      </c>
      <c r="Q3095" s="8">
        <f t="shared" si="195"/>
        <v>462</v>
      </c>
      <c r="R3095" s="2" t="s">
        <v>50</v>
      </c>
      <c r="S3095" s="9">
        <f>VLOOKUP(P3095,$T$2:U3092,2,1)</f>
        <v>0.02</v>
      </c>
    </row>
    <row r="3096" spans="1:19" x14ac:dyDescent="0.25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e">
        <f>VLOOKUP(F3096,'Customer Info'!A3088:I3587,2,0)</f>
        <v>#N/A</v>
      </c>
      <c r="H3096" s="6" t="e">
        <f>VLOOKUP(F3096,'Customer Info'!A3088:I3587,3,0)</f>
        <v>#N/A</v>
      </c>
      <c r="I3096" s="6" t="e">
        <f>VLOOKUP(F3096,'Customer Info'!A3088:I3587,5,0)</f>
        <v>#N/A</v>
      </c>
      <c r="J3096" s="2">
        <v>288</v>
      </c>
      <c r="K3096" s="2">
        <v>264</v>
      </c>
      <c r="L3096" s="2">
        <v>2</v>
      </c>
      <c r="M3096" s="7">
        <f t="shared" si="192"/>
        <v>528</v>
      </c>
      <c r="N3096" s="7">
        <f t="shared" si="193"/>
        <v>576</v>
      </c>
      <c r="O3096" s="2">
        <v>64</v>
      </c>
      <c r="P3096" s="8">
        <f t="shared" si="194"/>
        <v>640</v>
      </c>
      <c r="Q3096" s="8">
        <f t="shared" si="195"/>
        <v>512</v>
      </c>
      <c r="R3096" s="2" t="s">
        <v>28</v>
      </c>
      <c r="S3096" s="9">
        <f>VLOOKUP(P3096,$T$2:U3093,2,1)</f>
        <v>0.02</v>
      </c>
    </row>
    <row r="3097" spans="1:19" x14ac:dyDescent="0.25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e">
        <f>VLOOKUP(F3097,'Customer Info'!A3089:I3588,2,0)</f>
        <v>#N/A</v>
      </c>
      <c r="H3097" s="6" t="e">
        <f>VLOOKUP(F3097,'Customer Info'!A3089:I3588,3,0)</f>
        <v>#N/A</v>
      </c>
      <c r="I3097" s="6" t="e">
        <f>VLOOKUP(F3097,'Customer Info'!A3089:I3588,5,0)</f>
        <v>#N/A</v>
      </c>
      <c r="J3097" s="2">
        <v>3408</v>
      </c>
      <c r="K3097" s="2">
        <v>3215</v>
      </c>
      <c r="L3097" s="2">
        <v>2</v>
      </c>
      <c r="M3097" s="7">
        <f t="shared" si="192"/>
        <v>6430</v>
      </c>
      <c r="N3097" s="7">
        <f t="shared" si="193"/>
        <v>6816</v>
      </c>
      <c r="O3097" s="2">
        <v>57</v>
      </c>
      <c r="P3097" s="8">
        <f t="shared" si="194"/>
        <v>6873</v>
      </c>
      <c r="Q3097" s="8">
        <f t="shared" si="195"/>
        <v>6759</v>
      </c>
      <c r="R3097" s="2" t="s">
        <v>28</v>
      </c>
      <c r="S3097" s="9">
        <f>VLOOKUP(P3097,$T$2:U3094,2,1)</f>
        <v>0.05</v>
      </c>
    </row>
    <row r="3098" spans="1:19" x14ac:dyDescent="0.25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e">
        <f>VLOOKUP(F3098,'Customer Info'!A3090:I3589,2,0)</f>
        <v>#N/A</v>
      </c>
      <c r="H3098" s="6" t="e">
        <f>VLOOKUP(F3098,'Customer Info'!A3090:I3589,3,0)</f>
        <v>#N/A</v>
      </c>
      <c r="I3098" s="6" t="e">
        <f>VLOOKUP(F3098,'Customer Info'!A3090:I3589,5,0)</f>
        <v>#N/A</v>
      </c>
      <c r="J3098" s="2">
        <v>7658</v>
      </c>
      <c r="K3098" s="2">
        <v>7026</v>
      </c>
      <c r="L3098" s="2">
        <v>2</v>
      </c>
      <c r="M3098" s="7">
        <f t="shared" si="192"/>
        <v>14052</v>
      </c>
      <c r="N3098" s="7">
        <f t="shared" si="193"/>
        <v>15316</v>
      </c>
      <c r="O3098" s="2">
        <v>23</v>
      </c>
      <c r="P3098" s="8">
        <f t="shared" si="194"/>
        <v>15339</v>
      </c>
      <c r="Q3098" s="8">
        <f t="shared" si="195"/>
        <v>15293</v>
      </c>
      <c r="R3098" s="2" t="s">
        <v>50</v>
      </c>
      <c r="S3098" s="9">
        <f>VLOOKUP(P3098,$T$2:U3095,2,1)</f>
        <v>0.05</v>
      </c>
    </row>
    <row r="3099" spans="1:19" x14ac:dyDescent="0.25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e">
        <f>VLOOKUP(F3099,'Customer Info'!A3091:I3590,2,0)</f>
        <v>#N/A</v>
      </c>
      <c r="H3099" s="6" t="e">
        <f>VLOOKUP(F3099,'Customer Info'!A3091:I3590,3,0)</f>
        <v>#N/A</v>
      </c>
      <c r="I3099" s="6" t="e">
        <f>VLOOKUP(F3099,'Customer Info'!A3091:I3590,5,0)</f>
        <v>#N/A</v>
      </c>
      <c r="J3099" s="2">
        <v>1441</v>
      </c>
      <c r="K3099" s="2">
        <v>1360</v>
      </c>
      <c r="L3099" s="2">
        <v>4</v>
      </c>
      <c r="M3099" s="7">
        <f t="shared" si="192"/>
        <v>5440</v>
      </c>
      <c r="N3099" s="7">
        <f t="shared" si="193"/>
        <v>5764</v>
      </c>
      <c r="O3099" s="2">
        <v>77</v>
      </c>
      <c r="P3099" s="8">
        <f t="shared" si="194"/>
        <v>5841</v>
      </c>
      <c r="Q3099" s="8">
        <f t="shared" si="195"/>
        <v>5687</v>
      </c>
      <c r="R3099" s="2" t="s">
        <v>28</v>
      </c>
      <c r="S3099" s="9">
        <f>VLOOKUP(P3099,$T$2:U3096,2,1)</f>
        <v>0.05</v>
      </c>
    </row>
    <row r="3100" spans="1:19" x14ac:dyDescent="0.25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e">
        <f>VLOOKUP(F3100,'Customer Info'!A3092:I3591,2,0)</f>
        <v>#N/A</v>
      </c>
      <c r="H3100" s="6" t="e">
        <f>VLOOKUP(F3100,'Customer Info'!A3092:I3591,3,0)</f>
        <v>#N/A</v>
      </c>
      <c r="I3100" s="6" t="e">
        <f>VLOOKUP(F3100,'Customer Info'!A3092:I3591,5,0)</f>
        <v>#N/A</v>
      </c>
      <c r="J3100" s="2">
        <v>2864</v>
      </c>
      <c r="K3100" s="2">
        <v>2754</v>
      </c>
      <c r="L3100" s="2">
        <v>3</v>
      </c>
      <c r="M3100" s="7">
        <f t="shared" si="192"/>
        <v>8262</v>
      </c>
      <c r="N3100" s="7">
        <f t="shared" si="193"/>
        <v>8592</v>
      </c>
      <c r="O3100" s="2">
        <v>33</v>
      </c>
      <c r="P3100" s="8">
        <f t="shared" si="194"/>
        <v>8625</v>
      </c>
      <c r="Q3100" s="8">
        <f t="shared" si="195"/>
        <v>8559</v>
      </c>
      <c r="R3100" s="2" t="s">
        <v>26</v>
      </c>
      <c r="S3100" s="9">
        <f>VLOOKUP(P3100,$T$2:U3097,2,1)</f>
        <v>0.05</v>
      </c>
    </row>
    <row r="3101" spans="1:19" x14ac:dyDescent="0.25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e">
        <f>VLOOKUP(F3101,'Customer Info'!A3093:I3592,2,0)</f>
        <v>#N/A</v>
      </c>
      <c r="H3101" s="6" t="e">
        <f>VLOOKUP(F3101,'Customer Info'!A3093:I3592,3,0)</f>
        <v>#N/A</v>
      </c>
      <c r="I3101" s="6" t="e">
        <f>VLOOKUP(F3101,'Customer Info'!A3093:I3592,5,0)</f>
        <v>#N/A</v>
      </c>
      <c r="J3101" s="2">
        <v>1545</v>
      </c>
      <c r="K3101" s="2">
        <v>1486</v>
      </c>
      <c r="L3101" s="2">
        <v>3</v>
      </c>
      <c r="M3101" s="7">
        <f t="shared" si="192"/>
        <v>4458</v>
      </c>
      <c r="N3101" s="7">
        <f t="shared" si="193"/>
        <v>4635</v>
      </c>
      <c r="O3101" s="2">
        <v>82</v>
      </c>
      <c r="P3101" s="8">
        <f t="shared" si="194"/>
        <v>4717</v>
      </c>
      <c r="Q3101" s="8">
        <f t="shared" si="195"/>
        <v>4553</v>
      </c>
      <c r="R3101" s="2" t="s">
        <v>28</v>
      </c>
      <c r="S3101" s="9">
        <f>VLOOKUP(P3101,$T$2:U3098,2,1)</f>
        <v>0.02</v>
      </c>
    </row>
    <row r="3102" spans="1:19" x14ac:dyDescent="0.25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e">
        <f>VLOOKUP(F3102,'Customer Info'!A3094:I3593,2,0)</f>
        <v>#N/A</v>
      </c>
      <c r="H3102" s="6" t="e">
        <f>VLOOKUP(F3102,'Customer Info'!A3094:I3593,3,0)</f>
        <v>#N/A</v>
      </c>
      <c r="I3102" s="6" t="e">
        <f>VLOOKUP(F3102,'Customer Info'!A3094:I3593,5,0)</f>
        <v>#N/A</v>
      </c>
      <c r="J3102" s="2">
        <v>188</v>
      </c>
      <c r="K3102" s="2">
        <v>173</v>
      </c>
      <c r="L3102" s="2">
        <v>5</v>
      </c>
      <c r="M3102" s="7">
        <f t="shared" si="192"/>
        <v>865</v>
      </c>
      <c r="N3102" s="7">
        <f t="shared" si="193"/>
        <v>940</v>
      </c>
      <c r="O3102" s="2">
        <v>30</v>
      </c>
      <c r="P3102" s="8">
        <f t="shared" si="194"/>
        <v>970</v>
      </c>
      <c r="Q3102" s="8">
        <f t="shared" si="195"/>
        <v>910</v>
      </c>
      <c r="R3102" s="2" t="s">
        <v>28</v>
      </c>
      <c r="S3102" s="9">
        <f>VLOOKUP(P3102,$T$2:U3099,2,1)</f>
        <v>0.02</v>
      </c>
    </row>
    <row r="3103" spans="1:19" x14ac:dyDescent="0.25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e">
        <f>VLOOKUP(F3103,'Customer Info'!A3095:I3594,2,0)</f>
        <v>#N/A</v>
      </c>
      <c r="H3103" s="6" t="e">
        <f>VLOOKUP(F3103,'Customer Info'!A3095:I3594,3,0)</f>
        <v>#N/A</v>
      </c>
      <c r="I3103" s="6" t="e">
        <f>VLOOKUP(F3103,'Customer Info'!A3095:I3594,5,0)</f>
        <v>#N/A</v>
      </c>
      <c r="J3103" s="2">
        <v>7691</v>
      </c>
      <c r="K3103" s="2">
        <v>7255</v>
      </c>
      <c r="L3103" s="2">
        <v>2</v>
      </c>
      <c r="M3103" s="7">
        <f t="shared" si="192"/>
        <v>14510</v>
      </c>
      <c r="N3103" s="7">
        <f t="shared" si="193"/>
        <v>15382</v>
      </c>
      <c r="O3103" s="2">
        <v>34</v>
      </c>
      <c r="P3103" s="8">
        <f t="shared" si="194"/>
        <v>15416</v>
      </c>
      <c r="Q3103" s="8">
        <f t="shared" si="195"/>
        <v>15348</v>
      </c>
      <c r="R3103" s="2" t="s">
        <v>28</v>
      </c>
      <c r="S3103" s="9">
        <f>VLOOKUP(P3103,$T$2:U3100,2,1)</f>
        <v>0.05</v>
      </c>
    </row>
    <row r="3104" spans="1:19" x14ac:dyDescent="0.25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e">
        <f>VLOOKUP(F3104,'Customer Info'!A3096:I3595,2,0)</f>
        <v>#N/A</v>
      </c>
      <c r="H3104" s="6" t="e">
        <f>VLOOKUP(F3104,'Customer Info'!A3096:I3595,3,0)</f>
        <v>#N/A</v>
      </c>
      <c r="I3104" s="6" t="e">
        <f>VLOOKUP(F3104,'Customer Info'!A3096:I3595,5,0)</f>
        <v>#N/A</v>
      </c>
      <c r="J3104" s="2">
        <v>1103</v>
      </c>
      <c r="K3104" s="2">
        <v>1030</v>
      </c>
      <c r="L3104" s="2">
        <v>4</v>
      </c>
      <c r="M3104" s="7">
        <f t="shared" si="192"/>
        <v>4120</v>
      </c>
      <c r="N3104" s="7">
        <f t="shared" si="193"/>
        <v>4412</v>
      </c>
      <c r="O3104" s="2">
        <v>65</v>
      </c>
      <c r="P3104" s="8">
        <f t="shared" si="194"/>
        <v>4477</v>
      </c>
      <c r="Q3104" s="8">
        <f t="shared" si="195"/>
        <v>4347</v>
      </c>
      <c r="R3104" s="2" t="s">
        <v>26</v>
      </c>
      <c r="S3104" s="9">
        <f>VLOOKUP(P3104,$T$2:U3101,2,1)</f>
        <v>0.02</v>
      </c>
    </row>
    <row r="3105" spans="1:19" x14ac:dyDescent="0.25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e">
        <f>VLOOKUP(F3105,'Customer Info'!A3097:I3596,2,0)</f>
        <v>#N/A</v>
      </c>
      <c r="H3105" s="6" t="e">
        <f>VLOOKUP(F3105,'Customer Info'!A3097:I3596,3,0)</f>
        <v>#N/A</v>
      </c>
      <c r="I3105" s="6" t="e">
        <f>VLOOKUP(F3105,'Customer Info'!A3097:I3596,5,0)</f>
        <v>#N/A</v>
      </c>
      <c r="J3105" s="2">
        <v>1601</v>
      </c>
      <c r="K3105" s="2">
        <v>1510</v>
      </c>
      <c r="L3105" s="2">
        <v>2</v>
      </c>
      <c r="M3105" s="7">
        <f t="shared" si="192"/>
        <v>3020</v>
      </c>
      <c r="N3105" s="7">
        <f t="shared" si="193"/>
        <v>3202</v>
      </c>
      <c r="O3105" s="2">
        <v>28</v>
      </c>
      <c r="P3105" s="8">
        <f t="shared" si="194"/>
        <v>3230</v>
      </c>
      <c r="Q3105" s="8">
        <f t="shared" si="195"/>
        <v>3174</v>
      </c>
      <c r="R3105" s="2" t="s">
        <v>50</v>
      </c>
      <c r="S3105" s="9">
        <f>VLOOKUP(P3105,$T$2:U3102,2,1)</f>
        <v>0.02</v>
      </c>
    </row>
    <row r="3106" spans="1:19" x14ac:dyDescent="0.25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e">
        <f>VLOOKUP(F3106,'Customer Info'!A3098:I3597,2,0)</f>
        <v>#N/A</v>
      </c>
      <c r="H3106" s="6" t="e">
        <f>VLOOKUP(F3106,'Customer Info'!A3098:I3597,3,0)</f>
        <v>#N/A</v>
      </c>
      <c r="I3106" s="6" t="e">
        <f>VLOOKUP(F3106,'Customer Info'!A3098:I3597,5,0)</f>
        <v>#N/A</v>
      </c>
      <c r="J3106" s="2">
        <v>147</v>
      </c>
      <c r="K3106" s="2">
        <v>138</v>
      </c>
      <c r="L3106" s="2">
        <v>2</v>
      </c>
      <c r="M3106" s="7">
        <f t="shared" si="192"/>
        <v>276</v>
      </c>
      <c r="N3106" s="7">
        <f t="shared" si="193"/>
        <v>294</v>
      </c>
      <c r="O3106" s="2">
        <v>30</v>
      </c>
      <c r="P3106" s="8">
        <f t="shared" si="194"/>
        <v>324</v>
      </c>
      <c r="Q3106" s="8">
        <f t="shared" si="195"/>
        <v>264</v>
      </c>
      <c r="R3106" s="2" t="s">
        <v>50</v>
      </c>
      <c r="S3106" s="9">
        <f>VLOOKUP(P3106,$T$2:U3103,2,1)</f>
        <v>0.02</v>
      </c>
    </row>
    <row r="3107" spans="1:19" x14ac:dyDescent="0.25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e">
        <f>VLOOKUP(F3107,'Customer Info'!A3099:I3598,2,0)</f>
        <v>#N/A</v>
      </c>
      <c r="H3107" s="6" t="e">
        <f>VLOOKUP(F3107,'Customer Info'!A3099:I3598,3,0)</f>
        <v>#N/A</v>
      </c>
      <c r="I3107" s="6" t="e">
        <f>VLOOKUP(F3107,'Customer Info'!A3099:I3598,5,0)</f>
        <v>#N/A</v>
      </c>
      <c r="J3107" s="2">
        <v>932</v>
      </c>
      <c r="K3107" s="2">
        <v>838</v>
      </c>
      <c r="L3107" s="2">
        <v>3</v>
      </c>
      <c r="M3107" s="7">
        <f t="shared" si="192"/>
        <v>2514</v>
      </c>
      <c r="N3107" s="7">
        <f t="shared" si="193"/>
        <v>2796</v>
      </c>
      <c r="O3107" s="2">
        <v>81</v>
      </c>
      <c r="P3107" s="8">
        <f t="shared" si="194"/>
        <v>2877</v>
      </c>
      <c r="Q3107" s="8">
        <f t="shared" si="195"/>
        <v>2715</v>
      </c>
      <c r="R3107" s="2" t="s">
        <v>28</v>
      </c>
      <c r="S3107" s="9">
        <f>VLOOKUP(P3107,$T$2:U3104,2,1)</f>
        <v>0.02</v>
      </c>
    </row>
    <row r="3108" spans="1:19" x14ac:dyDescent="0.25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e">
        <f>VLOOKUP(F3108,'Customer Info'!A3100:I3599,2,0)</f>
        <v>#N/A</v>
      </c>
      <c r="H3108" s="6" t="e">
        <f>VLOOKUP(F3108,'Customer Info'!A3100:I3599,3,0)</f>
        <v>#N/A</v>
      </c>
      <c r="I3108" s="6" t="e">
        <f>VLOOKUP(F3108,'Customer Info'!A3100:I3599,5,0)</f>
        <v>#N/A</v>
      </c>
      <c r="J3108" s="2">
        <v>1358</v>
      </c>
      <c r="K3108" s="2">
        <v>1294</v>
      </c>
      <c r="L3108" s="2">
        <v>1</v>
      </c>
      <c r="M3108" s="7">
        <f t="shared" si="192"/>
        <v>1294</v>
      </c>
      <c r="N3108" s="7">
        <f t="shared" si="193"/>
        <v>1358</v>
      </c>
      <c r="O3108" s="2">
        <v>56</v>
      </c>
      <c r="P3108" s="8">
        <f t="shared" si="194"/>
        <v>1414</v>
      </c>
      <c r="Q3108" s="8">
        <f t="shared" si="195"/>
        <v>1302</v>
      </c>
      <c r="R3108" s="2" t="s">
        <v>28</v>
      </c>
      <c r="S3108" s="9">
        <f>VLOOKUP(P3108,$T$2:U3105,2,1)</f>
        <v>0.02</v>
      </c>
    </row>
    <row r="3109" spans="1:19" x14ac:dyDescent="0.25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e">
        <f>VLOOKUP(F3109,'Customer Info'!A3101:I3600,2,0)</f>
        <v>#N/A</v>
      </c>
      <c r="H3109" s="6" t="e">
        <f>VLOOKUP(F3109,'Customer Info'!A3101:I3600,3,0)</f>
        <v>#N/A</v>
      </c>
      <c r="I3109" s="6" t="e">
        <f>VLOOKUP(F3109,'Customer Info'!A3101:I3600,5,0)</f>
        <v>#N/A</v>
      </c>
      <c r="J3109" s="2">
        <v>1060</v>
      </c>
      <c r="K3109" s="2">
        <v>964</v>
      </c>
      <c r="L3109" s="2">
        <v>5</v>
      </c>
      <c r="M3109" s="7">
        <f t="shared" si="192"/>
        <v>4820</v>
      </c>
      <c r="N3109" s="7">
        <f t="shared" si="193"/>
        <v>5300</v>
      </c>
      <c r="O3109" s="2">
        <v>69</v>
      </c>
      <c r="P3109" s="8">
        <f t="shared" si="194"/>
        <v>5369</v>
      </c>
      <c r="Q3109" s="8">
        <f t="shared" si="195"/>
        <v>5231</v>
      </c>
      <c r="R3109" s="2" t="s">
        <v>50</v>
      </c>
      <c r="S3109" s="9">
        <f>VLOOKUP(P3109,$T$2:U3106,2,1)</f>
        <v>0.05</v>
      </c>
    </row>
    <row r="3110" spans="1:19" x14ac:dyDescent="0.25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e">
        <f>VLOOKUP(F3110,'Customer Info'!A3102:I3601,2,0)</f>
        <v>#N/A</v>
      </c>
      <c r="H3110" s="6" t="e">
        <f>VLOOKUP(F3110,'Customer Info'!A3102:I3601,3,0)</f>
        <v>#N/A</v>
      </c>
      <c r="I3110" s="6" t="e">
        <f>VLOOKUP(F3110,'Customer Info'!A3102:I3601,5,0)</f>
        <v>#N/A</v>
      </c>
      <c r="J3110" s="2">
        <v>6520</v>
      </c>
      <c r="K3110" s="2">
        <v>5985</v>
      </c>
      <c r="L3110" s="2">
        <v>4</v>
      </c>
      <c r="M3110" s="7">
        <f t="shared" si="192"/>
        <v>23940</v>
      </c>
      <c r="N3110" s="7">
        <f t="shared" si="193"/>
        <v>26080</v>
      </c>
      <c r="O3110" s="2">
        <v>21</v>
      </c>
      <c r="P3110" s="8">
        <f t="shared" si="194"/>
        <v>26101</v>
      </c>
      <c r="Q3110" s="8">
        <f t="shared" si="195"/>
        <v>26059</v>
      </c>
      <c r="R3110" s="2" t="s">
        <v>50</v>
      </c>
      <c r="S3110" s="9">
        <f>VLOOKUP(P3110,$T$2:U3107,2,1)</f>
        <v>7.0000000000000007E-2</v>
      </c>
    </row>
    <row r="3111" spans="1:19" x14ac:dyDescent="0.25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e">
        <f>VLOOKUP(F3111,'Customer Info'!A3103:I3602,2,0)</f>
        <v>#N/A</v>
      </c>
      <c r="H3111" s="6" t="e">
        <f>VLOOKUP(F3111,'Customer Info'!A3103:I3602,3,0)</f>
        <v>#N/A</v>
      </c>
      <c r="I3111" s="6" t="e">
        <f>VLOOKUP(F3111,'Customer Info'!A3103:I3602,5,0)</f>
        <v>#N/A</v>
      </c>
      <c r="J3111" s="2">
        <v>8630</v>
      </c>
      <c r="K3111" s="2">
        <v>8303</v>
      </c>
      <c r="L3111" s="2">
        <v>2</v>
      </c>
      <c r="M3111" s="7">
        <f t="shared" si="192"/>
        <v>16606</v>
      </c>
      <c r="N3111" s="7">
        <f t="shared" si="193"/>
        <v>17260</v>
      </c>
      <c r="O3111" s="2">
        <v>98</v>
      </c>
      <c r="P3111" s="8">
        <f t="shared" si="194"/>
        <v>17358</v>
      </c>
      <c r="Q3111" s="8">
        <f t="shared" si="195"/>
        <v>17162</v>
      </c>
      <c r="R3111" s="2" t="s">
        <v>28</v>
      </c>
      <c r="S3111" s="9">
        <f>VLOOKUP(P3111,$T$2:U3108,2,1)</f>
        <v>0.05</v>
      </c>
    </row>
    <row r="3112" spans="1:19" x14ac:dyDescent="0.25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e">
        <f>VLOOKUP(F3112,'Customer Info'!A3104:I3603,2,0)</f>
        <v>#N/A</v>
      </c>
      <c r="H3112" s="6" t="e">
        <f>VLOOKUP(F3112,'Customer Info'!A3104:I3603,3,0)</f>
        <v>#N/A</v>
      </c>
      <c r="I3112" s="6" t="e">
        <f>VLOOKUP(F3112,'Customer Info'!A3104:I3603,5,0)</f>
        <v>#N/A</v>
      </c>
      <c r="J3112" s="2">
        <v>968</v>
      </c>
      <c r="K3112" s="2">
        <v>913</v>
      </c>
      <c r="L3112" s="2">
        <v>2</v>
      </c>
      <c r="M3112" s="7">
        <f t="shared" si="192"/>
        <v>1826</v>
      </c>
      <c r="N3112" s="7">
        <f t="shared" si="193"/>
        <v>1936</v>
      </c>
      <c r="O3112" s="2">
        <v>28</v>
      </c>
      <c r="P3112" s="8">
        <f t="shared" si="194"/>
        <v>1964</v>
      </c>
      <c r="Q3112" s="8">
        <f t="shared" si="195"/>
        <v>1908</v>
      </c>
      <c r="R3112" s="2" t="s">
        <v>28</v>
      </c>
      <c r="S3112" s="9">
        <f>VLOOKUP(P3112,$T$2:U3109,2,1)</f>
        <v>0.02</v>
      </c>
    </row>
    <row r="3113" spans="1:19" x14ac:dyDescent="0.25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e">
        <f>VLOOKUP(F3113,'Customer Info'!A3105:I3604,2,0)</f>
        <v>#N/A</v>
      </c>
      <c r="H3113" s="6" t="e">
        <f>VLOOKUP(F3113,'Customer Info'!A3105:I3604,3,0)</f>
        <v>#N/A</v>
      </c>
      <c r="I3113" s="6" t="e">
        <f>VLOOKUP(F3113,'Customer Info'!A3105:I3604,5,0)</f>
        <v>#N/A</v>
      </c>
      <c r="J3113" s="2">
        <v>1169</v>
      </c>
      <c r="K3113" s="2">
        <v>1072</v>
      </c>
      <c r="L3113" s="2">
        <v>2</v>
      </c>
      <c r="M3113" s="7">
        <f t="shared" si="192"/>
        <v>2144</v>
      </c>
      <c r="N3113" s="7">
        <f t="shared" si="193"/>
        <v>2338</v>
      </c>
      <c r="O3113" s="2">
        <v>87</v>
      </c>
      <c r="P3113" s="8">
        <f t="shared" si="194"/>
        <v>2425</v>
      </c>
      <c r="Q3113" s="8">
        <f t="shared" si="195"/>
        <v>2251</v>
      </c>
      <c r="R3113" s="2" t="s">
        <v>28</v>
      </c>
      <c r="S3113" s="9">
        <f>VLOOKUP(P3113,$T$2:U3110,2,1)</f>
        <v>0.02</v>
      </c>
    </row>
    <row r="3114" spans="1:19" x14ac:dyDescent="0.25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e">
        <f>VLOOKUP(F3114,'Customer Info'!A3106:I3605,2,0)</f>
        <v>#N/A</v>
      </c>
      <c r="H3114" s="6" t="e">
        <f>VLOOKUP(F3114,'Customer Info'!A3106:I3605,3,0)</f>
        <v>#N/A</v>
      </c>
      <c r="I3114" s="6" t="e">
        <f>VLOOKUP(F3114,'Customer Info'!A3106:I3605,5,0)</f>
        <v>#N/A</v>
      </c>
      <c r="J3114" s="2">
        <v>1704</v>
      </c>
      <c r="K3114" s="2">
        <v>1624</v>
      </c>
      <c r="L3114" s="2">
        <v>3</v>
      </c>
      <c r="M3114" s="7">
        <f t="shared" si="192"/>
        <v>4872</v>
      </c>
      <c r="N3114" s="7">
        <f t="shared" si="193"/>
        <v>5112</v>
      </c>
      <c r="O3114" s="2">
        <v>52</v>
      </c>
      <c r="P3114" s="8">
        <f t="shared" si="194"/>
        <v>5164</v>
      </c>
      <c r="Q3114" s="8">
        <f t="shared" si="195"/>
        <v>5060</v>
      </c>
      <c r="R3114" s="2" t="s">
        <v>28</v>
      </c>
      <c r="S3114" s="9">
        <f>VLOOKUP(P3114,$T$2:U3111,2,1)</f>
        <v>0.05</v>
      </c>
    </row>
    <row r="3115" spans="1:19" x14ac:dyDescent="0.25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e">
        <f>VLOOKUP(F3115,'Customer Info'!A3107:I3606,2,0)</f>
        <v>#N/A</v>
      </c>
      <c r="H3115" s="6" t="e">
        <f>VLOOKUP(F3115,'Customer Info'!A3107:I3606,3,0)</f>
        <v>#N/A</v>
      </c>
      <c r="I3115" s="6" t="e">
        <f>VLOOKUP(F3115,'Customer Info'!A3107:I3606,5,0)</f>
        <v>#N/A</v>
      </c>
      <c r="J3115" s="2">
        <v>1498</v>
      </c>
      <c r="K3115" s="2">
        <v>1335</v>
      </c>
      <c r="L3115" s="2">
        <v>5</v>
      </c>
      <c r="M3115" s="7">
        <f t="shared" si="192"/>
        <v>6675</v>
      </c>
      <c r="N3115" s="7">
        <f t="shared" si="193"/>
        <v>7490</v>
      </c>
      <c r="O3115" s="2">
        <v>58</v>
      </c>
      <c r="P3115" s="8">
        <f t="shared" si="194"/>
        <v>7548</v>
      </c>
      <c r="Q3115" s="8">
        <f t="shared" si="195"/>
        <v>7432</v>
      </c>
      <c r="R3115" s="2" t="s">
        <v>50</v>
      </c>
      <c r="S3115" s="9">
        <f>VLOOKUP(P3115,$T$2:U3112,2,1)</f>
        <v>0.05</v>
      </c>
    </row>
    <row r="3116" spans="1:19" x14ac:dyDescent="0.25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e">
        <f>VLOOKUP(F3116,'Customer Info'!A3108:I3607,2,0)</f>
        <v>#N/A</v>
      </c>
      <c r="H3116" s="6" t="e">
        <f>VLOOKUP(F3116,'Customer Info'!A3108:I3607,3,0)</f>
        <v>#N/A</v>
      </c>
      <c r="I3116" s="6" t="e">
        <f>VLOOKUP(F3116,'Customer Info'!A3108:I3607,5,0)</f>
        <v>#N/A</v>
      </c>
      <c r="J3116" s="2">
        <v>1060</v>
      </c>
      <c r="K3116" s="2">
        <v>964</v>
      </c>
      <c r="L3116" s="2">
        <v>1</v>
      </c>
      <c r="M3116" s="7">
        <f t="shared" si="192"/>
        <v>964</v>
      </c>
      <c r="N3116" s="7">
        <f t="shared" si="193"/>
        <v>1060</v>
      </c>
      <c r="O3116" s="2">
        <v>29</v>
      </c>
      <c r="P3116" s="8">
        <f t="shared" si="194"/>
        <v>1089</v>
      </c>
      <c r="Q3116" s="8">
        <f t="shared" si="195"/>
        <v>1031</v>
      </c>
      <c r="R3116" s="2" t="s">
        <v>28</v>
      </c>
      <c r="S3116" s="9">
        <f>VLOOKUP(P3116,$T$2:U3113,2,1)</f>
        <v>0.02</v>
      </c>
    </row>
    <row r="3117" spans="1:19" x14ac:dyDescent="0.25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e">
        <f>VLOOKUP(F3117,'Customer Info'!A3109:I3608,2,0)</f>
        <v>#N/A</v>
      </c>
      <c r="H3117" s="6" t="e">
        <f>VLOOKUP(F3117,'Customer Info'!A3109:I3608,3,0)</f>
        <v>#N/A</v>
      </c>
      <c r="I3117" s="6" t="e">
        <f>VLOOKUP(F3117,'Customer Info'!A3109:I3608,5,0)</f>
        <v>#N/A</v>
      </c>
      <c r="J3117" s="2">
        <v>1413</v>
      </c>
      <c r="K3117" s="2">
        <v>1334</v>
      </c>
      <c r="L3117" s="2">
        <v>2</v>
      </c>
      <c r="M3117" s="7">
        <f t="shared" si="192"/>
        <v>2668</v>
      </c>
      <c r="N3117" s="7">
        <f t="shared" si="193"/>
        <v>2826</v>
      </c>
      <c r="O3117" s="2">
        <v>58</v>
      </c>
      <c r="P3117" s="8">
        <f t="shared" si="194"/>
        <v>2884</v>
      </c>
      <c r="Q3117" s="8">
        <f t="shared" si="195"/>
        <v>2768</v>
      </c>
      <c r="R3117" s="2" t="s">
        <v>28</v>
      </c>
      <c r="S3117" s="9">
        <f>VLOOKUP(P3117,$T$2:U3114,2,1)</f>
        <v>0.02</v>
      </c>
    </row>
    <row r="3118" spans="1:19" x14ac:dyDescent="0.25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e">
        <f>VLOOKUP(F3118,'Customer Info'!A3110:I3609,2,0)</f>
        <v>#N/A</v>
      </c>
      <c r="H3118" s="6" t="e">
        <f>VLOOKUP(F3118,'Customer Info'!A3110:I3609,3,0)</f>
        <v>#N/A</v>
      </c>
      <c r="I3118" s="6" t="e">
        <f>VLOOKUP(F3118,'Customer Info'!A3110:I3609,5,0)</f>
        <v>#N/A</v>
      </c>
      <c r="J3118" s="2">
        <v>60</v>
      </c>
      <c r="K3118" s="2">
        <v>57</v>
      </c>
      <c r="L3118" s="2">
        <v>2</v>
      </c>
      <c r="M3118" s="7">
        <f t="shared" si="192"/>
        <v>114</v>
      </c>
      <c r="N3118" s="7">
        <f t="shared" si="193"/>
        <v>120</v>
      </c>
      <c r="O3118" s="2">
        <v>10</v>
      </c>
      <c r="P3118" s="8">
        <f t="shared" si="194"/>
        <v>130</v>
      </c>
      <c r="Q3118" s="8">
        <f t="shared" si="195"/>
        <v>110</v>
      </c>
      <c r="R3118" s="2" t="s">
        <v>50</v>
      </c>
      <c r="S3118" s="9">
        <f>VLOOKUP(P3118,$T$2:U3115,2,1)</f>
        <v>0.02</v>
      </c>
    </row>
    <row r="3119" spans="1:19" x14ac:dyDescent="0.25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e">
        <f>VLOOKUP(F3119,'Customer Info'!A3111:I3610,2,0)</f>
        <v>#N/A</v>
      </c>
      <c r="H3119" s="6" t="e">
        <f>VLOOKUP(F3119,'Customer Info'!A3111:I3610,3,0)</f>
        <v>#N/A</v>
      </c>
      <c r="I3119" s="6" t="e">
        <f>VLOOKUP(F3119,'Customer Info'!A3111:I3610,5,0)</f>
        <v>#N/A</v>
      </c>
      <c r="J3119" s="2">
        <v>1654</v>
      </c>
      <c r="K3119" s="2">
        <v>1577</v>
      </c>
      <c r="L3119" s="2">
        <v>7</v>
      </c>
      <c r="M3119" s="7">
        <f t="shared" si="192"/>
        <v>11039</v>
      </c>
      <c r="N3119" s="7">
        <f t="shared" si="193"/>
        <v>11578</v>
      </c>
      <c r="O3119" s="2">
        <v>90</v>
      </c>
      <c r="P3119" s="8">
        <f t="shared" si="194"/>
        <v>11668</v>
      </c>
      <c r="Q3119" s="8">
        <f t="shared" si="195"/>
        <v>11488</v>
      </c>
      <c r="R3119" s="2" t="s">
        <v>50</v>
      </c>
      <c r="S3119" s="9">
        <f>VLOOKUP(P3119,$T$2:U3116,2,1)</f>
        <v>0.05</v>
      </c>
    </row>
    <row r="3120" spans="1:19" x14ac:dyDescent="0.25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e">
        <f>VLOOKUP(F3120,'Customer Info'!A3112:I3611,2,0)</f>
        <v>#N/A</v>
      </c>
      <c r="H3120" s="6" t="e">
        <f>VLOOKUP(F3120,'Customer Info'!A3112:I3611,3,0)</f>
        <v>#N/A</v>
      </c>
      <c r="I3120" s="6" t="e">
        <f>VLOOKUP(F3120,'Customer Info'!A3112:I3611,5,0)</f>
        <v>#N/A</v>
      </c>
      <c r="J3120" s="2">
        <v>69</v>
      </c>
      <c r="K3120" s="2">
        <v>64</v>
      </c>
      <c r="L3120" s="2">
        <v>1</v>
      </c>
      <c r="M3120" s="7">
        <f t="shared" si="192"/>
        <v>64</v>
      </c>
      <c r="N3120" s="7">
        <f t="shared" si="193"/>
        <v>69</v>
      </c>
      <c r="O3120" s="2">
        <v>10</v>
      </c>
      <c r="P3120" s="8">
        <f t="shared" si="194"/>
        <v>79</v>
      </c>
      <c r="Q3120" s="8">
        <f t="shared" si="195"/>
        <v>59</v>
      </c>
      <c r="R3120" s="2" t="s">
        <v>28</v>
      </c>
      <c r="S3120" s="9">
        <f>VLOOKUP(P3120,$T$2:U3117,2,1)</f>
        <v>0.02</v>
      </c>
    </row>
    <row r="3121" spans="1:19" x14ac:dyDescent="0.25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e">
        <f>VLOOKUP(F3121,'Customer Info'!A3113:I3612,2,0)</f>
        <v>#N/A</v>
      </c>
      <c r="H3121" s="6" t="e">
        <f>VLOOKUP(F3121,'Customer Info'!A3113:I3612,3,0)</f>
        <v>#N/A</v>
      </c>
      <c r="I3121" s="6" t="e">
        <f>VLOOKUP(F3121,'Customer Info'!A3113:I3612,5,0)</f>
        <v>#N/A</v>
      </c>
      <c r="J3121" s="2">
        <v>170</v>
      </c>
      <c r="K3121" s="2">
        <v>153</v>
      </c>
      <c r="L3121" s="2">
        <v>3</v>
      </c>
      <c r="M3121" s="7">
        <f t="shared" si="192"/>
        <v>459</v>
      </c>
      <c r="N3121" s="7">
        <f t="shared" si="193"/>
        <v>510</v>
      </c>
      <c r="O3121" s="2">
        <v>30</v>
      </c>
      <c r="P3121" s="8">
        <f t="shared" si="194"/>
        <v>540</v>
      </c>
      <c r="Q3121" s="8">
        <f t="shared" si="195"/>
        <v>480</v>
      </c>
      <c r="R3121" s="2" t="s">
        <v>28</v>
      </c>
      <c r="S3121" s="9">
        <f>VLOOKUP(P3121,$T$2:U3118,2,1)</f>
        <v>0.02</v>
      </c>
    </row>
    <row r="3122" spans="1:19" x14ac:dyDescent="0.25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e">
        <f>VLOOKUP(F3122,'Customer Info'!A3114:I3613,2,0)</f>
        <v>#N/A</v>
      </c>
      <c r="H3122" s="6" t="e">
        <f>VLOOKUP(F3122,'Customer Info'!A3114:I3613,3,0)</f>
        <v>#N/A</v>
      </c>
      <c r="I3122" s="6" t="e">
        <f>VLOOKUP(F3122,'Customer Info'!A3114:I3613,5,0)</f>
        <v>#N/A</v>
      </c>
      <c r="J3122" s="2">
        <v>36057</v>
      </c>
      <c r="K3122" s="2">
        <v>34028</v>
      </c>
      <c r="L3122" s="2">
        <v>8</v>
      </c>
      <c r="M3122" s="7">
        <f t="shared" si="192"/>
        <v>272224</v>
      </c>
      <c r="N3122" s="7">
        <f t="shared" si="193"/>
        <v>288456</v>
      </c>
      <c r="O3122" s="2">
        <v>24</v>
      </c>
      <c r="P3122" s="8">
        <f t="shared" si="194"/>
        <v>288480</v>
      </c>
      <c r="Q3122" s="8">
        <f t="shared" si="195"/>
        <v>288432</v>
      </c>
      <c r="R3122" s="2" t="s">
        <v>26</v>
      </c>
      <c r="S3122" s="9">
        <f>VLOOKUP(P3122,$T$2:U3119,2,1)</f>
        <v>0.15</v>
      </c>
    </row>
    <row r="3123" spans="1:19" x14ac:dyDescent="0.25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e">
        <f>VLOOKUP(F3123,'Customer Info'!A3115:I3614,2,0)</f>
        <v>#N/A</v>
      </c>
      <c r="H3123" s="6" t="e">
        <f>VLOOKUP(F3123,'Customer Info'!A3115:I3614,3,0)</f>
        <v>#N/A</v>
      </c>
      <c r="I3123" s="6" t="e">
        <f>VLOOKUP(F3123,'Customer Info'!A3115:I3614,5,0)</f>
        <v>#N/A</v>
      </c>
      <c r="J3123" s="2">
        <v>1901</v>
      </c>
      <c r="K3123" s="2">
        <v>1810</v>
      </c>
      <c r="L3123" s="2">
        <v>5</v>
      </c>
      <c r="M3123" s="7">
        <f t="shared" si="192"/>
        <v>9050</v>
      </c>
      <c r="N3123" s="7">
        <f t="shared" si="193"/>
        <v>9505</v>
      </c>
      <c r="O3123" s="2">
        <v>100</v>
      </c>
      <c r="P3123" s="8">
        <f t="shared" si="194"/>
        <v>9605</v>
      </c>
      <c r="Q3123" s="8">
        <f t="shared" si="195"/>
        <v>9405</v>
      </c>
      <c r="R3123" s="2" t="s">
        <v>28</v>
      </c>
      <c r="S3123" s="9">
        <f>VLOOKUP(P3123,$T$2:U3120,2,1)</f>
        <v>0.05</v>
      </c>
    </row>
    <row r="3124" spans="1:19" x14ac:dyDescent="0.25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e">
        <f>VLOOKUP(F3124,'Customer Info'!A3116:I3615,2,0)</f>
        <v>#N/A</v>
      </c>
      <c r="H3124" s="6" t="e">
        <f>VLOOKUP(F3124,'Customer Info'!A3116:I3615,3,0)</f>
        <v>#N/A</v>
      </c>
      <c r="I3124" s="6" t="e">
        <f>VLOOKUP(F3124,'Customer Info'!A3116:I3615,5,0)</f>
        <v>#N/A</v>
      </c>
      <c r="J3124" s="2">
        <v>1763</v>
      </c>
      <c r="K3124" s="2">
        <v>1602</v>
      </c>
      <c r="L3124" s="2">
        <v>3</v>
      </c>
      <c r="M3124" s="7">
        <f t="shared" si="192"/>
        <v>4806</v>
      </c>
      <c r="N3124" s="7">
        <f t="shared" si="193"/>
        <v>5289</v>
      </c>
      <c r="O3124" s="2">
        <v>44</v>
      </c>
      <c r="P3124" s="8">
        <f t="shared" si="194"/>
        <v>5333</v>
      </c>
      <c r="Q3124" s="8">
        <f t="shared" si="195"/>
        <v>5245</v>
      </c>
      <c r="R3124" s="2" t="s">
        <v>26</v>
      </c>
      <c r="S3124" s="9">
        <f>VLOOKUP(P3124,$T$2:U3121,2,1)</f>
        <v>0.05</v>
      </c>
    </row>
    <row r="3125" spans="1:19" x14ac:dyDescent="0.25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e">
        <f>VLOOKUP(F3125,'Customer Info'!A3117:I3616,2,0)</f>
        <v>#N/A</v>
      </c>
      <c r="H3125" s="6" t="e">
        <f>VLOOKUP(F3125,'Customer Info'!A3117:I3616,3,0)</f>
        <v>#N/A</v>
      </c>
      <c r="I3125" s="6" t="e">
        <f>VLOOKUP(F3125,'Customer Info'!A3117:I3616,5,0)</f>
        <v>#N/A</v>
      </c>
      <c r="J3125" s="2">
        <v>6635</v>
      </c>
      <c r="K3125" s="2">
        <v>6321</v>
      </c>
      <c r="L3125" s="2">
        <v>2</v>
      </c>
      <c r="M3125" s="7">
        <f t="shared" si="192"/>
        <v>12642</v>
      </c>
      <c r="N3125" s="7">
        <f t="shared" si="193"/>
        <v>13270</v>
      </c>
      <c r="O3125" s="2">
        <v>85</v>
      </c>
      <c r="P3125" s="8">
        <f t="shared" si="194"/>
        <v>13355</v>
      </c>
      <c r="Q3125" s="8">
        <f t="shared" si="195"/>
        <v>13185</v>
      </c>
      <c r="R3125" s="2" t="s">
        <v>50</v>
      </c>
      <c r="S3125" s="9">
        <f>VLOOKUP(P3125,$T$2:U3122,2,1)</f>
        <v>0.05</v>
      </c>
    </row>
    <row r="3126" spans="1:19" x14ac:dyDescent="0.25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e">
        <f>VLOOKUP(F3126,'Customer Info'!A3118:I3617,2,0)</f>
        <v>#N/A</v>
      </c>
      <c r="H3126" s="6" t="e">
        <f>VLOOKUP(F3126,'Customer Info'!A3118:I3617,3,0)</f>
        <v>#N/A</v>
      </c>
      <c r="I3126" s="6" t="e">
        <f>VLOOKUP(F3126,'Customer Info'!A3118:I3617,5,0)</f>
        <v>#N/A</v>
      </c>
      <c r="J3126" s="2">
        <v>62</v>
      </c>
      <c r="K3126" s="2">
        <v>58</v>
      </c>
      <c r="L3126" s="2">
        <v>6</v>
      </c>
      <c r="M3126" s="7">
        <f t="shared" si="192"/>
        <v>348</v>
      </c>
      <c r="N3126" s="7">
        <f t="shared" si="193"/>
        <v>372</v>
      </c>
      <c r="O3126" s="2">
        <v>10</v>
      </c>
      <c r="P3126" s="8">
        <f t="shared" si="194"/>
        <v>382</v>
      </c>
      <c r="Q3126" s="8">
        <f t="shared" si="195"/>
        <v>362</v>
      </c>
      <c r="R3126" s="2" t="s">
        <v>50</v>
      </c>
      <c r="S3126" s="9">
        <f>VLOOKUP(P3126,$T$2:U3123,2,1)</f>
        <v>0.02</v>
      </c>
    </row>
    <row r="3127" spans="1:19" x14ac:dyDescent="0.25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e">
        <f>VLOOKUP(F3127,'Customer Info'!A3119:I3618,2,0)</f>
        <v>#N/A</v>
      </c>
      <c r="H3127" s="6" t="e">
        <f>VLOOKUP(F3127,'Customer Info'!A3119:I3618,3,0)</f>
        <v>#N/A</v>
      </c>
      <c r="I3127" s="6" t="e">
        <f>VLOOKUP(F3127,'Customer Info'!A3119:I3618,5,0)</f>
        <v>#N/A</v>
      </c>
      <c r="J3127" s="2">
        <v>3224</v>
      </c>
      <c r="K3127" s="2">
        <v>2901</v>
      </c>
      <c r="L3127" s="2">
        <v>8</v>
      </c>
      <c r="M3127" s="7">
        <f t="shared" si="192"/>
        <v>23208</v>
      </c>
      <c r="N3127" s="7">
        <f t="shared" si="193"/>
        <v>25792</v>
      </c>
      <c r="O3127" s="2">
        <v>26</v>
      </c>
      <c r="P3127" s="8">
        <f t="shared" si="194"/>
        <v>25818</v>
      </c>
      <c r="Q3127" s="8">
        <f t="shared" si="195"/>
        <v>25766</v>
      </c>
      <c r="R3127" s="2" t="s">
        <v>28</v>
      </c>
      <c r="S3127" s="9">
        <f>VLOOKUP(P3127,$T$2:U3124,2,1)</f>
        <v>7.0000000000000007E-2</v>
      </c>
    </row>
    <row r="3128" spans="1:19" x14ac:dyDescent="0.25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e">
        <f>VLOOKUP(F3128,'Customer Info'!A3120:I3619,2,0)</f>
        <v>#N/A</v>
      </c>
      <c r="H3128" s="6" t="e">
        <f>VLOOKUP(F3128,'Customer Info'!A3120:I3619,3,0)</f>
        <v>#N/A</v>
      </c>
      <c r="I3128" s="6" t="e">
        <f>VLOOKUP(F3128,'Customer Info'!A3120:I3619,5,0)</f>
        <v>#N/A</v>
      </c>
      <c r="J3128" s="2">
        <v>1545</v>
      </c>
      <c r="K3128" s="2">
        <v>1486</v>
      </c>
      <c r="L3128" s="2">
        <v>5</v>
      </c>
      <c r="M3128" s="7">
        <f t="shared" si="192"/>
        <v>7430</v>
      </c>
      <c r="N3128" s="7">
        <f t="shared" si="193"/>
        <v>7725</v>
      </c>
      <c r="O3128" s="2">
        <v>29</v>
      </c>
      <c r="P3128" s="8">
        <f t="shared" si="194"/>
        <v>7754</v>
      </c>
      <c r="Q3128" s="8">
        <f t="shared" si="195"/>
        <v>7696</v>
      </c>
      <c r="R3128" s="2" t="s">
        <v>28</v>
      </c>
      <c r="S3128" s="9">
        <f>VLOOKUP(P3128,$T$2:U3125,2,1)</f>
        <v>0.05</v>
      </c>
    </row>
    <row r="3129" spans="1:19" x14ac:dyDescent="0.25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e">
        <f>VLOOKUP(F3129,'Customer Info'!A3121:I3620,2,0)</f>
        <v>#N/A</v>
      </c>
      <c r="H3129" s="6" t="e">
        <f>VLOOKUP(F3129,'Customer Info'!A3121:I3620,3,0)</f>
        <v>#N/A</v>
      </c>
      <c r="I3129" s="6" t="e">
        <f>VLOOKUP(F3129,'Customer Info'!A3121:I3620,5,0)</f>
        <v>#N/A</v>
      </c>
      <c r="J3129" s="2">
        <v>5882</v>
      </c>
      <c r="K3129" s="2">
        <v>5713</v>
      </c>
      <c r="L3129" s="2">
        <v>4</v>
      </c>
      <c r="M3129" s="7">
        <f t="shared" si="192"/>
        <v>22852</v>
      </c>
      <c r="N3129" s="7">
        <f t="shared" si="193"/>
        <v>23528</v>
      </c>
      <c r="O3129" s="2">
        <v>93</v>
      </c>
      <c r="P3129" s="8">
        <f t="shared" si="194"/>
        <v>23621</v>
      </c>
      <c r="Q3129" s="8">
        <f t="shared" si="195"/>
        <v>23435</v>
      </c>
      <c r="R3129" s="2" t="s">
        <v>28</v>
      </c>
      <c r="S3129" s="9">
        <f>VLOOKUP(P3129,$T$2:U3126,2,1)</f>
        <v>0.05</v>
      </c>
    </row>
    <row r="3130" spans="1:19" x14ac:dyDescent="0.25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e">
        <f>VLOOKUP(F3130,'Customer Info'!A3122:I3621,2,0)</f>
        <v>#N/A</v>
      </c>
      <c r="H3130" s="6" t="e">
        <f>VLOOKUP(F3130,'Customer Info'!A3122:I3621,3,0)</f>
        <v>#N/A</v>
      </c>
      <c r="I3130" s="6" t="e">
        <f>VLOOKUP(F3130,'Customer Info'!A3122:I3621,5,0)</f>
        <v>#N/A</v>
      </c>
      <c r="J3130" s="2">
        <v>77</v>
      </c>
      <c r="K3130" s="2">
        <v>73</v>
      </c>
      <c r="L3130" s="2">
        <v>1</v>
      </c>
      <c r="M3130" s="7">
        <f t="shared" si="192"/>
        <v>73</v>
      </c>
      <c r="N3130" s="7">
        <f t="shared" si="193"/>
        <v>77</v>
      </c>
      <c r="O3130" s="2">
        <v>10</v>
      </c>
      <c r="P3130" s="8">
        <f t="shared" si="194"/>
        <v>87</v>
      </c>
      <c r="Q3130" s="8">
        <f t="shared" si="195"/>
        <v>67</v>
      </c>
      <c r="R3130" s="2" t="s">
        <v>28</v>
      </c>
      <c r="S3130" s="9">
        <f>VLOOKUP(P3130,$T$2:U3127,2,1)</f>
        <v>0.02</v>
      </c>
    </row>
    <row r="3131" spans="1:19" x14ac:dyDescent="0.25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e">
        <f>VLOOKUP(F3131,'Customer Info'!A3123:I3622,2,0)</f>
        <v>#N/A</v>
      </c>
      <c r="H3131" s="6" t="e">
        <f>VLOOKUP(F3131,'Customer Info'!A3123:I3622,3,0)</f>
        <v>#N/A</v>
      </c>
      <c r="I3131" s="6" t="e">
        <f>VLOOKUP(F3131,'Customer Info'!A3123:I3622,5,0)</f>
        <v>#N/A</v>
      </c>
      <c r="J3131" s="2">
        <v>729</v>
      </c>
      <c r="K3131" s="2">
        <v>689</v>
      </c>
      <c r="L3131" s="2">
        <v>4</v>
      </c>
      <c r="M3131" s="7">
        <f t="shared" si="192"/>
        <v>2756</v>
      </c>
      <c r="N3131" s="7">
        <f t="shared" si="193"/>
        <v>2916</v>
      </c>
      <c r="O3131" s="2">
        <v>44</v>
      </c>
      <c r="P3131" s="8">
        <f t="shared" si="194"/>
        <v>2960</v>
      </c>
      <c r="Q3131" s="8">
        <f t="shared" si="195"/>
        <v>2872</v>
      </c>
      <c r="R3131" s="2" t="s">
        <v>50</v>
      </c>
      <c r="S3131" s="9">
        <f>VLOOKUP(P3131,$T$2:U3128,2,1)</f>
        <v>0.02</v>
      </c>
    </row>
    <row r="3132" spans="1:19" x14ac:dyDescent="0.25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e">
        <f>VLOOKUP(F3132,'Customer Info'!A3124:I3623,2,0)</f>
        <v>#N/A</v>
      </c>
      <c r="H3132" s="6" t="e">
        <f>VLOOKUP(F3132,'Customer Info'!A3124:I3623,3,0)</f>
        <v>#N/A</v>
      </c>
      <c r="I3132" s="6" t="e">
        <f>VLOOKUP(F3132,'Customer Info'!A3124:I3623,5,0)</f>
        <v>#N/A</v>
      </c>
      <c r="J3132" s="2">
        <v>664</v>
      </c>
      <c r="K3132" s="2">
        <v>576</v>
      </c>
      <c r="L3132" s="2">
        <v>2</v>
      </c>
      <c r="M3132" s="7">
        <f t="shared" si="192"/>
        <v>1152</v>
      </c>
      <c r="N3132" s="7">
        <f t="shared" si="193"/>
        <v>1328</v>
      </c>
      <c r="O3132" s="2">
        <v>41</v>
      </c>
      <c r="P3132" s="8">
        <f t="shared" si="194"/>
        <v>1369</v>
      </c>
      <c r="Q3132" s="8">
        <f t="shared" si="195"/>
        <v>1287</v>
      </c>
      <c r="R3132" s="2" t="s">
        <v>56</v>
      </c>
      <c r="S3132" s="9">
        <f>VLOOKUP(P3132,$T$2:U3129,2,1)</f>
        <v>0.02</v>
      </c>
    </row>
    <row r="3133" spans="1:19" x14ac:dyDescent="0.25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e">
        <f>VLOOKUP(F3133,'Customer Info'!A3125:I3624,2,0)</f>
        <v>#N/A</v>
      </c>
      <c r="H3133" s="6" t="e">
        <f>VLOOKUP(F3133,'Customer Info'!A3125:I3624,3,0)</f>
        <v>#N/A</v>
      </c>
      <c r="I3133" s="6" t="e">
        <f>VLOOKUP(F3133,'Customer Info'!A3125:I3624,5,0)</f>
        <v>#N/A</v>
      </c>
      <c r="J3133" s="2">
        <v>8665</v>
      </c>
      <c r="K3133" s="2">
        <v>7723</v>
      </c>
      <c r="L3133" s="2">
        <v>6</v>
      </c>
      <c r="M3133" s="7">
        <f t="shared" si="192"/>
        <v>46338</v>
      </c>
      <c r="N3133" s="7">
        <f t="shared" si="193"/>
        <v>51990</v>
      </c>
      <c r="O3133" s="2">
        <v>24</v>
      </c>
      <c r="P3133" s="8">
        <f t="shared" si="194"/>
        <v>52014</v>
      </c>
      <c r="Q3133" s="8">
        <f t="shared" si="195"/>
        <v>51966</v>
      </c>
      <c r="R3133" s="2" t="s">
        <v>26</v>
      </c>
      <c r="S3133" s="9">
        <f>VLOOKUP(P3133,$T$2:U3130,2,1)</f>
        <v>0.09</v>
      </c>
    </row>
    <row r="3134" spans="1:19" x14ac:dyDescent="0.25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e">
        <f>VLOOKUP(F3134,'Customer Info'!A3126:I3625,2,0)</f>
        <v>#N/A</v>
      </c>
      <c r="H3134" s="6" t="e">
        <f>VLOOKUP(F3134,'Customer Info'!A3126:I3625,3,0)</f>
        <v>#N/A</v>
      </c>
      <c r="I3134" s="6" t="e">
        <f>VLOOKUP(F3134,'Customer Info'!A3126:I3625,5,0)</f>
        <v>#N/A</v>
      </c>
      <c r="J3134" s="2">
        <v>393</v>
      </c>
      <c r="K3134" s="2">
        <v>374</v>
      </c>
      <c r="L3134" s="2">
        <v>8</v>
      </c>
      <c r="M3134" s="7">
        <f t="shared" si="192"/>
        <v>2992</v>
      </c>
      <c r="N3134" s="7">
        <f t="shared" si="193"/>
        <v>3144</v>
      </c>
      <c r="O3134" s="2">
        <v>56</v>
      </c>
      <c r="P3134" s="8">
        <f t="shared" si="194"/>
        <v>3200</v>
      </c>
      <c r="Q3134" s="8">
        <f t="shared" si="195"/>
        <v>3088</v>
      </c>
      <c r="R3134" s="2" t="s">
        <v>50</v>
      </c>
      <c r="S3134" s="9">
        <f>VLOOKUP(P3134,$T$2:U3131,2,1)</f>
        <v>0.02</v>
      </c>
    </row>
    <row r="3135" spans="1:19" x14ac:dyDescent="0.25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e">
        <f>VLOOKUP(F3135,'Customer Info'!A3127:I3626,2,0)</f>
        <v>#N/A</v>
      </c>
      <c r="H3135" s="6" t="e">
        <f>VLOOKUP(F3135,'Customer Info'!A3127:I3626,3,0)</f>
        <v>#N/A</v>
      </c>
      <c r="I3135" s="6" t="e">
        <f>VLOOKUP(F3135,'Customer Info'!A3127:I3626,5,0)</f>
        <v>#N/A</v>
      </c>
      <c r="J3135" s="2">
        <v>7232</v>
      </c>
      <c r="K3135" s="2">
        <v>6753</v>
      </c>
      <c r="L3135" s="2">
        <v>2</v>
      </c>
      <c r="M3135" s="7">
        <f t="shared" si="192"/>
        <v>13506</v>
      </c>
      <c r="N3135" s="7">
        <f t="shared" si="193"/>
        <v>14464</v>
      </c>
      <c r="O3135" s="2">
        <v>90</v>
      </c>
      <c r="P3135" s="8">
        <f t="shared" si="194"/>
        <v>14554</v>
      </c>
      <c r="Q3135" s="8">
        <f t="shared" si="195"/>
        <v>14374</v>
      </c>
      <c r="R3135" s="2" t="s">
        <v>50</v>
      </c>
      <c r="S3135" s="9">
        <f>VLOOKUP(P3135,$T$2:U3132,2,1)</f>
        <v>0.05</v>
      </c>
    </row>
    <row r="3136" spans="1:19" x14ac:dyDescent="0.25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e">
        <f>VLOOKUP(F3136,'Customer Info'!A3128:I3627,2,0)</f>
        <v>#N/A</v>
      </c>
      <c r="H3136" s="6" t="e">
        <f>VLOOKUP(F3136,'Customer Info'!A3128:I3627,3,0)</f>
        <v>#N/A</v>
      </c>
      <c r="I3136" s="6" t="e">
        <f>VLOOKUP(F3136,'Customer Info'!A3128:I3627,5,0)</f>
        <v>#N/A</v>
      </c>
      <c r="J3136" s="2">
        <v>1169</v>
      </c>
      <c r="K3136" s="2">
        <v>1103</v>
      </c>
      <c r="L3136" s="2">
        <v>4</v>
      </c>
      <c r="M3136" s="7">
        <f t="shared" si="192"/>
        <v>4412</v>
      </c>
      <c r="N3136" s="7">
        <f t="shared" si="193"/>
        <v>4676</v>
      </c>
      <c r="O3136" s="2">
        <v>84</v>
      </c>
      <c r="P3136" s="8">
        <f t="shared" si="194"/>
        <v>4760</v>
      </c>
      <c r="Q3136" s="8">
        <f t="shared" si="195"/>
        <v>4592</v>
      </c>
      <c r="R3136" s="2" t="s">
        <v>28</v>
      </c>
      <c r="S3136" s="9">
        <f>VLOOKUP(P3136,$T$2:U3133,2,1)</f>
        <v>0.02</v>
      </c>
    </row>
    <row r="3137" spans="1:19" x14ac:dyDescent="0.25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e">
        <f>VLOOKUP(F3137,'Customer Info'!A3129:I3628,2,0)</f>
        <v>#N/A</v>
      </c>
      <c r="H3137" s="6" t="e">
        <f>VLOOKUP(F3137,'Customer Info'!A3129:I3628,3,0)</f>
        <v>#N/A</v>
      </c>
      <c r="I3137" s="6" t="e">
        <f>VLOOKUP(F3137,'Customer Info'!A3129:I3628,5,0)</f>
        <v>#N/A</v>
      </c>
      <c r="J3137" s="2">
        <v>8773</v>
      </c>
      <c r="K3137" s="2">
        <v>8115</v>
      </c>
      <c r="L3137" s="2">
        <v>1</v>
      </c>
      <c r="M3137" s="7">
        <f t="shared" si="192"/>
        <v>8115</v>
      </c>
      <c r="N3137" s="7">
        <f t="shared" si="193"/>
        <v>8773</v>
      </c>
      <c r="O3137" s="2">
        <v>90</v>
      </c>
      <c r="P3137" s="8">
        <f t="shared" si="194"/>
        <v>8863</v>
      </c>
      <c r="Q3137" s="8">
        <f t="shared" si="195"/>
        <v>8683</v>
      </c>
      <c r="R3137" s="2" t="s">
        <v>50</v>
      </c>
      <c r="S3137" s="9">
        <f>VLOOKUP(P3137,$T$2:U3134,2,1)</f>
        <v>0.05</v>
      </c>
    </row>
    <row r="3138" spans="1:19" x14ac:dyDescent="0.25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e">
        <f>VLOOKUP(F3138,'Customer Info'!A3130:I3629,2,0)</f>
        <v>#N/A</v>
      </c>
      <c r="H3138" s="6" t="e">
        <f>VLOOKUP(F3138,'Customer Info'!A3130:I3629,3,0)</f>
        <v>#N/A</v>
      </c>
      <c r="I3138" s="6" t="e">
        <f>VLOOKUP(F3138,'Customer Info'!A3130:I3629,5,0)</f>
        <v>#N/A</v>
      </c>
      <c r="J3138" s="2">
        <v>520</v>
      </c>
      <c r="K3138" s="2">
        <v>477</v>
      </c>
      <c r="L3138" s="2">
        <v>5</v>
      </c>
      <c r="M3138" s="7">
        <f t="shared" si="192"/>
        <v>2385</v>
      </c>
      <c r="N3138" s="7">
        <f t="shared" si="193"/>
        <v>2600</v>
      </c>
      <c r="O3138" s="2">
        <v>73</v>
      </c>
      <c r="P3138" s="8">
        <f t="shared" si="194"/>
        <v>2673</v>
      </c>
      <c r="Q3138" s="8">
        <f t="shared" si="195"/>
        <v>2527</v>
      </c>
      <c r="R3138" s="2" t="s">
        <v>50</v>
      </c>
      <c r="S3138" s="9">
        <f>VLOOKUP(P3138,$T$2:U3135,2,1)</f>
        <v>0.02</v>
      </c>
    </row>
    <row r="3139" spans="1:19" x14ac:dyDescent="0.25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e">
        <f>VLOOKUP(F3139,'Customer Info'!A3131:I3630,2,0)</f>
        <v>#N/A</v>
      </c>
      <c r="H3139" s="6" t="e">
        <f>VLOOKUP(F3139,'Customer Info'!A3131:I3630,3,0)</f>
        <v>#N/A</v>
      </c>
      <c r="I3139" s="6" t="e">
        <f>VLOOKUP(F3139,'Customer Info'!A3131:I3630,5,0)</f>
        <v>#N/A</v>
      </c>
      <c r="J3139" s="2">
        <v>992</v>
      </c>
      <c r="K3139" s="2">
        <v>928</v>
      </c>
      <c r="L3139" s="2">
        <v>5</v>
      </c>
      <c r="M3139" s="7">
        <f t="shared" si="192"/>
        <v>4640</v>
      </c>
      <c r="N3139" s="7">
        <f t="shared" si="193"/>
        <v>4960</v>
      </c>
      <c r="O3139" s="2">
        <v>34</v>
      </c>
      <c r="P3139" s="8">
        <f t="shared" si="194"/>
        <v>4994</v>
      </c>
      <c r="Q3139" s="8">
        <f t="shared" si="195"/>
        <v>4926</v>
      </c>
      <c r="R3139" s="2" t="s">
        <v>28</v>
      </c>
      <c r="S3139" s="9">
        <f>VLOOKUP(P3139,$T$2:U3136,2,1)</f>
        <v>0.02</v>
      </c>
    </row>
    <row r="3140" spans="1:19" x14ac:dyDescent="0.25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e">
        <f>VLOOKUP(F3140,'Customer Info'!A3132:I3631,2,0)</f>
        <v>#N/A</v>
      </c>
      <c r="H3140" s="6" t="e">
        <f>VLOOKUP(F3140,'Customer Info'!A3132:I3631,3,0)</f>
        <v>#N/A</v>
      </c>
      <c r="I3140" s="6" t="e">
        <f>VLOOKUP(F3140,'Customer Info'!A3132:I3631,5,0)</f>
        <v>#N/A</v>
      </c>
      <c r="J3140" s="2">
        <v>932</v>
      </c>
      <c r="K3140" s="2">
        <v>838</v>
      </c>
      <c r="L3140" s="2">
        <v>5</v>
      </c>
      <c r="M3140" s="7">
        <f t="shared" si="192"/>
        <v>4190</v>
      </c>
      <c r="N3140" s="7">
        <f t="shared" si="193"/>
        <v>4660</v>
      </c>
      <c r="O3140" s="2">
        <v>96</v>
      </c>
      <c r="P3140" s="8">
        <f t="shared" si="194"/>
        <v>4756</v>
      </c>
      <c r="Q3140" s="8">
        <f t="shared" si="195"/>
        <v>4564</v>
      </c>
      <c r="R3140" s="2" t="s">
        <v>50</v>
      </c>
      <c r="S3140" s="9">
        <f>VLOOKUP(P3140,$T$2:U3137,2,1)</f>
        <v>0.02</v>
      </c>
    </row>
    <row r="3141" spans="1:19" x14ac:dyDescent="0.25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e">
        <f>VLOOKUP(F3141,'Customer Info'!A3133:I3632,2,0)</f>
        <v>#N/A</v>
      </c>
      <c r="H3141" s="6" t="e">
        <f>VLOOKUP(F3141,'Customer Info'!A3133:I3632,3,0)</f>
        <v>#N/A</v>
      </c>
      <c r="I3141" s="6" t="e">
        <f>VLOOKUP(F3141,'Customer Info'!A3133:I3632,5,0)</f>
        <v>#N/A</v>
      </c>
      <c r="J3141" s="2">
        <v>809</v>
      </c>
      <c r="K3141" s="2">
        <v>770</v>
      </c>
      <c r="L3141" s="2">
        <v>4</v>
      </c>
      <c r="M3141" s="7">
        <f t="shared" si="192"/>
        <v>3080</v>
      </c>
      <c r="N3141" s="7">
        <f t="shared" si="193"/>
        <v>3236</v>
      </c>
      <c r="O3141" s="2">
        <v>80</v>
      </c>
      <c r="P3141" s="8">
        <f t="shared" si="194"/>
        <v>3316</v>
      </c>
      <c r="Q3141" s="8">
        <f t="shared" si="195"/>
        <v>3156</v>
      </c>
      <c r="R3141" s="2" t="s">
        <v>50</v>
      </c>
      <c r="S3141" s="9">
        <f>VLOOKUP(P3141,$T$2:U3138,2,1)</f>
        <v>0.02</v>
      </c>
    </row>
    <row r="3142" spans="1:19" x14ac:dyDescent="0.25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e">
        <f>VLOOKUP(F3142,'Customer Info'!A3134:I3633,2,0)</f>
        <v>#N/A</v>
      </c>
      <c r="H3142" s="6" t="e">
        <f>VLOOKUP(F3142,'Customer Info'!A3134:I3633,3,0)</f>
        <v>#N/A</v>
      </c>
      <c r="I3142" s="6" t="e">
        <f>VLOOKUP(F3142,'Customer Info'!A3134:I3633,5,0)</f>
        <v>#N/A</v>
      </c>
      <c r="J3142" s="2">
        <v>2787</v>
      </c>
      <c r="K3142" s="2">
        <v>2681</v>
      </c>
      <c r="L3142" s="2">
        <v>3</v>
      </c>
      <c r="M3142" s="7">
        <f t="shared" si="192"/>
        <v>8043</v>
      </c>
      <c r="N3142" s="7">
        <f t="shared" si="193"/>
        <v>8361</v>
      </c>
      <c r="O3142" s="2">
        <v>82</v>
      </c>
      <c r="P3142" s="8">
        <f t="shared" si="194"/>
        <v>8443</v>
      </c>
      <c r="Q3142" s="8">
        <f t="shared" si="195"/>
        <v>8279</v>
      </c>
      <c r="R3142" s="2" t="s">
        <v>50</v>
      </c>
      <c r="S3142" s="9">
        <f>VLOOKUP(P3142,$T$2:U3139,2,1)</f>
        <v>0.05</v>
      </c>
    </row>
    <row r="3143" spans="1:19" x14ac:dyDescent="0.25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e">
        <f>VLOOKUP(F3143,'Customer Info'!A3135:I3634,2,0)</f>
        <v>#N/A</v>
      </c>
      <c r="H3143" s="6" t="e">
        <f>VLOOKUP(F3143,'Customer Info'!A3135:I3634,3,0)</f>
        <v>#N/A</v>
      </c>
      <c r="I3143" s="6" t="e">
        <f>VLOOKUP(F3143,'Customer Info'!A3135:I3634,5,0)</f>
        <v>#N/A</v>
      </c>
      <c r="J3143" s="2">
        <v>6400</v>
      </c>
      <c r="K3143" s="2">
        <v>6401</v>
      </c>
      <c r="L3143" s="2">
        <v>4</v>
      </c>
      <c r="M3143" s="7">
        <f t="shared" si="192"/>
        <v>25604</v>
      </c>
      <c r="N3143" s="7">
        <f t="shared" si="193"/>
        <v>25600</v>
      </c>
      <c r="O3143" s="2">
        <v>88</v>
      </c>
      <c r="P3143" s="8">
        <f t="shared" si="194"/>
        <v>25688</v>
      </c>
      <c r="Q3143" s="8">
        <f t="shared" si="195"/>
        <v>25512</v>
      </c>
      <c r="R3143" s="2" t="s">
        <v>28</v>
      </c>
      <c r="S3143" s="9">
        <f>VLOOKUP(P3143,$T$2:U3140,2,1)</f>
        <v>7.0000000000000007E-2</v>
      </c>
    </row>
    <row r="3144" spans="1:19" x14ac:dyDescent="0.25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e">
        <f>VLOOKUP(F3144,'Customer Info'!A3136:I3635,2,0)</f>
        <v>#N/A</v>
      </c>
      <c r="H3144" s="6" t="e">
        <f>VLOOKUP(F3144,'Customer Info'!A3136:I3635,3,0)</f>
        <v>#N/A</v>
      </c>
      <c r="I3144" s="6" t="e">
        <f>VLOOKUP(F3144,'Customer Info'!A3136:I3635,5,0)</f>
        <v>#N/A</v>
      </c>
      <c r="J3144" s="2">
        <v>3054</v>
      </c>
      <c r="K3144" s="2">
        <v>2721</v>
      </c>
      <c r="L3144" s="2">
        <v>2</v>
      </c>
      <c r="M3144" s="7">
        <f t="shared" si="192"/>
        <v>5442</v>
      </c>
      <c r="N3144" s="7">
        <f t="shared" si="193"/>
        <v>6108</v>
      </c>
      <c r="O3144" s="2">
        <v>69</v>
      </c>
      <c r="P3144" s="8">
        <f t="shared" si="194"/>
        <v>6177</v>
      </c>
      <c r="Q3144" s="8">
        <f t="shared" si="195"/>
        <v>6039</v>
      </c>
      <c r="R3144" s="2" t="s">
        <v>50</v>
      </c>
      <c r="S3144" s="9">
        <f>VLOOKUP(P3144,$T$2:U3141,2,1)</f>
        <v>0.05</v>
      </c>
    </row>
    <row r="3145" spans="1:19" x14ac:dyDescent="0.25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e">
        <f>VLOOKUP(F3145,'Customer Info'!A3137:I3636,2,0)</f>
        <v>#N/A</v>
      </c>
      <c r="H3145" s="6" t="e">
        <f>VLOOKUP(F3145,'Customer Info'!A3137:I3636,3,0)</f>
        <v>#N/A</v>
      </c>
      <c r="I3145" s="6" t="e">
        <f>VLOOKUP(F3145,'Customer Info'!A3137:I3636,5,0)</f>
        <v>#N/A</v>
      </c>
      <c r="J3145" s="2">
        <v>3354</v>
      </c>
      <c r="K3145" s="2">
        <v>3102</v>
      </c>
      <c r="L3145" s="2">
        <v>7</v>
      </c>
      <c r="M3145" s="7">
        <f t="shared" si="192"/>
        <v>21714</v>
      </c>
      <c r="N3145" s="7">
        <f t="shared" si="193"/>
        <v>23478</v>
      </c>
      <c r="O3145" s="2">
        <v>43</v>
      </c>
      <c r="P3145" s="8">
        <f t="shared" si="194"/>
        <v>23521</v>
      </c>
      <c r="Q3145" s="8">
        <f t="shared" si="195"/>
        <v>23435</v>
      </c>
      <c r="R3145" s="2" t="s">
        <v>28</v>
      </c>
      <c r="S3145" s="9">
        <f>VLOOKUP(P3145,$T$2:U3142,2,1)</f>
        <v>0.05</v>
      </c>
    </row>
    <row r="3146" spans="1:19" x14ac:dyDescent="0.25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e">
        <f>VLOOKUP(F3146,'Customer Info'!A3138:I3637,2,0)</f>
        <v>#N/A</v>
      </c>
      <c r="H3146" s="6" t="e">
        <f>VLOOKUP(F3146,'Customer Info'!A3138:I3637,3,0)</f>
        <v>#N/A</v>
      </c>
      <c r="I3146" s="6" t="e">
        <f>VLOOKUP(F3146,'Customer Info'!A3138:I3637,5,0)</f>
        <v>#N/A</v>
      </c>
      <c r="J3146" s="2">
        <v>7864</v>
      </c>
      <c r="K3146" s="2">
        <v>7563</v>
      </c>
      <c r="L3146" s="2">
        <v>3</v>
      </c>
      <c r="M3146" s="7">
        <f t="shared" si="192"/>
        <v>22689</v>
      </c>
      <c r="N3146" s="7">
        <f t="shared" si="193"/>
        <v>23592</v>
      </c>
      <c r="O3146" s="2">
        <v>32</v>
      </c>
      <c r="P3146" s="8">
        <f t="shared" si="194"/>
        <v>23624</v>
      </c>
      <c r="Q3146" s="8">
        <f t="shared" si="195"/>
        <v>23560</v>
      </c>
      <c r="R3146" s="2" t="s">
        <v>50</v>
      </c>
      <c r="S3146" s="9">
        <f>VLOOKUP(P3146,$T$2:U3143,2,1)</f>
        <v>0.05</v>
      </c>
    </row>
    <row r="3147" spans="1:19" x14ac:dyDescent="0.25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e">
        <f>VLOOKUP(F3147,'Customer Info'!A3139:I3638,2,0)</f>
        <v>#N/A</v>
      </c>
      <c r="H3147" s="6" t="e">
        <f>VLOOKUP(F3147,'Customer Info'!A3139:I3638,3,0)</f>
        <v>#N/A</v>
      </c>
      <c r="I3147" s="6" t="e">
        <f>VLOOKUP(F3147,'Customer Info'!A3139:I3638,5,0)</f>
        <v>#N/A</v>
      </c>
      <c r="J3147" s="2">
        <v>224</v>
      </c>
      <c r="K3147" s="2">
        <v>210</v>
      </c>
      <c r="L3147" s="2">
        <v>3</v>
      </c>
      <c r="M3147" s="7">
        <f t="shared" ref="M3147:M3210" si="196">K3147*L3147</f>
        <v>630</v>
      </c>
      <c r="N3147" s="7">
        <f t="shared" ref="N3147:N3210" si="197">J3147*L3147</f>
        <v>672</v>
      </c>
      <c r="O3147" s="2">
        <v>41</v>
      </c>
      <c r="P3147" s="8">
        <f t="shared" ref="P3147:P3210" si="198">SUM(N3147,O3147)</f>
        <v>713</v>
      </c>
      <c r="Q3147" s="8">
        <f t="shared" ref="Q3147:Q3210" si="199">N3147-O3147</f>
        <v>631</v>
      </c>
      <c r="R3147" s="2" t="s">
        <v>26</v>
      </c>
      <c r="S3147" s="9">
        <f>VLOOKUP(P3147,$T$2:U3144,2,1)</f>
        <v>0.02</v>
      </c>
    </row>
    <row r="3148" spans="1:19" x14ac:dyDescent="0.25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e">
        <f>VLOOKUP(F3148,'Customer Info'!A3140:I3639,2,0)</f>
        <v>#N/A</v>
      </c>
      <c r="H3148" s="6" t="e">
        <f>VLOOKUP(F3148,'Customer Info'!A3140:I3639,3,0)</f>
        <v>#N/A</v>
      </c>
      <c r="I3148" s="6" t="e">
        <f>VLOOKUP(F3148,'Customer Info'!A3140:I3639,5,0)</f>
        <v>#N/A</v>
      </c>
      <c r="J3148" s="2">
        <v>130</v>
      </c>
      <c r="K3148" s="2">
        <v>122</v>
      </c>
      <c r="L3148" s="2">
        <v>2</v>
      </c>
      <c r="M3148" s="7">
        <f t="shared" si="196"/>
        <v>244</v>
      </c>
      <c r="N3148" s="7">
        <f t="shared" si="197"/>
        <v>260</v>
      </c>
      <c r="O3148" s="2">
        <v>30</v>
      </c>
      <c r="P3148" s="8">
        <f t="shared" si="198"/>
        <v>290</v>
      </c>
      <c r="Q3148" s="8">
        <f t="shared" si="199"/>
        <v>230</v>
      </c>
      <c r="R3148" s="2" t="s">
        <v>28</v>
      </c>
      <c r="S3148" s="9">
        <f>VLOOKUP(P3148,$T$2:U3145,2,1)</f>
        <v>0.02</v>
      </c>
    </row>
    <row r="3149" spans="1:19" x14ac:dyDescent="0.25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e">
        <f>VLOOKUP(F3149,'Customer Info'!A3141:I3640,2,0)</f>
        <v>#N/A</v>
      </c>
      <c r="H3149" s="6" t="e">
        <f>VLOOKUP(F3149,'Customer Info'!A3141:I3640,3,0)</f>
        <v>#N/A</v>
      </c>
      <c r="I3149" s="6" t="e">
        <f>VLOOKUP(F3149,'Customer Info'!A3141:I3640,5,0)</f>
        <v>#N/A</v>
      </c>
      <c r="J3149" s="2">
        <v>1925</v>
      </c>
      <c r="K3149" s="2">
        <v>1834</v>
      </c>
      <c r="L3149" s="2">
        <v>2</v>
      </c>
      <c r="M3149" s="7">
        <f t="shared" si="196"/>
        <v>3668</v>
      </c>
      <c r="N3149" s="7">
        <f t="shared" si="197"/>
        <v>3850</v>
      </c>
      <c r="O3149" s="2">
        <v>65</v>
      </c>
      <c r="P3149" s="8">
        <f t="shared" si="198"/>
        <v>3915</v>
      </c>
      <c r="Q3149" s="8">
        <f t="shared" si="199"/>
        <v>3785</v>
      </c>
      <c r="R3149" s="2" t="s">
        <v>26</v>
      </c>
      <c r="S3149" s="9">
        <f>VLOOKUP(P3149,$T$2:U3146,2,1)</f>
        <v>0.02</v>
      </c>
    </row>
    <row r="3150" spans="1:19" x14ac:dyDescent="0.25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e">
        <f>VLOOKUP(F3150,'Customer Info'!A3142:I3641,2,0)</f>
        <v>#N/A</v>
      </c>
      <c r="H3150" s="6" t="e">
        <f>VLOOKUP(F3150,'Customer Info'!A3142:I3641,3,0)</f>
        <v>#N/A</v>
      </c>
      <c r="I3150" s="6" t="e">
        <f>VLOOKUP(F3150,'Customer Info'!A3142:I3641,5,0)</f>
        <v>#N/A</v>
      </c>
      <c r="J3150" s="2">
        <v>210</v>
      </c>
      <c r="K3150" s="2">
        <v>193</v>
      </c>
      <c r="L3150" s="2">
        <v>1</v>
      </c>
      <c r="M3150" s="7">
        <f t="shared" si="196"/>
        <v>193</v>
      </c>
      <c r="N3150" s="7">
        <f t="shared" si="197"/>
        <v>210</v>
      </c>
      <c r="O3150" s="2">
        <v>28</v>
      </c>
      <c r="P3150" s="8">
        <f t="shared" si="198"/>
        <v>238</v>
      </c>
      <c r="Q3150" s="8">
        <f t="shared" si="199"/>
        <v>182</v>
      </c>
      <c r="R3150" s="2" t="s">
        <v>28</v>
      </c>
      <c r="S3150" s="9">
        <f>VLOOKUP(P3150,$T$2:U3147,2,1)</f>
        <v>0.02</v>
      </c>
    </row>
    <row r="3151" spans="1:19" x14ac:dyDescent="0.25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e">
        <f>VLOOKUP(F3151,'Customer Info'!A3143:I3642,2,0)</f>
        <v>#N/A</v>
      </c>
      <c r="H3151" s="6" t="e">
        <f>VLOOKUP(F3151,'Customer Info'!A3143:I3642,3,0)</f>
        <v>#N/A</v>
      </c>
      <c r="I3151" s="6" t="e">
        <f>VLOOKUP(F3151,'Customer Info'!A3143:I3642,5,0)</f>
        <v>#N/A</v>
      </c>
      <c r="J3151" s="2">
        <v>1058</v>
      </c>
      <c r="K3151" s="2">
        <v>989</v>
      </c>
      <c r="L3151" s="2">
        <v>3</v>
      </c>
      <c r="M3151" s="7">
        <f t="shared" si="196"/>
        <v>2967</v>
      </c>
      <c r="N3151" s="7">
        <f t="shared" si="197"/>
        <v>3174</v>
      </c>
      <c r="O3151" s="2">
        <v>86</v>
      </c>
      <c r="P3151" s="8">
        <f t="shared" si="198"/>
        <v>3260</v>
      </c>
      <c r="Q3151" s="8">
        <f t="shared" si="199"/>
        <v>3088</v>
      </c>
      <c r="R3151" s="2" t="s">
        <v>28</v>
      </c>
      <c r="S3151" s="9">
        <f>VLOOKUP(P3151,$T$2:U3148,2,1)</f>
        <v>0.02</v>
      </c>
    </row>
    <row r="3152" spans="1:19" x14ac:dyDescent="0.25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e">
        <f>VLOOKUP(F3152,'Customer Info'!A3144:I3643,2,0)</f>
        <v>#N/A</v>
      </c>
      <c r="H3152" s="6" t="e">
        <f>VLOOKUP(F3152,'Customer Info'!A3144:I3643,3,0)</f>
        <v>#N/A</v>
      </c>
      <c r="I3152" s="6" t="e">
        <f>VLOOKUP(F3152,'Customer Info'!A3144:I3643,5,0)</f>
        <v>#N/A</v>
      </c>
      <c r="J3152" s="2">
        <v>2088</v>
      </c>
      <c r="K3152" s="2">
        <v>1970</v>
      </c>
      <c r="L3152" s="2">
        <v>1</v>
      </c>
      <c r="M3152" s="7">
        <f t="shared" si="196"/>
        <v>1970</v>
      </c>
      <c r="N3152" s="7">
        <f t="shared" si="197"/>
        <v>2088</v>
      </c>
      <c r="O3152" s="2">
        <v>31</v>
      </c>
      <c r="P3152" s="8">
        <f t="shared" si="198"/>
        <v>2119</v>
      </c>
      <c r="Q3152" s="8">
        <f t="shared" si="199"/>
        <v>2057</v>
      </c>
      <c r="R3152" s="2" t="s">
        <v>28</v>
      </c>
      <c r="S3152" s="9">
        <f>VLOOKUP(P3152,$T$2:U3149,2,1)</f>
        <v>0.02</v>
      </c>
    </row>
    <row r="3153" spans="1:19" x14ac:dyDescent="0.25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e">
        <f>VLOOKUP(F3153,'Customer Info'!A3145:I3644,2,0)</f>
        <v>#N/A</v>
      </c>
      <c r="H3153" s="6" t="e">
        <f>VLOOKUP(F3153,'Customer Info'!A3145:I3644,3,0)</f>
        <v>#N/A</v>
      </c>
      <c r="I3153" s="6" t="e">
        <f>VLOOKUP(F3153,'Customer Info'!A3145:I3644,5,0)</f>
        <v>#N/A</v>
      </c>
      <c r="J3153" s="2">
        <v>8617</v>
      </c>
      <c r="K3153" s="2">
        <v>7900</v>
      </c>
      <c r="L3153" s="2">
        <v>2</v>
      </c>
      <c r="M3153" s="7">
        <f t="shared" si="196"/>
        <v>15800</v>
      </c>
      <c r="N3153" s="7">
        <f t="shared" si="197"/>
        <v>17234</v>
      </c>
      <c r="O3153" s="2">
        <v>99</v>
      </c>
      <c r="P3153" s="8">
        <f t="shared" si="198"/>
        <v>17333</v>
      </c>
      <c r="Q3153" s="8">
        <f t="shared" si="199"/>
        <v>17135</v>
      </c>
      <c r="R3153" s="2" t="s">
        <v>28</v>
      </c>
      <c r="S3153" s="9">
        <f>VLOOKUP(P3153,$T$2:U3150,2,1)</f>
        <v>0.05</v>
      </c>
    </row>
    <row r="3154" spans="1:19" x14ac:dyDescent="0.25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e">
        <f>VLOOKUP(F3154,'Customer Info'!A3146:I3645,2,0)</f>
        <v>#N/A</v>
      </c>
      <c r="H3154" s="6" t="e">
        <f>VLOOKUP(F3154,'Customer Info'!A3146:I3645,3,0)</f>
        <v>#N/A</v>
      </c>
      <c r="I3154" s="6" t="e">
        <f>VLOOKUP(F3154,'Customer Info'!A3146:I3645,5,0)</f>
        <v>#N/A</v>
      </c>
      <c r="J3154" s="2">
        <v>789</v>
      </c>
      <c r="K3154" s="2">
        <v>739</v>
      </c>
      <c r="L3154" s="2">
        <v>2</v>
      </c>
      <c r="M3154" s="7">
        <f t="shared" si="196"/>
        <v>1478</v>
      </c>
      <c r="N3154" s="7">
        <f t="shared" si="197"/>
        <v>1578</v>
      </c>
      <c r="O3154" s="2">
        <v>76</v>
      </c>
      <c r="P3154" s="8">
        <f t="shared" si="198"/>
        <v>1654</v>
      </c>
      <c r="Q3154" s="8">
        <f t="shared" si="199"/>
        <v>1502</v>
      </c>
      <c r="R3154" s="2" t="s">
        <v>26</v>
      </c>
      <c r="S3154" s="9">
        <f>VLOOKUP(P3154,$T$2:U3151,2,1)</f>
        <v>0.02</v>
      </c>
    </row>
    <row r="3155" spans="1:19" x14ac:dyDescent="0.25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e">
        <f>VLOOKUP(F3155,'Customer Info'!A3147:I3646,2,0)</f>
        <v>#N/A</v>
      </c>
      <c r="H3155" s="6" t="e">
        <f>VLOOKUP(F3155,'Customer Info'!A3147:I3646,3,0)</f>
        <v>#N/A</v>
      </c>
      <c r="I3155" s="6" t="e">
        <f>VLOOKUP(F3155,'Customer Info'!A3147:I3646,5,0)</f>
        <v>#N/A</v>
      </c>
      <c r="J3155" s="2">
        <v>658</v>
      </c>
      <c r="K3155" s="2">
        <v>615</v>
      </c>
      <c r="L3155" s="2">
        <v>2</v>
      </c>
      <c r="M3155" s="7">
        <f t="shared" si="196"/>
        <v>1230</v>
      </c>
      <c r="N3155" s="7">
        <f t="shared" si="197"/>
        <v>1316</v>
      </c>
      <c r="O3155" s="2">
        <v>51</v>
      </c>
      <c r="P3155" s="8">
        <f t="shared" si="198"/>
        <v>1367</v>
      </c>
      <c r="Q3155" s="8">
        <f t="shared" si="199"/>
        <v>1265</v>
      </c>
      <c r="R3155" s="2" t="s">
        <v>50</v>
      </c>
      <c r="S3155" s="9">
        <f>VLOOKUP(P3155,$T$2:U3152,2,1)</f>
        <v>0.02</v>
      </c>
    </row>
    <row r="3156" spans="1:19" x14ac:dyDescent="0.25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e">
        <f>VLOOKUP(F3156,'Customer Info'!A3148:I3647,2,0)</f>
        <v>#N/A</v>
      </c>
      <c r="H3156" s="6" t="e">
        <f>VLOOKUP(F3156,'Customer Info'!A3148:I3647,3,0)</f>
        <v>#N/A</v>
      </c>
      <c r="I3156" s="6" t="e">
        <f>VLOOKUP(F3156,'Customer Info'!A3148:I3647,5,0)</f>
        <v>#N/A</v>
      </c>
      <c r="J3156" s="2">
        <v>2310</v>
      </c>
      <c r="K3156" s="2">
        <v>2040</v>
      </c>
      <c r="L3156" s="2">
        <v>2</v>
      </c>
      <c r="M3156" s="7">
        <f t="shared" si="196"/>
        <v>4080</v>
      </c>
      <c r="N3156" s="7">
        <f t="shared" si="197"/>
        <v>4620</v>
      </c>
      <c r="O3156" s="2">
        <v>58</v>
      </c>
      <c r="P3156" s="8">
        <f t="shared" si="198"/>
        <v>4678</v>
      </c>
      <c r="Q3156" s="8">
        <f t="shared" si="199"/>
        <v>4562</v>
      </c>
      <c r="R3156" s="2" t="s">
        <v>28</v>
      </c>
      <c r="S3156" s="9">
        <f>VLOOKUP(P3156,$T$2:U3153,2,1)</f>
        <v>0.02</v>
      </c>
    </row>
    <row r="3157" spans="1:19" x14ac:dyDescent="0.25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e">
        <f>VLOOKUP(F3157,'Customer Info'!A3149:I3648,2,0)</f>
        <v>#N/A</v>
      </c>
      <c r="H3157" s="6" t="e">
        <f>VLOOKUP(F3157,'Customer Info'!A3149:I3648,3,0)</f>
        <v>#N/A</v>
      </c>
      <c r="I3157" s="6" t="e">
        <f>VLOOKUP(F3157,'Customer Info'!A3149:I3648,5,0)</f>
        <v>#N/A</v>
      </c>
      <c r="J3157" s="2">
        <v>2965</v>
      </c>
      <c r="K3157" s="2">
        <v>2694</v>
      </c>
      <c r="L3157" s="2">
        <v>5</v>
      </c>
      <c r="M3157" s="7">
        <f t="shared" si="196"/>
        <v>13470</v>
      </c>
      <c r="N3157" s="7">
        <f t="shared" si="197"/>
        <v>14825</v>
      </c>
      <c r="O3157" s="2">
        <v>46</v>
      </c>
      <c r="P3157" s="8">
        <f t="shared" si="198"/>
        <v>14871</v>
      </c>
      <c r="Q3157" s="8">
        <f t="shared" si="199"/>
        <v>14779</v>
      </c>
      <c r="R3157" s="2" t="s">
        <v>50</v>
      </c>
      <c r="S3157" s="9">
        <f>VLOOKUP(P3157,$T$2:U3154,2,1)</f>
        <v>0.05</v>
      </c>
    </row>
    <row r="3158" spans="1:19" x14ac:dyDescent="0.25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e">
        <f>VLOOKUP(F3158,'Customer Info'!A3150:I3649,2,0)</f>
        <v>#N/A</v>
      </c>
      <c r="H3158" s="6" t="e">
        <f>VLOOKUP(F3158,'Customer Info'!A3150:I3649,3,0)</f>
        <v>#N/A</v>
      </c>
      <c r="I3158" s="6" t="e">
        <f>VLOOKUP(F3158,'Customer Info'!A3150:I3649,5,0)</f>
        <v>#N/A</v>
      </c>
      <c r="J3158" s="2">
        <v>1703</v>
      </c>
      <c r="K3158" s="2">
        <v>1639</v>
      </c>
      <c r="L3158" s="2">
        <v>4</v>
      </c>
      <c r="M3158" s="7">
        <f t="shared" si="196"/>
        <v>6556</v>
      </c>
      <c r="N3158" s="7">
        <f t="shared" si="197"/>
        <v>6812</v>
      </c>
      <c r="O3158" s="2">
        <v>24</v>
      </c>
      <c r="P3158" s="8">
        <f t="shared" si="198"/>
        <v>6836</v>
      </c>
      <c r="Q3158" s="8">
        <f t="shared" si="199"/>
        <v>6788</v>
      </c>
      <c r="R3158" s="2" t="s">
        <v>28</v>
      </c>
      <c r="S3158" s="9">
        <f>VLOOKUP(P3158,$T$2:U3155,2,1)</f>
        <v>0.05</v>
      </c>
    </row>
    <row r="3159" spans="1:19" x14ac:dyDescent="0.25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e">
        <f>VLOOKUP(F3159,'Customer Info'!A3151:I3650,2,0)</f>
        <v>#N/A</v>
      </c>
      <c r="H3159" s="6" t="e">
        <f>VLOOKUP(F3159,'Customer Info'!A3151:I3650,3,0)</f>
        <v>#N/A</v>
      </c>
      <c r="I3159" s="6" t="e">
        <f>VLOOKUP(F3159,'Customer Info'!A3151:I3650,5,0)</f>
        <v>#N/A</v>
      </c>
      <c r="J3159" s="2">
        <v>1181</v>
      </c>
      <c r="K3159" s="2">
        <v>1136</v>
      </c>
      <c r="L3159" s="2">
        <v>1</v>
      </c>
      <c r="M3159" s="7">
        <f t="shared" si="196"/>
        <v>1136</v>
      </c>
      <c r="N3159" s="7">
        <f t="shared" si="197"/>
        <v>1181</v>
      </c>
      <c r="O3159" s="2">
        <v>41</v>
      </c>
      <c r="P3159" s="8">
        <f t="shared" si="198"/>
        <v>1222</v>
      </c>
      <c r="Q3159" s="8">
        <f t="shared" si="199"/>
        <v>1140</v>
      </c>
      <c r="R3159" s="2" t="s">
        <v>28</v>
      </c>
      <c r="S3159" s="9">
        <f>VLOOKUP(P3159,$T$2:U3156,2,1)</f>
        <v>0.02</v>
      </c>
    </row>
    <row r="3160" spans="1:19" x14ac:dyDescent="0.25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e">
        <f>VLOOKUP(F3160,'Customer Info'!A3152:I3651,2,0)</f>
        <v>#N/A</v>
      </c>
      <c r="H3160" s="6" t="e">
        <f>VLOOKUP(F3160,'Customer Info'!A3152:I3651,3,0)</f>
        <v>#N/A</v>
      </c>
      <c r="I3160" s="6" t="e">
        <f>VLOOKUP(F3160,'Customer Info'!A3152:I3651,5,0)</f>
        <v>#N/A</v>
      </c>
      <c r="J3160" s="2">
        <v>166</v>
      </c>
      <c r="K3160" s="2">
        <v>149</v>
      </c>
      <c r="L3160" s="2">
        <v>2</v>
      </c>
      <c r="M3160" s="7">
        <f t="shared" si="196"/>
        <v>298</v>
      </c>
      <c r="N3160" s="7">
        <f t="shared" si="197"/>
        <v>332</v>
      </c>
      <c r="O3160" s="2">
        <v>30</v>
      </c>
      <c r="P3160" s="8">
        <f t="shared" si="198"/>
        <v>362</v>
      </c>
      <c r="Q3160" s="8">
        <f t="shared" si="199"/>
        <v>302</v>
      </c>
      <c r="R3160" s="2" t="s">
        <v>26</v>
      </c>
      <c r="S3160" s="9">
        <f>VLOOKUP(P3160,$T$2:U3157,2,1)</f>
        <v>0.02</v>
      </c>
    </row>
    <row r="3161" spans="1:19" x14ac:dyDescent="0.25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e">
        <f>VLOOKUP(F3161,'Customer Info'!A3153:I3652,2,0)</f>
        <v>#N/A</v>
      </c>
      <c r="H3161" s="6" t="e">
        <f>VLOOKUP(F3161,'Customer Info'!A3153:I3652,3,0)</f>
        <v>#N/A</v>
      </c>
      <c r="I3161" s="6" t="e">
        <f>VLOOKUP(F3161,'Customer Info'!A3153:I3652,5,0)</f>
        <v>#N/A</v>
      </c>
      <c r="J3161" s="2">
        <v>7327</v>
      </c>
      <c r="K3161" s="2">
        <v>6658</v>
      </c>
      <c r="L3161" s="2">
        <v>1</v>
      </c>
      <c r="M3161" s="7">
        <f t="shared" si="196"/>
        <v>6658</v>
      </c>
      <c r="N3161" s="7">
        <f t="shared" si="197"/>
        <v>7327</v>
      </c>
      <c r="O3161" s="2">
        <v>63</v>
      </c>
      <c r="P3161" s="8">
        <f t="shared" si="198"/>
        <v>7390</v>
      </c>
      <c r="Q3161" s="8">
        <f t="shared" si="199"/>
        <v>7264</v>
      </c>
      <c r="R3161" s="2" t="s">
        <v>50</v>
      </c>
      <c r="S3161" s="9">
        <f>VLOOKUP(P3161,$T$2:U3158,2,1)</f>
        <v>0.05</v>
      </c>
    </row>
    <row r="3162" spans="1:19" x14ac:dyDescent="0.25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e">
        <f>VLOOKUP(F3162,'Customer Info'!A3154:I3653,2,0)</f>
        <v>#N/A</v>
      </c>
      <c r="H3162" s="6" t="e">
        <f>VLOOKUP(F3162,'Customer Info'!A3154:I3653,3,0)</f>
        <v>#N/A</v>
      </c>
      <c r="I3162" s="6" t="e">
        <f>VLOOKUP(F3162,'Customer Info'!A3154:I3653,5,0)</f>
        <v>#N/A</v>
      </c>
      <c r="J3162" s="2">
        <v>210</v>
      </c>
      <c r="K3162" s="2">
        <v>191</v>
      </c>
      <c r="L3162" s="2">
        <v>3</v>
      </c>
      <c r="M3162" s="7">
        <f t="shared" si="196"/>
        <v>573</v>
      </c>
      <c r="N3162" s="7">
        <f t="shared" si="197"/>
        <v>630</v>
      </c>
      <c r="O3162" s="2">
        <v>56</v>
      </c>
      <c r="P3162" s="8">
        <f t="shared" si="198"/>
        <v>686</v>
      </c>
      <c r="Q3162" s="8">
        <f t="shared" si="199"/>
        <v>574</v>
      </c>
      <c r="R3162" s="2" t="s">
        <v>28</v>
      </c>
      <c r="S3162" s="9">
        <f>VLOOKUP(P3162,$T$2:U3159,2,1)</f>
        <v>0.02</v>
      </c>
    </row>
    <row r="3163" spans="1:19" x14ac:dyDescent="0.25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e">
        <f>VLOOKUP(F3163,'Customer Info'!A3155:I3654,2,0)</f>
        <v>#N/A</v>
      </c>
      <c r="H3163" s="6" t="e">
        <f>VLOOKUP(F3163,'Customer Info'!A3155:I3654,3,0)</f>
        <v>#N/A</v>
      </c>
      <c r="I3163" s="6" t="e">
        <f>VLOOKUP(F3163,'Customer Info'!A3155:I3654,5,0)</f>
        <v>#N/A</v>
      </c>
      <c r="J3163" s="2">
        <v>789</v>
      </c>
      <c r="K3163" s="2">
        <v>739</v>
      </c>
      <c r="L3163" s="2">
        <v>8</v>
      </c>
      <c r="M3163" s="7">
        <f t="shared" si="196"/>
        <v>5912</v>
      </c>
      <c r="N3163" s="7">
        <f t="shared" si="197"/>
        <v>6312</v>
      </c>
      <c r="O3163" s="2">
        <v>79</v>
      </c>
      <c r="P3163" s="8">
        <f t="shared" si="198"/>
        <v>6391</v>
      </c>
      <c r="Q3163" s="8">
        <f t="shared" si="199"/>
        <v>6233</v>
      </c>
      <c r="R3163" s="2" t="s">
        <v>28</v>
      </c>
      <c r="S3163" s="9">
        <f>VLOOKUP(P3163,$T$2:U3160,2,1)</f>
        <v>0.05</v>
      </c>
    </row>
    <row r="3164" spans="1:19" x14ac:dyDescent="0.25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e">
        <f>VLOOKUP(F3164,'Customer Info'!A3156:I3655,2,0)</f>
        <v>#N/A</v>
      </c>
      <c r="H3164" s="6" t="e">
        <f>VLOOKUP(F3164,'Customer Info'!A3156:I3655,3,0)</f>
        <v>#N/A</v>
      </c>
      <c r="I3164" s="6" t="e">
        <f>VLOOKUP(F3164,'Customer Info'!A3156:I3655,5,0)</f>
        <v>#N/A</v>
      </c>
      <c r="J3164" s="2">
        <v>6024</v>
      </c>
      <c r="K3164" s="2">
        <v>5424</v>
      </c>
      <c r="L3164" s="2">
        <v>7</v>
      </c>
      <c r="M3164" s="7">
        <f t="shared" si="196"/>
        <v>37968</v>
      </c>
      <c r="N3164" s="7">
        <f t="shared" si="197"/>
        <v>42168</v>
      </c>
      <c r="O3164" s="2">
        <v>36</v>
      </c>
      <c r="P3164" s="8">
        <f t="shared" si="198"/>
        <v>42204</v>
      </c>
      <c r="Q3164" s="8">
        <f t="shared" si="199"/>
        <v>42132</v>
      </c>
      <c r="R3164" s="2" t="s">
        <v>28</v>
      </c>
      <c r="S3164" s="9">
        <f>VLOOKUP(P3164,$T$2:U3161,2,1)</f>
        <v>7.0000000000000007E-2</v>
      </c>
    </row>
    <row r="3165" spans="1:19" x14ac:dyDescent="0.25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e">
        <f>VLOOKUP(F3165,'Customer Info'!A3157:I3656,2,0)</f>
        <v>#N/A</v>
      </c>
      <c r="H3165" s="6" t="e">
        <f>VLOOKUP(F3165,'Customer Info'!A3157:I3656,3,0)</f>
        <v>#N/A</v>
      </c>
      <c r="I3165" s="6" t="e">
        <f>VLOOKUP(F3165,'Customer Info'!A3157:I3656,5,0)</f>
        <v>#N/A</v>
      </c>
      <c r="J3165" s="2">
        <v>1772</v>
      </c>
      <c r="K3165" s="2">
        <v>1656</v>
      </c>
      <c r="L3165" s="2">
        <v>1</v>
      </c>
      <c r="M3165" s="7">
        <f t="shared" si="196"/>
        <v>1656</v>
      </c>
      <c r="N3165" s="7">
        <f t="shared" si="197"/>
        <v>1772</v>
      </c>
      <c r="O3165" s="2">
        <v>27</v>
      </c>
      <c r="P3165" s="8">
        <f t="shared" si="198"/>
        <v>1799</v>
      </c>
      <c r="Q3165" s="8">
        <f t="shared" si="199"/>
        <v>1745</v>
      </c>
      <c r="R3165" s="2" t="s">
        <v>50</v>
      </c>
      <c r="S3165" s="9">
        <f>VLOOKUP(P3165,$T$2:U3162,2,1)</f>
        <v>0.02</v>
      </c>
    </row>
    <row r="3166" spans="1:19" x14ac:dyDescent="0.25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e">
        <f>VLOOKUP(F3166,'Customer Info'!A3158:I3657,2,0)</f>
        <v>#N/A</v>
      </c>
      <c r="H3166" s="6" t="e">
        <f>VLOOKUP(F3166,'Customer Info'!A3158:I3657,3,0)</f>
        <v>#N/A</v>
      </c>
      <c r="I3166" s="6" t="e">
        <f>VLOOKUP(F3166,'Customer Info'!A3158:I3657,5,0)</f>
        <v>#N/A</v>
      </c>
      <c r="J3166" s="2">
        <v>954</v>
      </c>
      <c r="K3166" s="2">
        <v>901</v>
      </c>
      <c r="L3166" s="2">
        <v>3</v>
      </c>
      <c r="M3166" s="7">
        <f t="shared" si="196"/>
        <v>2703</v>
      </c>
      <c r="N3166" s="7">
        <f t="shared" si="197"/>
        <v>2862</v>
      </c>
      <c r="O3166" s="2">
        <v>46</v>
      </c>
      <c r="P3166" s="8">
        <f t="shared" si="198"/>
        <v>2908</v>
      </c>
      <c r="Q3166" s="8">
        <f t="shared" si="199"/>
        <v>2816</v>
      </c>
      <c r="R3166" s="2" t="s">
        <v>28</v>
      </c>
      <c r="S3166" s="9">
        <f>VLOOKUP(P3166,$T$2:U3163,2,1)</f>
        <v>0.02</v>
      </c>
    </row>
    <row r="3167" spans="1:19" x14ac:dyDescent="0.25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e">
        <f>VLOOKUP(F3167,'Customer Info'!A3159:I3658,2,0)</f>
        <v>#N/A</v>
      </c>
      <c r="H3167" s="6" t="e">
        <f>VLOOKUP(F3167,'Customer Info'!A3159:I3658,3,0)</f>
        <v>#N/A</v>
      </c>
      <c r="I3167" s="6" t="e">
        <f>VLOOKUP(F3167,'Customer Info'!A3159:I3658,5,0)</f>
        <v>#N/A</v>
      </c>
      <c r="J3167" s="2">
        <v>36057</v>
      </c>
      <c r="K3167" s="2">
        <v>34028</v>
      </c>
      <c r="L3167" s="2">
        <v>8</v>
      </c>
      <c r="M3167" s="7">
        <f t="shared" si="196"/>
        <v>272224</v>
      </c>
      <c r="N3167" s="7">
        <f t="shared" si="197"/>
        <v>288456</v>
      </c>
      <c r="O3167" s="2">
        <v>22</v>
      </c>
      <c r="P3167" s="8">
        <f t="shared" si="198"/>
        <v>288478</v>
      </c>
      <c r="Q3167" s="8">
        <f t="shared" si="199"/>
        <v>288434</v>
      </c>
      <c r="R3167" s="2" t="s">
        <v>50</v>
      </c>
      <c r="S3167" s="9">
        <f>VLOOKUP(P3167,$T$2:U3164,2,1)</f>
        <v>0.15</v>
      </c>
    </row>
    <row r="3168" spans="1:19" x14ac:dyDescent="0.25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e">
        <f>VLOOKUP(F3168,'Customer Info'!A3160:I3659,2,0)</f>
        <v>#N/A</v>
      </c>
      <c r="H3168" s="6" t="e">
        <f>VLOOKUP(F3168,'Customer Info'!A3160:I3659,3,0)</f>
        <v>#N/A</v>
      </c>
      <c r="I3168" s="6" t="e">
        <f>VLOOKUP(F3168,'Customer Info'!A3160:I3659,5,0)</f>
        <v>#N/A</v>
      </c>
      <c r="J3168" s="2">
        <v>1512</v>
      </c>
      <c r="K3168" s="2">
        <v>1497</v>
      </c>
      <c r="L3168" s="2">
        <v>9</v>
      </c>
      <c r="M3168" s="7">
        <f t="shared" si="196"/>
        <v>13473</v>
      </c>
      <c r="N3168" s="7">
        <f t="shared" si="197"/>
        <v>13608</v>
      </c>
      <c r="O3168" s="2">
        <v>64</v>
      </c>
      <c r="P3168" s="8">
        <f t="shared" si="198"/>
        <v>13672</v>
      </c>
      <c r="Q3168" s="8">
        <f t="shared" si="199"/>
        <v>13544</v>
      </c>
      <c r="R3168" s="2" t="s">
        <v>28</v>
      </c>
      <c r="S3168" s="9">
        <f>VLOOKUP(P3168,$T$2:U3165,2,1)</f>
        <v>0.05</v>
      </c>
    </row>
    <row r="3169" spans="1:19" x14ac:dyDescent="0.25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e">
        <f>VLOOKUP(F3169,'Customer Info'!A3161:I3660,2,0)</f>
        <v>#N/A</v>
      </c>
      <c r="H3169" s="6" t="e">
        <f>VLOOKUP(F3169,'Customer Info'!A3161:I3660,3,0)</f>
        <v>#N/A</v>
      </c>
      <c r="I3169" s="6" t="e">
        <f>VLOOKUP(F3169,'Customer Info'!A3161:I3660,5,0)</f>
        <v>#N/A</v>
      </c>
      <c r="J3169" s="2">
        <v>8433</v>
      </c>
      <c r="K3169" s="2">
        <v>7801</v>
      </c>
      <c r="L3169" s="2">
        <v>5</v>
      </c>
      <c r="M3169" s="7">
        <f t="shared" si="196"/>
        <v>39005</v>
      </c>
      <c r="N3169" s="7">
        <f t="shared" si="197"/>
        <v>42165</v>
      </c>
      <c r="O3169" s="2">
        <v>86</v>
      </c>
      <c r="P3169" s="8">
        <f t="shared" si="198"/>
        <v>42251</v>
      </c>
      <c r="Q3169" s="8">
        <f t="shared" si="199"/>
        <v>42079</v>
      </c>
      <c r="R3169" s="2" t="s">
        <v>50</v>
      </c>
      <c r="S3169" s="9">
        <f>VLOOKUP(P3169,$T$2:U3166,2,1)</f>
        <v>7.0000000000000007E-2</v>
      </c>
    </row>
    <row r="3170" spans="1:19" x14ac:dyDescent="0.25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e">
        <f>VLOOKUP(F3170,'Customer Info'!A3162:I3661,2,0)</f>
        <v>#N/A</v>
      </c>
      <c r="H3170" s="6" t="e">
        <f>VLOOKUP(F3170,'Customer Info'!A3162:I3661,3,0)</f>
        <v>#N/A</v>
      </c>
      <c r="I3170" s="6" t="e">
        <f>VLOOKUP(F3170,'Customer Info'!A3162:I3661,5,0)</f>
        <v>#N/A</v>
      </c>
      <c r="J3170" s="2">
        <v>923</v>
      </c>
      <c r="K3170" s="2">
        <v>879</v>
      </c>
      <c r="L3170" s="2">
        <v>2</v>
      </c>
      <c r="M3170" s="7">
        <f t="shared" si="196"/>
        <v>1758</v>
      </c>
      <c r="N3170" s="7">
        <f t="shared" si="197"/>
        <v>1846</v>
      </c>
      <c r="O3170" s="2">
        <v>74</v>
      </c>
      <c r="P3170" s="8">
        <f t="shared" si="198"/>
        <v>1920</v>
      </c>
      <c r="Q3170" s="8">
        <f t="shared" si="199"/>
        <v>1772</v>
      </c>
      <c r="R3170" s="2" t="s">
        <v>28</v>
      </c>
      <c r="S3170" s="9">
        <f>VLOOKUP(P3170,$T$2:U3167,2,1)</f>
        <v>0.02</v>
      </c>
    </row>
    <row r="3171" spans="1:19" x14ac:dyDescent="0.25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e">
        <f>VLOOKUP(F3171,'Customer Info'!A3163:I3662,2,0)</f>
        <v>#N/A</v>
      </c>
      <c r="H3171" s="6" t="e">
        <f>VLOOKUP(F3171,'Customer Info'!A3163:I3662,3,0)</f>
        <v>#N/A</v>
      </c>
      <c r="I3171" s="6" t="e">
        <f>VLOOKUP(F3171,'Customer Info'!A3163:I3662,5,0)</f>
        <v>#N/A</v>
      </c>
      <c r="J3171" s="2">
        <v>2921</v>
      </c>
      <c r="K3171" s="2">
        <v>2809</v>
      </c>
      <c r="L3171" s="2">
        <v>4</v>
      </c>
      <c r="M3171" s="7">
        <f t="shared" si="196"/>
        <v>11236</v>
      </c>
      <c r="N3171" s="7">
        <f t="shared" si="197"/>
        <v>11684</v>
      </c>
      <c r="O3171" s="2">
        <v>57</v>
      </c>
      <c r="P3171" s="8">
        <f t="shared" si="198"/>
        <v>11741</v>
      </c>
      <c r="Q3171" s="8">
        <f t="shared" si="199"/>
        <v>11627</v>
      </c>
      <c r="R3171" s="2" t="s">
        <v>28</v>
      </c>
      <c r="S3171" s="9">
        <f>VLOOKUP(P3171,$T$2:U3168,2,1)</f>
        <v>0.05</v>
      </c>
    </row>
    <row r="3172" spans="1:19" x14ac:dyDescent="0.25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e">
        <f>VLOOKUP(F3172,'Customer Info'!A3164:I3663,2,0)</f>
        <v>#N/A</v>
      </c>
      <c r="H3172" s="6" t="e">
        <f>VLOOKUP(F3172,'Customer Info'!A3164:I3663,3,0)</f>
        <v>#N/A</v>
      </c>
      <c r="I3172" s="6" t="e">
        <f>VLOOKUP(F3172,'Customer Info'!A3164:I3663,5,0)</f>
        <v>#N/A</v>
      </c>
      <c r="J3172" s="2">
        <v>2155</v>
      </c>
      <c r="K3172" s="2">
        <v>2014</v>
      </c>
      <c r="L3172" s="2">
        <v>2</v>
      </c>
      <c r="M3172" s="7">
        <f t="shared" si="196"/>
        <v>4028</v>
      </c>
      <c r="N3172" s="7">
        <f t="shared" si="197"/>
        <v>4310</v>
      </c>
      <c r="O3172" s="2">
        <v>33</v>
      </c>
      <c r="P3172" s="8">
        <f t="shared" si="198"/>
        <v>4343</v>
      </c>
      <c r="Q3172" s="8">
        <f t="shared" si="199"/>
        <v>4277</v>
      </c>
      <c r="R3172" s="2" t="s">
        <v>50</v>
      </c>
      <c r="S3172" s="9">
        <f>VLOOKUP(P3172,$T$2:U3169,2,1)</f>
        <v>0.02</v>
      </c>
    </row>
    <row r="3173" spans="1:19" x14ac:dyDescent="0.25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e">
        <f>VLOOKUP(F3173,'Customer Info'!A3165:I3664,2,0)</f>
        <v>#N/A</v>
      </c>
      <c r="H3173" s="6" t="e">
        <f>VLOOKUP(F3173,'Customer Info'!A3165:I3664,3,0)</f>
        <v>#N/A</v>
      </c>
      <c r="I3173" s="6" t="e">
        <f>VLOOKUP(F3173,'Customer Info'!A3165:I3664,5,0)</f>
        <v>#N/A</v>
      </c>
      <c r="J3173" s="2">
        <v>671</v>
      </c>
      <c r="K3173" s="2">
        <v>627</v>
      </c>
      <c r="L3173" s="2">
        <v>1</v>
      </c>
      <c r="M3173" s="7">
        <f t="shared" si="196"/>
        <v>627</v>
      </c>
      <c r="N3173" s="7">
        <f t="shared" si="197"/>
        <v>671</v>
      </c>
      <c r="O3173" s="2">
        <v>62</v>
      </c>
      <c r="P3173" s="8">
        <f t="shared" si="198"/>
        <v>733</v>
      </c>
      <c r="Q3173" s="8">
        <f t="shared" si="199"/>
        <v>609</v>
      </c>
      <c r="R3173" s="2" t="s">
        <v>28</v>
      </c>
      <c r="S3173" s="9">
        <f>VLOOKUP(P3173,$T$2:U3170,2,1)</f>
        <v>0.02</v>
      </c>
    </row>
    <row r="3174" spans="1:19" x14ac:dyDescent="0.25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e">
        <f>VLOOKUP(F3174,'Customer Info'!A3166:I3665,2,0)</f>
        <v>#N/A</v>
      </c>
      <c r="H3174" s="6" t="e">
        <f>VLOOKUP(F3174,'Customer Info'!A3166:I3665,3,0)</f>
        <v>#N/A</v>
      </c>
      <c r="I3174" s="6" t="e">
        <f>VLOOKUP(F3174,'Customer Info'!A3166:I3665,5,0)</f>
        <v>#N/A</v>
      </c>
      <c r="J3174" s="2">
        <v>4846</v>
      </c>
      <c r="K3174" s="2">
        <v>4492</v>
      </c>
      <c r="L3174" s="2">
        <v>2</v>
      </c>
      <c r="M3174" s="7">
        <f t="shared" si="196"/>
        <v>8984</v>
      </c>
      <c r="N3174" s="7">
        <f t="shared" si="197"/>
        <v>9692</v>
      </c>
      <c r="O3174" s="2">
        <v>73</v>
      </c>
      <c r="P3174" s="8">
        <f t="shared" si="198"/>
        <v>9765</v>
      </c>
      <c r="Q3174" s="8">
        <f t="shared" si="199"/>
        <v>9619</v>
      </c>
      <c r="R3174" s="2" t="s">
        <v>50</v>
      </c>
      <c r="S3174" s="9">
        <f>VLOOKUP(P3174,$T$2:U3171,2,1)</f>
        <v>0.05</v>
      </c>
    </row>
    <row r="3175" spans="1:19" x14ac:dyDescent="0.25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e">
        <f>VLOOKUP(F3175,'Customer Info'!A3167:I3666,2,0)</f>
        <v>#N/A</v>
      </c>
      <c r="H3175" s="6" t="e">
        <f>VLOOKUP(F3175,'Customer Info'!A3167:I3666,3,0)</f>
        <v>#N/A</v>
      </c>
      <c r="I3175" s="6" t="e">
        <f>VLOOKUP(F3175,'Customer Info'!A3167:I3666,5,0)</f>
        <v>#N/A</v>
      </c>
      <c r="J3175" s="2">
        <v>222</v>
      </c>
      <c r="K3175" s="2">
        <v>204</v>
      </c>
      <c r="L3175" s="2">
        <v>2</v>
      </c>
      <c r="M3175" s="7">
        <f t="shared" si="196"/>
        <v>408</v>
      </c>
      <c r="N3175" s="7">
        <f t="shared" si="197"/>
        <v>444</v>
      </c>
      <c r="O3175" s="2">
        <v>39</v>
      </c>
      <c r="P3175" s="8">
        <f t="shared" si="198"/>
        <v>483</v>
      </c>
      <c r="Q3175" s="8">
        <f t="shared" si="199"/>
        <v>405</v>
      </c>
      <c r="R3175" s="2" t="s">
        <v>50</v>
      </c>
      <c r="S3175" s="9">
        <f>VLOOKUP(P3175,$T$2:U3172,2,1)</f>
        <v>0.02</v>
      </c>
    </row>
    <row r="3176" spans="1:19" x14ac:dyDescent="0.25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e">
        <f>VLOOKUP(F3176,'Customer Info'!A3168:I3667,2,0)</f>
        <v>#N/A</v>
      </c>
      <c r="H3176" s="6" t="e">
        <f>VLOOKUP(F3176,'Customer Info'!A3168:I3667,3,0)</f>
        <v>#N/A</v>
      </c>
      <c r="I3176" s="6" t="e">
        <f>VLOOKUP(F3176,'Customer Info'!A3168:I3667,5,0)</f>
        <v>#N/A</v>
      </c>
      <c r="J3176" s="2">
        <v>119</v>
      </c>
      <c r="K3176" s="2">
        <v>112</v>
      </c>
      <c r="L3176" s="2">
        <v>1</v>
      </c>
      <c r="M3176" s="7">
        <f t="shared" si="196"/>
        <v>112</v>
      </c>
      <c r="N3176" s="7">
        <f t="shared" si="197"/>
        <v>119</v>
      </c>
      <c r="O3176" s="2">
        <v>30</v>
      </c>
      <c r="P3176" s="8">
        <f t="shared" si="198"/>
        <v>149</v>
      </c>
      <c r="Q3176" s="8">
        <f t="shared" si="199"/>
        <v>89</v>
      </c>
      <c r="R3176" s="2" t="s">
        <v>56</v>
      </c>
      <c r="S3176" s="9">
        <f>VLOOKUP(P3176,$T$2:U3173,2,1)</f>
        <v>0.02</v>
      </c>
    </row>
    <row r="3177" spans="1:19" x14ac:dyDescent="0.25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e">
        <f>VLOOKUP(F3177,'Customer Info'!A3169:I3668,2,0)</f>
        <v>#N/A</v>
      </c>
      <c r="H3177" s="6" t="e">
        <f>VLOOKUP(F3177,'Customer Info'!A3169:I3668,3,0)</f>
        <v>#N/A</v>
      </c>
      <c r="I3177" s="6" t="e">
        <f>VLOOKUP(F3177,'Customer Info'!A3169:I3668,5,0)</f>
        <v>#N/A</v>
      </c>
      <c r="J3177" s="2">
        <v>2296</v>
      </c>
      <c r="K3177" s="2">
        <v>2146</v>
      </c>
      <c r="L3177" s="2">
        <v>2</v>
      </c>
      <c r="M3177" s="7">
        <f t="shared" si="196"/>
        <v>4292</v>
      </c>
      <c r="N3177" s="7">
        <f t="shared" si="197"/>
        <v>4592</v>
      </c>
      <c r="O3177" s="2">
        <v>100</v>
      </c>
      <c r="P3177" s="8">
        <f t="shared" si="198"/>
        <v>4692</v>
      </c>
      <c r="Q3177" s="8">
        <f t="shared" si="199"/>
        <v>4492</v>
      </c>
      <c r="R3177" s="2" t="s">
        <v>50</v>
      </c>
      <c r="S3177" s="9">
        <f>VLOOKUP(P3177,$T$2:U3174,2,1)</f>
        <v>0.02</v>
      </c>
    </row>
    <row r="3178" spans="1:19" x14ac:dyDescent="0.25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e">
        <f>VLOOKUP(F3178,'Customer Info'!A3170:I3669,2,0)</f>
        <v>#N/A</v>
      </c>
      <c r="H3178" s="6" t="e">
        <f>VLOOKUP(F3178,'Customer Info'!A3170:I3669,3,0)</f>
        <v>#N/A</v>
      </c>
      <c r="I3178" s="6" t="e">
        <f>VLOOKUP(F3178,'Customer Info'!A3170:I3669,5,0)</f>
        <v>#N/A</v>
      </c>
      <c r="J3178" s="2">
        <v>6585</v>
      </c>
      <c r="K3178" s="2">
        <v>6105</v>
      </c>
      <c r="L3178" s="2">
        <v>3</v>
      </c>
      <c r="M3178" s="7">
        <f t="shared" si="196"/>
        <v>18315</v>
      </c>
      <c r="N3178" s="7">
        <f t="shared" si="197"/>
        <v>19755</v>
      </c>
      <c r="O3178" s="2">
        <v>55</v>
      </c>
      <c r="P3178" s="8">
        <f t="shared" si="198"/>
        <v>19810</v>
      </c>
      <c r="Q3178" s="8">
        <f t="shared" si="199"/>
        <v>19700</v>
      </c>
      <c r="R3178" s="2" t="s">
        <v>50</v>
      </c>
      <c r="S3178" s="9">
        <f>VLOOKUP(P3178,$T$2:U3175,2,1)</f>
        <v>0.05</v>
      </c>
    </row>
    <row r="3179" spans="1:19" x14ac:dyDescent="0.25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e">
        <f>VLOOKUP(F3179,'Customer Info'!A3171:I3670,2,0)</f>
        <v>#N/A</v>
      </c>
      <c r="H3179" s="6" t="e">
        <f>VLOOKUP(F3179,'Customer Info'!A3171:I3670,3,0)</f>
        <v>#N/A</v>
      </c>
      <c r="I3179" s="6" t="e">
        <f>VLOOKUP(F3179,'Customer Info'!A3171:I3670,5,0)</f>
        <v>#N/A</v>
      </c>
      <c r="J3179" s="2">
        <v>445</v>
      </c>
      <c r="K3179" s="2">
        <v>415</v>
      </c>
      <c r="L3179" s="2">
        <v>3</v>
      </c>
      <c r="M3179" s="7">
        <f t="shared" si="196"/>
        <v>1245</v>
      </c>
      <c r="N3179" s="7">
        <f t="shared" si="197"/>
        <v>1335</v>
      </c>
      <c r="O3179" s="2">
        <v>61</v>
      </c>
      <c r="P3179" s="8">
        <f t="shared" si="198"/>
        <v>1396</v>
      </c>
      <c r="Q3179" s="8">
        <f t="shared" si="199"/>
        <v>1274</v>
      </c>
      <c r="R3179" s="2" t="s">
        <v>50</v>
      </c>
      <c r="S3179" s="9">
        <f>VLOOKUP(P3179,$T$2:U3176,2,1)</f>
        <v>0.02</v>
      </c>
    </row>
    <row r="3180" spans="1:19" x14ac:dyDescent="0.25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e">
        <f>VLOOKUP(F3180,'Customer Info'!A3172:I3671,2,0)</f>
        <v>#N/A</v>
      </c>
      <c r="H3180" s="6" t="e">
        <f>VLOOKUP(F3180,'Customer Info'!A3172:I3671,3,0)</f>
        <v>#N/A</v>
      </c>
      <c r="I3180" s="6" t="e">
        <f>VLOOKUP(F3180,'Customer Info'!A3172:I3671,5,0)</f>
        <v>#N/A</v>
      </c>
      <c r="J3180" s="2">
        <v>4904</v>
      </c>
      <c r="K3180" s="2">
        <v>4499</v>
      </c>
      <c r="L3180" s="2">
        <v>2</v>
      </c>
      <c r="M3180" s="7">
        <f t="shared" si="196"/>
        <v>8998</v>
      </c>
      <c r="N3180" s="7">
        <f t="shared" si="197"/>
        <v>9808</v>
      </c>
      <c r="O3180" s="2">
        <v>74</v>
      </c>
      <c r="P3180" s="8">
        <f t="shared" si="198"/>
        <v>9882</v>
      </c>
      <c r="Q3180" s="8">
        <f t="shared" si="199"/>
        <v>9734</v>
      </c>
      <c r="R3180" s="2" t="s">
        <v>28</v>
      </c>
      <c r="S3180" s="9">
        <f>VLOOKUP(P3180,$T$2:U3177,2,1)</f>
        <v>0.05</v>
      </c>
    </row>
    <row r="3181" spans="1:19" x14ac:dyDescent="0.25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e">
        <f>VLOOKUP(F3181,'Customer Info'!A3173:I3672,2,0)</f>
        <v>#N/A</v>
      </c>
      <c r="H3181" s="6" t="e">
        <f>VLOOKUP(F3181,'Customer Info'!A3173:I3672,3,0)</f>
        <v>#N/A</v>
      </c>
      <c r="I3181" s="6" t="e">
        <f>VLOOKUP(F3181,'Customer Info'!A3173:I3672,5,0)</f>
        <v>#N/A</v>
      </c>
      <c r="J3181" s="2">
        <v>1651</v>
      </c>
      <c r="K3181" s="2">
        <v>1604</v>
      </c>
      <c r="L3181" s="2">
        <v>4</v>
      </c>
      <c r="M3181" s="7">
        <f t="shared" si="196"/>
        <v>6416</v>
      </c>
      <c r="N3181" s="7">
        <f t="shared" si="197"/>
        <v>6604</v>
      </c>
      <c r="O3181" s="2">
        <v>42</v>
      </c>
      <c r="P3181" s="8">
        <f t="shared" si="198"/>
        <v>6646</v>
      </c>
      <c r="Q3181" s="8">
        <f t="shared" si="199"/>
        <v>6562</v>
      </c>
      <c r="R3181" s="2" t="s">
        <v>50</v>
      </c>
      <c r="S3181" s="9">
        <f>VLOOKUP(P3181,$T$2:U3178,2,1)</f>
        <v>0.05</v>
      </c>
    </row>
    <row r="3182" spans="1:19" x14ac:dyDescent="0.25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e">
        <f>VLOOKUP(F3182,'Customer Info'!A3174:I3673,2,0)</f>
        <v>#N/A</v>
      </c>
      <c r="H3182" s="6" t="e">
        <f>VLOOKUP(F3182,'Customer Info'!A3174:I3673,3,0)</f>
        <v>#N/A</v>
      </c>
      <c r="I3182" s="6" t="e">
        <f>VLOOKUP(F3182,'Customer Info'!A3174:I3673,5,0)</f>
        <v>#N/A</v>
      </c>
      <c r="J3182" s="2">
        <v>712</v>
      </c>
      <c r="K3182" s="2">
        <v>640</v>
      </c>
      <c r="L3182" s="2">
        <v>1</v>
      </c>
      <c r="M3182" s="7">
        <f t="shared" si="196"/>
        <v>640</v>
      </c>
      <c r="N3182" s="7">
        <f t="shared" si="197"/>
        <v>712</v>
      </c>
      <c r="O3182" s="2">
        <v>36</v>
      </c>
      <c r="P3182" s="8">
        <f t="shared" si="198"/>
        <v>748</v>
      </c>
      <c r="Q3182" s="8">
        <f t="shared" si="199"/>
        <v>676</v>
      </c>
      <c r="R3182" s="2" t="s">
        <v>50</v>
      </c>
      <c r="S3182" s="9">
        <f>VLOOKUP(P3182,$T$2:U3179,2,1)</f>
        <v>0.02</v>
      </c>
    </row>
    <row r="3183" spans="1:19" x14ac:dyDescent="0.25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e">
        <f>VLOOKUP(F3183,'Customer Info'!A3175:I3674,2,0)</f>
        <v>#N/A</v>
      </c>
      <c r="H3183" s="6" t="e">
        <f>VLOOKUP(F3183,'Customer Info'!A3175:I3674,3,0)</f>
        <v>#N/A</v>
      </c>
      <c r="I3183" s="6" t="e">
        <f>VLOOKUP(F3183,'Customer Info'!A3175:I3674,5,0)</f>
        <v>#N/A</v>
      </c>
      <c r="J3183" s="2">
        <v>1653</v>
      </c>
      <c r="K3183" s="2">
        <v>1560</v>
      </c>
      <c r="L3183" s="2">
        <v>4</v>
      </c>
      <c r="M3183" s="7">
        <f t="shared" si="196"/>
        <v>6240</v>
      </c>
      <c r="N3183" s="7">
        <f t="shared" si="197"/>
        <v>6612</v>
      </c>
      <c r="O3183" s="2">
        <v>93</v>
      </c>
      <c r="P3183" s="8">
        <f t="shared" si="198"/>
        <v>6705</v>
      </c>
      <c r="Q3183" s="8">
        <f t="shared" si="199"/>
        <v>6519</v>
      </c>
      <c r="R3183" s="2" t="s">
        <v>28</v>
      </c>
      <c r="S3183" s="9">
        <f>VLOOKUP(P3183,$T$2:U3180,2,1)</f>
        <v>0.05</v>
      </c>
    </row>
    <row r="3184" spans="1:19" x14ac:dyDescent="0.25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e">
        <f>VLOOKUP(F3184,'Customer Info'!A3176:I3675,2,0)</f>
        <v>#N/A</v>
      </c>
      <c r="H3184" s="6" t="e">
        <f>VLOOKUP(F3184,'Customer Info'!A3176:I3675,3,0)</f>
        <v>#N/A</v>
      </c>
      <c r="I3184" s="6" t="e">
        <f>VLOOKUP(F3184,'Customer Info'!A3176:I3675,5,0)</f>
        <v>#N/A</v>
      </c>
      <c r="J3184" s="2">
        <v>138</v>
      </c>
      <c r="K3184" s="2">
        <v>128</v>
      </c>
      <c r="L3184" s="2">
        <v>3</v>
      </c>
      <c r="M3184" s="7">
        <f t="shared" si="196"/>
        <v>384</v>
      </c>
      <c r="N3184" s="7">
        <f t="shared" si="197"/>
        <v>414</v>
      </c>
      <c r="O3184" s="2">
        <v>30</v>
      </c>
      <c r="P3184" s="8">
        <f t="shared" si="198"/>
        <v>444</v>
      </c>
      <c r="Q3184" s="8">
        <f t="shared" si="199"/>
        <v>384</v>
      </c>
      <c r="R3184" s="2" t="s">
        <v>50</v>
      </c>
      <c r="S3184" s="9">
        <f>VLOOKUP(P3184,$T$2:U3181,2,1)</f>
        <v>0.02</v>
      </c>
    </row>
    <row r="3185" spans="1:19" x14ac:dyDescent="0.25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e">
        <f>VLOOKUP(F3185,'Customer Info'!A3177:I3676,2,0)</f>
        <v>#N/A</v>
      </c>
      <c r="H3185" s="6" t="e">
        <f>VLOOKUP(F3185,'Customer Info'!A3177:I3676,3,0)</f>
        <v>#N/A</v>
      </c>
      <c r="I3185" s="6" t="e">
        <f>VLOOKUP(F3185,'Customer Info'!A3177:I3676,5,0)</f>
        <v>#N/A</v>
      </c>
      <c r="J3185" s="2">
        <v>1125</v>
      </c>
      <c r="K3185" s="2">
        <v>1040</v>
      </c>
      <c r="L3185" s="2">
        <v>3</v>
      </c>
      <c r="M3185" s="7">
        <f t="shared" si="196"/>
        <v>3120</v>
      </c>
      <c r="N3185" s="7">
        <f t="shared" si="197"/>
        <v>3375</v>
      </c>
      <c r="O3185" s="2">
        <v>43</v>
      </c>
      <c r="P3185" s="8">
        <f t="shared" si="198"/>
        <v>3418</v>
      </c>
      <c r="Q3185" s="8">
        <f t="shared" si="199"/>
        <v>3332</v>
      </c>
      <c r="R3185" s="2" t="s">
        <v>50</v>
      </c>
      <c r="S3185" s="9">
        <f>VLOOKUP(P3185,$T$2:U3182,2,1)</f>
        <v>0.02</v>
      </c>
    </row>
    <row r="3186" spans="1:19" x14ac:dyDescent="0.25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e">
        <f>VLOOKUP(F3186,'Customer Info'!A3178:I3677,2,0)</f>
        <v>#N/A</v>
      </c>
      <c r="H3186" s="6" t="e">
        <f>VLOOKUP(F3186,'Customer Info'!A3178:I3677,3,0)</f>
        <v>#N/A</v>
      </c>
      <c r="I3186" s="6" t="e">
        <f>VLOOKUP(F3186,'Customer Info'!A3178:I3677,5,0)</f>
        <v>#N/A</v>
      </c>
      <c r="J3186" s="2">
        <v>184</v>
      </c>
      <c r="K3186" s="2">
        <v>176</v>
      </c>
      <c r="L3186" s="2">
        <v>1</v>
      </c>
      <c r="M3186" s="7">
        <f t="shared" si="196"/>
        <v>176</v>
      </c>
      <c r="N3186" s="7">
        <f t="shared" si="197"/>
        <v>184</v>
      </c>
      <c r="O3186" s="2">
        <v>30</v>
      </c>
      <c r="P3186" s="8">
        <f t="shared" si="198"/>
        <v>214</v>
      </c>
      <c r="Q3186" s="8">
        <f t="shared" si="199"/>
        <v>154</v>
      </c>
      <c r="R3186" s="2" t="s">
        <v>56</v>
      </c>
      <c r="S3186" s="9">
        <f>VLOOKUP(P3186,$T$2:U3183,2,1)</f>
        <v>0.02</v>
      </c>
    </row>
    <row r="3187" spans="1:19" x14ac:dyDescent="0.25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e">
        <f>VLOOKUP(F3187,'Customer Info'!A3179:I3678,2,0)</f>
        <v>#N/A</v>
      </c>
      <c r="H3187" s="6" t="e">
        <f>VLOOKUP(F3187,'Customer Info'!A3179:I3678,3,0)</f>
        <v>#N/A</v>
      </c>
      <c r="I3187" s="6" t="e">
        <f>VLOOKUP(F3187,'Customer Info'!A3179:I3678,5,0)</f>
        <v>#N/A</v>
      </c>
      <c r="J3187" s="2">
        <v>140</v>
      </c>
      <c r="K3187" s="2">
        <v>137</v>
      </c>
      <c r="L3187" s="2">
        <v>2</v>
      </c>
      <c r="M3187" s="7">
        <f t="shared" si="196"/>
        <v>274</v>
      </c>
      <c r="N3187" s="7">
        <f t="shared" si="197"/>
        <v>280</v>
      </c>
      <c r="O3187" s="2">
        <v>30</v>
      </c>
      <c r="P3187" s="8">
        <f t="shared" si="198"/>
        <v>310</v>
      </c>
      <c r="Q3187" s="8">
        <f t="shared" si="199"/>
        <v>250</v>
      </c>
      <c r="R3187" s="2" t="s">
        <v>28</v>
      </c>
      <c r="S3187" s="9">
        <f>VLOOKUP(P3187,$T$2:U3184,2,1)</f>
        <v>0.02</v>
      </c>
    </row>
    <row r="3188" spans="1:19" x14ac:dyDescent="0.25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e">
        <f>VLOOKUP(F3188,'Customer Info'!A3180:I3679,2,0)</f>
        <v>#N/A</v>
      </c>
      <c r="H3188" s="6" t="e">
        <f>VLOOKUP(F3188,'Customer Info'!A3180:I3679,3,0)</f>
        <v>#N/A</v>
      </c>
      <c r="I3188" s="6" t="e">
        <f>VLOOKUP(F3188,'Customer Info'!A3180:I3679,5,0)</f>
        <v>#N/A</v>
      </c>
      <c r="J3188" s="2">
        <v>8160</v>
      </c>
      <c r="K3188" s="2">
        <v>7475</v>
      </c>
      <c r="L3188" s="2">
        <v>1</v>
      </c>
      <c r="M3188" s="7">
        <f t="shared" si="196"/>
        <v>7475</v>
      </c>
      <c r="N3188" s="7">
        <f t="shared" si="197"/>
        <v>8160</v>
      </c>
      <c r="O3188" s="2">
        <v>91</v>
      </c>
      <c r="P3188" s="8">
        <f t="shared" si="198"/>
        <v>8251</v>
      </c>
      <c r="Q3188" s="8">
        <f t="shared" si="199"/>
        <v>8069</v>
      </c>
      <c r="R3188" s="2" t="s">
        <v>28</v>
      </c>
      <c r="S3188" s="9">
        <f>VLOOKUP(P3188,$T$2:U3185,2,1)</f>
        <v>0.05</v>
      </c>
    </row>
    <row r="3189" spans="1:19" x14ac:dyDescent="0.25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e">
        <f>VLOOKUP(F3189,'Customer Info'!A3181:I3680,2,0)</f>
        <v>#N/A</v>
      </c>
      <c r="H3189" s="6" t="e">
        <f>VLOOKUP(F3189,'Customer Info'!A3181:I3680,3,0)</f>
        <v>#N/A</v>
      </c>
      <c r="I3189" s="6" t="e">
        <f>VLOOKUP(F3189,'Customer Info'!A3181:I3680,5,0)</f>
        <v>#N/A</v>
      </c>
      <c r="J3189" s="2">
        <v>1071</v>
      </c>
      <c r="K3189" s="2">
        <v>1010</v>
      </c>
      <c r="L3189" s="2">
        <v>5</v>
      </c>
      <c r="M3189" s="7">
        <f t="shared" si="196"/>
        <v>5050</v>
      </c>
      <c r="N3189" s="7">
        <f t="shared" si="197"/>
        <v>5355</v>
      </c>
      <c r="O3189" s="2">
        <v>30</v>
      </c>
      <c r="P3189" s="8">
        <f t="shared" si="198"/>
        <v>5385</v>
      </c>
      <c r="Q3189" s="8">
        <f t="shared" si="199"/>
        <v>5325</v>
      </c>
      <c r="R3189" s="2" t="s">
        <v>28</v>
      </c>
      <c r="S3189" s="9">
        <f>VLOOKUP(P3189,$T$2:U3186,2,1)</f>
        <v>0.05</v>
      </c>
    </row>
    <row r="3190" spans="1:19" x14ac:dyDescent="0.25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e">
        <f>VLOOKUP(F3190,'Customer Info'!A3182:I3681,2,0)</f>
        <v>#N/A</v>
      </c>
      <c r="H3190" s="6" t="e">
        <f>VLOOKUP(F3190,'Customer Info'!A3182:I3681,3,0)</f>
        <v>#N/A</v>
      </c>
      <c r="I3190" s="6" t="e">
        <f>VLOOKUP(F3190,'Customer Info'!A3182:I3681,5,0)</f>
        <v>#N/A</v>
      </c>
      <c r="J3190" s="2">
        <v>141</v>
      </c>
      <c r="K3190" s="2">
        <v>131</v>
      </c>
      <c r="L3190" s="2">
        <v>3</v>
      </c>
      <c r="M3190" s="7">
        <f t="shared" si="196"/>
        <v>393</v>
      </c>
      <c r="N3190" s="7">
        <f t="shared" si="197"/>
        <v>423</v>
      </c>
      <c r="O3190" s="2">
        <v>30</v>
      </c>
      <c r="P3190" s="8">
        <f t="shared" si="198"/>
        <v>453</v>
      </c>
      <c r="Q3190" s="8">
        <f t="shared" si="199"/>
        <v>393</v>
      </c>
      <c r="R3190" s="2" t="s">
        <v>28</v>
      </c>
      <c r="S3190" s="9">
        <f>VLOOKUP(P3190,$T$2:U3187,2,1)</f>
        <v>0.02</v>
      </c>
    </row>
    <row r="3191" spans="1:19" x14ac:dyDescent="0.25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e">
        <f>VLOOKUP(F3191,'Customer Info'!A3183:I3682,2,0)</f>
        <v>#N/A</v>
      </c>
      <c r="H3191" s="6" t="e">
        <f>VLOOKUP(F3191,'Customer Info'!A3183:I3682,3,0)</f>
        <v>#N/A</v>
      </c>
      <c r="I3191" s="6" t="e">
        <f>VLOOKUP(F3191,'Customer Info'!A3183:I3682,5,0)</f>
        <v>#N/A</v>
      </c>
      <c r="J3191" s="2">
        <v>681</v>
      </c>
      <c r="K3191" s="2">
        <v>642</v>
      </c>
      <c r="L3191" s="2">
        <v>1</v>
      </c>
      <c r="M3191" s="7">
        <f t="shared" si="196"/>
        <v>642</v>
      </c>
      <c r="N3191" s="7">
        <f t="shared" si="197"/>
        <v>681</v>
      </c>
      <c r="O3191" s="2">
        <v>53</v>
      </c>
      <c r="P3191" s="8">
        <f t="shared" si="198"/>
        <v>734</v>
      </c>
      <c r="Q3191" s="8">
        <f t="shared" si="199"/>
        <v>628</v>
      </c>
      <c r="R3191" s="2" t="s">
        <v>50</v>
      </c>
      <c r="S3191" s="9">
        <f>VLOOKUP(P3191,$T$2:U3188,2,1)</f>
        <v>0.02</v>
      </c>
    </row>
    <row r="3192" spans="1:19" x14ac:dyDescent="0.25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e">
        <f>VLOOKUP(F3192,'Customer Info'!A3184:I3683,2,0)</f>
        <v>#N/A</v>
      </c>
      <c r="H3192" s="6" t="e">
        <f>VLOOKUP(F3192,'Customer Info'!A3184:I3683,3,0)</f>
        <v>#N/A</v>
      </c>
      <c r="I3192" s="6" t="e">
        <f>VLOOKUP(F3192,'Customer Info'!A3184:I3683,5,0)</f>
        <v>#N/A</v>
      </c>
      <c r="J3192" s="2">
        <v>8022</v>
      </c>
      <c r="K3192" s="2">
        <v>7868</v>
      </c>
      <c r="L3192" s="2">
        <v>4</v>
      </c>
      <c r="M3192" s="7">
        <f t="shared" si="196"/>
        <v>31472</v>
      </c>
      <c r="N3192" s="7">
        <f t="shared" si="197"/>
        <v>32088</v>
      </c>
      <c r="O3192" s="2">
        <v>91</v>
      </c>
      <c r="P3192" s="8">
        <f t="shared" si="198"/>
        <v>32179</v>
      </c>
      <c r="Q3192" s="8">
        <f t="shared" si="199"/>
        <v>31997</v>
      </c>
      <c r="R3192" s="2" t="s">
        <v>28</v>
      </c>
      <c r="S3192" s="9">
        <f>VLOOKUP(P3192,$T$2:U3189,2,1)</f>
        <v>7.0000000000000007E-2</v>
      </c>
    </row>
    <row r="3193" spans="1:19" x14ac:dyDescent="0.25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e">
        <f>VLOOKUP(F3193,'Customer Info'!A3185:I3684,2,0)</f>
        <v>#N/A</v>
      </c>
      <c r="H3193" s="6" t="e">
        <f>VLOOKUP(F3193,'Customer Info'!A3185:I3684,3,0)</f>
        <v>#N/A</v>
      </c>
      <c r="I3193" s="6" t="e">
        <f>VLOOKUP(F3193,'Customer Info'!A3185:I3684,5,0)</f>
        <v>#N/A</v>
      </c>
      <c r="J3193" s="2">
        <v>825</v>
      </c>
      <c r="K3193" s="2">
        <v>793</v>
      </c>
      <c r="L3193" s="2">
        <v>1</v>
      </c>
      <c r="M3193" s="7">
        <f t="shared" si="196"/>
        <v>793</v>
      </c>
      <c r="N3193" s="7">
        <f t="shared" si="197"/>
        <v>825</v>
      </c>
      <c r="O3193" s="2">
        <v>84</v>
      </c>
      <c r="P3193" s="8">
        <f t="shared" si="198"/>
        <v>909</v>
      </c>
      <c r="Q3193" s="8">
        <f t="shared" si="199"/>
        <v>741</v>
      </c>
      <c r="R3193" s="2" t="s">
        <v>28</v>
      </c>
      <c r="S3193" s="9">
        <f>VLOOKUP(P3193,$T$2:U3190,2,1)</f>
        <v>0.02</v>
      </c>
    </row>
    <row r="3194" spans="1:19" x14ac:dyDescent="0.25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e">
        <f>VLOOKUP(F3194,'Customer Info'!A3186:I3685,2,0)</f>
        <v>#N/A</v>
      </c>
      <c r="H3194" s="6" t="e">
        <f>VLOOKUP(F3194,'Customer Info'!A3186:I3685,3,0)</f>
        <v>#N/A</v>
      </c>
      <c r="I3194" s="6" t="e">
        <f>VLOOKUP(F3194,'Customer Info'!A3186:I3685,5,0)</f>
        <v>#N/A</v>
      </c>
      <c r="J3194" s="2">
        <v>1574</v>
      </c>
      <c r="K3194" s="2">
        <v>1375</v>
      </c>
      <c r="L3194" s="2">
        <v>3</v>
      </c>
      <c r="M3194" s="7">
        <f t="shared" si="196"/>
        <v>4125</v>
      </c>
      <c r="N3194" s="7">
        <f t="shared" si="197"/>
        <v>4722</v>
      </c>
      <c r="O3194" s="2">
        <v>92</v>
      </c>
      <c r="P3194" s="8">
        <f t="shared" si="198"/>
        <v>4814</v>
      </c>
      <c r="Q3194" s="8">
        <f t="shared" si="199"/>
        <v>4630</v>
      </c>
      <c r="R3194" s="2" t="s">
        <v>50</v>
      </c>
      <c r="S3194" s="9">
        <f>VLOOKUP(P3194,$T$2:U3191,2,1)</f>
        <v>0.02</v>
      </c>
    </row>
    <row r="3195" spans="1:19" x14ac:dyDescent="0.25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e">
        <f>VLOOKUP(F3195,'Customer Info'!A3187:I3686,2,0)</f>
        <v>#N/A</v>
      </c>
      <c r="H3195" s="6" t="e">
        <f>VLOOKUP(F3195,'Customer Info'!A3187:I3686,3,0)</f>
        <v>#N/A</v>
      </c>
      <c r="I3195" s="6" t="e">
        <f>VLOOKUP(F3195,'Customer Info'!A3187:I3686,5,0)</f>
        <v>#N/A</v>
      </c>
      <c r="J3195" s="2">
        <v>1405</v>
      </c>
      <c r="K3195" s="2">
        <v>1287</v>
      </c>
      <c r="L3195" s="2">
        <v>3</v>
      </c>
      <c r="M3195" s="7">
        <f t="shared" si="196"/>
        <v>3861</v>
      </c>
      <c r="N3195" s="7">
        <f t="shared" si="197"/>
        <v>4215</v>
      </c>
      <c r="O3195" s="2">
        <v>74</v>
      </c>
      <c r="P3195" s="8">
        <f t="shared" si="198"/>
        <v>4289</v>
      </c>
      <c r="Q3195" s="8">
        <f t="shared" si="199"/>
        <v>4141</v>
      </c>
      <c r="R3195" s="2" t="s">
        <v>56</v>
      </c>
      <c r="S3195" s="9">
        <f>VLOOKUP(P3195,$T$2:U3192,2,1)</f>
        <v>0.02</v>
      </c>
    </row>
    <row r="3196" spans="1:19" x14ac:dyDescent="0.25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e">
        <f>VLOOKUP(F3196,'Customer Info'!A3188:I3687,2,0)</f>
        <v>#N/A</v>
      </c>
      <c r="H3196" s="6" t="e">
        <f>VLOOKUP(F3196,'Customer Info'!A3188:I3687,3,0)</f>
        <v>#N/A</v>
      </c>
      <c r="I3196" s="6" t="e">
        <f>VLOOKUP(F3196,'Customer Info'!A3188:I3687,5,0)</f>
        <v>#N/A</v>
      </c>
      <c r="J3196" s="2">
        <v>456</v>
      </c>
      <c r="K3196" s="2">
        <v>430</v>
      </c>
      <c r="L3196" s="2">
        <v>5</v>
      </c>
      <c r="M3196" s="7">
        <f t="shared" si="196"/>
        <v>2150</v>
      </c>
      <c r="N3196" s="7">
        <f t="shared" si="197"/>
        <v>2280</v>
      </c>
      <c r="O3196" s="2">
        <v>62</v>
      </c>
      <c r="P3196" s="8">
        <f t="shared" si="198"/>
        <v>2342</v>
      </c>
      <c r="Q3196" s="8">
        <f t="shared" si="199"/>
        <v>2218</v>
      </c>
      <c r="R3196" s="2" t="s">
        <v>26</v>
      </c>
      <c r="S3196" s="9">
        <f>VLOOKUP(P3196,$T$2:U3193,2,1)</f>
        <v>0.02</v>
      </c>
    </row>
    <row r="3197" spans="1:19" x14ac:dyDescent="0.25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e">
        <f>VLOOKUP(F3197,'Customer Info'!A3189:I3688,2,0)</f>
        <v>#N/A</v>
      </c>
      <c r="H3197" s="6" t="e">
        <f>VLOOKUP(F3197,'Customer Info'!A3189:I3688,3,0)</f>
        <v>#N/A</v>
      </c>
      <c r="I3197" s="6" t="e">
        <f>VLOOKUP(F3197,'Customer Info'!A3189:I3688,5,0)</f>
        <v>#N/A</v>
      </c>
      <c r="J3197" s="2">
        <v>691</v>
      </c>
      <c r="K3197" s="2">
        <v>627</v>
      </c>
      <c r="L3197" s="2">
        <v>1</v>
      </c>
      <c r="M3197" s="7">
        <f t="shared" si="196"/>
        <v>627</v>
      </c>
      <c r="N3197" s="7">
        <f t="shared" si="197"/>
        <v>691</v>
      </c>
      <c r="O3197" s="2">
        <v>94</v>
      </c>
      <c r="P3197" s="8">
        <f t="shared" si="198"/>
        <v>785</v>
      </c>
      <c r="Q3197" s="8">
        <f t="shared" si="199"/>
        <v>597</v>
      </c>
      <c r="R3197" s="2" t="s">
        <v>50</v>
      </c>
      <c r="S3197" s="9">
        <f>VLOOKUP(P3197,$T$2:U3194,2,1)</f>
        <v>0.02</v>
      </c>
    </row>
    <row r="3198" spans="1:19" x14ac:dyDescent="0.25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e">
        <f>VLOOKUP(F3198,'Customer Info'!A3190:I3689,2,0)</f>
        <v>#N/A</v>
      </c>
      <c r="H3198" s="6" t="e">
        <f>VLOOKUP(F3198,'Customer Info'!A3190:I3689,3,0)</f>
        <v>#N/A</v>
      </c>
      <c r="I3198" s="6" t="e">
        <f>VLOOKUP(F3198,'Customer Info'!A3190:I3689,5,0)</f>
        <v>#N/A</v>
      </c>
      <c r="J3198" s="2">
        <v>900</v>
      </c>
      <c r="K3198" s="2">
        <v>834</v>
      </c>
      <c r="L3198" s="2">
        <v>3</v>
      </c>
      <c r="M3198" s="7">
        <f t="shared" si="196"/>
        <v>2502</v>
      </c>
      <c r="N3198" s="7">
        <f t="shared" si="197"/>
        <v>2700</v>
      </c>
      <c r="O3198" s="2">
        <v>87</v>
      </c>
      <c r="P3198" s="8">
        <f t="shared" si="198"/>
        <v>2787</v>
      </c>
      <c r="Q3198" s="8">
        <f t="shared" si="199"/>
        <v>2613</v>
      </c>
      <c r="R3198" s="2" t="s">
        <v>26</v>
      </c>
      <c r="S3198" s="9">
        <f>VLOOKUP(P3198,$T$2:U3195,2,1)</f>
        <v>0.02</v>
      </c>
    </row>
    <row r="3199" spans="1:19" x14ac:dyDescent="0.25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e">
        <f>VLOOKUP(F3199,'Customer Info'!A3191:I3690,2,0)</f>
        <v>#N/A</v>
      </c>
      <c r="H3199" s="6" t="e">
        <f>VLOOKUP(F3199,'Customer Info'!A3191:I3690,3,0)</f>
        <v>#N/A</v>
      </c>
      <c r="I3199" s="6" t="e">
        <f>VLOOKUP(F3199,'Customer Info'!A3191:I3690,5,0)</f>
        <v>#N/A</v>
      </c>
      <c r="J3199" s="2">
        <v>3176</v>
      </c>
      <c r="K3199" s="2">
        <v>3116</v>
      </c>
      <c r="L3199" s="2">
        <v>2</v>
      </c>
      <c r="M3199" s="7">
        <f t="shared" si="196"/>
        <v>6232</v>
      </c>
      <c r="N3199" s="7">
        <f t="shared" si="197"/>
        <v>6352</v>
      </c>
      <c r="O3199" s="2">
        <v>78</v>
      </c>
      <c r="P3199" s="8">
        <f t="shared" si="198"/>
        <v>6430</v>
      </c>
      <c r="Q3199" s="8">
        <f t="shared" si="199"/>
        <v>6274</v>
      </c>
      <c r="R3199" s="2" t="s">
        <v>28</v>
      </c>
      <c r="S3199" s="9">
        <f>VLOOKUP(P3199,$T$2:U3196,2,1)</f>
        <v>0.05</v>
      </c>
    </row>
    <row r="3200" spans="1:19" x14ac:dyDescent="0.25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e">
        <f>VLOOKUP(F3200,'Customer Info'!A3192:I3691,2,0)</f>
        <v>#N/A</v>
      </c>
      <c r="H3200" s="6" t="e">
        <f>VLOOKUP(F3200,'Customer Info'!A3192:I3691,3,0)</f>
        <v>#N/A</v>
      </c>
      <c r="I3200" s="6" t="e">
        <f>VLOOKUP(F3200,'Customer Info'!A3192:I3691,5,0)</f>
        <v>#N/A</v>
      </c>
      <c r="J3200" s="2">
        <v>1528</v>
      </c>
      <c r="K3200" s="2">
        <v>1348</v>
      </c>
      <c r="L3200" s="2">
        <v>2</v>
      </c>
      <c r="M3200" s="7">
        <f t="shared" si="196"/>
        <v>2696</v>
      </c>
      <c r="N3200" s="7">
        <f t="shared" si="197"/>
        <v>3056</v>
      </c>
      <c r="O3200" s="2">
        <v>62</v>
      </c>
      <c r="P3200" s="8">
        <f t="shared" si="198"/>
        <v>3118</v>
      </c>
      <c r="Q3200" s="8">
        <f t="shared" si="199"/>
        <v>2994</v>
      </c>
      <c r="R3200" s="2" t="s">
        <v>26</v>
      </c>
      <c r="S3200" s="9">
        <f>VLOOKUP(P3200,$T$2:U3197,2,1)</f>
        <v>0.02</v>
      </c>
    </row>
    <row r="3201" spans="1:19" x14ac:dyDescent="0.25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e">
        <f>VLOOKUP(F3201,'Customer Info'!A3193:I3692,2,0)</f>
        <v>#N/A</v>
      </c>
      <c r="H3201" s="6" t="e">
        <f>VLOOKUP(F3201,'Customer Info'!A3193:I3692,3,0)</f>
        <v>#N/A</v>
      </c>
      <c r="I3201" s="6" t="e">
        <f>VLOOKUP(F3201,'Customer Info'!A3193:I3692,5,0)</f>
        <v>#N/A</v>
      </c>
      <c r="J3201" s="2">
        <v>183</v>
      </c>
      <c r="K3201" s="2">
        <v>168</v>
      </c>
      <c r="L3201" s="2">
        <v>9</v>
      </c>
      <c r="M3201" s="7">
        <f t="shared" si="196"/>
        <v>1512</v>
      </c>
      <c r="N3201" s="7">
        <f t="shared" si="197"/>
        <v>1647</v>
      </c>
      <c r="O3201" s="2">
        <v>30</v>
      </c>
      <c r="P3201" s="8">
        <f t="shared" si="198"/>
        <v>1677</v>
      </c>
      <c r="Q3201" s="8">
        <f t="shared" si="199"/>
        <v>1617</v>
      </c>
      <c r="R3201" s="2" t="s">
        <v>50</v>
      </c>
      <c r="S3201" s="9">
        <f>VLOOKUP(P3201,$T$2:U3198,2,1)</f>
        <v>0.02</v>
      </c>
    </row>
    <row r="3202" spans="1:19" x14ac:dyDescent="0.25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e">
        <f>VLOOKUP(F3202,'Customer Info'!A3194:I3693,2,0)</f>
        <v>#N/A</v>
      </c>
      <c r="H3202" s="6" t="e">
        <f>VLOOKUP(F3202,'Customer Info'!A3194:I3693,3,0)</f>
        <v>#N/A</v>
      </c>
      <c r="I3202" s="6" t="e">
        <f>VLOOKUP(F3202,'Customer Info'!A3194:I3693,5,0)</f>
        <v>#N/A</v>
      </c>
      <c r="J3202" s="2">
        <v>1447</v>
      </c>
      <c r="K3202" s="2">
        <v>1326</v>
      </c>
      <c r="L3202" s="2">
        <v>1</v>
      </c>
      <c r="M3202" s="7">
        <f t="shared" si="196"/>
        <v>1326</v>
      </c>
      <c r="N3202" s="7">
        <f t="shared" si="197"/>
        <v>1447</v>
      </c>
      <c r="O3202" s="2">
        <v>32</v>
      </c>
      <c r="P3202" s="8">
        <f t="shared" si="198"/>
        <v>1479</v>
      </c>
      <c r="Q3202" s="8">
        <f t="shared" si="199"/>
        <v>1415</v>
      </c>
      <c r="R3202" s="2" t="s">
        <v>28</v>
      </c>
      <c r="S3202" s="9">
        <f>VLOOKUP(P3202,$T$2:U3199,2,1)</f>
        <v>0.02</v>
      </c>
    </row>
    <row r="3203" spans="1:19" x14ac:dyDescent="0.25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e">
        <f>VLOOKUP(F3203,'Customer Info'!A3195:I3694,2,0)</f>
        <v>#N/A</v>
      </c>
      <c r="H3203" s="6" t="e">
        <f>VLOOKUP(F3203,'Customer Info'!A3195:I3694,3,0)</f>
        <v>#N/A</v>
      </c>
      <c r="I3203" s="6" t="e">
        <f>VLOOKUP(F3203,'Customer Info'!A3195:I3694,5,0)</f>
        <v>#N/A</v>
      </c>
      <c r="J3203" s="2">
        <v>1601</v>
      </c>
      <c r="K3203" s="2">
        <v>1510</v>
      </c>
      <c r="L3203" s="2">
        <v>1</v>
      </c>
      <c r="M3203" s="7">
        <f t="shared" si="196"/>
        <v>1510</v>
      </c>
      <c r="N3203" s="7">
        <f t="shared" si="197"/>
        <v>1601</v>
      </c>
      <c r="O3203" s="2">
        <v>29</v>
      </c>
      <c r="P3203" s="8">
        <f t="shared" si="198"/>
        <v>1630</v>
      </c>
      <c r="Q3203" s="8">
        <f t="shared" si="199"/>
        <v>1572</v>
      </c>
      <c r="R3203" s="2" t="s">
        <v>28</v>
      </c>
      <c r="S3203" s="9">
        <f>VLOOKUP(P3203,$T$2:U3200,2,1)</f>
        <v>0.02</v>
      </c>
    </row>
    <row r="3204" spans="1:19" x14ac:dyDescent="0.25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e">
        <f>VLOOKUP(F3204,'Customer Info'!A3196:I3695,2,0)</f>
        <v>#N/A</v>
      </c>
      <c r="H3204" s="6" t="e">
        <f>VLOOKUP(F3204,'Customer Info'!A3196:I3695,3,0)</f>
        <v>#N/A</v>
      </c>
      <c r="I3204" s="6" t="e">
        <f>VLOOKUP(F3204,'Customer Info'!A3196:I3695,5,0)</f>
        <v>#N/A</v>
      </c>
      <c r="J3204" s="2">
        <v>695</v>
      </c>
      <c r="K3204" s="2">
        <v>661</v>
      </c>
      <c r="L3204" s="2">
        <v>3</v>
      </c>
      <c r="M3204" s="7">
        <f t="shared" si="196"/>
        <v>1983</v>
      </c>
      <c r="N3204" s="7">
        <f t="shared" si="197"/>
        <v>2085</v>
      </c>
      <c r="O3204" s="2">
        <v>38</v>
      </c>
      <c r="P3204" s="8">
        <f t="shared" si="198"/>
        <v>2123</v>
      </c>
      <c r="Q3204" s="8">
        <f t="shared" si="199"/>
        <v>2047</v>
      </c>
      <c r="R3204" s="2" t="s">
        <v>28</v>
      </c>
      <c r="S3204" s="9">
        <f>VLOOKUP(P3204,$T$2:U3201,2,1)</f>
        <v>0.02</v>
      </c>
    </row>
    <row r="3205" spans="1:19" x14ac:dyDescent="0.25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e">
        <f>VLOOKUP(F3205,'Customer Info'!A3197:I3696,2,0)</f>
        <v>#N/A</v>
      </c>
      <c r="H3205" s="6" t="e">
        <f>VLOOKUP(F3205,'Customer Info'!A3197:I3696,3,0)</f>
        <v>#N/A</v>
      </c>
      <c r="I3205" s="6" t="e">
        <f>VLOOKUP(F3205,'Customer Info'!A3197:I3696,5,0)</f>
        <v>#N/A</v>
      </c>
      <c r="J3205" s="2">
        <v>194</v>
      </c>
      <c r="K3205" s="2">
        <v>176</v>
      </c>
      <c r="L3205" s="2">
        <v>4</v>
      </c>
      <c r="M3205" s="7">
        <f t="shared" si="196"/>
        <v>704</v>
      </c>
      <c r="N3205" s="7">
        <f t="shared" si="197"/>
        <v>776</v>
      </c>
      <c r="O3205" s="2">
        <v>30</v>
      </c>
      <c r="P3205" s="8">
        <f t="shared" si="198"/>
        <v>806</v>
      </c>
      <c r="Q3205" s="8">
        <f t="shared" si="199"/>
        <v>746</v>
      </c>
      <c r="R3205" s="2" t="s">
        <v>28</v>
      </c>
      <c r="S3205" s="9">
        <f>VLOOKUP(P3205,$T$2:U3202,2,1)</f>
        <v>0.02</v>
      </c>
    </row>
    <row r="3206" spans="1:19" x14ac:dyDescent="0.25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e">
        <f>VLOOKUP(F3206,'Customer Info'!A3198:I3697,2,0)</f>
        <v>#N/A</v>
      </c>
      <c r="H3206" s="6" t="e">
        <f>VLOOKUP(F3206,'Customer Info'!A3198:I3697,3,0)</f>
        <v>#N/A</v>
      </c>
      <c r="I3206" s="6" t="e">
        <f>VLOOKUP(F3206,'Customer Info'!A3198:I3697,5,0)</f>
        <v>#N/A</v>
      </c>
      <c r="J3206" s="2">
        <v>170</v>
      </c>
      <c r="K3206" s="2">
        <v>160</v>
      </c>
      <c r="L3206" s="2">
        <v>1</v>
      </c>
      <c r="M3206" s="7">
        <f t="shared" si="196"/>
        <v>160</v>
      </c>
      <c r="N3206" s="7">
        <f t="shared" si="197"/>
        <v>170</v>
      </c>
      <c r="O3206" s="2">
        <v>30</v>
      </c>
      <c r="P3206" s="8">
        <f t="shared" si="198"/>
        <v>200</v>
      </c>
      <c r="Q3206" s="8">
        <f t="shared" si="199"/>
        <v>140</v>
      </c>
      <c r="R3206" s="2" t="s">
        <v>26</v>
      </c>
      <c r="S3206" s="9">
        <f>VLOOKUP(P3206,$T$2:U3203,2,1)</f>
        <v>0.02</v>
      </c>
    </row>
    <row r="3207" spans="1:19" x14ac:dyDescent="0.25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e">
        <f>VLOOKUP(F3207,'Customer Info'!A3199:I3698,2,0)</f>
        <v>#N/A</v>
      </c>
      <c r="H3207" s="6" t="e">
        <f>VLOOKUP(F3207,'Customer Info'!A3199:I3698,3,0)</f>
        <v>#N/A</v>
      </c>
      <c r="I3207" s="6" t="e">
        <f>VLOOKUP(F3207,'Customer Info'!A3199:I3698,5,0)</f>
        <v>#N/A</v>
      </c>
      <c r="J3207" s="2">
        <v>5909</v>
      </c>
      <c r="K3207" s="2">
        <v>5528</v>
      </c>
      <c r="L3207" s="2">
        <v>4</v>
      </c>
      <c r="M3207" s="7">
        <f t="shared" si="196"/>
        <v>22112</v>
      </c>
      <c r="N3207" s="7">
        <f t="shared" si="197"/>
        <v>23636</v>
      </c>
      <c r="O3207" s="2">
        <v>71</v>
      </c>
      <c r="P3207" s="8">
        <f t="shared" si="198"/>
        <v>23707</v>
      </c>
      <c r="Q3207" s="8">
        <f t="shared" si="199"/>
        <v>23565</v>
      </c>
      <c r="R3207" s="2" t="s">
        <v>28</v>
      </c>
      <c r="S3207" s="9">
        <f>VLOOKUP(P3207,$T$2:U3204,2,1)</f>
        <v>0.05</v>
      </c>
    </row>
    <row r="3208" spans="1:19" x14ac:dyDescent="0.25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e">
        <f>VLOOKUP(F3208,'Customer Info'!A3200:I3699,2,0)</f>
        <v>#N/A</v>
      </c>
      <c r="H3208" s="6" t="e">
        <f>VLOOKUP(F3208,'Customer Info'!A3200:I3699,3,0)</f>
        <v>#N/A</v>
      </c>
      <c r="I3208" s="6" t="e">
        <f>VLOOKUP(F3208,'Customer Info'!A3200:I3699,5,0)</f>
        <v>#N/A</v>
      </c>
      <c r="J3208" s="2">
        <v>25658</v>
      </c>
      <c r="K3208" s="2">
        <v>24466</v>
      </c>
      <c r="L3208" s="2">
        <v>11</v>
      </c>
      <c r="M3208" s="7">
        <f t="shared" si="196"/>
        <v>269126</v>
      </c>
      <c r="N3208" s="7">
        <f t="shared" si="197"/>
        <v>282238</v>
      </c>
      <c r="O3208" s="2">
        <v>37</v>
      </c>
      <c r="P3208" s="8">
        <f t="shared" si="198"/>
        <v>282275</v>
      </c>
      <c r="Q3208" s="8">
        <f t="shared" si="199"/>
        <v>282201</v>
      </c>
      <c r="R3208" s="2" t="s">
        <v>28</v>
      </c>
      <c r="S3208" s="9">
        <f>VLOOKUP(P3208,$T$2:U3205,2,1)</f>
        <v>0.15</v>
      </c>
    </row>
    <row r="3209" spans="1:19" x14ac:dyDescent="0.25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e">
        <f>VLOOKUP(F3209,'Customer Info'!A3201:I3700,2,0)</f>
        <v>#N/A</v>
      </c>
      <c r="H3209" s="6" t="e">
        <f>VLOOKUP(F3209,'Customer Info'!A3201:I3700,3,0)</f>
        <v>#N/A</v>
      </c>
      <c r="I3209" s="6" t="e">
        <f>VLOOKUP(F3209,'Customer Info'!A3201:I3700,5,0)</f>
        <v>#N/A</v>
      </c>
      <c r="J3209" s="2">
        <v>206</v>
      </c>
      <c r="K3209" s="2">
        <v>189</v>
      </c>
      <c r="L3209" s="2">
        <v>5</v>
      </c>
      <c r="M3209" s="7">
        <f t="shared" si="196"/>
        <v>945</v>
      </c>
      <c r="N3209" s="7">
        <f t="shared" si="197"/>
        <v>1030</v>
      </c>
      <c r="O3209" s="2">
        <v>75</v>
      </c>
      <c r="P3209" s="8">
        <f t="shared" si="198"/>
        <v>1105</v>
      </c>
      <c r="Q3209" s="8">
        <f t="shared" si="199"/>
        <v>955</v>
      </c>
      <c r="R3209" s="2" t="s">
        <v>56</v>
      </c>
      <c r="S3209" s="9">
        <f>VLOOKUP(P3209,$T$2:U3206,2,1)</f>
        <v>0.02</v>
      </c>
    </row>
    <row r="3210" spans="1:19" x14ac:dyDescent="0.25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e">
        <f>VLOOKUP(F3210,'Customer Info'!A3202:I3701,2,0)</f>
        <v>#N/A</v>
      </c>
      <c r="H3210" s="6" t="e">
        <f>VLOOKUP(F3210,'Customer Info'!A3202:I3701,3,0)</f>
        <v>#N/A</v>
      </c>
      <c r="I3210" s="6" t="e">
        <f>VLOOKUP(F3210,'Customer Info'!A3202:I3701,5,0)</f>
        <v>#N/A</v>
      </c>
      <c r="J3210" s="2">
        <v>1332</v>
      </c>
      <c r="K3210" s="2">
        <v>1209</v>
      </c>
      <c r="L3210" s="2">
        <v>4</v>
      </c>
      <c r="M3210" s="7">
        <f t="shared" si="196"/>
        <v>4836</v>
      </c>
      <c r="N3210" s="7">
        <f t="shared" si="197"/>
        <v>5328</v>
      </c>
      <c r="O3210" s="2">
        <v>84</v>
      </c>
      <c r="P3210" s="8">
        <f t="shared" si="198"/>
        <v>5412</v>
      </c>
      <c r="Q3210" s="8">
        <f t="shared" si="199"/>
        <v>5244</v>
      </c>
      <c r="R3210" s="2" t="s">
        <v>50</v>
      </c>
      <c r="S3210" s="9">
        <f>VLOOKUP(P3210,$T$2:U3207,2,1)</f>
        <v>0.05</v>
      </c>
    </row>
    <row r="3211" spans="1:19" x14ac:dyDescent="0.25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e">
        <f>VLOOKUP(F3211,'Customer Info'!A3203:I3702,2,0)</f>
        <v>#N/A</v>
      </c>
      <c r="H3211" s="6" t="e">
        <f>VLOOKUP(F3211,'Customer Info'!A3203:I3702,3,0)</f>
        <v>#N/A</v>
      </c>
      <c r="I3211" s="6" t="e">
        <f>VLOOKUP(F3211,'Customer Info'!A3203:I3702,5,0)</f>
        <v>#N/A</v>
      </c>
      <c r="J3211" s="2">
        <v>4443</v>
      </c>
      <c r="K3211" s="2">
        <v>4079</v>
      </c>
      <c r="L3211" s="2">
        <v>4</v>
      </c>
      <c r="M3211" s="7">
        <f t="shared" ref="M3211:M3274" si="200">K3211*L3211</f>
        <v>16316</v>
      </c>
      <c r="N3211" s="7">
        <f t="shared" ref="N3211:N3274" si="201">J3211*L3211</f>
        <v>17772</v>
      </c>
      <c r="O3211" s="2">
        <v>79</v>
      </c>
      <c r="P3211" s="8">
        <f t="shared" ref="P3211:P3274" si="202">SUM(N3211,O3211)</f>
        <v>17851</v>
      </c>
      <c r="Q3211" s="8">
        <f t="shared" ref="Q3211:Q3274" si="203">N3211-O3211</f>
        <v>17693</v>
      </c>
      <c r="R3211" s="2" t="s">
        <v>28</v>
      </c>
      <c r="S3211" s="9">
        <f>VLOOKUP(P3211,$T$2:U3208,2,1)</f>
        <v>0.05</v>
      </c>
    </row>
    <row r="3212" spans="1:19" x14ac:dyDescent="0.25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e">
        <f>VLOOKUP(F3212,'Customer Info'!A3204:I3703,2,0)</f>
        <v>#N/A</v>
      </c>
      <c r="H3212" s="6" t="e">
        <f>VLOOKUP(F3212,'Customer Info'!A3204:I3703,3,0)</f>
        <v>#N/A</v>
      </c>
      <c r="I3212" s="6" t="e">
        <f>VLOOKUP(F3212,'Customer Info'!A3204:I3703,5,0)</f>
        <v>#N/A</v>
      </c>
      <c r="J3212" s="2">
        <v>1017</v>
      </c>
      <c r="K3212" s="2">
        <v>950</v>
      </c>
      <c r="L3212" s="2">
        <v>4</v>
      </c>
      <c r="M3212" s="7">
        <f t="shared" si="200"/>
        <v>3800</v>
      </c>
      <c r="N3212" s="7">
        <f t="shared" si="201"/>
        <v>4068</v>
      </c>
      <c r="O3212" s="2">
        <v>41</v>
      </c>
      <c r="P3212" s="8">
        <f t="shared" si="202"/>
        <v>4109</v>
      </c>
      <c r="Q3212" s="8">
        <f t="shared" si="203"/>
        <v>4027</v>
      </c>
      <c r="R3212" s="2" t="s">
        <v>28</v>
      </c>
      <c r="S3212" s="9">
        <f>VLOOKUP(P3212,$T$2:U3209,2,1)</f>
        <v>0.02</v>
      </c>
    </row>
    <row r="3213" spans="1:19" x14ac:dyDescent="0.25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e">
        <f>VLOOKUP(F3213,'Customer Info'!A3205:I3704,2,0)</f>
        <v>#N/A</v>
      </c>
      <c r="H3213" s="6" t="e">
        <f>VLOOKUP(F3213,'Customer Info'!A3205:I3704,3,0)</f>
        <v>#N/A</v>
      </c>
      <c r="I3213" s="6" t="e">
        <f>VLOOKUP(F3213,'Customer Info'!A3205:I3704,5,0)</f>
        <v>#N/A</v>
      </c>
      <c r="J3213" s="2">
        <v>5909</v>
      </c>
      <c r="K3213" s="2">
        <v>5528</v>
      </c>
      <c r="L3213" s="2">
        <v>2</v>
      </c>
      <c r="M3213" s="7">
        <f t="shared" si="200"/>
        <v>11056</v>
      </c>
      <c r="N3213" s="7">
        <f t="shared" si="201"/>
        <v>11818</v>
      </c>
      <c r="O3213" s="2">
        <v>47</v>
      </c>
      <c r="P3213" s="8">
        <f t="shared" si="202"/>
        <v>11865</v>
      </c>
      <c r="Q3213" s="8">
        <f t="shared" si="203"/>
        <v>11771</v>
      </c>
      <c r="R3213" s="2" t="s">
        <v>28</v>
      </c>
      <c r="S3213" s="9">
        <f>VLOOKUP(P3213,$T$2:U3210,2,1)</f>
        <v>0.05</v>
      </c>
    </row>
    <row r="3214" spans="1:19" x14ac:dyDescent="0.25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e">
        <f>VLOOKUP(F3214,'Customer Info'!A3206:I3705,2,0)</f>
        <v>#N/A</v>
      </c>
      <c r="H3214" s="6" t="e">
        <f>VLOOKUP(F3214,'Customer Info'!A3206:I3705,3,0)</f>
        <v>#N/A</v>
      </c>
      <c r="I3214" s="6" t="e">
        <f>VLOOKUP(F3214,'Customer Info'!A3206:I3705,5,0)</f>
        <v>#N/A</v>
      </c>
      <c r="J3214" s="2">
        <v>2526</v>
      </c>
      <c r="K3214" s="2">
        <v>2408</v>
      </c>
      <c r="L3214" s="2">
        <v>5</v>
      </c>
      <c r="M3214" s="7">
        <f t="shared" si="200"/>
        <v>12040</v>
      </c>
      <c r="N3214" s="7">
        <f t="shared" si="201"/>
        <v>12630</v>
      </c>
      <c r="O3214" s="2">
        <v>89</v>
      </c>
      <c r="P3214" s="8">
        <f t="shared" si="202"/>
        <v>12719</v>
      </c>
      <c r="Q3214" s="8">
        <f t="shared" si="203"/>
        <v>12541</v>
      </c>
      <c r="R3214" s="2" t="s">
        <v>50</v>
      </c>
      <c r="S3214" s="9">
        <f>VLOOKUP(P3214,$T$2:U3211,2,1)</f>
        <v>0.05</v>
      </c>
    </row>
    <row r="3215" spans="1:19" x14ac:dyDescent="0.25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e">
        <f>VLOOKUP(F3215,'Customer Info'!A3207:I3706,2,0)</f>
        <v>#N/A</v>
      </c>
      <c r="H3215" s="6" t="e">
        <f>VLOOKUP(F3215,'Customer Info'!A3207:I3706,3,0)</f>
        <v>#N/A</v>
      </c>
      <c r="I3215" s="6" t="e">
        <f>VLOOKUP(F3215,'Customer Info'!A3207:I3706,5,0)</f>
        <v>#N/A</v>
      </c>
      <c r="J3215" s="2">
        <v>3256</v>
      </c>
      <c r="K3215" s="2">
        <v>3044</v>
      </c>
      <c r="L3215" s="2">
        <v>2</v>
      </c>
      <c r="M3215" s="7">
        <f t="shared" si="200"/>
        <v>6088</v>
      </c>
      <c r="N3215" s="7">
        <f t="shared" si="201"/>
        <v>6512</v>
      </c>
      <c r="O3215" s="2">
        <v>88</v>
      </c>
      <c r="P3215" s="8">
        <f t="shared" si="202"/>
        <v>6600</v>
      </c>
      <c r="Q3215" s="8">
        <f t="shared" si="203"/>
        <v>6424</v>
      </c>
      <c r="R3215" s="2" t="s">
        <v>28</v>
      </c>
      <c r="S3215" s="9">
        <f>VLOOKUP(P3215,$T$2:U3212,2,1)</f>
        <v>0.05</v>
      </c>
    </row>
    <row r="3216" spans="1:19" x14ac:dyDescent="0.25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e">
        <f>VLOOKUP(F3216,'Customer Info'!A3208:I3707,2,0)</f>
        <v>#N/A</v>
      </c>
      <c r="H3216" s="6" t="e">
        <f>VLOOKUP(F3216,'Customer Info'!A3208:I3707,3,0)</f>
        <v>#N/A</v>
      </c>
      <c r="I3216" s="6" t="e">
        <f>VLOOKUP(F3216,'Customer Info'!A3208:I3707,5,0)</f>
        <v>#N/A</v>
      </c>
      <c r="J3216" s="2">
        <v>7232</v>
      </c>
      <c r="K3216" s="2">
        <v>6753</v>
      </c>
      <c r="L3216" s="2">
        <v>4</v>
      </c>
      <c r="M3216" s="7">
        <f t="shared" si="200"/>
        <v>27012</v>
      </c>
      <c r="N3216" s="7">
        <f t="shared" si="201"/>
        <v>28928</v>
      </c>
      <c r="O3216" s="2">
        <v>85</v>
      </c>
      <c r="P3216" s="8">
        <f t="shared" si="202"/>
        <v>29013</v>
      </c>
      <c r="Q3216" s="8">
        <f t="shared" si="203"/>
        <v>28843</v>
      </c>
      <c r="R3216" s="2" t="s">
        <v>28</v>
      </c>
      <c r="S3216" s="9">
        <f>VLOOKUP(P3216,$T$2:U3213,2,1)</f>
        <v>7.0000000000000007E-2</v>
      </c>
    </row>
    <row r="3217" spans="1:19" x14ac:dyDescent="0.25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e">
        <f>VLOOKUP(F3217,'Customer Info'!A3209:I3708,2,0)</f>
        <v>#N/A</v>
      </c>
      <c r="H3217" s="6" t="e">
        <f>VLOOKUP(F3217,'Customer Info'!A3209:I3708,3,0)</f>
        <v>#N/A</v>
      </c>
      <c r="I3217" s="6" t="e">
        <f>VLOOKUP(F3217,'Customer Info'!A3209:I3708,5,0)</f>
        <v>#N/A</v>
      </c>
      <c r="J3217" s="2">
        <v>2843</v>
      </c>
      <c r="K3217" s="2">
        <v>2735</v>
      </c>
      <c r="L3217" s="2">
        <v>1</v>
      </c>
      <c r="M3217" s="7">
        <f t="shared" si="200"/>
        <v>2735</v>
      </c>
      <c r="N3217" s="7">
        <f t="shared" si="201"/>
        <v>2843</v>
      </c>
      <c r="O3217" s="2">
        <v>32</v>
      </c>
      <c r="P3217" s="8">
        <f t="shared" si="202"/>
        <v>2875</v>
      </c>
      <c r="Q3217" s="8">
        <f t="shared" si="203"/>
        <v>2811</v>
      </c>
      <c r="R3217" s="2" t="s">
        <v>26</v>
      </c>
      <c r="S3217" s="9">
        <f>VLOOKUP(P3217,$T$2:U3214,2,1)</f>
        <v>0.02</v>
      </c>
    </row>
    <row r="3218" spans="1:19" x14ac:dyDescent="0.25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e">
        <f>VLOOKUP(F3218,'Customer Info'!A3210:I3709,2,0)</f>
        <v>#N/A</v>
      </c>
      <c r="H3218" s="6" t="e">
        <f>VLOOKUP(F3218,'Customer Info'!A3210:I3709,3,0)</f>
        <v>#N/A</v>
      </c>
      <c r="I3218" s="6" t="e">
        <f>VLOOKUP(F3218,'Customer Info'!A3210:I3709,5,0)</f>
        <v>#N/A</v>
      </c>
      <c r="J3218" s="2">
        <v>27691</v>
      </c>
      <c r="K3218" s="2">
        <v>25616</v>
      </c>
      <c r="L3218" s="2">
        <v>2</v>
      </c>
      <c r="M3218" s="7">
        <f t="shared" si="200"/>
        <v>51232</v>
      </c>
      <c r="N3218" s="7">
        <f t="shared" si="201"/>
        <v>55382</v>
      </c>
      <c r="O3218" s="2">
        <v>56</v>
      </c>
      <c r="P3218" s="8">
        <f t="shared" si="202"/>
        <v>55438</v>
      </c>
      <c r="Q3218" s="8">
        <f t="shared" si="203"/>
        <v>55326</v>
      </c>
      <c r="R3218" s="2" t="s">
        <v>26</v>
      </c>
      <c r="S3218" s="9">
        <f>VLOOKUP(P3218,$T$2:U3215,2,1)</f>
        <v>0.09</v>
      </c>
    </row>
    <row r="3219" spans="1:19" x14ac:dyDescent="0.25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e">
        <f>VLOOKUP(F3219,'Customer Info'!A3211:I3710,2,0)</f>
        <v>#N/A</v>
      </c>
      <c r="H3219" s="6" t="e">
        <f>VLOOKUP(F3219,'Customer Info'!A3211:I3710,3,0)</f>
        <v>#N/A</v>
      </c>
      <c r="I3219" s="6" t="e">
        <f>VLOOKUP(F3219,'Customer Info'!A3211:I3710,5,0)</f>
        <v>#N/A</v>
      </c>
      <c r="J3219" s="2">
        <v>80</v>
      </c>
      <c r="K3219" s="2">
        <v>75</v>
      </c>
      <c r="L3219" s="2">
        <v>6</v>
      </c>
      <c r="M3219" s="7">
        <f t="shared" si="200"/>
        <v>450</v>
      </c>
      <c r="N3219" s="7">
        <f t="shared" si="201"/>
        <v>480</v>
      </c>
      <c r="O3219" s="2">
        <v>10</v>
      </c>
      <c r="P3219" s="8">
        <f t="shared" si="202"/>
        <v>490</v>
      </c>
      <c r="Q3219" s="8">
        <f t="shared" si="203"/>
        <v>470</v>
      </c>
      <c r="R3219" s="2" t="s">
        <v>28</v>
      </c>
      <c r="S3219" s="9">
        <f>VLOOKUP(P3219,$T$2:U3216,2,1)</f>
        <v>0.02</v>
      </c>
    </row>
    <row r="3220" spans="1:19" x14ac:dyDescent="0.25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e">
        <f>VLOOKUP(F3220,'Customer Info'!A3212:I3711,2,0)</f>
        <v>#N/A</v>
      </c>
      <c r="H3220" s="6" t="e">
        <f>VLOOKUP(F3220,'Customer Info'!A3212:I3711,3,0)</f>
        <v>#N/A</v>
      </c>
      <c r="I3220" s="6" t="e">
        <f>VLOOKUP(F3220,'Customer Info'!A3212:I3711,5,0)</f>
        <v>#N/A</v>
      </c>
      <c r="J3220" s="2">
        <v>918</v>
      </c>
      <c r="K3220" s="2">
        <v>859</v>
      </c>
      <c r="L3220" s="2">
        <v>1</v>
      </c>
      <c r="M3220" s="7">
        <f t="shared" si="200"/>
        <v>859</v>
      </c>
      <c r="N3220" s="7">
        <f t="shared" si="201"/>
        <v>918</v>
      </c>
      <c r="O3220" s="2">
        <v>33</v>
      </c>
      <c r="P3220" s="8">
        <f t="shared" si="202"/>
        <v>951</v>
      </c>
      <c r="Q3220" s="8">
        <f t="shared" si="203"/>
        <v>885</v>
      </c>
      <c r="R3220" s="2" t="s">
        <v>50</v>
      </c>
      <c r="S3220" s="9">
        <f>VLOOKUP(P3220,$T$2:U3217,2,1)</f>
        <v>0.02</v>
      </c>
    </row>
    <row r="3221" spans="1:19" x14ac:dyDescent="0.25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e">
        <f>VLOOKUP(F3221,'Customer Info'!A3213:I3712,2,0)</f>
        <v>#N/A</v>
      </c>
      <c r="H3221" s="6" t="e">
        <f>VLOOKUP(F3221,'Customer Info'!A3213:I3712,3,0)</f>
        <v>#N/A</v>
      </c>
      <c r="I3221" s="6" t="e">
        <f>VLOOKUP(F3221,'Customer Info'!A3213:I3712,5,0)</f>
        <v>#N/A</v>
      </c>
      <c r="J3221" s="2">
        <v>751</v>
      </c>
      <c r="K3221" s="2">
        <v>696</v>
      </c>
      <c r="L3221" s="2">
        <v>3</v>
      </c>
      <c r="M3221" s="7">
        <f t="shared" si="200"/>
        <v>2088</v>
      </c>
      <c r="N3221" s="7">
        <f t="shared" si="201"/>
        <v>2253</v>
      </c>
      <c r="O3221" s="2">
        <v>54</v>
      </c>
      <c r="P3221" s="8">
        <f t="shared" si="202"/>
        <v>2307</v>
      </c>
      <c r="Q3221" s="8">
        <f t="shared" si="203"/>
        <v>2199</v>
      </c>
      <c r="R3221" s="2" t="s">
        <v>50</v>
      </c>
      <c r="S3221" s="9">
        <f>VLOOKUP(P3221,$T$2:U3218,2,1)</f>
        <v>0.02</v>
      </c>
    </row>
    <row r="3222" spans="1:19" x14ac:dyDescent="0.25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e">
        <f>VLOOKUP(F3222,'Customer Info'!A3214:I3713,2,0)</f>
        <v>#N/A</v>
      </c>
      <c r="H3222" s="6" t="e">
        <f>VLOOKUP(F3222,'Customer Info'!A3214:I3713,3,0)</f>
        <v>#N/A</v>
      </c>
      <c r="I3222" s="6" t="e">
        <f>VLOOKUP(F3222,'Customer Info'!A3214:I3713,5,0)</f>
        <v>#N/A</v>
      </c>
      <c r="J3222" s="2">
        <v>1413</v>
      </c>
      <c r="K3222" s="2">
        <v>1334</v>
      </c>
      <c r="L3222" s="2">
        <v>9</v>
      </c>
      <c r="M3222" s="7">
        <f t="shared" si="200"/>
        <v>12006</v>
      </c>
      <c r="N3222" s="7">
        <f t="shared" si="201"/>
        <v>12717</v>
      </c>
      <c r="O3222" s="2">
        <v>22</v>
      </c>
      <c r="P3222" s="8">
        <f t="shared" si="202"/>
        <v>12739</v>
      </c>
      <c r="Q3222" s="8">
        <f t="shared" si="203"/>
        <v>12695</v>
      </c>
      <c r="R3222" s="2" t="s">
        <v>28</v>
      </c>
      <c r="S3222" s="9">
        <f>VLOOKUP(P3222,$T$2:U3219,2,1)</f>
        <v>0.05</v>
      </c>
    </row>
    <row r="3223" spans="1:19" x14ac:dyDescent="0.25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e">
        <f>VLOOKUP(F3223,'Customer Info'!A3215:I3714,2,0)</f>
        <v>#N/A</v>
      </c>
      <c r="H3223" s="6" t="e">
        <f>VLOOKUP(F3223,'Customer Info'!A3215:I3714,3,0)</f>
        <v>#N/A</v>
      </c>
      <c r="I3223" s="6" t="e">
        <f>VLOOKUP(F3223,'Customer Info'!A3215:I3714,5,0)</f>
        <v>#N/A</v>
      </c>
      <c r="J3223" s="2">
        <v>1447</v>
      </c>
      <c r="K3223" s="2">
        <v>1326</v>
      </c>
      <c r="L3223" s="2">
        <v>2</v>
      </c>
      <c r="M3223" s="7">
        <f t="shared" si="200"/>
        <v>2652</v>
      </c>
      <c r="N3223" s="7">
        <f t="shared" si="201"/>
        <v>2894</v>
      </c>
      <c r="O3223" s="2">
        <v>98</v>
      </c>
      <c r="P3223" s="8">
        <f t="shared" si="202"/>
        <v>2992</v>
      </c>
      <c r="Q3223" s="8">
        <f t="shared" si="203"/>
        <v>2796</v>
      </c>
      <c r="R3223" s="2" t="s">
        <v>50</v>
      </c>
      <c r="S3223" s="9">
        <f>VLOOKUP(P3223,$T$2:U3220,2,1)</f>
        <v>0.02</v>
      </c>
    </row>
    <row r="3224" spans="1:19" x14ac:dyDescent="0.25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e">
        <f>VLOOKUP(F3224,'Customer Info'!A3216:I3715,2,0)</f>
        <v>#N/A</v>
      </c>
      <c r="H3224" s="6" t="e">
        <f>VLOOKUP(F3224,'Customer Info'!A3216:I3715,3,0)</f>
        <v>#N/A</v>
      </c>
      <c r="I3224" s="6" t="e">
        <f>VLOOKUP(F3224,'Customer Info'!A3216:I3715,5,0)</f>
        <v>#N/A</v>
      </c>
      <c r="J3224" s="2">
        <v>36778</v>
      </c>
      <c r="K3224" s="2">
        <v>34709</v>
      </c>
      <c r="L3224" s="2">
        <v>1</v>
      </c>
      <c r="M3224" s="7">
        <f t="shared" si="200"/>
        <v>34709</v>
      </c>
      <c r="N3224" s="7">
        <f t="shared" si="201"/>
        <v>36778</v>
      </c>
      <c r="O3224" s="2">
        <v>27</v>
      </c>
      <c r="P3224" s="8">
        <f t="shared" si="202"/>
        <v>36805</v>
      </c>
      <c r="Q3224" s="8">
        <f t="shared" si="203"/>
        <v>36751</v>
      </c>
      <c r="R3224" s="2" t="s">
        <v>28</v>
      </c>
      <c r="S3224" s="9">
        <f>VLOOKUP(P3224,$T$2:U3221,2,1)</f>
        <v>7.0000000000000007E-2</v>
      </c>
    </row>
    <row r="3225" spans="1:19" x14ac:dyDescent="0.25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e">
        <f>VLOOKUP(F3225,'Customer Info'!A3217:I3716,2,0)</f>
        <v>#N/A</v>
      </c>
      <c r="H3225" s="6" t="e">
        <f>VLOOKUP(F3225,'Customer Info'!A3217:I3716,3,0)</f>
        <v>#N/A</v>
      </c>
      <c r="I3225" s="6" t="e">
        <f>VLOOKUP(F3225,'Customer Info'!A3217:I3716,5,0)</f>
        <v>#N/A</v>
      </c>
      <c r="J3225" s="2">
        <v>4246</v>
      </c>
      <c r="K3225" s="2">
        <v>3857</v>
      </c>
      <c r="L3225" s="2">
        <v>3</v>
      </c>
      <c r="M3225" s="7">
        <f t="shared" si="200"/>
        <v>11571</v>
      </c>
      <c r="N3225" s="7">
        <f t="shared" si="201"/>
        <v>12738</v>
      </c>
      <c r="O3225" s="2">
        <v>85</v>
      </c>
      <c r="P3225" s="8">
        <f t="shared" si="202"/>
        <v>12823</v>
      </c>
      <c r="Q3225" s="8">
        <f t="shared" si="203"/>
        <v>12653</v>
      </c>
      <c r="R3225" s="2" t="s">
        <v>26</v>
      </c>
      <c r="S3225" s="9">
        <f>VLOOKUP(P3225,$T$2:U3222,2,1)</f>
        <v>0.05</v>
      </c>
    </row>
    <row r="3226" spans="1:19" x14ac:dyDescent="0.25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e">
        <f>VLOOKUP(F3226,'Customer Info'!A3218:I3717,2,0)</f>
        <v>#N/A</v>
      </c>
      <c r="H3226" s="6" t="e">
        <f>VLOOKUP(F3226,'Customer Info'!A3218:I3717,3,0)</f>
        <v>#N/A</v>
      </c>
      <c r="I3226" s="6" t="e">
        <f>VLOOKUP(F3226,'Customer Info'!A3218:I3717,5,0)</f>
        <v>#N/A</v>
      </c>
      <c r="J3226" s="2">
        <v>3354</v>
      </c>
      <c r="K3226" s="2">
        <v>3102</v>
      </c>
      <c r="L3226" s="2">
        <v>3</v>
      </c>
      <c r="M3226" s="7">
        <f t="shared" si="200"/>
        <v>9306</v>
      </c>
      <c r="N3226" s="7">
        <f t="shared" si="201"/>
        <v>10062</v>
      </c>
      <c r="O3226" s="2">
        <v>87</v>
      </c>
      <c r="P3226" s="8">
        <f t="shared" si="202"/>
        <v>10149</v>
      </c>
      <c r="Q3226" s="8">
        <f t="shared" si="203"/>
        <v>9975</v>
      </c>
      <c r="R3226" s="2" t="s">
        <v>26</v>
      </c>
      <c r="S3226" s="9">
        <f>VLOOKUP(P3226,$T$2:U3223,2,1)</f>
        <v>0.05</v>
      </c>
    </row>
    <row r="3227" spans="1:19" x14ac:dyDescent="0.25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e">
        <f>VLOOKUP(F3227,'Customer Info'!A3219:I3718,2,0)</f>
        <v>#N/A</v>
      </c>
      <c r="H3227" s="6" t="e">
        <f>VLOOKUP(F3227,'Customer Info'!A3219:I3718,3,0)</f>
        <v>#N/A</v>
      </c>
      <c r="I3227" s="6" t="e">
        <f>VLOOKUP(F3227,'Customer Info'!A3219:I3718,5,0)</f>
        <v>#N/A</v>
      </c>
      <c r="J3227" s="2">
        <v>465</v>
      </c>
      <c r="K3227" s="2">
        <v>439</v>
      </c>
      <c r="L3227" s="2">
        <v>3</v>
      </c>
      <c r="M3227" s="7">
        <f t="shared" si="200"/>
        <v>1317</v>
      </c>
      <c r="N3227" s="7">
        <f t="shared" si="201"/>
        <v>1395</v>
      </c>
      <c r="O3227" s="2">
        <v>45</v>
      </c>
      <c r="P3227" s="8">
        <f t="shared" si="202"/>
        <v>1440</v>
      </c>
      <c r="Q3227" s="8">
        <f t="shared" si="203"/>
        <v>1350</v>
      </c>
      <c r="R3227" s="2" t="s">
        <v>28</v>
      </c>
      <c r="S3227" s="9">
        <f>VLOOKUP(P3227,$T$2:U3224,2,1)</f>
        <v>0.02</v>
      </c>
    </row>
    <row r="3228" spans="1:19" x14ac:dyDescent="0.25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e">
        <f>VLOOKUP(F3228,'Customer Info'!A3220:I3719,2,0)</f>
        <v>#N/A</v>
      </c>
      <c r="H3228" s="6" t="e">
        <f>VLOOKUP(F3228,'Customer Info'!A3220:I3719,3,0)</f>
        <v>#N/A</v>
      </c>
      <c r="I3228" s="6" t="e">
        <f>VLOOKUP(F3228,'Customer Info'!A3220:I3719,5,0)</f>
        <v>#N/A</v>
      </c>
      <c r="J3228" s="2">
        <v>2787</v>
      </c>
      <c r="K3228" s="2">
        <v>2681</v>
      </c>
      <c r="L3228" s="2">
        <v>9</v>
      </c>
      <c r="M3228" s="7">
        <f t="shared" si="200"/>
        <v>24129</v>
      </c>
      <c r="N3228" s="7">
        <f t="shared" si="201"/>
        <v>25083</v>
      </c>
      <c r="O3228" s="2">
        <v>97</v>
      </c>
      <c r="P3228" s="8">
        <f t="shared" si="202"/>
        <v>25180</v>
      </c>
      <c r="Q3228" s="8">
        <f t="shared" si="203"/>
        <v>24986</v>
      </c>
      <c r="R3228" s="2" t="s">
        <v>50</v>
      </c>
      <c r="S3228" s="9">
        <f>VLOOKUP(P3228,$T$2:U3225,2,1)</f>
        <v>7.0000000000000007E-2</v>
      </c>
    </row>
    <row r="3229" spans="1:19" x14ac:dyDescent="0.25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e">
        <f>VLOOKUP(F3229,'Customer Info'!A3221:I3720,2,0)</f>
        <v>#N/A</v>
      </c>
      <c r="H3229" s="6" t="e">
        <f>VLOOKUP(F3229,'Customer Info'!A3221:I3720,3,0)</f>
        <v>#N/A</v>
      </c>
      <c r="I3229" s="6" t="e">
        <f>VLOOKUP(F3229,'Customer Info'!A3221:I3720,5,0)</f>
        <v>#N/A</v>
      </c>
      <c r="J3229" s="2">
        <v>1721</v>
      </c>
      <c r="K3229" s="2">
        <v>1640</v>
      </c>
      <c r="L3229" s="2">
        <v>5</v>
      </c>
      <c r="M3229" s="7">
        <f t="shared" si="200"/>
        <v>8200</v>
      </c>
      <c r="N3229" s="7">
        <f t="shared" si="201"/>
        <v>8605</v>
      </c>
      <c r="O3229" s="2">
        <v>49</v>
      </c>
      <c r="P3229" s="8">
        <f t="shared" si="202"/>
        <v>8654</v>
      </c>
      <c r="Q3229" s="8">
        <f t="shared" si="203"/>
        <v>8556</v>
      </c>
      <c r="R3229" s="2" t="s">
        <v>28</v>
      </c>
      <c r="S3229" s="9">
        <f>VLOOKUP(P3229,$T$2:U3226,2,1)</f>
        <v>0.05</v>
      </c>
    </row>
    <row r="3230" spans="1:19" x14ac:dyDescent="0.25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e">
        <f>VLOOKUP(F3230,'Customer Info'!A3222:I3721,2,0)</f>
        <v>#N/A</v>
      </c>
      <c r="H3230" s="6" t="e">
        <f>VLOOKUP(F3230,'Customer Info'!A3222:I3721,3,0)</f>
        <v>#N/A</v>
      </c>
      <c r="I3230" s="6" t="e">
        <f>VLOOKUP(F3230,'Customer Info'!A3222:I3721,5,0)</f>
        <v>#N/A</v>
      </c>
      <c r="J3230" s="2">
        <v>3184</v>
      </c>
      <c r="K3230" s="2">
        <v>2947</v>
      </c>
      <c r="L3230" s="2">
        <v>5</v>
      </c>
      <c r="M3230" s="7">
        <f t="shared" si="200"/>
        <v>14735</v>
      </c>
      <c r="N3230" s="7">
        <f t="shared" si="201"/>
        <v>15920</v>
      </c>
      <c r="O3230" s="2">
        <v>77</v>
      </c>
      <c r="P3230" s="8">
        <f t="shared" si="202"/>
        <v>15997</v>
      </c>
      <c r="Q3230" s="8">
        <f t="shared" si="203"/>
        <v>15843</v>
      </c>
      <c r="R3230" s="2" t="s">
        <v>28</v>
      </c>
      <c r="S3230" s="9">
        <f>VLOOKUP(P3230,$T$2:U3227,2,1)</f>
        <v>0.05</v>
      </c>
    </row>
    <row r="3231" spans="1:19" x14ac:dyDescent="0.25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e">
        <f>VLOOKUP(F3231,'Customer Info'!A3223:I3722,2,0)</f>
        <v>#N/A</v>
      </c>
      <c r="H3231" s="6" t="e">
        <f>VLOOKUP(F3231,'Customer Info'!A3223:I3722,3,0)</f>
        <v>#N/A</v>
      </c>
      <c r="I3231" s="6" t="e">
        <f>VLOOKUP(F3231,'Customer Info'!A3223:I3722,5,0)</f>
        <v>#N/A</v>
      </c>
      <c r="J3231" s="2">
        <v>918</v>
      </c>
      <c r="K3231" s="2">
        <v>859</v>
      </c>
      <c r="L3231" s="2">
        <v>1</v>
      </c>
      <c r="M3231" s="7">
        <f t="shared" si="200"/>
        <v>859</v>
      </c>
      <c r="N3231" s="7">
        <f t="shared" si="201"/>
        <v>918</v>
      </c>
      <c r="O3231" s="2">
        <v>36</v>
      </c>
      <c r="P3231" s="8">
        <f t="shared" si="202"/>
        <v>954</v>
      </c>
      <c r="Q3231" s="8">
        <f t="shared" si="203"/>
        <v>882</v>
      </c>
      <c r="R3231" s="2" t="s">
        <v>28</v>
      </c>
      <c r="S3231" s="9">
        <f>VLOOKUP(P3231,$T$2:U3228,2,1)</f>
        <v>0.02</v>
      </c>
    </row>
    <row r="3232" spans="1:19" x14ac:dyDescent="0.25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e">
        <f>VLOOKUP(F3232,'Customer Info'!A3224:I3723,2,0)</f>
        <v>#N/A</v>
      </c>
      <c r="H3232" s="6" t="e">
        <f>VLOOKUP(F3232,'Customer Info'!A3224:I3723,3,0)</f>
        <v>#N/A</v>
      </c>
      <c r="I3232" s="6" t="e">
        <f>VLOOKUP(F3232,'Customer Info'!A3224:I3723,5,0)</f>
        <v>#N/A</v>
      </c>
      <c r="J3232" s="2">
        <v>167</v>
      </c>
      <c r="K3232" s="2">
        <v>155</v>
      </c>
      <c r="L3232" s="2">
        <v>2</v>
      </c>
      <c r="M3232" s="7">
        <f t="shared" si="200"/>
        <v>310</v>
      </c>
      <c r="N3232" s="7">
        <f t="shared" si="201"/>
        <v>334</v>
      </c>
      <c r="O3232" s="2">
        <v>30</v>
      </c>
      <c r="P3232" s="8">
        <f t="shared" si="202"/>
        <v>364</v>
      </c>
      <c r="Q3232" s="8">
        <f t="shared" si="203"/>
        <v>304</v>
      </c>
      <c r="R3232" s="2" t="s">
        <v>50</v>
      </c>
      <c r="S3232" s="9">
        <f>VLOOKUP(P3232,$T$2:U3229,2,1)</f>
        <v>0.02</v>
      </c>
    </row>
    <row r="3233" spans="1:19" x14ac:dyDescent="0.25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e">
        <f>VLOOKUP(F3233,'Customer Info'!A3225:I3724,2,0)</f>
        <v>#N/A</v>
      </c>
      <c r="H3233" s="6" t="e">
        <f>VLOOKUP(F3233,'Customer Info'!A3225:I3724,3,0)</f>
        <v>#N/A</v>
      </c>
      <c r="I3233" s="6" t="e">
        <f>VLOOKUP(F3233,'Customer Info'!A3225:I3724,5,0)</f>
        <v>#N/A</v>
      </c>
      <c r="J3233" s="2">
        <v>7141</v>
      </c>
      <c r="K3233" s="2">
        <v>6541</v>
      </c>
      <c r="L3233" s="2">
        <v>3</v>
      </c>
      <c r="M3233" s="7">
        <f t="shared" si="200"/>
        <v>19623</v>
      </c>
      <c r="N3233" s="7">
        <f t="shared" si="201"/>
        <v>21423</v>
      </c>
      <c r="O3233" s="2">
        <v>34</v>
      </c>
      <c r="P3233" s="8">
        <f t="shared" si="202"/>
        <v>21457</v>
      </c>
      <c r="Q3233" s="8">
        <f t="shared" si="203"/>
        <v>21389</v>
      </c>
      <c r="R3233" s="2" t="s">
        <v>26</v>
      </c>
      <c r="S3233" s="9">
        <f>VLOOKUP(P3233,$T$2:U3230,2,1)</f>
        <v>0.05</v>
      </c>
    </row>
    <row r="3234" spans="1:19" x14ac:dyDescent="0.25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e">
        <f>VLOOKUP(F3234,'Customer Info'!A3226:I3725,2,0)</f>
        <v>#N/A</v>
      </c>
      <c r="H3234" s="6" t="e">
        <f>VLOOKUP(F3234,'Customer Info'!A3226:I3725,3,0)</f>
        <v>#N/A</v>
      </c>
      <c r="I3234" s="6" t="e">
        <f>VLOOKUP(F3234,'Customer Info'!A3226:I3725,5,0)</f>
        <v>#N/A</v>
      </c>
      <c r="J3234" s="2">
        <v>7021</v>
      </c>
      <c r="K3234" s="2">
        <v>6686</v>
      </c>
      <c r="L3234" s="2">
        <v>3</v>
      </c>
      <c r="M3234" s="7">
        <f t="shared" si="200"/>
        <v>20058</v>
      </c>
      <c r="N3234" s="7">
        <f t="shared" si="201"/>
        <v>21063</v>
      </c>
      <c r="O3234" s="2">
        <v>86</v>
      </c>
      <c r="P3234" s="8">
        <f t="shared" si="202"/>
        <v>21149</v>
      </c>
      <c r="Q3234" s="8">
        <f t="shared" si="203"/>
        <v>20977</v>
      </c>
      <c r="R3234" s="2" t="s">
        <v>28</v>
      </c>
      <c r="S3234" s="9">
        <f>VLOOKUP(P3234,$T$2:U3231,2,1)</f>
        <v>0.05</v>
      </c>
    </row>
    <row r="3235" spans="1:19" x14ac:dyDescent="0.25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e">
        <f>VLOOKUP(F3235,'Customer Info'!A3227:I3726,2,0)</f>
        <v>#N/A</v>
      </c>
      <c r="H3235" s="6" t="e">
        <f>VLOOKUP(F3235,'Customer Info'!A3227:I3726,3,0)</f>
        <v>#N/A</v>
      </c>
      <c r="I3235" s="6" t="e">
        <f>VLOOKUP(F3235,'Customer Info'!A3227:I3726,5,0)</f>
        <v>#N/A</v>
      </c>
      <c r="J3235" s="2">
        <v>144</v>
      </c>
      <c r="K3235" s="2">
        <v>132</v>
      </c>
      <c r="L3235" s="2">
        <v>2</v>
      </c>
      <c r="M3235" s="7">
        <f t="shared" si="200"/>
        <v>264</v>
      </c>
      <c r="N3235" s="7">
        <f t="shared" si="201"/>
        <v>288</v>
      </c>
      <c r="O3235" s="2">
        <v>30</v>
      </c>
      <c r="P3235" s="8">
        <f t="shared" si="202"/>
        <v>318</v>
      </c>
      <c r="Q3235" s="8">
        <f t="shared" si="203"/>
        <v>258</v>
      </c>
      <c r="R3235" s="2" t="s">
        <v>50</v>
      </c>
      <c r="S3235" s="9">
        <f>VLOOKUP(P3235,$T$2:U3232,2,1)</f>
        <v>0.02</v>
      </c>
    </row>
    <row r="3236" spans="1:19" x14ac:dyDescent="0.25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e">
        <f>VLOOKUP(F3236,'Customer Info'!A3228:I3727,2,0)</f>
        <v>#N/A</v>
      </c>
      <c r="H3236" s="6" t="e">
        <f>VLOOKUP(F3236,'Customer Info'!A3228:I3727,3,0)</f>
        <v>#N/A</v>
      </c>
      <c r="I3236" s="6" t="e">
        <f>VLOOKUP(F3236,'Customer Info'!A3228:I3727,5,0)</f>
        <v>#N/A</v>
      </c>
      <c r="J3236" s="2">
        <v>139</v>
      </c>
      <c r="K3236" s="2">
        <v>133</v>
      </c>
      <c r="L3236" s="2">
        <v>3</v>
      </c>
      <c r="M3236" s="7">
        <f t="shared" si="200"/>
        <v>399</v>
      </c>
      <c r="N3236" s="7">
        <f t="shared" si="201"/>
        <v>417</v>
      </c>
      <c r="O3236" s="2">
        <v>30</v>
      </c>
      <c r="P3236" s="8">
        <f t="shared" si="202"/>
        <v>447</v>
      </c>
      <c r="Q3236" s="8">
        <f t="shared" si="203"/>
        <v>387</v>
      </c>
      <c r="R3236" s="2" t="s">
        <v>26</v>
      </c>
      <c r="S3236" s="9">
        <f>VLOOKUP(P3236,$T$2:U3233,2,1)</f>
        <v>0.02</v>
      </c>
    </row>
    <row r="3237" spans="1:19" x14ac:dyDescent="0.25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e">
        <f>VLOOKUP(F3237,'Customer Info'!A3229:I3728,2,0)</f>
        <v>#N/A</v>
      </c>
      <c r="H3237" s="6" t="e">
        <f>VLOOKUP(F3237,'Customer Info'!A3229:I3728,3,0)</f>
        <v>#N/A</v>
      </c>
      <c r="I3237" s="6" t="e">
        <f>VLOOKUP(F3237,'Customer Info'!A3229:I3728,5,0)</f>
        <v>#N/A</v>
      </c>
      <c r="J3237" s="2">
        <v>2526</v>
      </c>
      <c r="K3237" s="2">
        <v>2408</v>
      </c>
      <c r="L3237" s="2">
        <v>2</v>
      </c>
      <c r="M3237" s="7">
        <f t="shared" si="200"/>
        <v>4816</v>
      </c>
      <c r="N3237" s="7">
        <f t="shared" si="201"/>
        <v>5052</v>
      </c>
      <c r="O3237" s="2">
        <v>37</v>
      </c>
      <c r="P3237" s="8">
        <f t="shared" si="202"/>
        <v>5089</v>
      </c>
      <c r="Q3237" s="8">
        <f t="shared" si="203"/>
        <v>5015</v>
      </c>
      <c r="R3237" s="2" t="s">
        <v>28</v>
      </c>
      <c r="S3237" s="9">
        <f>VLOOKUP(P3237,$T$2:U3234,2,1)</f>
        <v>0.05</v>
      </c>
    </row>
    <row r="3238" spans="1:19" x14ac:dyDescent="0.25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e">
        <f>VLOOKUP(F3238,'Customer Info'!A3230:I3729,2,0)</f>
        <v>#N/A</v>
      </c>
      <c r="H3238" s="6" t="e">
        <f>VLOOKUP(F3238,'Customer Info'!A3230:I3729,3,0)</f>
        <v>#N/A</v>
      </c>
      <c r="I3238" s="6" t="e">
        <f>VLOOKUP(F3238,'Customer Info'!A3230:I3729,5,0)</f>
        <v>#N/A</v>
      </c>
      <c r="J3238" s="2">
        <v>7350</v>
      </c>
      <c r="K3238" s="2">
        <v>6743</v>
      </c>
      <c r="L3238" s="2">
        <v>2</v>
      </c>
      <c r="M3238" s="7">
        <f t="shared" si="200"/>
        <v>13486</v>
      </c>
      <c r="N3238" s="7">
        <f t="shared" si="201"/>
        <v>14700</v>
      </c>
      <c r="O3238" s="2">
        <v>71</v>
      </c>
      <c r="P3238" s="8">
        <f t="shared" si="202"/>
        <v>14771</v>
      </c>
      <c r="Q3238" s="8">
        <f t="shared" si="203"/>
        <v>14629</v>
      </c>
      <c r="R3238" s="2" t="s">
        <v>28</v>
      </c>
      <c r="S3238" s="9">
        <f>VLOOKUP(P3238,$T$2:U3235,2,1)</f>
        <v>0.05</v>
      </c>
    </row>
    <row r="3239" spans="1:19" x14ac:dyDescent="0.25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e">
        <f>VLOOKUP(F3239,'Customer Info'!A3231:I3730,2,0)</f>
        <v>#N/A</v>
      </c>
      <c r="H3239" s="6" t="e">
        <f>VLOOKUP(F3239,'Customer Info'!A3231:I3730,3,0)</f>
        <v>#N/A</v>
      </c>
      <c r="I3239" s="6" t="e">
        <f>VLOOKUP(F3239,'Customer Info'!A3231:I3730,5,0)</f>
        <v>#N/A</v>
      </c>
      <c r="J3239" s="2">
        <v>511</v>
      </c>
      <c r="K3239" s="2">
        <v>468</v>
      </c>
      <c r="L3239" s="2">
        <v>3</v>
      </c>
      <c r="M3239" s="7">
        <f t="shared" si="200"/>
        <v>1404</v>
      </c>
      <c r="N3239" s="7">
        <f t="shared" si="201"/>
        <v>1533</v>
      </c>
      <c r="O3239" s="2">
        <v>23</v>
      </c>
      <c r="P3239" s="8">
        <f t="shared" si="202"/>
        <v>1556</v>
      </c>
      <c r="Q3239" s="8">
        <f t="shared" si="203"/>
        <v>1510</v>
      </c>
      <c r="R3239" s="2" t="s">
        <v>50</v>
      </c>
      <c r="S3239" s="9">
        <f>VLOOKUP(P3239,$T$2:U3236,2,1)</f>
        <v>0.02</v>
      </c>
    </row>
    <row r="3240" spans="1:19" x14ac:dyDescent="0.25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e">
        <f>VLOOKUP(F3240,'Customer Info'!A3232:I3731,2,0)</f>
        <v>#N/A</v>
      </c>
      <c r="H3240" s="6" t="e">
        <f>VLOOKUP(F3240,'Customer Info'!A3232:I3731,3,0)</f>
        <v>#N/A</v>
      </c>
      <c r="I3240" s="6" t="e">
        <f>VLOOKUP(F3240,'Customer Info'!A3232:I3731,5,0)</f>
        <v>#N/A</v>
      </c>
      <c r="J3240" s="2">
        <v>6087</v>
      </c>
      <c r="K3240" s="2">
        <v>5808</v>
      </c>
      <c r="L3240" s="2">
        <v>2</v>
      </c>
      <c r="M3240" s="7">
        <f t="shared" si="200"/>
        <v>11616</v>
      </c>
      <c r="N3240" s="7">
        <f t="shared" si="201"/>
        <v>12174</v>
      </c>
      <c r="O3240" s="2">
        <v>56</v>
      </c>
      <c r="P3240" s="8">
        <f t="shared" si="202"/>
        <v>12230</v>
      </c>
      <c r="Q3240" s="8">
        <f t="shared" si="203"/>
        <v>12118</v>
      </c>
      <c r="R3240" s="2" t="s">
        <v>28</v>
      </c>
      <c r="S3240" s="9">
        <f>VLOOKUP(P3240,$T$2:U3237,2,1)</f>
        <v>0.05</v>
      </c>
    </row>
    <row r="3241" spans="1:19" x14ac:dyDescent="0.25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e">
        <f>VLOOKUP(F3241,'Customer Info'!A3233:I3732,2,0)</f>
        <v>#N/A</v>
      </c>
      <c r="H3241" s="6" t="e">
        <f>VLOOKUP(F3241,'Customer Info'!A3233:I3732,3,0)</f>
        <v>#N/A</v>
      </c>
      <c r="I3241" s="6" t="e">
        <f>VLOOKUP(F3241,'Customer Info'!A3233:I3732,5,0)</f>
        <v>#N/A</v>
      </c>
      <c r="J3241" s="2">
        <v>4577</v>
      </c>
      <c r="K3241" s="2">
        <v>4280</v>
      </c>
      <c r="L3241" s="2">
        <v>3</v>
      </c>
      <c r="M3241" s="7">
        <f t="shared" si="200"/>
        <v>12840</v>
      </c>
      <c r="N3241" s="7">
        <f t="shared" si="201"/>
        <v>13731</v>
      </c>
      <c r="O3241" s="2">
        <v>91</v>
      </c>
      <c r="P3241" s="8">
        <f t="shared" si="202"/>
        <v>13822</v>
      </c>
      <c r="Q3241" s="8">
        <f t="shared" si="203"/>
        <v>13640</v>
      </c>
      <c r="R3241" s="2" t="s">
        <v>50</v>
      </c>
      <c r="S3241" s="9">
        <f>VLOOKUP(P3241,$T$2:U3238,2,1)</f>
        <v>0.05</v>
      </c>
    </row>
    <row r="3242" spans="1:19" x14ac:dyDescent="0.25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e">
        <f>VLOOKUP(F3242,'Customer Info'!A3234:I3733,2,0)</f>
        <v>#N/A</v>
      </c>
      <c r="H3242" s="6" t="e">
        <f>VLOOKUP(F3242,'Customer Info'!A3234:I3733,3,0)</f>
        <v>#N/A</v>
      </c>
      <c r="I3242" s="6" t="e">
        <f>VLOOKUP(F3242,'Customer Info'!A3234:I3733,5,0)</f>
        <v>#N/A</v>
      </c>
      <c r="J3242" s="2">
        <v>24662</v>
      </c>
      <c r="K3242" s="2">
        <v>23061</v>
      </c>
      <c r="L3242" s="2">
        <v>5</v>
      </c>
      <c r="M3242" s="7">
        <f t="shared" si="200"/>
        <v>115305</v>
      </c>
      <c r="N3242" s="7">
        <f t="shared" si="201"/>
        <v>123310</v>
      </c>
      <c r="O3242" s="2">
        <v>47</v>
      </c>
      <c r="P3242" s="8">
        <f t="shared" si="202"/>
        <v>123357</v>
      </c>
      <c r="Q3242" s="8">
        <f t="shared" si="203"/>
        <v>123263</v>
      </c>
      <c r="R3242" s="2" t="s">
        <v>28</v>
      </c>
      <c r="S3242" s="9">
        <f>VLOOKUP(P3242,$T$2:U3239,2,1)</f>
        <v>0.12</v>
      </c>
    </row>
    <row r="3243" spans="1:19" x14ac:dyDescent="0.25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e">
        <f>VLOOKUP(F3243,'Customer Info'!A3235:I3734,2,0)</f>
        <v>#N/A</v>
      </c>
      <c r="H3243" s="6" t="e">
        <f>VLOOKUP(F3243,'Customer Info'!A3235:I3734,3,0)</f>
        <v>#N/A</v>
      </c>
      <c r="I3243" s="6" t="e">
        <f>VLOOKUP(F3243,'Customer Info'!A3235:I3734,5,0)</f>
        <v>#N/A</v>
      </c>
      <c r="J3243" s="2">
        <v>1533</v>
      </c>
      <c r="K3243" s="2">
        <v>1406</v>
      </c>
      <c r="L3243" s="2">
        <v>1</v>
      </c>
      <c r="M3243" s="7">
        <f t="shared" si="200"/>
        <v>1406</v>
      </c>
      <c r="N3243" s="7">
        <f t="shared" si="201"/>
        <v>1533</v>
      </c>
      <c r="O3243" s="2">
        <v>57</v>
      </c>
      <c r="P3243" s="8">
        <f t="shared" si="202"/>
        <v>1590</v>
      </c>
      <c r="Q3243" s="8">
        <f t="shared" si="203"/>
        <v>1476</v>
      </c>
      <c r="R3243" s="2" t="s">
        <v>28</v>
      </c>
      <c r="S3243" s="9">
        <f>VLOOKUP(P3243,$T$2:U3240,2,1)</f>
        <v>0.02</v>
      </c>
    </row>
    <row r="3244" spans="1:19" x14ac:dyDescent="0.25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e">
        <f>VLOOKUP(F3244,'Customer Info'!A3236:I3735,2,0)</f>
        <v>#N/A</v>
      </c>
      <c r="H3244" s="6" t="e">
        <f>VLOOKUP(F3244,'Customer Info'!A3236:I3735,3,0)</f>
        <v>#N/A</v>
      </c>
      <c r="I3244" s="6" t="e">
        <f>VLOOKUP(F3244,'Customer Info'!A3236:I3735,5,0)</f>
        <v>#N/A</v>
      </c>
      <c r="J3244" s="2">
        <v>37949</v>
      </c>
      <c r="K3244" s="2">
        <v>34816</v>
      </c>
      <c r="L3244" s="2">
        <v>7</v>
      </c>
      <c r="M3244" s="7">
        <f t="shared" si="200"/>
        <v>243712</v>
      </c>
      <c r="N3244" s="7">
        <f t="shared" si="201"/>
        <v>265643</v>
      </c>
      <c r="O3244" s="2">
        <v>51</v>
      </c>
      <c r="P3244" s="8">
        <f t="shared" si="202"/>
        <v>265694</v>
      </c>
      <c r="Q3244" s="8">
        <f t="shared" si="203"/>
        <v>265592</v>
      </c>
      <c r="R3244" s="2" t="s">
        <v>50</v>
      </c>
      <c r="S3244" s="9">
        <f>VLOOKUP(P3244,$T$2:U3241,2,1)</f>
        <v>0.15</v>
      </c>
    </row>
    <row r="3245" spans="1:19" x14ac:dyDescent="0.25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e">
        <f>VLOOKUP(F3245,'Customer Info'!A3237:I3736,2,0)</f>
        <v>#N/A</v>
      </c>
      <c r="H3245" s="6" t="e">
        <f>VLOOKUP(F3245,'Customer Info'!A3237:I3736,3,0)</f>
        <v>#N/A</v>
      </c>
      <c r="I3245" s="6" t="e">
        <f>VLOOKUP(F3245,'Customer Info'!A3237:I3736,5,0)</f>
        <v>#N/A</v>
      </c>
      <c r="J3245" s="2">
        <v>1916</v>
      </c>
      <c r="K3245" s="2">
        <v>1844</v>
      </c>
      <c r="L3245" s="2">
        <v>3</v>
      </c>
      <c r="M3245" s="7">
        <f t="shared" si="200"/>
        <v>5532</v>
      </c>
      <c r="N3245" s="7">
        <f t="shared" si="201"/>
        <v>5748</v>
      </c>
      <c r="O3245" s="2">
        <v>60</v>
      </c>
      <c r="P3245" s="8">
        <f t="shared" si="202"/>
        <v>5808</v>
      </c>
      <c r="Q3245" s="8">
        <f t="shared" si="203"/>
        <v>5688</v>
      </c>
      <c r="R3245" s="2" t="s">
        <v>50</v>
      </c>
      <c r="S3245" s="9">
        <f>VLOOKUP(P3245,$T$2:U3242,2,1)</f>
        <v>0.05</v>
      </c>
    </row>
    <row r="3246" spans="1:19" x14ac:dyDescent="0.25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e">
        <f>VLOOKUP(F3246,'Customer Info'!A3238:I3737,2,0)</f>
        <v>#N/A</v>
      </c>
      <c r="H3246" s="6" t="e">
        <f>VLOOKUP(F3246,'Customer Info'!A3238:I3737,3,0)</f>
        <v>#N/A</v>
      </c>
      <c r="I3246" s="6" t="e">
        <f>VLOOKUP(F3246,'Customer Info'!A3238:I3737,5,0)</f>
        <v>#N/A</v>
      </c>
      <c r="J3246" s="2">
        <v>3256</v>
      </c>
      <c r="K3246" s="2">
        <v>3044</v>
      </c>
      <c r="L3246" s="2">
        <v>4</v>
      </c>
      <c r="M3246" s="7">
        <f t="shared" si="200"/>
        <v>12176</v>
      </c>
      <c r="N3246" s="7">
        <f t="shared" si="201"/>
        <v>13024</v>
      </c>
      <c r="O3246" s="2">
        <v>21</v>
      </c>
      <c r="P3246" s="8">
        <f t="shared" si="202"/>
        <v>13045</v>
      </c>
      <c r="Q3246" s="8">
        <f t="shared" si="203"/>
        <v>13003</v>
      </c>
      <c r="R3246" s="2" t="s">
        <v>26</v>
      </c>
      <c r="S3246" s="9">
        <f>VLOOKUP(P3246,$T$2:U3243,2,1)</f>
        <v>0.05</v>
      </c>
    </row>
    <row r="3247" spans="1:19" x14ac:dyDescent="0.25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e">
        <f>VLOOKUP(F3247,'Customer Info'!A3239:I3738,2,0)</f>
        <v>#N/A</v>
      </c>
      <c r="H3247" s="6" t="e">
        <f>VLOOKUP(F3247,'Customer Info'!A3239:I3738,3,0)</f>
        <v>#N/A</v>
      </c>
      <c r="I3247" s="6" t="e">
        <f>VLOOKUP(F3247,'Customer Info'!A3239:I3738,5,0)</f>
        <v>#N/A</v>
      </c>
      <c r="J3247" s="2">
        <v>2250</v>
      </c>
      <c r="K3247" s="2">
        <v>2207</v>
      </c>
      <c r="L3247" s="2">
        <v>2</v>
      </c>
      <c r="M3247" s="7">
        <f t="shared" si="200"/>
        <v>4414</v>
      </c>
      <c r="N3247" s="7">
        <f t="shared" si="201"/>
        <v>4500</v>
      </c>
      <c r="O3247" s="2">
        <v>62</v>
      </c>
      <c r="P3247" s="8">
        <f t="shared" si="202"/>
        <v>4562</v>
      </c>
      <c r="Q3247" s="8">
        <f t="shared" si="203"/>
        <v>4438</v>
      </c>
      <c r="R3247" s="2" t="s">
        <v>50</v>
      </c>
      <c r="S3247" s="9">
        <f>VLOOKUP(P3247,$T$2:U3244,2,1)</f>
        <v>0.02</v>
      </c>
    </row>
    <row r="3248" spans="1:19" x14ac:dyDescent="0.25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e">
        <f>VLOOKUP(F3248,'Customer Info'!A3240:I3739,2,0)</f>
        <v>#N/A</v>
      </c>
      <c r="H3248" s="6" t="e">
        <f>VLOOKUP(F3248,'Customer Info'!A3240:I3739,3,0)</f>
        <v>#N/A</v>
      </c>
      <c r="I3248" s="6" t="e">
        <f>VLOOKUP(F3248,'Customer Info'!A3240:I3739,5,0)</f>
        <v>#N/A</v>
      </c>
      <c r="J3248" s="2">
        <v>96</v>
      </c>
      <c r="K3248" s="2">
        <v>87</v>
      </c>
      <c r="L3248" s="2">
        <v>7</v>
      </c>
      <c r="M3248" s="7">
        <f t="shared" si="200"/>
        <v>609</v>
      </c>
      <c r="N3248" s="7">
        <f t="shared" si="201"/>
        <v>672</v>
      </c>
      <c r="O3248" s="2">
        <v>10</v>
      </c>
      <c r="P3248" s="8">
        <f t="shared" si="202"/>
        <v>682</v>
      </c>
      <c r="Q3248" s="8">
        <f t="shared" si="203"/>
        <v>662</v>
      </c>
      <c r="R3248" s="2" t="s">
        <v>28</v>
      </c>
      <c r="S3248" s="9">
        <f>VLOOKUP(P3248,$T$2:U3245,2,1)</f>
        <v>0.02</v>
      </c>
    </row>
    <row r="3249" spans="1:19" x14ac:dyDescent="0.25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e">
        <f>VLOOKUP(F3249,'Customer Info'!A3241:I3740,2,0)</f>
        <v>#N/A</v>
      </c>
      <c r="H3249" s="6" t="e">
        <f>VLOOKUP(F3249,'Customer Info'!A3241:I3740,3,0)</f>
        <v>#N/A</v>
      </c>
      <c r="I3249" s="6" t="e">
        <f>VLOOKUP(F3249,'Customer Info'!A3241:I3740,5,0)</f>
        <v>#N/A</v>
      </c>
      <c r="J3249" s="2">
        <v>4246</v>
      </c>
      <c r="K3249" s="2">
        <v>3857</v>
      </c>
      <c r="L3249" s="2">
        <v>2</v>
      </c>
      <c r="M3249" s="7">
        <f t="shared" si="200"/>
        <v>7714</v>
      </c>
      <c r="N3249" s="7">
        <f t="shared" si="201"/>
        <v>8492</v>
      </c>
      <c r="O3249" s="2">
        <v>100</v>
      </c>
      <c r="P3249" s="8">
        <f t="shared" si="202"/>
        <v>8592</v>
      </c>
      <c r="Q3249" s="8">
        <f t="shared" si="203"/>
        <v>8392</v>
      </c>
      <c r="R3249" s="2" t="s">
        <v>28</v>
      </c>
      <c r="S3249" s="9">
        <f>VLOOKUP(P3249,$T$2:U3246,2,1)</f>
        <v>0.05</v>
      </c>
    </row>
    <row r="3250" spans="1:19" x14ac:dyDescent="0.25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e">
        <f>VLOOKUP(F3250,'Customer Info'!A3242:I3741,2,0)</f>
        <v>#N/A</v>
      </c>
      <c r="H3250" s="6" t="e">
        <f>VLOOKUP(F3250,'Customer Info'!A3242:I3741,3,0)</f>
        <v>#N/A</v>
      </c>
      <c r="I3250" s="6" t="e">
        <f>VLOOKUP(F3250,'Customer Info'!A3242:I3741,5,0)</f>
        <v>#N/A</v>
      </c>
      <c r="J3250" s="2">
        <v>56</v>
      </c>
      <c r="K3250" s="2">
        <v>54</v>
      </c>
      <c r="L3250" s="2">
        <v>1</v>
      </c>
      <c r="M3250" s="7">
        <f t="shared" si="200"/>
        <v>54</v>
      </c>
      <c r="N3250" s="7">
        <f t="shared" si="201"/>
        <v>56</v>
      </c>
      <c r="O3250" s="2">
        <v>10</v>
      </c>
      <c r="P3250" s="8">
        <f t="shared" si="202"/>
        <v>66</v>
      </c>
      <c r="Q3250" s="8">
        <f t="shared" si="203"/>
        <v>46</v>
      </c>
      <c r="R3250" s="2" t="s">
        <v>28</v>
      </c>
      <c r="S3250" s="9">
        <f>VLOOKUP(P3250,$T$2:U3247,2,1)</f>
        <v>0.02</v>
      </c>
    </row>
    <row r="3251" spans="1:19" x14ac:dyDescent="0.25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e">
        <f>VLOOKUP(F3251,'Customer Info'!A3243:I3742,2,0)</f>
        <v>#N/A</v>
      </c>
      <c r="H3251" s="6" t="e">
        <f>VLOOKUP(F3251,'Customer Info'!A3243:I3742,3,0)</f>
        <v>#N/A</v>
      </c>
      <c r="I3251" s="6" t="e">
        <f>VLOOKUP(F3251,'Customer Info'!A3243:I3742,5,0)</f>
        <v>#N/A</v>
      </c>
      <c r="J3251" s="2">
        <v>825</v>
      </c>
      <c r="K3251" s="2">
        <v>793</v>
      </c>
      <c r="L3251" s="2">
        <v>2</v>
      </c>
      <c r="M3251" s="7">
        <f t="shared" si="200"/>
        <v>1586</v>
      </c>
      <c r="N3251" s="7">
        <f t="shared" si="201"/>
        <v>1650</v>
      </c>
      <c r="O3251" s="2">
        <v>30</v>
      </c>
      <c r="P3251" s="8">
        <f t="shared" si="202"/>
        <v>1680</v>
      </c>
      <c r="Q3251" s="8">
        <f t="shared" si="203"/>
        <v>1620</v>
      </c>
      <c r="R3251" s="2" t="s">
        <v>50</v>
      </c>
      <c r="S3251" s="9">
        <f>VLOOKUP(P3251,$T$2:U3248,2,1)</f>
        <v>0.02</v>
      </c>
    </row>
    <row r="3252" spans="1:19" x14ac:dyDescent="0.25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e">
        <f>VLOOKUP(F3252,'Customer Info'!A3244:I3743,2,0)</f>
        <v>#N/A</v>
      </c>
      <c r="H3252" s="6" t="e">
        <f>VLOOKUP(F3252,'Customer Info'!A3244:I3743,3,0)</f>
        <v>#N/A</v>
      </c>
      <c r="I3252" s="6" t="e">
        <f>VLOOKUP(F3252,'Customer Info'!A3244:I3743,5,0)</f>
        <v>#N/A</v>
      </c>
      <c r="J3252" s="2">
        <v>7960</v>
      </c>
      <c r="K3252" s="2">
        <v>7375</v>
      </c>
      <c r="L3252" s="2">
        <v>5</v>
      </c>
      <c r="M3252" s="7">
        <f t="shared" si="200"/>
        <v>36875</v>
      </c>
      <c r="N3252" s="7">
        <f t="shared" si="201"/>
        <v>39800</v>
      </c>
      <c r="O3252" s="2">
        <v>71</v>
      </c>
      <c r="P3252" s="8">
        <f t="shared" si="202"/>
        <v>39871</v>
      </c>
      <c r="Q3252" s="8">
        <f t="shared" si="203"/>
        <v>39729</v>
      </c>
      <c r="R3252" s="2" t="s">
        <v>56</v>
      </c>
      <c r="S3252" s="9">
        <f>VLOOKUP(P3252,$T$2:U3249,2,1)</f>
        <v>7.0000000000000007E-2</v>
      </c>
    </row>
    <row r="3253" spans="1:19" x14ac:dyDescent="0.25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e">
        <f>VLOOKUP(F3253,'Customer Info'!A3245:I3744,2,0)</f>
        <v>#N/A</v>
      </c>
      <c r="H3253" s="6" t="e">
        <f>VLOOKUP(F3253,'Customer Info'!A3245:I3744,3,0)</f>
        <v>#N/A</v>
      </c>
      <c r="I3253" s="6" t="e">
        <f>VLOOKUP(F3253,'Customer Info'!A3245:I3744,5,0)</f>
        <v>#N/A</v>
      </c>
      <c r="J3253" s="2">
        <v>8738</v>
      </c>
      <c r="K3253" s="2">
        <v>8162</v>
      </c>
      <c r="L3253" s="2">
        <v>3</v>
      </c>
      <c r="M3253" s="7">
        <f t="shared" si="200"/>
        <v>24486</v>
      </c>
      <c r="N3253" s="7">
        <f t="shared" si="201"/>
        <v>26214</v>
      </c>
      <c r="O3253" s="2">
        <v>76</v>
      </c>
      <c r="P3253" s="8">
        <f t="shared" si="202"/>
        <v>26290</v>
      </c>
      <c r="Q3253" s="8">
        <f t="shared" si="203"/>
        <v>26138</v>
      </c>
      <c r="R3253" s="2" t="s">
        <v>50</v>
      </c>
      <c r="S3253" s="9">
        <f>VLOOKUP(P3253,$T$2:U3250,2,1)</f>
        <v>7.0000000000000007E-2</v>
      </c>
    </row>
    <row r="3254" spans="1:19" x14ac:dyDescent="0.25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e">
        <f>VLOOKUP(F3254,'Customer Info'!A3246:I3745,2,0)</f>
        <v>#N/A</v>
      </c>
      <c r="H3254" s="6" t="e">
        <f>VLOOKUP(F3254,'Customer Info'!A3246:I3745,3,0)</f>
        <v>#N/A</v>
      </c>
      <c r="I3254" s="6" t="e">
        <f>VLOOKUP(F3254,'Customer Info'!A3246:I3745,5,0)</f>
        <v>#N/A</v>
      </c>
      <c r="J3254" s="2">
        <v>789</v>
      </c>
      <c r="K3254" s="2">
        <v>739</v>
      </c>
      <c r="L3254" s="2">
        <v>3</v>
      </c>
      <c r="M3254" s="7">
        <f t="shared" si="200"/>
        <v>2217</v>
      </c>
      <c r="N3254" s="7">
        <f t="shared" si="201"/>
        <v>2367</v>
      </c>
      <c r="O3254" s="2">
        <v>60</v>
      </c>
      <c r="P3254" s="8">
        <f t="shared" si="202"/>
        <v>2427</v>
      </c>
      <c r="Q3254" s="8">
        <f t="shared" si="203"/>
        <v>2307</v>
      </c>
      <c r="R3254" s="2" t="s">
        <v>56</v>
      </c>
      <c r="S3254" s="9">
        <f>VLOOKUP(P3254,$T$2:U3251,2,1)</f>
        <v>0.02</v>
      </c>
    </row>
    <row r="3255" spans="1:19" x14ac:dyDescent="0.25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e">
        <f>VLOOKUP(F3255,'Customer Info'!A3247:I3746,2,0)</f>
        <v>#N/A</v>
      </c>
      <c r="H3255" s="6" t="e">
        <f>VLOOKUP(F3255,'Customer Info'!A3247:I3746,3,0)</f>
        <v>#N/A</v>
      </c>
      <c r="I3255" s="6" t="e">
        <f>VLOOKUP(F3255,'Customer Info'!A3247:I3746,5,0)</f>
        <v>#N/A</v>
      </c>
      <c r="J3255" s="2">
        <v>681</v>
      </c>
      <c r="K3255" s="2">
        <v>642</v>
      </c>
      <c r="L3255" s="2">
        <v>7</v>
      </c>
      <c r="M3255" s="7">
        <f t="shared" si="200"/>
        <v>4494</v>
      </c>
      <c r="N3255" s="7">
        <f t="shared" si="201"/>
        <v>4767</v>
      </c>
      <c r="O3255" s="2">
        <v>27</v>
      </c>
      <c r="P3255" s="8">
        <f t="shared" si="202"/>
        <v>4794</v>
      </c>
      <c r="Q3255" s="8">
        <f t="shared" si="203"/>
        <v>4740</v>
      </c>
      <c r="R3255" s="2" t="s">
        <v>28</v>
      </c>
      <c r="S3255" s="9">
        <f>VLOOKUP(P3255,$T$2:U3252,2,1)</f>
        <v>0.02</v>
      </c>
    </row>
    <row r="3256" spans="1:19" x14ac:dyDescent="0.25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e">
        <f>VLOOKUP(F3256,'Customer Info'!A3248:I3747,2,0)</f>
        <v>#N/A</v>
      </c>
      <c r="H3256" s="6" t="e">
        <f>VLOOKUP(F3256,'Customer Info'!A3248:I3747,3,0)</f>
        <v>#N/A</v>
      </c>
      <c r="I3256" s="6" t="e">
        <f>VLOOKUP(F3256,'Customer Info'!A3248:I3747,5,0)</f>
        <v>#N/A</v>
      </c>
      <c r="J3256" s="2">
        <v>923</v>
      </c>
      <c r="K3256" s="2">
        <v>879</v>
      </c>
      <c r="L3256" s="2">
        <v>6</v>
      </c>
      <c r="M3256" s="7">
        <f t="shared" si="200"/>
        <v>5274</v>
      </c>
      <c r="N3256" s="7">
        <f t="shared" si="201"/>
        <v>5538</v>
      </c>
      <c r="O3256" s="2">
        <v>80</v>
      </c>
      <c r="P3256" s="8">
        <f t="shared" si="202"/>
        <v>5618</v>
      </c>
      <c r="Q3256" s="8">
        <f t="shared" si="203"/>
        <v>5458</v>
      </c>
      <c r="R3256" s="2" t="s">
        <v>50</v>
      </c>
      <c r="S3256" s="9">
        <f>VLOOKUP(P3256,$T$2:U3253,2,1)</f>
        <v>0.05</v>
      </c>
    </row>
    <row r="3257" spans="1:19" x14ac:dyDescent="0.25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e">
        <f>VLOOKUP(F3257,'Customer Info'!A3249:I3748,2,0)</f>
        <v>#N/A</v>
      </c>
      <c r="H3257" s="6" t="e">
        <f>VLOOKUP(F3257,'Customer Info'!A3249:I3748,3,0)</f>
        <v>#N/A</v>
      </c>
      <c r="I3257" s="6" t="e">
        <f>VLOOKUP(F3257,'Customer Info'!A3249:I3748,5,0)</f>
        <v>#N/A</v>
      </c>
      <c r="J3257" s="2">
        <v>1704</v>
      </c>
      <c r="K3257" s="2">
        <v>1624</v>
      </c>
      <c r="L3257" s="2">
        <v>9</v>
      </c>
      <c r="M3257" s="7">
        <f t="shared" si="200"/>
        <v>14616</v>
      </c>
      <c r="N3257" s="7">
        <f t="shared" si="201"/>
        <v>15336</v>
      </c>
      <c r="O3257" s="2">
        <v>57</v>
      </c>
      <c r="P3257" s="8">
        <f t="shared" si="202"/>
        <v>15393</v>
      </c>
      <c r="Q3257" s="8">
        <f t="shared" si="203"/>
        <v>15279</v>
      </c>
      <c r="R3257" s="2" t="s">
        <v>50</v>
      </c>
      <c r="S3257" s="9">
        <f>VLOOKUP(P3257,$T$2:U3254,2,1)</f>
        <v>0.05</v>
      </c>
    </row>
    <row r="3258" spans="1:19" x14ac:dyDescent="0.25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e">
        <f>VLOOKUP(F3258,'Customer Info'!A3250:I3749,2,0)</f>
        <v>#N/A</v>
      </c>
      <c r="H3258" s="6" t="e">
        <f>VLOOKUP(F3258,'Customer Info'!A3250:I3749,3,0)</f>
        <v>#N/A</v>
      </c>
      <c r="I3258" s="6" t="e">
        <f>VLOOKUP(F3258,'Customer Info'!A3250:I3749,5,0)</f>
        <v>#N/A</v>
      </c>
      <c r="J3258" s="2">
        <v>825</v>
      </c>
      <c r="K3258" s="2">
        <v>793</v>
      </c>
      <c r="L3258" s="2">
        <v>10</v>
      </c>
      <c r="M3258" s="7">
        <f t="shared" si="200"/>
        <v>7930</v>
      </c>
      <c r="N3258" s="7">
        <f t="shared" si="201"/>
        <v>8250</v>
      </c>
      <c r="O3258" s="2">
        <v>42</v>
      </c>
      <c r="P3258" s="8">
        <f t="shared" si="202"/>
        <v>8292</v>
      </c>
      <c r="Q3258" s="8">
        <f t="shared" si="203"/>
        <v>8208</v>
      </c>
      <c r="R3258" s="2" t="s">
        <v>28</v>
      </c>
      <c r="S3258" s="9">
        <f>VLOOKUP(P3258,$T$2:U3255,2,1)</f>
        <v>0.05</v>
      </c>
    </row>
    <row r="3259" spans="1:19" x14ac:dyDescent="0.25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e">
        <f>VLOOKUP(F3259,'Customer Info'!A3251:I3750,2,0)</f>
        <v>#N/A</v>
      </c>
      <c r="H3259" s="6" t="e">
        <f>VLOOKUP(F3259,'Customer Info'!A3251:I3750,3,0)</f>
        <v>#N/A</v>
      </c>
      <c r="I3259" s="6" t="e">
        <f>VLOOKUP(F3259,'Customer Info'!A3251:I3750,5,0)</f>
        <v>#N/A</v>
      </c>
      <c r="J3259" s="2">
        <v>142</v>
      </c>
      <c r="K3259" s="2">
        <v>134</v>
      </c>
      <c r="L3259" s="2">
        <v>2</v>
      </c>
      <c r="M3259" s="7">
        <f t="shared" si="200"/>
        <v>268</v>
      </c>
      <c r="N3259" s="7">
        <f t="shared" si="201"/>
        <v>284</v>
      </c>
      <c r="O3259" s="2">
        <v>30</v>
      </c>
      <c r="P3259" s="8">
        <f t="shared" si="202"/>
        <v>314</v>
      </c>
      <c r="Q3259" s="8">
        <f t="shared" si="203"/>
        <v>254</v>
      </c>
      <c r="R3259" s="2" t="s">
        <v>50</v>
      </c>
      <c r="S3259" s="9">
        <f>VLOOKUP(P3259,$T$2:U3256,2,1)</f>
        <v>0.02</v>
      </c>
    </row>
    <row r="3260" spans="1:19" x14ac:dyDescent="0.25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e">
        <f>VLOOKUP(F3260,'Customer Info'!A3252:I3751,2,0)</f>
        <v>#N/A</v>
      </c>
      <c r="H3260" s="6" t="e">
        <f>VLOOKUP(F3260,'Customer Info'!A3252:I3751,3,0)</f>
        <v>#N/A</v>
      </c>
      <c r="I3260" s="6" t="e">
        <f>VLOOKUP(F3260,'Customer Info'!A3252:I3751,5,0)</f>
        <v>#N/A</v>
      </c>
      <c r="J3260" s="2">
        <v>96</v>
      </c>
      <c r="K3260" s="2">
        <v>87</v>
      </c>
      <c r="L3260" s="2">
        <v>2</v>
      </c>
      <c r="M3260" s="7">
        <f t="shared" si="200"/>
        <v>174</v>
      </c>
      <c r="N3260" s="7">
        <f t="shared" si="201"/>
        <v>192</v>
      </c>
      <c r="O3260" s="2">
        <v>10</v>
      </c>
      <c r="P3260" s="8">
        <f t="shared" si="202"/>
        <v>202</v>
      </c>
      <c r="Q3260" s="8">
        <f t="shared" si="203"/>
        <v>182</v>
      </c>
      <c r="R3260" s="2" t="s">
        <v>50</v>
      </c>
      <c r="S3260" s="9">
        <f>VLOOKUP(P3260,$T$2:U3257,2,1)</f>
        <v>0.02</v>
      </c>
    </row>
    <row r="3261" spans="1:19" x14ac:dyDescent="0.25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e">
        <f>VLOOKUP(F3261,'Customer Info'!A3253:I3752,2,0)</f>
        <v>#N/A</v>
      </c>
      <c r="H3261" s="6" t="e">
        <f>VLOOKUP(F3261,'Customer Info'!A3253:I3752,3,0)</f>
        <v>#N/A</v>
      </c>
      <c r="I3261" s="6" t="e">
        <f>VLOOKUP(F3261,'Customer Info'!A3253:I3752,5,0)</f>
        <v>#N/A</v>
      </c>
      <c r="J3261" s="2">
        <v>2442</v>
      </c>
      <c r="K3261" s="2">
        <v>2304</v>
      </c>
      <c r="L3261" s="2">
        <v>1</v>
      </c>
      <c r="M3261" s="7">
        <f t="shared" si="200"/>
        <v>2304</v>
      </c>
      <c r="N3261" s="7">
        <f t="shared" si="201"/>
        <v>2442</v>
      </c>
      <c r="O3261" s="2">
        <v>57</v>
      </c>
      <c r="P3261" s="8">
        <f t="shared" si="202"/>
        <v>2499</v>
      </c>
      <c r="Q3261" s="8">
        <f t="shared" si="203"/>
        <v>2385</v>
      </c>
      <c r="R3261" s="2" t="s">
        <v>28</v>
      </c>
      <c r="S3261" s="9">
        <f>VLOOKUP(P3261,$T$2:U3258,2,1)</f>
        <v>0.02</v>
      </c>
    </row>
    <row r="3262" spans="1:19" x14ac:dyDescent="0.25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e">
        <f>VLOOKUP(F3262,'Customer Info'!A3254:I3753,2,0)</f>
        <v>#N/A</v>
      </c>
      <c r="H3262" s="6" t="e">
        <f>VLOOKUP(F3262,'Customer Info'!A3254:I3753,3,0)</f>
        <v>#N/A</v>
      </c>
      <c r="I3262" s="6" t="e">
        <f>VLOOKUP(F3262,'Customer Info'!A3254:I3753,5,0)</f>
        <v>#N/A</v>
      </c>
      <c r="J3262" s="2">
        <v>1798</v>
      </c>
      <c r="K3262" s="2">
        <v>1666</v>
      </c>
      <c r="L3262" s="2">
        <v>2</v>
      </c>
      <c r="M3262" s="7">
        <f t="shared" si="200"/>
        <v>3332</v>
      </c>
      <c r="N3262" s="7">
        <f t="shared" si="201"/>
        <v>3596</v>
      </c>
      <c r="O3262" s="2">
        <v>54</v>
      </c>
      <c r="P3262" s="8">
        <f t="shared" si="202"/>
        <v>3650</v>
      </c>
      <c r="Q3262" s="8">
        <f t="shared" si="203"/>
        <v>3542</v>
      </c>
      <c r="R3262" s="2" t="s">
        <v>28</v>
      </c>
      <c r="S3262" s="9">
        <f>VLOOKUP(P3262,$T$2:U3259,2,1)</f>
        <v>0.02</v>
      </c>
    </row>
    <row r="3263" spans="1:19" x14ac:dyDescent="0.25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e">
        <f>VLOOKUP(F3263,'Customer Info'!A3255:I3754,2,0)</f>
        <v>#N/A</v>
      </c>
      <c r="H3263" s="6" t="e">
        <f>VLOOKUP(F3263,'Customer Info'!A3255:I3754,3,0)</f>
        <v>#N/A</v>
      </c>
      <c r="I3263" s="6" t="e">
        <f>VLOOKUP(F3263,'Customer Info'!A3255:I3754,5,0)</f>
        <v>#N/A</v>
      </c>
      <c r="J3263" s="2">
        <v>1808</v>
      </c>
      <c r="K3263" s="2">
        <v>1740</v>
      </c>
      <c r="L3263" s="2">
        <v>4</v>
      </c>
      <c r="M3263" s="7">
        <f t="shared" si="200"/>
        <v>6960</v>
      </c>
      <c r="N3263" s="7">
        <f t="shared" si="201"/>
        <v>7232</v>
      </c>
      <c r="O3263" s="2">
        <v>85</v>
      </c>
      <c r="P3263" s="8">
        <f t="shared" si="202"/>
        <v>7317</v>
      </c>
      <c r="Q3263" s="8">
        <f t="shared" si="203"/>
        <v>7147</v>
      </c>
      <c r="R3263" s="2" t="s">
        <v>50</v>
      </c>
      <c r="S3263" s="9">
        <f>VLOOKUP(P3263,$T$2:U3260,2,1)</f>
        <v>0.05</v>
      </c>
    </row>
    <row r="3264" spans="1:19" x14ac:dyDescent="0.25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e">
        <f>VLOOKUP(F3264,'Customer Info'!A3256:I3755,2,0)</f>
        <v>#N/A</v>
      </c>
      <c r="H3264" s="6" t="e">
        <f>VLOOKUP(F3264,'Customer Info'!A3256:I3755,3,0)</f>
        <v>#N/A</v>
      </c>
      <c r="I3264" s="6" t="e">
        <f>VLOOKUP(F3264,'Customer Info'!A3256:I3755,5,0)</f>
        <v>#N/A</v>
      </c>
      <c r="J3264" s="2">
        <v>835</v>
      </c>
      <c r="K3264" s="2">
        <v>796</v>
      </c>
      <c r="L3264" s="2">
        <v>5</v>
      </c>
      <c r="M3264" s="7">
        <f t="shared" si="200"/>
        <v>3980</v>
      </c>
      <c r="N3264" s="7">
        <f t="shared" si="201"/>
        <v>4175</v>
      </c>
      <c r="O3264" s="2">
        <v>85</v>
      </c>
      <c r="P3264" s="8">
        <f t="shared" si="202"/>
        <v>4260</v>
      </c>
      <c r="Q3264" s="8">
        <f t="shared" si="203"/>
        <v>4090</v>
      </c>
      <c r="R3264" s="2" t="s">
        <v>56</v>
      </c>
      <c r="S3264" s="9">
        <f>VLOOKUP(P3264,$T$2:U3261,2,1)</f>
        <v>0.02</v>
      </c>
    </row>
    <row r="3265" spans="1:19" x14ac:dyDescent="0.25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e">
        <f>VLOOKUP(F3265,'Customer Info'!A3257:I3756,2,0)</f>
        <v>#N/A</v>
      </c>
      <c r="H3265" s="6" t="e">
        <f>VLOOKUP(F3265,'Customer Info'!A3257:I3756,3,0)</f>
        <v>#N/A</v>
      </c>
      <c r="I3265" s="6" t="e">
        <f>VLOOKUP(F3265,'Customer Info'!A3257:I3756,5,0)</f>
        <v>#N/A</v>
      </c>
      <c r="J3265" s="2">
        <v>96</v>
      </c>
      <c r="K3265" s="2">
        <v>87</v>
      </c>
      <c r="L3265" s="2">
        <v>12</v>
      </c>
      <c r="M3265" s="7">
        <f t="shared" si="200"/>
        <v>1044</v>
      </c>
      <c r="N3265" s="7">
        <f t="shared" si="201"/>
        <v>1152</v>
      </c>
      <c r="O3265" s="2">
        <v>10</v>
      </c>
      <c r="P3265" s="8">
        <f t="shared" si="202"/>
        <v>1162</v>
      </c>
      <c r="Q3265" s="8">
        <f t="shared" si="203"/>
        <v>1142</v>
      </c>
      <c r="R3265" s="2" t="s">
        <v>28</v>
      </c>
      <c r="S3265" s="9">
        <f>VLOOKUP(P3265,$T$2:U3262,2,1)</f>
        <v>0.02</v>
      </c>
    </row>
    <row r="3266" spans="1:19" x14ac:dyDescent="0.25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e">
        <f>VLOOKUP(F3266,'Customer Info'!A3258:I3757,2,0)</f>
        <v>#N/A</v>
      </c>
      <c r="H3266" s="6" t="e">
        <f>VLOOKUP(F3266,'Customer Info'!A3258:I3757,3,0)</f>
        <v>#N/A</v>
      </c>
      <c r="I3266" s="6" t="e">
        <f>VLOOKUP(F3266,'Customer Info'!A3258:I3757,5,0)</f>
        <v>#N/A</v>
      </c>
      <c r="J3266" s="2">
        <v>5836</v>
      </c>
      <c r="K3266" s="2">
        <v>5457</v>
      </c>
      <c r="L3266" s="2">
        <v>13</v>
      </c>
      <c r="M3266" s="7">
        <f t="shared" si="200"/>
        <v>70941</v>
      </c>
      <c r="N3266" s="7">
        <f t="shared" si="201"/>
        <v>75868</v>
      </c>
      <c r="O3266" s="2">
        <v>35</v>
      </c>
      <c r="P3266" s="8">
        <f t="shared" si="202"/>
        <v>75903</v>
      </c>
      <c r="Q3266" s="8">
        <f t="shared" si="203"/>
        <v>75833</v>
      </c>
      <c r="R3266" s="2" t="s">
        <v>28</v>
      </c>
      <c r="S3266" s="9">
        <f>VLOOKUP(P3266,$T$2:U3263,2,1)</f>
        <v>0.09</v>
      </c>
    </row>
    <row r="3267" spans="1:19" x14ac:dyDescent="0.25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e">
        <f>VLOOKUP(F3267,'Customer Info'!A3259:I3758,2,0)</f>
        <v>#N/A</v>
      </c>
      <c r="H3267" s="6" t="e">
        <f>VLOOKUP(F3267,'Customer Info'!A3259:I3758,3,0)</f>
        <v>#N/A</v>
      </c>
      <c r="I3267" s="6" t="e">
        <f>VLOOKUP(F3267,'Customer Info'!A3259:I3758,5,0)</f>
        <v>#N/A</v>
      </c>
      <c r="J3267" s="2">
        <v>4784</v>
      </c>
      <c r="K3267" s="2">
        <v>4518</v>
      </c>
      <c r="L3267" s="2">
        <v>2</v>
      </c>
      <c r="M3267" s="7">
        <f t="shared" si="200"/>
        <v>9036</v>
      </c>
      <c r="N3267" s="7">
        <f t="shared" si="201"/>
        <v>9568</v>
      </c>
      <c r="O3267" s="2">
        <v>88</v>
      </c>
      <c r="P3267" s="8">
        <f t="shared" si="202"/>
        <v>9656</v>
      </c>
      <c r="Q3267" s="8">
        <f t="shared" si="203"/>
        <v>9480</v>
      </c>
      <c r="R3267" s="2" t="s">
        <v>50</v>
      </c>
      <c r="S3267" s="9">
        <f>VLOOKUP(P3267,$T$2:U3264,2,1)</f>
        <v>0.05</v>
      </c>
    </row>
    <row r="3268" spans="1:19" x14ac:dyDescent="0.25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e">
        <f>VLOOKUP(F3268,'Customer Info'!A3260:I3759,2,0)</f>
        <v>#N/A</v>
      </c>
      <c r="H3268" s="6" t="e">
        <f>VLOOKUP(F3268,'Customer Info'!A3260:I3759,3,0)</f>
        <v>#N/A</v>
      </c>
      <c r="I3268" s="6" t="e">
        <f>VLOOKUP(F3268,'Customer Info'!A3260:I3759,5,0)</f>
        <v>#N/A</v>
      </c>
      <c r="J3268" s="2">
        <v>7212</v>
      </c>
      <c r="K3268" s="2">
        <v>6737</v>
      </c>
      <c r="L3268" s="2">
        <v>5</v>
      </c>
      <c r="M3268" s="7">
        <f t="shared" si="200"/>
        <v>33685</v>
      </c>
      <c r="N3268" s="7">
        <f t="shared" si="201"/>
        <v>36060</v>
      </c>
      <c r="O3268" s="2">
        <v>96</v>
      </c>
      <c r="P3268" s="8">
        <f t="shared" si="202"/>
        <v>36156</v>
      </c>
      <c r="Q3268" s="8">
        <f t="shared" si="203"/>
        <v>35964</v>
      </c>
      <c r="R3268" s="2" t="s">
        <v>50</v>
      </c>
      <c r="S3268" s="9">
        <f>VLOOKUP(P3268,$T$2:U3265,2,1)</f>
        <v>7.0000000000000007E-2</v>
      </c>
    </row>
    <row r="3269" spans="1:19" x14ac:dyDescent="0.25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e">
        <f>VLOOKUP(F3269,'Customer Info'!A3261:I3760,2,0)</f>
        <v>#N/A</v>
      </c>
      <c r="H3269" s="6" t="e">
        <f>VLOOKUP(F3269,'Customer Info'!A3261:I3760,3,0)</f>
        <v>#N/A</v>
      </c>
      <c r="I3269" s="6" t="e">
        <f>VLOOKUP(F3269,'Customer Info'!A3261:I3760,5,0)</f>
        <v>#N/A</v>
      </c>
      <c r="J3269" s="2">
        <v>505</v>
      </c>
      <c r="K3269" s="2">
        <v>463</v>
      </c>
      <c r="L3269" s="2">
        <v>2</v>
      </c>
      <c r="M3269" s="7">
        <f t="shared" si="200"/>
        <v>926</v>
      </c>
      <c r="N3269" s="7">
        <f t="shared" si="201"/>
        <v>1010</v>
      </c>
      <c r="O3269" s="2">
        <v>24</v>
      </c>
      <c r="P3269" s="8">
        <f t="shared" si="202"/>
        <v>1034</v>
      </c>
      <c r="Q3269" s="8">
        <f t="shared" si="203"/>
        <v>986</v>
      </c>
      <c r="R3269" s="2" t="s">
        <v>28</v>
      </c>
      <c r="S3269" s="9">
        <f>VLOOKUP(P3269,$T$2:U3266,2,1)</f>
        <v>0.02</v>
      </c>
    </row>
    <row r="3270" spans="1:19" x14ac:dyDescent="0.25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e">
        <f>VLOOKUP(F3270,'Customer Info'!A3262:I3761,2,0)</f>
        <v>#N/A</v>
      </c>
      <c r="H3270" s="6" t="e">
        <f>VLOOKUP(F3270,'Customer Info'!A3262:I3761,3,0)</f>
        <v>#N/A</v>
      </c>
      <c r="I3270" s="6" t="e">
        <f>VLOOKUP(F3270,'Customer Info'!A3262:I3761,5,0)</f>
        <v>#N/A</v>
      </c>
      <c r="J3270" s="2">
        <v>7065</v>
      </c>
      <c r="K3270" s="2">
        <v>6545</v>
      </c>
      <c r="L3270" s="2">
        <v>3</v>
      </c>
      <c r="M3270" s="7">
        <f t="shared" si="200"/>
        <v>19635</v>
      </c>
      <c r="N3270" s="7">
        <f t="shared" si="201"/>
        <v>21195</v>
      </c>
      <c r="O3270" s="2">
        <v>61</v>
      </c>
      <c r="P3270" s="8">
        <f t="shared" si="202"/>
        <v>21256</v>
      </c>
      <c r="Q3270" s="8">
        <f t="shared" si="203"/>
        <v>21134</v>
      </c>
      <c r="R3270" s="2" t="s">
        <v>28</v>
      </c>
      <c r="S3270" s="9">
        <f>VLOOKUP(P3270,$T$2:U3267,2,1)</f>
        <v>0.05</v>
      </c>
    </row>
    <row r="3271" spans="1:19" x14ac:dyDescent="0.25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e">
        <f>VLOOKUP(F3271,'Customer Info'!A3263:I3762,2,0)</f>
        <v>#N/A</v>
      </c>
      <c r="H3271" s="6" t="e">
        <f>VLOOKUP(F3271,'Customer Info'!A3263:I3762,3,0)</f>
        <v>#N/A</v>
      </c>
      <c r="I3271" s="6" t="e">
        <f>VLOOKUP(F3271,'Customer Info'!A3263:I3762,5,0)</f>
        <v>#N/A</v>
      </c>
      <c r="J3271" s="2">
        <v>2042</v>
      </c>
      <c r="K3271" s="2">
        <v>1965</v>
      </c>
      <c r="L3271" s="2">
        <v>2</v>
      </c>
      <c r="M3271" s="7">
        <f t="shared" si="200"/>
        <v>3930</v>
      </c>
      <c r="N3271" s="7">
        <f t="shared" si="201"/>
        <v>4084</v>
      </c>
      <c r="O3271" s="2">
        <v>30</v>
      </c>
      <c r="P3271" s="8">
        <f t="shared" si="202"/>
        <v>4114</v>
      </c>
      <c r="Q3271" s="8">
        <f t="shared" si="203"/>
        <v>4054</v>
      </c>
      <c r="R3271" s="2" t="s">
        <v>50</v>
      </c>
      <c r="S3271" s="9">
        <f>VLOOKUP(P3271,$T$2:U3268,2,1)</f>
        <v>0.02</v>
      </c>
    </row>
    <row r="3272" spans="1:19" x14ac:dyDescent="0.25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e">
        <f>VLOOKUP(F3272,'Customer Info'!A3264:I3763,2,0)</f>
        <v>#N/A</v>
      </c>
      <c r="H3272" s="6" t="e">
        <f>VLOOKUP(F3272,'Customer Info'!A3264:I3763,3,0)</f>
        <v>#N/A</v>
      </c>
      <c r="I3272" s="6" t="e">
        <f>VLOOKUP(F3272,'Customer Info'!A3264:I3763,5,0)</f>
        <v>#N/A</v>
      </c>
      <c r="J3272" s="2">
        <v>851</v>
      </c>
      <c r="K3272" s="2">
        <v>773</v>
      </c>
      <c r="L3272" s="2">
        <v>3</v>
      </c>
      <c r="M3272" s="7">
        <f t="shared" si="200"/>
        <v>2319</v>
      </c>
      <c r="N3272" s="7">
        <f t="shared" si="201"/>
        <v>2553</v>
      </c>
      <c r="O3272" s="2">
        <v>42</v>
      </c>
      <c r="P3272" s="8">
        <f t="shared" si="202"/>
        <v>2595</v>
      </c>
      <c r="Q3272" s="8">
        <f t="shared" si="203"/>
        <v>2511</v>
      </c>
      <c r="R3272" s="2" t="s">
        <v>28</v>
      </c>
      <c r="S3272" s="9">
        <f>VLOOKUP(P3272,$T$2:U3269,2,1)</f>
        <v>0.02</v>
      </c>
    </row>
    <row r="3273" spans="1:19" x14ac:dyDescent="0.25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e">
        <f>VLOOKUP(F3273,'Customer Info'!A3265:I3764,2,0)</f>
        <v>#N/A</v>
      </c>
      <c r="H3273" s="6" t="e">
        <f>VLOOKUP(F3273,'Customer Info'!A3265:I3764,3,0)</f>
        <v>#N/A</v>
      </c>
      <c r="I3273" s="6" t="e">
        <f>VLOOKUP(F3273,'Customer Info'!A3265:I3764,5,0)</f>
        <v>#N/A</v>
      </c>
      <c r="J3273" s="2">
        <v>131</v>
      </c>
      <c r="K3273" s="2">
        <v>124</v>
      </c>
      <c r="L3273" s="2">
        <v>1</v>
      </c>
      <c r="M3273" s="7">
        <f t="shared" si="200"/>
        <v>124</v>
      </c>
      <c r="N3273" s="7">
        <f t="shared" si="201"/>
        <v>131</v>
      </c>
      <c r="O3273" s="2">
        <v>30</v>
      </c>
      <c r="P3273" s="8">
        <f t="shared" si="202"/>
        <v>161</v>
      </c>
      <c r="Q3273" s="8">
        <f t="shared" si="203"/>
        <v>101</v>
      </c>
      <c r="R3273" s="2" t="s">
        <v>28</v>
      </c>
      <c r="S3273" s="9">
        <f>VLOOKUP(P3273,$T$2:U3270,2,1)</f>
        <v>0.02</v>
      </c>
    </row>
    <row r="3274" spans="1:19" x14ac:dyDescent="0.25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e">
        <f>VLOOKUP(F3274,'Customer Info'!A3266:I3765,2,0)</f>
        <v>#N/A</v>
      </c>
      <c r="H3274" s="6" t="e">
        <f>VLOOKUP(F3274,'Customer Info'!A3266:I3765,3,0)</f>
        <v>#N/A</v>
      </c>
      <c r="I3274" s="6" t="e">
        <f>VLOOKUP(F3274,'Customer Info'!A3266:I3765,5,0)</f>
        <v>#N/A</v>
      </c>
      <c r="J3274" s="2">
        <v>9135</v>
      </c>
      <c r="K3274" s="2">
        <v>8143</v>
      </c>
      <c r="L3274" s="2">
        <v>4</v>
      </c>
      <c r="M3274" s="7">
        <f t="shared" si="200"/>
        <v>32572</v>
      </c>
      <c r="N3274" s="7">
        <f t="shared" si="201"/>
        <v>36540</v>
      </c>
      <c r="O3274" s="2">
        <v>73</v>
      </c>
      <c r="P3274" s="8">
        <f t="shared" si="202"/>
        <v>36613</v>
      </c>
      <c r="Q3274" s="8">
        <f t="shared" si="203"/>
        <v>36467</v>
      </c>
      <c r="R3274" s="2" t="s">
        <v>50</v>
      </c>
      <c r="S3274" s="9">
        <f>VLOOKUP(P3274,$T$2:U3271,2,1)</f>
        <v>7.0000000000000007E-2</v>
      </c>
    </row>
    <row r="3275" spans="1:19" x14ac:dyDescent="0.25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e">
        <f>VLOOKUP(F3275,'Customer Info'!A3267:I3766,2,0)</f>
        <v>#N/A</v>
      </c>
      <c r="H3275" s="6" t="e">
        <f>VLOOKUP(F3275,'Customer Info'!A3267:I3766,3,0)</f>
        <v>#N/A</v>
      </c>
      <c r="I3275" s="6" t="e">
        <f>VLOOKUP(F3275,'Customer Info'!A3267:I3766,5,0)</f>
        <v>#N/A</v>
      </c>
      <c r="J3275" s="2">
        <v>3256</v>
      </c>
      <c r="K3275" s="2">
        <v>3044</v>
      </c>
      <c r="L3275" s="2">
        <v>4</v>
      </c>
      <c r="M3275" s="7">
        <f t="shared" ref="M3275:M3338" si="204">K3275*L3275</f>
        <v>12176</v>
      </c>
      <c r="N3275" s="7">
        <f t="shared" ref="N3275:N3338" si="205">J3275*L3275</f>
        <v>13024</v>
      </c>
      <c r="O3275" s="2">
        <v>31</v>
      </c>
      <c r="P3275" s="8">
        <f t="shared" ref="P3275:P3338" si="206">SUM(N3275,O3275)</f>
        <v>13055</v>
      </c>
      <c r="Q3275" s="8">
        <f t="shared" ref="Q3275:Q3338" si="207">N3275-O3275</f>
        <v>12993</v>
      </c>
      <c r="R3275" s="2" t="s">
        <v>28</v>
      </c>
      <c r="S3275" s="9">
        <f>VLOOKUP(P3275,$T$2:U3272,2,1)</f>
        <v>0.05</v>
      </c>
    </row>
    <row r="3276" spans="1:19" x14ac:dyDescent="0.25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e">
        <f>VLOOKUP(F3276,'Customer Info'!A3268:I3767,2,0)</f>
        <v>#N/A</v>
      </c>
      <c r="H3276" s="6" t="e">
        <f>VLOOKUP(F3276,'Customer Info'!A3268:I3767,3,0)</f>
        <v>#N/A</v>
      </c>
      <c r="I3276" s="6" t="e">
        <f>VLOOKUP(F3276,'Customer Info'!A3268:I3767,5,0)</f>
        <v>#N/A</v>
      </c>
      <c r="J3276" s="2">
        <v>2273</v>
      </c>
      <c r="K3276" s="2">
        <v>2229</v>
      </c>
      <c r="L3276" s="2">
        <v>4</v>
      </c>
      <c r="M3276" s="7">
        <f t="shared" si="204"/>
        <v>8916</v>
      </c>
      <c r="N3276" s="7">
        <f t="shared" si="205"/>
        <v>9092</v>
      </c>
      <c r="O3276" s="2">
        <v>95</v>
      </c>
      <c r="P3276" s="8">
        <f t="shared" si="206"/>
        <v>9187</v>
      </c>
      <c r="Q3276" s="8">
        <f t="shared" si="207"/>
        <v>8997</v>
      </c>
      <c r="R3276" s="2" t="s">
        <v>26</v>
      </c>
      <c r="S3276" s="9">
        <f>VLOOKUP(P3276,$T$2:U3273,2,1)</f>
        <v>0.05</v>
      </c>
    </row>
    <row r="3277" spans="1:19" x14ac:dyDescent="0.25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e">
        <f>VLOOKUP(F3277,'Customer Info'!A3269:I3768,2,0)</f>
        <v>#N/A</v>
      </c>
      <c r="H3277" s="6" t="e">
        <f>VLOOKUP(F3277,'Customer Info'!A3269:I3768,3,0)</f>
        <v>#N/A</v>
      </c>
      <c r="I3277" s="6" t="e">
        <f>VLOOKUP(F3277,'Customer Info'!A3269:I3768,5,0)</f>
        <v>#N/A</v>
      </c>
      <c r="J3277" s="2">
        <v>495</v>
      </c>
      <c r="K3277" s="2">
        <v>458</v>
      </c>
      <c r="L3277" s="2">
        <v>5</v>
      </c>
      <c r="M3277" s="7">
        <f t="shared" si="204"/>
        <v>2290</v>
      </c>
      <c r="N3277" s="7">
        <f t="shared" si="205"/>
        <v>2475</v>
      </c>
      <c r="O3277" s="2">
        <v>46</v>
      </c>
      <c r="P3277" s="8">
        <f t="shared" si="206"/>
        <v>2521</v>
      </c>
      <c r="Q3277" s="8">
        <f t="shared" si="207"/>
        <v>2429</v>
      </c>
      <c r="R3277" s="2" t="s">
        <v>50</v>
      </c>
      <c r="S3277" s="9">
        <f>VLOOKUP(P3277,$T$2:U3274,2,1)</f>
        <v>0.02</v>
      </c>
    </row>
    <row r="3278" spans="1:19" x14ac:dyDescent="0.25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e">
        <f>VLOOKUP(F3278,'Customer Info'!A3270:I3769,2,0)</f>
        <v>#N/A</v>
      </c>
      <c r="H3278" s="6" t="e">
        <f>VLOOKUP(F3278,'Customer Info'!A3270:I3769,3,0)</f>
        <v>#N/A</v>
      </c>
      <c r="I3278" s="6" t="e">
        <f>VLOOKUP(F3278,'Customer Info'!A3270:I3769,5,0)</f>
        <v>#N/A</v>
      </c>
      <c r="J3278" s="2">
        <v>887</v>
      </c>
      <c r="K3278" s="2">
        <v>814</v>
      </c>
      <c r="L3278" s="2">
        <v>2</v>
      </c>
      <c r="M3278" s="7">
        <f t="shared" si="204"/>
        <v>1628</v>
      </c>
      <c r="N3278" s="7">
        <f t="shared" si="205"/>
        <v>1774</v>
      </c>
      <c r="O3278" s="2">
        <v>65</v>
      </c>
      <c r="P3278" s="8">
        <f t="shared" si="206"/>
        <v>1839</v>
      </c>
      <c r="Q3278" s="8">
        <f t="shared" si="207"/>
        <v>1709</v>
      </c>
      <c r="R3278" s="2" t="s">
        <v>50</v>
      </c>
      <c r="S3278" s="9">
        <f>VLOOKUP(P3278,$T$2:U3275,2,1)</f>
        <v>0.02</v>
      </c>
    </row>
    <row r="3279" spans="1:19" x14ac:dyDescent="0.25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e">
        <f>VLOOKUP(F3279,'Customer Info'!A3271:I3770,2,0)</f>
        <v>#N/A</v>
      </c>
      <c r="H3279" s="6" t="e">
        <f>VLOOKUP(F3279,'Customer Info'!A3271:I3770,3,0)</f>
        <v>#N/A</v>
      </c>
      <c r="I3279" s="6" t="e">
        <f>VLOOKUP(F3279,'Customer Info'!A3271:I3770,5,0)</f>
        <v>#N/A</v>
      </c>
      <c r="J3279" s="2">
        <v>998</v>
      </c>
      <c r="K3279" s="2">
        <v>931</v>
      </c>
      <c r="L3279" s="2">
        <v>1</v>
      </c>
      <c r="M3279" s="7">
        <f t="shared" si="204"/>
        <v>931</v>
      </c>
      <c r="N3279" s="7">
        <f t="shared" si="205"/>
        <v>998</v>
      </c>
      <c r="O3279" s="2">
        <v>37</v>
      </c>
      <c r="P3279" s="8">
        <f t="shared" si="206"/>
        <v>1035</v>
      </c>
      <c r="Q3279" s="8">
        <f t="shared" si="207"/>
        <v>961</v>
      </c>
      <c r="R3279" s="2" t="s">
        <v>50</v>
      </c>
      <c r="S3279" s="9">
        <f>VLOOKUP(P3279,$T$2:U3276,2,1)</f>
        <v>0.02</v>
      </c>
    </row>
    <row r="3280" spans="1:19" x14ac:dyDescent="0.25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e">
        <f>VLOOKUP(F3280,'Customer Info'!A3272:I3771,2,0)</f>
        <v>#N/A</v>
      </c>
      <c r="H3280" s="6" t="e">
        <f>VLOOKUP(F3280,'Customer Info'!A3272:I3771,3,0)</f>
        <v>#N/A</v>
      </c>
      <c r="I3280" s="6" t="e">
        <f>VLOOKUP(F3280,'Customer Info'!A3272:I3771,5,0)</f>
        <v>#N/A</v>
      </c>
      <c r="J3280" s="2">
        <v>220</v>
      </c>
      <c r="K3280" s="2">
        <v>206</v>
      </c>
      <c r="L3280" s="2">
        <v>1</v>
      </c>
      <c r="M3280" s="7">
        <f t="shared" si="204"/>
        <v>206</v>
      </c>
      <c r="N3280" s="7">
        <f t="shared" si="205"/>
        <v>220</v>
      </c>
      <c r="O3280" s="2">
        <v>22</v>
      </c>
      <c r="P3280" s="8">
        <f t="shared" si="206"/>
        <v>242</v>
      </c>
      <c r="Q3280" s="8">
        <f t="shared" si="207"/>
        <v>198</v>
      </c>
      <c r="R3280" s="2" t="s">
        <v>28</v>
      </c>
      <c r="S3280" s="9">
        <f>VLOOKUP(P3280,$T$2:U3277,2,1)</f>
        <v>0.02</v>
      </c>
    </row>
    <row r="3281" spans="1:19" x14ac:dyDescent="0.25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e">
        <f>VLOOKUP(F3281,'Customer Info'!A3273:I3772,2,0)</f>
        <v>#N/A</v>
      </c>
      <c r="H3281" s="6" t="e">
        <f>VLOOKUP(F3281,'Customer Info'!A3273:I3772,3,0)</f>
        <v>#N/A</v>
      </c>
      <c r="I3281" s="6" t="e">
        <f>VLOOKUP(F3281,'Customer Info'!A3273:I3772,5,0)</f>
        <v>#N/A</v>
      </c>
      <c r="J3281" s="2">
        <v>188</v>
      </c>
      <c r="K3281" s="2">
        <v>173</v>
      </c>
      <c r="L3281" s="2">
        <v>7</v>
      </c>
      <c r="M3281" s="7">
        <f t="shared" si="204"/>
        <v>1211</v>
      </c>
      <c r="N3281" s="7">
        <f t="shared" si="205"/>
        <v>1316</v>
      </c>
      <c r="O3281" s="2">
        <v>30</v>
      </c>
      <c r="P3281" s="8">
        <f t="shared" si="206"/>
        <v>1346</v>
      </c>
      <c r="Q3281" s="8">
        <f t="shared" si="207"/>
        <v>1286</v>
      </c>
      <c r="R3281" s="2" t="s">
        <v>50</v>
      </c>
      <c r="S3281" s="9">
        <f>VLOOKUP(P3281,$T$2:U3278,2,1)</f>
        <v>0.02</v>
      </c>
    </row>
    <row r="3282" spans="1:19" x14ac:dyDescent="0.25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e">
        <f>VLOOKUP(F3282,'Customer Info'!A3274:I3773,2,0)</f>
        <v>#N/A</v>
      </c>
      <c r="H3282" s="6" t="e">
        <f>VLOOKUP(F3282,'Customer Info'!A3274:I3773,3,0)</f>
        <v>#N/A</v>
      </c>
      <c r="I3282" s="6" t="e">
        <f>VLOOKUP(F3282,'Customer Info'!A3274:I3773,5,0)</f>
        <v>#N/A</v>
      </c>
      <c r="J3282" s="2">
        <v>2083</v>
      </c>
      <c r="K3282" s="2">
        <v>2004</v>
      </c>
      <c r="L3282" s="2">
        <v>10</v>
      </c>
      <c r="M3282" s="7">
        <f t="shared" si="204"/>
        <v>20040</v>
      </c>
      <c r="N3282" s="7">
        <f t="shared" si="205"/>
        <v>20830</v>
      </c>
      <c r="O3282" s="2">
        <v>71</v>
      </c>
      <c r="P3282" s="8">
        <f t="shared" si="206"/>
        <v>20901</v>
      </c>
      <c r="Q3282" s="8">
        <f t="shared" si="207"/>
        <v>20759</v>
      </c>
      <c r="R3282" s="2" t="s">
        <v>50</v>
      </c>
      <c r="S3282" s="9">
        <f>VLOOKUP(P3282,$T$2:U3279,2,1)</f>
        <v>0.05</v>
      </c>
    </row>
    <row r="3283" spans="1:19" x14ac:dyDescent="0.25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e">
        <f>VLOOKUP(F3283,'Customer Info'!A3275:I3774,2,0)</f>
        <v>#N/A</v>
      </c>
      <c r="H3283" s="6" t="e">
        <f>VLOOKUP(F3283,'Customer Info'!A3275:I3774,3,0)</f>
        <v>#N/A</v>
      </c>
      <c r="I3283" s="6" t="e">
        <f>VLOOKUP(F3283,'Customer Info'!A3275:I3774,5,0)</f>
        <v>#N/A</v>
      </c>
      <c r="J3283" s="2">
        <v>1552</v>
      </c>
      <c r="K3283" s="2">
        <v>1466</v>
      </c>
      <c r="L3283" s="2">
        <v>1</v>
      </c>
      <c r="M3283" s="7">
        <f t="shared" si="204"/>
        <v>1466</v>
      </c>
      <c r="N3283" s="7">
        <f t="shared" si="205"/>
        <v>1552</v>
      </c>
      <c r="O3283" s="2">
        <v>89</v>
      </c>
      <c r="P3283" s="8">
        <f t="shared" si="206"/>
        <v>1641</v>
      </c>
      <c r="Q3283" s="8">
        <f t="shared" si="207"/>
        <v>1463</v>
      </c>
      <c r="R3283" s="2" t="s">
        <v>28</v>
      </c>
      <c r="S3283" s="9">
        <f>VLOOKUP(P3283,$T$2:U3280,2,1)</f>
        <v>0.02</v>
      </c>
    </row>
    <row r="3284" spans="1:19" x14ac:dyDescent="0.25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e">
        <f>VLOOKUP(F3284,'Customer Info'!A3276:I3775,2,0)</f>
        <v>#N/A</v>
      </c>
      <c r="H3284" s="6" t="e">
        <f>VLOOKUP(F3284,'Customer Info'!A3276:I3775,3,0)</f>
        <v>#N/A</v>
      </c>
      <c r="I3284" s="6" t="e">
        <f>VLOOKUP(F3284,'Customer Info'!A3276:I3775,5,0)</f>
        <v>#N/A</v>
      </c>
      <c r="J3284" s="2">
        <v>166</v>
      </c>
      <c r="K3284" s="2">
        <v>149</v>
      </c>
      <c r="L3284" s="2">
        <v>3</v>
      </c>
      <c r="M3284" s="7">
        <f t="shared" si="204"/>
        <v>447</v>
      </c>
      <c r="N3284" s="7">
        <f t="shared" si="205"/>
        <v>498</v>
      </c>
      <c r="O3284" s="2">
        <v>30</v>
      </c>
      <c r="P3284" s="8">
        <f t="shared" si="206"/>
        <v>528</v>
      </c>
      <c r="Q3284" s="8">
        <f t="shared" si="207"/>
        <v>468</v>
      </c>
      <c r="R3284" s="2" t="s">
        <v>26</v>
      </c>
      <c r="S3284" s="9">
        <f>VLOOKUP(P3284,$T$2:U3281,2,1)</f>
        <v>0.02</v>
      </c>
    </row>
    <row r="3285" spans="1:19" x14ac:dyDescent="0.25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e">
        <f>VLOOKUP(F3285,'Customer Info'!A3277:I3776,2,0)</f>
        <v>#N/A</v>
      </c>
      <c r="H3285" s="6" t="e">
        <f>VLOOKUP(F3285,'Customer Info'!A3277:I3776,3,0)</f>
        <v>#N/A</v>
      </c>
      <c r="I3285" s="6" t="e">
        <f>VLOOKUP(F3285,'Customer Info'!A3277:I3776,5,0)</f>
        <v>#N/A</v>
      </c>
      <c r="J3285" s="2">
        <v>896</v>
      </c>
      <c r="K3285" s="2">
        <v>870</v>
      </c>
      <c r="L3285" s="2">
        <v>5</v>
      </c>
      <c r="M3285" s="7">
        <f t="shared" si="204"/>
        <v>4350</v>
      </c>
      <c r="N3285" s="7">
        <f t="shared" si="205"/>
        <v>4480</v>
      </c>
      <c r="O3285" s="2">
        <v>88</v>
      </c>
      <c r="P3285" s="8">
        <f t="shared" si="206"/>
        <v>4568</v>
      </c>
      <c r="Q3285" s="8">
        <f t="shared" si="207"/>
        <v>4392</v>
      </c>
      <c r="R3285" s="2" t="s">
        <v>28</v>
      </c>
      <c r="S3285" s="9">
        <f>VLOOKUP(P3285,$T$2:U3282,2,1)</f>
        <v>0.02</v>
      </c>
    </row>
    <row r="3286" spans="1:19" x14ac:dyDescent="0.25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e">
        <f>VLOOKUP(F3286,'Customer Info'!A3278:I3777,2,0)</f>
        <v>#N/A</v>
      </c>
      <c r="H3286" s="6" t="e">
        <f>VLOOKUP(F3286,'Customer Info'!A3278:I3777,3,0)</f>
        <v>#N/A</v>
      </c>
      <c r="I3286" s="6" t="e">
        <f>VLOOKUP(F3286,'Customer Info'!A3278:I3777,5,0)</f>
        <v>#N/A</v>
      </c>
      <c r="J3286" s="2">
        <v>1222</v>
      </c>
      <c r="K3286" s="2">
        <v>1187</v>
      </c>
      <c r="L3286" s="2">
        <v>12</v>
      </c>
      <c r="M3286" s="7">
        <f t="shared" si="204"/>
        <v>14244</v>
      </c>
      <c r="N3286" s="7">
        <f t="shared" si="205"/>
        <v>14664</v>
      </c>
      <c r="O3286" s="2">
        <v>75</v>
      </c>
      <c r="P3286" s="8">
        <f t="shared" si="206"/>
        <v>14739</v>
      </c>
      <c r="Q3286" s="8">
        <f t="shared" si="207"/>
        <v>14589</v>
      </c>
      <c r="R3286" s="2" t="s">
        <v>50</v>
      </c>
      <c r="S3286" s="9">
        <f>VLOOKUP(P3286,$T$2:U3283,2,1)</f>
        <v>0.05</v>
      </c>
    </row>
    <row r="3287" spans="1:19" x14ac:dyDescent="0.25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e">
        <f>VLOOKUP(F3287,'Customer Info'!A3279:I3778,2,0)</f>
        <v>#N/A</v>
      </c>
      <c r="H3287" s="6" t="e">
        <f>VLOOKUP(F3287,'Customer Info'!A3279:I3778,3,0)</f>
        <v>#N/A</v>
      </c>
      <c r="I3287" s="6" t="e">
        <f>VLOOKUP(F3287,'Customer Info'!A3279:I3778,5,0)</f>
        <v>#N/A</v>
      </c>
      <c r="J3287" s="2">
        <v>2466</v>
      </c>
      <c r="K3287" s="2">
        <v>2350</v>
      </c>
      <c r="L3287" s="2">
        <v>6</v>
      </c>
      <c r="M3287" s="7">
        <f t="shared" si="204"/>
        <v>14100</v>
      </c>
      <c r="N3287" s="7">
        <f t="shared" si="205"/>
        <v>14796</v>
      </c>
      <c r="O3287" s="2">
        <v>55</v>
      </c>
      <c r="P3287" s="8">
        <f t="shared" si="206"/>
        <v>14851</v>
      </c>
      <c r="Q3287" s="8">
        <f t="shared" si="207"/>
        <v>14741</v>
      </c>
      <c r="R3287" s="2" t="s">
        <v>28</v>
      </c>
      <c r="S3287" s="9">
        <f>VLOOKUP(P3287,$T$2:U3284,2,1)</f>
        <v>0.05</v>
      </c>
    </row>
    <row r="3288" spans="1:19" x14ac:dyDescent="0.25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e">
        <f>VLOOKUP(F3288,'Customer Info'!A3280:I3779,2,0)</f>
        <v>#N/A</v>
      </c>
      <c r="H3288" s="6" t="e">
        <f>VLOOKUP(F3288,'Customer Info'!A3280:I3779,3,0)</f>
        <v>#N/A</v>
      </c>
      <c r="I3288" s="6" t="e">
        <f>VLOOKUP(F3288,'Customer Info'!A3280:I3779,5,0)</f>
        <v>#N/A</v>
      </c>
      <c r="J3288" s="2">
        <v>9214</v>
      </c>
      <c r="K3288" s="2">
        <v>8295</v>
      </c>
      <c r="L3288" s="2">
        <v>6</v>
      </c>
      <c r="M3288" s="7">
        <f t="shared" si="204"/>
        <v>49770</v>
      </c>
      <c r="N3288" s="7">
        <f t="shared" si="205"/>
        <v>55284</v>
      </c>
      <c r="O3288" s="2">
        <v>62</v>
      </c>
      <c r="P3288" s="8">
        <f t="shared" si="206"/>
        <v>55346</v>
      </c>
      <c r="Q3288" s="8">
        <f t="shared" si="207"/>
        <v>55222</v>
      </c>
      <c r="R3288" s="2" t="s">
        <v>28</v>
      </c>
      <c r="S3288" s="9">
        <f>VLOOKUP(P3288,$T$2:U3285,2,1)</f>
        <v>0.09</v>
      </c>
    </row>
    <row r="3289" spans="1:19" x14ac:dyDescent="0.25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e">
        <f>VLOOKUP(F3289,'Customer Info'!A3281:I3780,2,0)</f>
        <v>#N/A</v>
      </c>
      <c r="H3289" s="6" t="e">
        <f>VLOOKUP(F3289,'Customer Info'!A3281:I3780,3,0)</f>
        <v>#N/A</v>
      </c>
      <c r="I3289" s="6" t="e">
        <f>VLOOKUP(F3289,'Customer Info'!A3281:I3780,5,0)</f>
        <v>#N/A</v>
      </c>
      <c r="J3289" s="2">
        <v>729</v>
      </c>
      <c r="K3289" s="2">
        <v>689</v>
      </c>
      <c r="L3289" s="2">
        <v>7</v>
      </c>
      <c r="M3289" s="7">
        <f t="shared" si="204"/>
        <v>4823</v>
      </c>
      <c r="N3289" s="7">
        <f t="shared" si="205"/>
        <v>5103</v>
      </c>
      <c r="O3289" s="2">
        <v>56</v>
      </c>
      <c r="P3289" s="8">
        <f t="shared" si="206"/>
        <v>5159</v>
      </c>
      <c r="Q3289" s="8">
        <f t="shared" si="207"/>
        <v>5047</v>
      </c>
      <c r="R3289" s="2" t="s">
        <v>28</v>
      </c>
      <c r="S3289" s="9">
        <f>VLOOKUP(P3289,$T$2:U3286,2,1)</f>
        <v>0.05</v>
      </c>
    </row>
    <row r="3290" spans="1:19" x14ac:dyDescent="0.25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e">
        <f>VLOOKUP(F3290,'Customer Info'!A3282:I3781,2,0)</f>
        <v>#N/A</v>
      </c>
      <c r="H3290" s="6" t="e">
        <f>VLOOKUP(F3290,'Customer Info'!A3282:I3781,3,0)</f>
        <v>#N/A</v>
      </c>
      <c r="I3290" s="6" t="e">
        <f>VLOOKUP(F3290,'Customer Info'!A3282:I3781,5,0)</f>
        <v>#N/A</v>
      </c>
      <c r="J3290" s="2">
        <v>691</v>
      </c>
      <c r="K3290" s="2">
        <v>627</v>
      </c>
      <c r="L3290" s="2">
        <v>1</v>
      </c>
      <c r="M3290" s="7">
        <f t="shared" si="204"/>
        <v>627</v>
      </c>
      <c r="N3290" s="7">
        <f t="shared" si="205"/>
        <v>691</v>
      </c>
      <c r="O3290" s="2">
        <v>31</v>
      </c>
      <c r="P3290" s="8">
        <f t="shared" si="206"/>
        <v>722</v>
      </c>
      <c r="Q3290" s="8">
        <f t="shared" si="207"/>
        <v>660</v>
      </c>
      <c r="R3290" s="2" t="s">
        <v>28</v>
      </c>
      <c r="S3290" s="9">
        <f>VLOOKUP(P3290,$T$2:U3287,2,1)</f>
        <v>0.02</v>
      </c>
    </row>
    <row r="3291" spans="1:19" x14ac:dyDescent="0.25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e">
        <f>VLOOKUP(F3291,'Customer Info'!A3283:I3782,2,0)</f>
        <v>#N/A</v>
      </c>
      <c r="H3291" s="6" t="e">
        <f>VLOOKUP(F3291,'Customer Info'!A3283:I3782,3,0)</f>
        <v>#N/A</v>
      </c>
      <c r="I3291" s="6" t="e">
        <f>VLOOKUP(F3291,'Customer Info'!A3283:I3782,5,0)</f>
        <v>#N/A</v>
      </c>
      <c r="J3291" s="2">
        <v>2501</v>
      </c>
      <c r="K3291" s="2">
        <v>2361</v>
      </c>
      <c r="L3291" s="2">
        <v>2</v>
      </c>
      <c r="M3291" s="7">
        <f t="shared" si="204"/>
        <v>4722</v>
      </c>
      <c r="N3291" s="7">
        <f t="shared" si="205"/>
        <v>5002</v>
      </c>
      <c r="O3291" s="2">
        <v>96</v>
      </c>
      <c r="P3291" s="8">
        <f t="shared" si="206"/>
        <v>5098</v>
      </c>
      <c r="Q3291" s="8">
        <f t="shared" si="207"/>
        <v>4906</v>
      </c>
      <c r="R3291" s="2" t="s">
        <v>50</v>
      </c>
      <c r="S3291" s="9">
        <f>VLOOKUP(P3291,$T$2:U3288,2,1)</f>
        <v>0.05</v>
      </c>
    </row>
    <row r="3292" spans="1:19" x14ac:dyDescent="0.25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e">
        <f>VLOOKUP(F3292,'Customer Info'!A3284:I3783,2,0)</f>
        <v>#N/A</v>
      </c>
      <c r="H3292" s="6" t="e">
        <f>VLOOKUP(F3292,'Customer Info'!A3284:I3783,3,0)</f>
        <v>#N/A</v>
      </c>
      <c r="I3292" s="6" t="e">
        <f>VLOOKUP(F3292,'Customer Info'!A3284:I3783,5,0)</f>
        <v>#N/A</v>
      </c>
      <c r="J3292" s="2">
        <v>2151</v>
      </c>
      <c r="K3292" s="2">
        <v>2009</v>
      </c>
      <c r="L3292" s="2">
        <v>2</v>
      </c>
      <c r="M3292" s="7">
        <f t="shared" si="204"/>
        <v>4018</v>
      </c>
      <c r="N3292" s="7">
        <f t="shared" si="205"/>
        <v>4302</v>
      </c>
      <c r="O3292" s="2">
        <v>67</v>
      </c>
      <c r="P3292" s="8">
        <f t="shared" si="206"/>
        <v>4369</v>
      </c>
      <c r="Q3292" s="8">
        <f t="shared" si="207"/>
        <v>4235</v>
      </c>
      <c r="R3292" s="2" t="s">
        <v>28</v>
      </c>
      <c r="S3292" s="9">
        <f>VLOOKUP(P3292,$T$2:U3289,2,1)</f>
        <v>0.02</v>
      </c>
    </row>
    <row r="3293" spans="1:19" x14ac:dyDescent="0.25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e">
        <f>VLOOKUP(F3293,'Customer Info'!A3285:I3784,2,0)</f>
        <v>#N/A</v>
      </c>
      <c r="H3293" s="6" t="e">
        <f>VLOOKUP(F3293,'Customer Info'!A3285:I3784,3,0)</f>
        <v>#N/A</v>
      </c>
      <c r="I3293" s="6" t="e">
        <f>VLOOKUP(F3293,'Customer Info'!A3285:I3784,5,0)</f>
        <v>#N/A</v>
      </c>
      <c r="J3293" s="2">
        <v>526</v>
      </c>
      <c r="K3293" s="2">
        <v>487</v>
      </c>
      <c r="L3293" s="2">
        <v>13</v>
      </c>
      <c r="M3293" s="7">
        <f t="shared" si="204"/>
        <v>6331</v>
      </c>
      <c r="N3293" s="7">
        <f t="shared" si="205"/>
        <v>6838</v>
      </c>
      <c r="O3293" s="2">
        <v>71</v>
      </c>
      <c r="P3293" s="8">
        <f t="shared" si="206"/>
        <v>6909</v>
      </c>
      <c r="Q3293" s="8">
        <f t="shared" si="207"/>
        <v>6767</v>
      </c>
      <c r="R3293" s="2" t="s">
        <v>50</v>
      </c>
      <c r="S3293" s="9">
        <f>VLOOKUP(P3293,$T$2:U3290,2,1)</f>
        <v>0.05</v>
      </c>
    </row>
    <row r="3294" spans="1:19" x14ac:dyDescent="0.25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e">
        <f>VLOOKUP(F3294,'Customer Info'!A3286:I3785,2,0)</f>
        <v>#N/A</v>
      </c>
      <c r="H3294" s="6" t="e">
        <f>VLOOKUP(F3294,'Customer Info'!A3286:I3785,3,0)</f>
        <v>#N/A</v>
      </c>
      <c r="I3294" s="6" t="e">
        <f>VLOOKUP(F3294,'Customer Info'!A3286:I3785,5,0)</f>
        <v>#N/A</v>
      </c>
      <c r="J3294" s="2">
        <v>97</v>
      </c>
      <c r="K3294" s="2">
        <v>92</v>
      </c>
      <c r="L3294" s="2">
        <v>12</v>
      </c>
      <c r="M3294" s="7">
        <f t="shared" si="204"/>
        <v>1104</v>
      </c>
      <c r="N3294" s="7">
        <f t="shared" si="205"/>
        <v>1164</v>
      </c>
      <c r="O3294" s="2">
        <v>10</v>
      </c>
      <c r="P3294" s="8">
        <f t="shared" si="206"/>
        <v>1174</v>
      </c>
      <c r="Q3294" s="8">
        <f t="shared" si="207"/>
        <v>1154</v>
      </c>
      <c r="R3294" s="2" t="s">
        <v>28</v>
      </c>
      <c r="S3294" s="9">
        <f>VLOOKUP(P3294,$T$2:U3291,2,1)</f>
        <v>0.02</v>
      </c>
    </row>
    <row r="3295" spans="1:19" x14ac:dyDescent="0.25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e">
        <f>VLOOKUP(F3295,'Customer Info'!A3287:I3786,2,0)</f>
        <v>#N/A</v>
      </c>
      <c r="H3295" s="6" t="e">
        <f>VLOOKUP(F3295,'Customer Info'!A3287:I3786,3,0)</f>
        <v>#N/A</v>
      </c>
      <c r="I3295" s="6" t="e">
        <f>VLOOKUP(F3295,'Customer Info'!A3287:I3786,5,0)</f>
        <v>#N/A</v>
      </c>
      <c r="J3295" s="2">
        <v>3224</v>
      </c>
      <c r="K3295" s="2">
        <v>2984</v>
      </c>
      <c r="L3295" s="2">
        <v>2</v>
      </c>
      <c r="M3295" s="7">
        <f t="shared" si="204"/>
        <v>5968</v>
      </c>
      <c r="N3295" s="7">
        <f t="shared" si="205"/>
        <v>6448</v>
      </c>
      <c r="O3295" s="2">
        <v>99</v>
      </c>
      <c r="P3295" s="8">
        <f t="shared" si="206"/>
        <v>6547</v>
      </c>
      <c r="Q3295" s="8">
        <f t="shared" si="207"/>
        <v>6349</v>
      </c>
      <c r="R3295" s="2" t="s">
        <v>26</v>
      </c>
      <c r="S3295" s="9">
        <f>VLOOKUP(P3295,$T$2:U3292,2,1)</f>
        <v>0.05</v>
      </c>
    </row>
    <row r="3296" spans="1:19" x14ac:dyDescent="0.25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e">
        <f>VLOOKUP(F3296,'Customer Info'!A3288:I3787,2,0)</f>
        <v>#N/A</v>
      </c>
      <c r="H3296" s="6" t="e">
        <f>VLOOKUP(F3296,'Customer Info'!A3288:I3787,3,0)</f>
        <v>#N/A</v>
      </c>
      <c r="I3296" s="6" t="e">
        <f>VLOOKUP(F3296,'Customer Info'!A3288:I3787,5,0)</f>
        <v>#N/A</v>
      </c>
      <c r="J3296" s="2">
        <v>2644</v>
      </c>
      <c r="K3296" s="2">
        <v>2425</v>
      </c>
      <c r="L3296" s="2">
        <v>1</v>
      </c>
      <c r="M3296" s="7">
        <f t="shared" si="204"/>
        <v>2425</v>
      </c>
      <c r="N3296" s="7">
        <f t="shared" si="205"/>
        <v>2644</v>
      </c>
      <c r="O3296" s="2">
        <v>85</v>
      </c>
      <c r="P3296" s="8">
        <f t="shared" si="206"/>
        <v>2729</v>
      </c>
      <c r="Q3296" s="8">
        <f t="shared" si="207"/>
        <v>2559</v>
      </c>
      <c r="R3296" s="2" t="s">
        <v>26</v>
      </c>
      <c r="S3296" s="9">
        <f>VLOOKUP(P3296,$T$2:U3293,2,1)</f>
        <v>0.02</v>
      </c>
    </row>
    <row r="3297" spans="1:19" x14ac:dyDescent="0.25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e">
        <f>VLOOKUP(F3297,'Customer Info'!A3289:I3788,2,0)</f>
        <v>#N/A</v>
      </c>
      <c r="H3297" s="6" t="e">
        <f>VLOOKUP(F3297,'Customer Info'!A3289:I3788,3,0)</f>
        <v>#N/A</v>
      </c>
      <c r="I3297" s="6" t="e">
        <f>VLOOKUP(F3297,'Customer Info'!A3289:I3788,5,0)</f>
        <v>#N/A</v>
      </c>
      <c r="J3297" s="2">
        <v>4487</v>
      </c>
      <c r="K3297" s="2">
        <v>4201</v>
      </c>
      <c r="L3297" s="2">
        <v>9</v>
      </c>
      <c r="M3297" s="7">
        <f t="shared" si="204"/>
        <v>37809</v>
      </c>
      <c r="N3297" s="7">
        <f t="shared" si="205"/>
        <v>40383</v>
      </c>
      <c r="O3297" s="2">
        <v>81</v>
      </c>
      <c r="P3297" s="8">
        <f t="shared" si="206"/>
        <v>40464</v>
      </c>
      <c r="Q3297" s="8">
        <f t="shared" si="207"/>
        <v>40302</v>
      </c>
      <c r="R3297" s="2" t="s">
        <v>50</v>
      </c>
      <c r="S3297" s="9">
        <f>VLOOKUP(P3297,$T$2:U3294,2,1)</f>
        <v>7.0000000000000007E-2</v>
      </c>
    </row>
    <row r="3298" spans="1:19" x14ac:dyDescent="0.25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e">
        <f>VLOOKUP(F3298,'Customer Info'!A3290:I3789,2,0)</f>
        <v>#N/A</v>
      </c>
      <c r="H3298" s="6" t="e">
        <f>VLOOKUP(F3298,'Customer Info'!A3290:I3789,3,0)</f>
        <v>#N/A</v>
      </c>
      <c r="I3298" s="6" t="e">
        <f>VLOOKUP(F3298,'Customer Info'!A3290:I3789,5,0)</f>
        <v>#N/A</v>
      </c>
      <c r="J3298" s="2">
        <v>138</v>
      </c>
      <c r="K3298" s="2">
        <v>128</v>
      </c>
      <c r="L3298" s="2">
        <v>11</v>
      </c>
      <c r="M3298" s="7">
        <f t="shared" si="204"/>
        <v>1408</v>
      </c>
      <c r="N3298" s="7">
        <f t="shared" si="205"/>
        <v>1518</v>
      </c>
      <c r="O3298" s="2">
        <v>30</v>
      </c>
      <c r="P3298" s="8">
        <f t="shared" si="206"/>
        <v>1548</v>
      </c>
      <c r="Q3298" s="8">
        <f t="shared" si="207"/>
        <v>1488</v>
      </c>
      <c r="R3298" s="2" t="s">
        <v>28</v>
      </c>
      <c r="S3298" s="9">
        <f>VLOOKUP(P3298,$T$2:U3295,2,1)</f>
        <v>0.02</v>
      </c>
    </row>
    <row r="3299" spans="1:19" x14ac:dyDescent="0.25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e">
        <f>VLOOKUP(F3299,'Customer Info'!A3291:I3790,2,0)</f>
        <v>#N/A</v>
      </c>
      <c r="H3299" s="6" t="e">
        <f>VLOOKUP(F3299,'Customer Info'!A3291:I3790,3,0)</f>
        <v>#N/A</v>
      </c>
      <c r="I3299" s="6" t="e">
        <f>VLOOKUP(F3299,'Customer Info'!A3291:I3790,5,0)</f>
        <v>#N/A</v>
      </c>
      <c r="J3299" s="2">
        <v>5941</v>
      </c>
      <c r="K3299" s="2">
        <v>5827</v>
      </c>
      <c r="L3299" s="2">
        <v>4</v>
      </c>
      <c r="M3299" s="7">
        <f t="shared" si="204"/>
        <v>23308</v>
      </c>
      <c r="N3299" s="7">
        <f t="shared" si="205"/>
        <v>23764</v>
      </c>
      <c r="O3299" s="2">
        <v>35</v>
      </c>
      <c r="P3299" s="8">
        <f t="shared" si="206"/>
        <v>23799</v>
      </c>
      <c r="Q3299" s="8">
        <f t="shared" si="207"/>
        <v>23729</v>
      </c>
      <c r="R3299" s="2" t="s">
        <v>28</v>
      </c>
      <c r="S3299" s="9">
        <f>VLOOKUP(P3299,$T$2:U3296,2,1)</f>
        <v>0.05</v>
      </c>
    </row>
    <row r="3300" spans="1:19" x14ac:dyDescent="0.25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e">
        <f>VLOOKUP(F3300,'Customer Info'!A3292:I3791,2,0)</f>
        <v>#N/A</v>
      </c>
      <c r="H3300" s="6" t="e">
        <f>VLOOKUP(F3300,'Customer Info'!A3292:I3791,3,0)</f>
        <v>#N/A</v>
      </c>
      <c r="I3300" s="6" t="e">
        <f>VLOOKUP(F3300,'Customer Info'!A3292:I3791,5,0)</f>
        <v>#N/A</v>
      </c>
      <c r="J3300" s="2">
        <v>1834</v>
      </c>
      <c r="K3300" s="2">
        <v>1716</v>
      </c>
      <c r="L3300" s="2">
        <v>7</v>
      </c>
      <c r="M3300" s="7">
        <f t="shared" si="204"/>
        <v>12012</v>
      </c>
      <c r="N3300" s="7">
        <f t="shared" si="205"/>
        <v>12838</v>
      </c>
      <c r="O3300" s="2">
        <v>94</v>
      </c>
      <c r="P3300" s="8">
        <f t="shared" si="206"/>
        <v>12932</v>
      </c>
      <c r="Q3300" s="8">
        <f t="shared" si="207"/>
        <v>12744</v>
      </c>
      <c r="R3300" s="2" t="s">
        <v>28</v>
      </c>
      <c r="S3300" s="9">
        <f>VLOOKUP(P3300,$T$2:U3297,2,1)</f>
        <v>0.05</v>
      </c>
    </row>
    <row r="3301" spans="1:19" x14ac:dyDescent="0.25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e">
        <f>VLOOKUP(F3301,'Customer Info'!A3293:I3792,2,0)</f>
        <v>#N/A</v>
      </c>
      <c r="H3301" s="6" t="e">
        <f>VLOOKUP(F3301,'Customer Info'!A3293:I3792,3,0)</f>
        <v>#N/A</v>
      </c>
      <c r="I3301" s="6" t="e">
        <f>VLOOKUP(F3301,'Customer Info'!A3293:I3792,5,0)</f>
        <v>#N/A</v>
      </c>
      <c r="J3301" s="2">
        <v>7691</v>
      </c>
      <c r="K3301" s="2">
        <v>7255</v>
      </c>
      <c r="L3301" s="2">
        <v>1</v>
      </c>
      <c r="M3301" s="7">
        <f t="shared" si="204"/>
        <v>7255</v>
      </c>
      <c r="N3301" s="7">
        <f t="shared" si="205"/>
        <v>7691</v>
      </c>
      <c r="O3301" s="2">
        <v>59</v>
      </c>
      <c r="P3301" s="8">
        <f t="shared" si="206"/>
        <v>7750</v>
      </c>
      <c r="Q3301" s="8">
        <f t="shared" si="207"/>
        <v>7632</v>
      </c>
      <c r="R3301" s="2" t="s">
        <v>28</v>
      </c>
      <c r="S3301" s="9">
        <f>VLOOKUP(P3301,$T$2:U3298,2,1)</f>
        <v>0.05</v>
      </c>
    </row>
    <row r="3302" spans="1:19" x14ac:dyDescent="0.25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e">
        <f>VLOOKUP(F3302,'Customer Info'!A3294:I3793,2,0)</f>
        <v>#N/A</v>
      </c>
      <c r="H3302" s="6" t="e">
        <f>VLOOKUP(F3302,'Customer Info'!A3294:I3793,3,0)</f>
        <v>#N/A</v>
      </c>
      <c r="I3302" s="6" t="e">
        <f>VLOOKUP(F3302,'Customer Info'!A3294:I3793,5,0)</f>
        <v>#N/A</v>
      </c>
      <c r="J3302" s="2">
        <v>147</v>
      </c>
      <c r="K3302" s="2">
        <v>138</v>
      </c>
      <c r="L3302" s="2">
        <v>2</v>
      </c>
      <c r="M3302" s="7">
        <f t="shared" si="204"/>
        <v>276</v>
      </c>
      <c r="N3302" s="7">
        <f t="shared" si="205"/>
        <v>294</v>
      </c>
      <c r="O3302" s="2">
        <v>30</v>
      </c>
      <c r="P3302" s="8">
        <f t="shared" si="206"/>
        <v>324</v>
      </c>
      <c r="Q3302" s="8">
        <f t="shared" si="207"/>
        <v>264</v>
      </c>
      <c r="R3302" s="2" t="s">
        <v>28</v>
      </c>
      <c r="S3302" s="9">
        <f>VLOOKUP(P3302,$T$2:U3299,2,1)</f>
        <v>0.02</v>
      </c>
    </row>
    <row r="3303" spans="1:19" x14ac:dyDescent="0.25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e">
        <f>VLOOKUP(F3303,'Customer Info'!A3295:I3794,2,0)</f>
        <v>#N/A</v>
      </c>
      <c r="H3303" s="6" t="e">
        <f>VLOOKUP(F3303,'Customer Info'!A3295:I3794,3,0)</f>
        <v>#N/A</v>
      </c>
      <c r="I3303" s="6" t="e">
        <f>VLOOKUP(F3303,'Customer Info'!A3295:I3794,5,0)</f>
        <v>#N/A</v>
      </c>
      <c r="J3303" s="2">
        <v>67</v>
      </c>
      <c r="K3303" s="2">
        <v>62</v>
      </c>
      <c r="L3303" s="2">
        <v>1</v>
      </c>
      <c r="M3303" s="7">
        <f t="shared" si="204"/>
        <v>62</v>
      </c>
      <c r="N3303" s="7">
        <f t="shared" si="205"/>
        <v>67</v>
      </c>
      <c r="O3303" s="2">
        <v>10</v>
      </c>
      <c r="P3303" s="8">
        <f t="shared" si="206"/>
        <v>77</v>
      </c>
      <c r="Q3303" s="8">
        <f t="shared" si="207"/>
        <v>57</v>
      </c>
      <c r="R3303" s="2" t="s">
        <v>50</v>
      </c>
      <c r="S3303" s="9">
        <f>VLOOKUP(P3303,$T$2:U3300,2,1)</f>
        <v>0.02</v>
      </c>
    </row>
    <row r="3304" spans="1:19" x14ac:dyDescent="0.25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e">
        <f>VLOOKUP(F3304,'Customer Info'!A3296:I3795,2,0)</f>
        <v>#N/A</v>
      </c>
      <c r="H3304" s="6" t="e">
        <f>VLOOKUP(F3304,'Customer Info'!A3296:I3795,3,0)</f>
        <v>#N/A</v>
      </c>
      <c r="I3304" s="6" t="e">
        <f>VLOOKUP(F3304,'Customer Info'!A3296:I3795,5,0)</f>
        <v>#N/A</v>
      </c>
      <c r="J3304" s="2">
        <v>8889</v>
      </c>
      <c r="K3304" s="2">
        <v>8469</v>
      </c>
      <c r="L3304" s="2">
        <v>2</v>
      </c>
      <c r="M3304" s="7">
        <f t="shared" si="204"/>
        <v>16938</v>
      </c>
      <c r="N3304" s="7">
        <f t="shared" si="205"/>
        <v>17778</v>
      </c>
      <c r="O3304" s="2">
        <v>37</v>
      </c>
      <c r="P3304" s="8">
        <f t="shared" si="206"/>
        <v>17815</v>
      </c>
      <c r="Q3304" s="8">
        <f t="shared" si="207"/>
        <v>17741</v>
      </c>
      <c r="R3304" s="2" t="s">
        <v>28</v>
      </c>
      <c r="S3304" s="9">
        <f>VLOOKUP(P3304,$T$2:U3301,2,1)</f>
        <v>0.05</v>
      </c>
    </row>
    <row r="3305" spans="1:19" x14ac:dyDescent="0.25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e">
        <f>VLOOKUP(F3305,'Customer Info'!A3297:I3796,2,0)</f>
        <v>#N/A</v>
      </c>
      <c r="H3305" s="6" t="e">
        <f>VLOOKUP(F3305,'Customer Info'!A3297:I3796,3,0)</f>
        <v>#N/A</v>
      </c>
      <c r="I3305" s="6" t="e">
        <f>VLOOKUP(F3305,'Customer Info'!A3297:I3796,5,0)</f>
        <v>#N/A</v>
      </c>
      <c r="J3305" s="2">
        <v>1752</v>
      </c>
      <c r="K3305" s="2">
        <v>1576</v>
      </c>
      <c r="L3305" s="2">
        <v>6</v>
      </c>
      <c r="M3305" s="7">
        <f t="shared" si="204"/>
        <v>9456</v>
      </c>
      <c r="N3305" s="7">
        <f t="shared" si="205"/>
        <v>10512</v>
      </c>
      <c r="O3305" s="2">
        <v>84</v>
      </c>
      <c r="P3305" s="8">
        <f t="shared" si="206"/>
        <v>10596</v>
      </c>
      <c r="Q3305" s="8">
        <f t="shared" si="207"/>
        <v>10428</v>
      </c>
      <c r="R3305" s="2" t="s">
        <v>50</v>
      </c>
      <c r="S3305" s="9">
        <f>VLOOKUP(P3305,$T$2:U3302,2,1)</f>
        <v>0.05</v>
      </c>
    </row>
    <row r="3306" spans="1:19" x14ac:dyDescent="0.25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e">
        <f>VLOOKUP(F3306,'Customer Info'!A3298:I3797,2,0)</f>
        <v>#N/A</v>
      </c>
      <c r="H3306" s="6" t="e">
        <f>VLOOKUP(F3306,'Customer Info'!A3298:I3797,3,0)</f>
        <v>#N/A</v>
      </c>
      <c r="I3306" s="6" t="e">
        <f>VLOOKUP(F3306,'Customer Info'!A3298:I3797,5,0)</f>
        <v>#N/A</v>
      </c>
      <c r="J3306" s="2">
        <v>1887</v>
      </c>
      <c r="K3306" s="2">
        <v>1763</v>
      </c>
      <c r="L3306" s="2">
        <v>5</v>
      </c>
      <c r="M3306" s="7">
        <f t="shared" si="204"/>
        <v>8815</v>
      </c>
      <c r="N3306" s="7">
        <f t="shared" si="205"/>
        <v>9435</v>
      </c>
      <c r="O3306" s="2">
        <v>63</v>
      </c>
      <c r="P3306" s="8">
        <f t="shared" si="206"/>
        <v>9498</v>
      </c>
      <c r="Q3306" s="8">
        <f t="shared" si="207"/>
        <v>9372</v>
      </c>
      <c r="R3306" s="2" t="s">
        <v>28</v>
      </c>
      <c r="S3306" s="9">
        <f>VLOOKUP(P3306,$T$2:U3303,2,1)</f>
        <v>0.05</v>
      </c>
    </row>
    <row r="3307" spans="1:19" x14ac:dyDescent="0.25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e">
        <f>VLOOKUP(F3307,'Customer Info'!A3299:I3798,2,0)</f>
        <v>#N/A</v>
      </c>
      <c r="H3307" s="6" t="e">
        <f>VLOOKUP(F3307,'Customer Info'!A3299:I3798,3,0)</f>
        <v>#N/A</v>
      </c>
      <c r="I3307" s="6" t="e">
        <f>VLOOKUP(F3307,'Customer Info'!A3299:I3798,5,0)</f>
        <v>#N/A</v>
      </c>
      <c r="J3307" s="2">
        <v>6337</v>
      </c>
      <c r="K3307" s="2">
        <v>6215</v>
      </c>
      <c r="L3307" s="2">
        <v>2</v>
      </c>
      <c r="M3307" s="7">
        <f t="shared" si="204"/>
        <v>12430</v>
      </c>
      <c r="N3307" s="7">
        <f t="shared" si="205"/>
        <v>12674</v>
      </c>
      <c r="O3307" s="2">
        <v>77</v>
      </c>
      <c r="P3307" s="8">
        <f t="shared" si="206"/>
        <v>12751</v>
      </c>
      <c r="Q3307" s="8">
        <f t="shared" si="207"/>
        <v>12597</v>
      </c>
      <c r="R3307" s="2" t="s">
        <v>50</v>
      </c>
      <c r="S3307" s="9">
        <f>VLOOKUP(P3307,$T$2:U3304,2,1)</f>
        <v>0.05</v>
      </c>
    </row>
    <row r="3308" spans="1:19" x14ac:dyDescent="0.25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e">
        <f>VLOOKUP(F3308,'Customer Info'!A3300:I3799,2,0)</f>
        <v>#N/A</v>
      </c>
      <c r="H3308" s="6" t="e">
        <f>VLOOKUP(F3308,'Customer Info'!A3300:I3799,3,0)</f>
        <v>#N/A</v>
      </c>
      <c r="I3308" s="6" t="e">
        <f>VLOOKUP(F3308,'Customer Info'!A3300:I3799,5,0)</f>
        <v>#N/A</v>
      </c>
      <c r="J3308" s="2">
        <v>224</v>
      </c>
      <c r="K3308" s="2">
        <v>210</v>
      </c>
      <c r="L3308" s="2">
        <v>2</v>
      </c>
      <c r="M3308" s="7">
        <f t="shared" si="204"/>
        <v>420</v>
      </c>
      <c r="N3308" s="7">
        <f t="shared" si="205"/>
        <v>448</v>
      </c>
      <c r="O3308" s="2">
        <v>63</v>
      </c>
      <c r="P3308" s="8">
        <f t="shared" si="206"/>
        <v>511</v>
      </c>
      <c r="Q3308" s="8">
        <f t="shared" si="207"/>
        <v>385</v>
      </c>
      <c r="R3308" s="2" t="s">
        <v>28</v>
      </c>
      <c r="S3308" s="9">
        <f>VLOOKUP(P3308,$T$2:U3305,2,1)</f>
        <v>0.02</v>
      </c>
    </row>
    <row r="3309" spans="1:19" x14ac:dyDescent="0.25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e">
        <f>VLOOKUP(F3309,'Customer Info'!A3301:I3800,2,0)</f>
        <v>#N/A</v>
      </c>
      <c r="H3309" s="6" t="e">
        <f>VLOOKUP(F3309,'Customer Info'!A3301:I3800,3,0)</f>
        <v>#N/A</v>
      </c>
      <c r="I3309" s="6" t="e">
        <f>VLOOKUP(F3309,'Customer Info'!A3301:I3800,5,0)</f>
        <v>#N/A</v>
      </c>
      <c r="J3309" s="2">
        <v>4122</v>
      </c>
      <c r="K3309" s="2">
        <v>3781</v>
      </c>
      <c r="L3309" s="2">
        <v>2</v>
      </c>
      <c r="M3309" s="7">
        <f t="shared" si="204"/>
        <v>7562</v>
      </c>
      <c r="N3309" s="7">
        <f t="shared" si="205"/>
        <v>8244</v>
      </c>
      <c r="O3309" s="2">
        <v>70</v>
      </c>
      <c r="P3309" s="8">
        <f t="shared" si="206"/>
        <v>8314</v>
      </c>
      <c r="Q3309" s="8">
        <f t="shared" si="207"/>
        <v>8174</v>
      </c>
      <c r="R3309" s="2" t="s">
        <v>26</v>
      </c>
      <c r="S3309" s="9">
        <f>VLOOKUP(P3309,$T$2:U3306,2,1)</f>
        <v>0.05</v>
      </c>
    </row>
    <row r="3310" spans="1:19" x14ac:dyDescent="0.25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e">
        <f>VLOOKUP(F3310,'Customer Info'!A3302:I3801,2,0)</f>
        <v>#N/A</v>
      </c>
      <c r="H3310" s="6" t="e">
        <f>VLOOKUP(F3310,'Customer Info'!A3302:I3801,3,0)</f>
        <v>#N/A</v>
      </c>
      <c r="I3310" s="6" t="e">
        <f>VLOOKUP(F3310,'Customer Info'!A3302:I3801,5,0)</f>
        <v>#N/A</v>
      </c>
      <c r="J3310" s="2">
        <v>3145</v>
      </c>
      <c r="K3310" s="2">
        <v>3025</v>
      </c>
      <c r="L3310" s="2">
        <v>7</v>
      </c>
      <c r="M3310" s="7">
        <f t="shared" si="204"/>
        <v>21175</v>
      </c>
      <c r="N3310" s="7">
        <f t="shared" si="205"/>
        <v>22015</v>
      </c>
      <c r="O3310" s="2">
        <v>40</v>
      </c>
      <c r="P3310" s="8">
        <f t="shared" si="206"/>
        <v>22055</v>
      </c>
      <c r="Q3310" s="8">
        <f t="shared" si="207"/>
        <v>21975</v>
      </c>
      <c r="R3310" s="2" t="s">
        <v>50</v>
      </c>
      <c r="S3310" s="9">
        <f>VLOOKUP(P3310,$T$2:U3307,2,1)</f>
        <v>0.05</v>
      </c>
    </row>
    <row r="3311" spans="1:19" x14ac:dyDescent="0.25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e">
        <f>VLOOKUP(F3311,'Customer Info'!A3303:I3802,2,0)</f>
        <v>#N/A</v>
      </c>
      <c r="H3311" s="6" t="e">
        <f>VLOOKUP(F3311,'Customer Info'!A3303:I3802,3,0)</f>
        <v>#N/A</v>
      </c>
      <c r="I3311" s="6" t="e">
        <f>VLOOKUP(F3311,'Customer Info'!A3303:I3802,5,0)</f>
        <v>#N/A</v>
      </c>
      <c r="J3311" s="2">
        <v>2790</v>
      </c>
      <c r="K3311" s="2">
        <v>2557</v>
      </c>
      <c r="L3311" s="2">
        <v>3</v>
      </c>
      <c r="M3311" s="7">
        <f t="shared" si="204"/>
        <v>7671</v>
      </c>
      <c r="N3311" s="7">
        <f t="shared" si="205"/>
        <v>8370</v>
      </c>
      <c r="O3311" s="2">
        <v>46</v>
      </c>
      <c r="P3311" s="8">
        <f t="shared" si="206"/>
        <v>8416</v>
      </c>
      <c r="Q3311" s="8">
        <f t="shared" si="207"/>
        <v>8324</v>
      </c>
      <c r="R3311" s="2" t="s">
        <v>28</v>
      </c>
      <c r="S3311" s="9">
        <f>VLOOKUP(P3311,$T$2:U3308,2,1)</f>
        <v>0.05</v>
      </c>
    </row>
    <row r="3312" spans="1:19" x14ac:dyDescent="0.25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e">
        <f>VLOOKUP(F3312,'Customer Info'!A3304:I3803,2,0)</f>
        <v>#N/A</v>
      </c>
      <c r="H3312" s="6" t="e">
        <f>VLOOKUP(F3312,'Customer Info'!A3304:I3803,3,0)</f>
        <v>#N/A</v>
      </c>
      <c r="I3312" s="6" t="e">
        <f>VLOOKUP(F3312,'Customer Info'!A3304:I3803,5,0)</f>
        <v>#N/A</v>
      </c>
      <c r="J3312" s="2">
        <v>8630</v>
      </c>
      <c r="K3312" s="2">
        <v>8303</v>
      </c>
      <c r="L3312" s="2">
        <v>4</v>
      </c>
      <c r="M3312" s="7">
        <f t="shared" si="204"/>
        <v>33212</v>
      </c>
      <c r="N3312" s="7">
        <f t="shared" si="205"/>
        <v>34520</v>
      </c>
      <c r="O3312" s="2">
        <v>63</v>
      </c>
      <c r="P3312" s="8">
        <f t="shared" si="206"/>
        <v>34583</v>
      </c>
      <c r="Q3312" s="8">
        <f t="shared" si="207"/>
        <v>34457</v>
      </c>
      <c r="R3312" s="2" t="s">
        <v>28</v>
      </c>
      <c r="S3312" s="9">
        <f>VLOOKUP(P3312,$T$2:U3309,2,1)</f>
        <v>7.0000000000000007E-2</v>
      </c>
    </row>
    <row r="3313" spans="1:19" x14ac:dyDescent="0.25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e">
        <f>VLOOKUP(F3313,'Customer Info'!A3305:I3804,2,0)</f>
        <v>#N/A</v>
      </c>
      <c r="H3313" s="6" t="e">
        <f>VLOOKUP(F3313,'Customer Info'!A3305:I3804,3,0)</f>
        <v>#N/A</v>
      </c>
      <c r="I3313" s="6" t="e">
        <f>VLOOKUP(F3313,'Customer Info'!A3305:I3804,5,0)</f>
        <v>#N/A</v>
      </c>
      <c r="J3313" s="2">
        <v>2017</v>
      </c>
      <c r="K3313" s="2">
        <v>1834</v>
      </c>
      <c r="L3313" s="2">
        <v>2</v>
      </c>
      <c r="M3313" s="7">
        <f t="shared" si="204"/>
        <v>3668</v>
      </c>
      <c r="N3313" s="7">
        <f t="shared" si="205"/>
        <v>4034</v>
      </c>
      <c r="O3313" s="2">
        <v>88</v>
      </c>
      <c r="P3313" s="8">
        <f t="shared" si="206"/>
        <v>4122</v>
      </c>
      <c r="Q3313" s="8">
        <f t="shared" si="207"/>
        <v>3946</v>
      </c>
      <c r="R3313" s="2" t="s">
        <v>50</v>
      </c>
      <c r="S3313" s="9">
        <f>VLOOKUP(P3313,$T$2:U3310,2,1)</f>
        <v>0.02</v>
      </c>
    </row>
    <row r="3314" spans="1:19" x14ac:dyDescent="0.25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e">
        <f>VLOOKUP(F3314,'Customer Info'!A3306:I3805,2,0)</f>
        <v>#N/A</v>
      </c>
      <c r="H3314" s="6" t="e">
        <f>VLOOKUP(F3314,'Customer Info'!A3306:I3805,3,0)</f>
        <v>#N/A</v>
      </c>
      <c r="I3314" s="6" t="e">
        <f>VLOOKUP(F3314,'Customer Info'!A3306:I3805,5,0)</f>
        <v>#N/A</v>
      </c>
      <c r="J3314" s="2">
        <v>2503</v>
      </c>
      <c r="K3314" s="2">
        <v>2454</v>
      </c>
      <c r="L3314" s="2">
        <v>3</v>
      </c>
      <c r="M3314" s="7">
        <f t="shared" si="204"/>
        <v>7362</v>
      </c>
      <c r="N3314" s="7">
        <f t="shared" si="205"/>
        <v>7509</v>
      </c>
      <c r="O3314" s="2">
        <v>53</v>
      </c>
      <c r="P3314" s="8">
        <f t="shared" si="206"/>
        <v>7562</v>
      </c>
      <c r="Q3314" s="8">
        <f t="shared" si="207"/>
        <v>7456</v>
      </c>
      <c r="R3314" s="2" t="s">
        <v>50</v>
      </c>
      <c r="S3314" s="9">
        <f>VLOOKUP(P3314,$T$2:U3311,2,1)</f>
        <v>0.05</v>
      </c>
    </row>
    <row r="3315" spans="1:19" x14ac:dyDescent="0.25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e">
        <f>VLOOKUP(F3315,'Customer Info'!A3307:I3806,2,0)</f>
        <v>#N/A</v>
      </c>
      <c r="H3315" s="6" t="e">
        <f>VLOOKUP(F3315,'Customer Info'!A3307:I3806,3,0)</f>
        <v>#N/A</v>
      </c>
      <c r="I3315" s="6" t="e">
        <f>VLOOKUP(F3315,'Customer Info'!A3307:I3806,5,0)</f>
        <v>#N/A</v>
      </c>
      <c r="J3315" s="2">
        <v>465</v>
      </c>
      <c r="K3315" s="2">
        <v>439</v>
      </c>
      <c r="L3315" s="2">
        <v>3</v>
      </c>
      <c r="M3315" s="7">
        <f t="shared" si="204"/>
        <v>1317</v>
      </c>
      <c r="N3315" s="7">
        <f t="shared" si="205"/>
        <v>1395</v>
      </c>
      <c r="O3315" s="2">
        <v>94</v>
      </c>
      <c r="P3315" s="8">
        <f t="shared" si="206"/>
        <v>1489</v>
      </c>
      <c r="Q3315" s="8">
        <f t="shared" si="207"/>
        <v>1301</v>
      </c>
      <c r="R3315" s="2" t="s">
        <v>28</v>
      </c>
      <c r="S3315" s="9">
        <f>VLOOKUP(P3315,$T$2:U3312,2,1)</f>
        <v>0.02</v>
      </c>
    </row>
    <row r="3316" spans="1:19" x14ac:dyDescent="0.25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e">
        <f>VLOOKUP(F3316,'Customer Info'!A3308:I3807,2,0)</f>
        <v>#N/A</v>
      </c>
      <c r="H3316" s="6" t="e">
        <f>VLOOKUP(F3316,'Customer Info'!A3308:I3807,3,0)</f>
        <v>#N/A</v>
      </c>
      <c r="I3316" s="6" t="e">
        <f>VLOOKUP(F3316,'Customer Info'!A3308:I3807,5,0)</f>
        <v>#N/A</v>
      </c>
      <c r="J3316" s="2">
        <v>56</v>
      </c>
      <c r="K3316" s="2">
        <v>54</v>
      </c>
      <c r="L3316" s="2">
        <v>2</v>
      </c>
      <c r="M3316" s="7">
        <f t="shared" si="204"/>
        <v>108</v>
      </c>
      <c r="N3316" s="7">
        <f t="shared" si="205"/>
        <v>112</v>
      </c>
      <c r="O3316" s="2">
        <v>10</v>
      </c>
      <c r="P3316" s="8">
        <f t="shared" si="206"/>
        <v>122</v>
      </c>
      <c r="Q3316" s="8">
        <f t="shared" si="207"/>
        <v>102</v>
      </c>
      <c r="R3316" s="2" t="s">
        <v>50</v>
      </c>
      <c r="S3316" s="9">
        <f>VLOOKUP(P3316,$T$2:U3313,2,1)</f>
        <v>0.02</v>
      </c>
    </row>
    <row r="3317" spans="1:19" x14ac:dyDescent="0.25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e">
        <f>VLOOKUP(F3317,'Customer Info'!A3309:I3808,2,0)</f>
        <v>#N/A</v>
      </c>
      <c r="H3317" s="6" t="e">
        <f>VLOOKUP(F3317,'Customer Info'!A3309:I3808,3,0)</f>
        <v>#N/A</v>
      </c>
      <c r="I3317" s="6" t="e">
        <f>VLOOKUP(F3317,'Customer Info'!A3309:I3808,5,0)</f>
        <v>#N/A</v>
      </c>
      <c r="J3317" s="2">
        <v>279</v>
      </c>
      <c r="K3317" s="2">
        <v>254</v>
      </c>
      <c r="L3317" s="2">
        <v>1</v>
      </c>
      <c r="M3317" s="7">
        <f t="shared" si="204"/>
        <v>254</v>
      </c>
      <c r="N3317" s="7">
        <f t="shared" si="205"/>
        <v>279</v>
      </c>
      <c r="O3317" s="2">
        <v>72</v>
      </c>
      <c r="P3317" s="8">
        <f t="shared" si="206"/>
        <v>351</v>
      </c>
      <c r="Q3317" s="8">
        <f t="shared" si="207"/>
        <v>207</v>
      </c>
      <c r="R3317" s="2" t="s">
        <v>50</v>
      </c>
      <c r="S3317" s="9">
        <f>VLOOKUP(P3317,$T$2:U3314,2,1)</f>
        <v>0.02</v>
      </c>
    </row>
    <row r="3318" spans="1:19" x14ac:dyDescent="0.25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e">
        <f>VLOOKUP(F3318,'Customer Info'!A3310:I3809,2,0)</f>
        <v>#N/A</v>
      </c>
      <c r="H3318" s="6" t="e">
        <f>VLOOKUP(F3318,'Customer Info'!A3310:I3809,3,0)</f>
        <v>#N/A</v>
      </c>
      <c r="I3318" s="6" t="e">
        <f>VLOOKUP(F3318,'Customer Info'!A3310:I3809,5,0)</f>
        <v>#N/A</v>
      </c>
      <c r="J3318" s="2">
        <v>526</v>
      </c>
      <c r="K3318" s="2">
        <v>487</v>
      </c>
      <c r="L3318" s="2">
        <v>3</v>
      </c>
      <c r="M3318" s="7">
        <f t="shared" si="204"/>
        <v>1461</v>
      </c>
      <c r="N3318" s="7">
        <f t="shared" si="205"/>
        <v>1578</v>
      </c>
      <c r="O3318" s="2">
        <v>52</v>
      </c>
      <c r="P3318" s="8">
        <f t="shared" si="206"/>
        <v>1630</v>
      </c>
      <c r="Q3318" s="8">
        <f t="shared" si="207"/>
        <v>1526</v>
      </c>
      <c r="R3318" s="2" t="s">
        <v>28</v>
      </c>
      <c r="S3318" s="9">
        <f>VLOOKUP(P3318,$T$2:U3315,2,1)</f>
        <v>0.02</v>
      </c>
    </row>
    <row r="3319" spans="1:19" x14ac:dyDescent="0.25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e">
        <f>VLOOKUP(F3319,'Customer Info'!A3311:I3810,2,0)</f>
        <v>#N/A</v>
      </c>
      <c r="H3319" s="6" t="e">
        <f>VLOOKUP(F3319,'Customer Info'!A3311:I3810,3,0)</f>
        <v>#N/A</v>
      </c>
      <c r="I3319" s="6" t="e">
        <f>VLOOKUP(F3319,'Customer Info'!A3311:I3810,5,0)</f>
        <v>#N/A</v>
      </c>
      <c r="J3319" s="2">
        <v>472</v>
      </c>
      <c r="K3319" s="2">
        <v>432</v>
      </c>
      <c r="L3319" s="2">
        <v>1</v>
      </c>
      <c r="M3319" s="7">
        <f t="shared" si="204"/>
        <v>432</v>
      </c>
      <c r="N3319" s="7">
        <f t="shared" si="205"/>
        <v>472</v>
      </c>
      <c r="O3319" s="2">
        <v>73</v>
      </c>
      <c r="P3319" s="8">
        <f t="shared" si="206"/>
        <v>545</v>
      </c>
      <c r="Q3319" s="8">
        <f t="shared" si="207"/>
        <v>399</v>
      </c>
      <c r="R3319" s="2" t="s">
        <v>28</v>
      </c>
      <c r="S3319" s="9">
        <f>VLOOKUP(P3319,$T$2:U3316,2,1)</f>
        <v>0.02</v>
      </c>
    </row>
    <row r="3320" spans="1:19" x14ac:dyDescent="0.25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e">
        <f>VLOOKUP(F3320,'Customer Info'!A3312:I3811,2,0)</f>
        <v>#N/A</v>
      </c>
      <c r="H3320" s="6" t="e">
        <f>VLOOKUP(F3320,'Customer Info'!A3312:I3811,3,0)</f>
        <v>#N/A</v>
      </c>
      <c r="I3320" s="6" t="e">
        <f>VLOOKUP(F3320,'Customer Info'!A3312:I3811,5,0)</f>
        <v>#N/A</v>
      </c>
      <c r="J3320" s="2">
        <v>2874</v>
      </c>
      <c r="K3320" s="2">
        <v>2583</v>
      </c>
      <c r="L3320" s="2">
        <v>4</v>
      </c>
      <c r="M3320" s="7">
        <f t="shared" si="204"/>
        <v>10332</v>
      </c>
      <c r="N3320" s="7">
        <f t="shared" si="205"/>
        <v>11496</v>
      </c>
      <c r="O3320" s="2">
        <v>35</v>
      </c>
      <c r="P3320" s="8">
        <f t="shared" si="206"/>
        <v>11531</v>
      </c>
      <c r="Q3320" s="8">
        <f t="shared" si="207"/>
        <v>11461</v>
      </c>
      <c r="R3320" s="2" t="s">
        <v>28</v>
      </c>
      <c r="S3320" s="9">
        <f>VLOOKUP(P3320,$T$2:U3317,2,1)</f>
        <v>0.05</v>
      </c>
    </row>
    <row r="3321" spans="1:19" x14ac:dyDescent="0.25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e">
        <f>VLOOKUP(F3321,'Customer Info'!A3313:I3812,2,0)</f>
        <v>#N/A</v>
      </c>
      <c r="H3321" s="6" t="e">
        <f>VLOOKUP(F3321,'Customer Info'!A3313:I3812,3,0)</f>
        <v>#N/A</v>
      </c>
      <c r="I3321" s="6" t="e">
        <f>VLOOKUP(F3321,'Customer Info'!A3313:I3812,5,0)</f>
        <v>#N/A</v>
      </c>
      <c r="J3321" s="2">
        <v>1816</v>
      </c>
      <c r="K3321" s="2">
        <v>1699</v>
      </c>
      <c r="L3321" s="2">
        <v>8</v>
      </c>
      <c r="M3321" s="7">
        <f t="shared" si="204"/>
        <v>13592</v>
      </c>
      <c r="N3321" s="7">
        <f t="shared" si="205"/>
        <v>14528</v>
      </c>
      <c r="O3321" s="2">
        <v>30</v>
      </c>
      <c r="P3321" s="8">
        <f t="shared" si="206"/>
        <v>14558</v>
      </c>
      <c r="Q3321" s="8">
        <f t="shared" si="207"/>
        <v>14498</v>
      </c>
      <c r="R3321" s="2" t="s">
        <v>28</v>
      </c>
      <c r="S3321" s="9">
        <f>VLOOKUP(P3321,$T$2:U3318,2,1)</f>
        <v>0.05</v>
      </c>
    </row>
    <row r="3322" spans="1:19" x14ac:dyDescent="0.25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e">
        <f>VLOOKUP(F3322,'Customer Info'!A3314:I3813,2,0)</f>
        <v>#N/A</v>
      </c>
      <c r="H3322" s="6" t="e">
        <f>VLOOKUP(F3322,'Customer Info'!A3314:I3813,3,0)</f>
        <v>#N/A</v>
      </c>
      <c r="I3322" s="6" t="e">
        <f>VLOOKUP(F3322,'Customer Info'!A3314:I3813,5,0)</f>
        <v>#N/A</v>
      </c>
      <c r="J3322" s="2">
        <v>1668</v>
      </c>
      <c r="K3322" s="2">
        <v>1636</v>
      </c>
      <c r="L3322" s="2">
        <v>7</v>
      </c>
      <c r="M3322" s="7">
        <f t="shared" si="204"/>
        <v>11452</v>
      </c>
      <c r="N3322" s="7">
        <f t="shared" si="205"/>
        <v>11676</v>
      </c>
      <c r="O3322" s="2">
        <v>78</v>
      </c>
      <c r="P3322" s="8">
        <f t="shared" si="206"/>
        <v>11754</v>
      </c>
      <c r="Q3322" s="8">
        <f t="shared" si="207"/>
        <v>11598</v>
      </c>
      <c r="R3322" s="2" t="s">
        <v>28</v>
      </c>
      <c r="S3322" s="9">
        <f>VLOOKUP(P3322,$T$2:U3319,2,1)</f>
        <v>0.05</v>
      </c>
    </row>
    <row r="3323" spans="1:19" x14ac:dyDescent="0.25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e">
        <f>VLOOKUP(F3323,'Customer Info'!A3315:I3814,2,0)</f>
        <v>#N/A</v>
      </c>
      <c r="H3323" s="6" t="e">
        <f>VLOOKUP(F3323,'Customer Info'!A3315:I3814,3,0)</f>
        <v>#N/A</v>
      </c>
      <c r="I3323" s="6" t="e">
        <f>VLOOKUP(F3323,'Customer Info'!A3315:I3814,5,0)</f>
        <v>#N/A</v>
      </c>
      <c r="J3323" s="2">
        <v>8281</v>
      </c>
      <c r="K3323" s="2">
        <v>7673</v>
      </c>
      <c r="L3323" s="2">
        <v>6</v>
      </c>
      <c r="M3323" s="7">
        <f t="shared" si="204"/>
        <v>46038</v>
      </c>
      <c r="N3323" s="7">
        <f t="shared" si="205"/>
        <v>49686</v>
      </c>
      <c r="O3323" s="2">
        <v>30</v>
      </c>
      <c r="P3323" s="8">
        <f t="shared" si="206"/>
        <v>49716</v>
      </c>
      <c r="Q3323" s="8">
        <f t="shared" si="207"/>
        <v>49656</v>
      </c>
      <c r="R3323" s="2" t="s">
        <v>28</v>
      </c>
      <c r="S3323" s="9">
        <f>VLOOKUP(P3323,$T$2:U3320,2,1)</f>
        <v>7.0000000000000007E-2</v>
      </c>
    </row>
    <row r="3324" spans="1:19" x14ac:dyDescent="0.25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e">
        <f>VLOOKUP(F3324,'Customer Info'!A3316:I3815,2,0)</f>
        <v>#N/A</v>
      </c>
      <c r="H3324" s="6" t="e">
        <f>VLOOKUP(F3324,'Customer Info'!A3316:I3815,3,0)</f>
        <v>#N/A</v>
      </c>
      <c r="I3324" s="6" t="e">
        <f>VLOOKUP(F3324,'Customer Info'!A3316:I3815,5,0)</f>
        <v>#N/A</v>
      </c>
      <c r="J3324" s="2">
        <v>69</v>
      </c>
      <c r="K3324" s="2">
        <v>64</v>
      </c>
      <c r="L3324" s="2">
        <v>1</v>
      </c>
      <c r="M3324" s="7">
        <f t="shared" si="204"/>
        <v>64</v>
      </c>
      <c r="N3324" s="7">
        <f t="shared" si="205"/>
        <v>69</v>
      </c>
      <c r="O3324" s="2">
        <v>10</v>
      </c>
      <c r="P3324" s="8">
        <f t="shared" si="206"/>
        <v>79</v>
      </c>
      <c r="Q3324" s="8">
        <f t="shared" si="207"/>
        <v>59</v>
      </c>
      <c r="R3324" s="2" t="s">
        <v>28</v>
      </c>
      <c r="S3324" s="9">
        <f>VLOOKUP(P3324,$T$2:U3321,2,1)</f>
        <v>0.02</v>
      </c>
    </row>
    <row r="3325" spans="1:19" x14ac:dyDescent="0.25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e">
        <f>VLOOKUP(F3325,'Customer Info'!A3317:I3816,2,0)</f>
        <v>#N/A</v>
      </c>
      <c r="H3325" s="6" t="e">
        <f>VLOOKUP(F3325,'Customer Info'!A3317:I3816,3,0)</f>
        <v>#N/A</v>
      </c>
      <c r="I3325" s="6" t="e">
        <f>VLOOKUP(F3325,'Customer Info'!A3317:I3816,5,0)</f>
        <v>#N/A</v>
      </c>
      <c r="J3325" s="2">
        <v>29378</v>
      </c>
      <c r="K3325" s="2">
        <v>26912</v>
      </c>
      <c r="L3325" s="2">
        <v>4</v>
      </c>
      <c r="M3325" s="7">
        <f t="shared" si="204"/>
        <v>107648</v>
      </c>
      <c r="N3325" s="7">
        <f t="shared" si="205"/>
        <v>117512</v>
      </c>
      <c r="O3325" s="2">
        <v>25</v>
      </c>
      <c r="P3325" s="8">
        <f t="shared" si="206"/>
        <v>117537</v>
      </c>
      <c r="Q3325" s="8">
        <f t="shared" si="207"/>
        <v>117487</v>
      </c>
      <c r="R3325" s="2" t="s">
        <v>26</v>
      </c>
      <c r="S3325" s="9">
        <f>VLOOKUP(P3325,$T$2:U3322,2,1)</f>
        <v>0.12</v>
      </c>
    </row>
    <row r="3326" spans="1:19" x14ac:dyDescent="0.25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e">
        <f>VLOOKUP(F3326,'Customer Info'!A3318:I3817,2,0)</f>
        <v>#N/A</v>
      </c>
      <c r="H3326" s="6" t="e">
        <f>VLOOKUP(F3326,'Customer Info'!A3318:I3817,3,0)</f>
        <v>#N/A</v>
      </c>
      <c r="I3326" s="6" t="e">
        <f>VLOOKUP(F3326,'Customer Info'!A3318:I3817,5,0)</f>
        <v>#N/A</v>
      </c>
      <c r="J3326" s="2">
        <v>142</v>
      </c>
      <c r="K3326" s="2">
        <v>129</v>
      </c>
      <c r="L3326" s="2">
        <v>1</v>
      </c>
      <c r="M3326" s="7">
        <f t="shared" si="204"/>
        <v>129</v>
      </c>
      <c r="N3326" s="7">
        <f t="shared" si="205"/>
        <v>142</v>
      </c>
      <c r="O3326" s="2">
        <v>30</v>
      </c>
      <c r="P3326" s="8">
        <f t="shared" si="206"/>
        <v>172</v>
      </c>
      <c r="Q3326" s="8">
        <f t="shared" si="207"/>
        <v>112</v>
      </c>
      <c r="R3326" s="2" t="s">
        <v>50</v>
      </c>
      <c r="S3326" s="9">
        <f>VLOOKUP(P3326,$T$2:U3323,2,1)</f>
        <v>0.02</v>
      </c>
    </row>
    <row r="3327" spans="1:19" x14ac:dyDescent="0.25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e">
        <f>VLOOKUP(F3327,'Customer Info'!A3319:I3818,2,0)</f>
        <v>#N/A</v>
      </c>
      <c r="H3327" s="6" t="e">
        <f>VLOOKUP(F3327,'Customer Info'!A3319:I3818,3,0)</f>
        <v>#N/A</v>
      </c>
      <c r="I3327" s="6" t="e">
        <f>VLOOKUP(F3327,'Customer Info'!A3319:I3818,5,0)</f>
        <v>#N/A</v>
      </c>
      <c r="J3327" s="2">
        <v>691</v>
      </c>
      <c r="K3327" s="2">
        <v>646</v>
      </c>
      <c r="L3327" s="2">
        <v>1</v>
      </c>
      <c r="M3327" s="7">
        <f t="shared" si="204"/>
        <v>646</v>
      </c>
      <c r="N3327" s="7">
        <f t="shared" si="205"/>
        <v>691</v>
      </c>
      <c r="O3327" s="2">
        <v>72</v>
      </c>
      <c r="P3327" s="8">
        <f t="shared" si="206"/>
        <v>763</v>
      </c>
      <c r="Q3327" s="8">
        <f t="shared" si="207"/>
        <v>619</v>
      </c>
      <c r="R3327" s="2" t="s">
        <v>28</v>
      </c>
      <c r="S3327" s="9">
        <f>VLOOKUP(P3327,$T$2:U3324,2,1)</f>
        <v>0.02</v>
      </c>
    </row>
    <row r="3328" spans="1:19" x14ac:dyDescent="0.25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e">
        <f>VLOOKUP(F3328,'Customer Info'!A3320:I3819,2,0)</f>
        <v>#N/A</v>
      </c>
      <c r="H3328" s="6" t="e">
        <f>VLOOKUP(F3328,'Customer Info'!A3320:I3819,3,0)</f>
        <v>#N/A</v>
      </c>
      <c r="I3328" s="6" t="e">
        <f>VLOOKUP(F3328,'Customer Info'!A3320:I3819,5,0)</f>
        <v>#N/A</v>
      </c>
      <c r="J3328" s="2">
        <v>1718</v>
      </c>
      <c r="K3328" s="2">
        <v>1545</v>
      </c>
      <c r="L3328" s="2">
        <v>7</v>
      </c>
      <c r="M3328" s="7">
        <f t="shared" si="204"/>
        <v>10815</v>
      </c>
      <c r="N3328" s="7">
        <f t="shared" si="205"/>
        <v>12026</v>
      </c>
      <c r="O3328" s="2">
        <v>100</v>
      </c>
      <c r="P3328" s="8">
        <f t="shared" si="206"/>
        <v>12126</v>
      </c>
      <c r="Q3328" s="8">
        <f t="shared" si="207"/>
        <v>11926</v>
      </c>
      <c r="R3328" s="2" t="s">
        <v>28</v>
      </c>
      <c r="S3328" s="9">
        <f>VLOOKUP(P3328,$T$2:U3325,2,1)</f>
        <v>0.05</v>
      </c>
    </row>
    <row r="3329" spans="1:19" x14ac:dyDescent="0.25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e">
        <f>VLOOKUP(F3329,'Customer Info'!A3321:I3820,2,0)</f>
        <v>#N/A</v>
      </c>
      <c r="H3329" s="6" t="e">
        <f>VLOOKUP(F3329,'Customer Info'!A3321:I3820,3,0)</f>
        <v>#N/A</v>
      </c>
      <c r="I3329" s="6" t="e">
        <f>VLOOKUP(F3329,'Customer Info'!A3321:I3820,5,0)</f>
        <v>#N/A</v>
      </c>
      <c r="J3329" s="2">
        <v>7327</v>
      </c>
      <c r="K3329" s="2">
        <v>6658</v>
      </c>
      <c r="L3329" s="2">
        <v>5</v>
      </c>
      <c r="M3329" s="7">
        <f t="shared" si="204"/>
        <v>33290</v>
      </c>
      <c r="N3329" s="7">
        <f t="shared" si="205"/>
        <v>36635</v>
      </c>
      <c r="O3329" s="2">
        <v>84</v>
      </c>
      <c r="P3329" s="8">
        <f t="shared" si="206"/>
        <v>36719</v>
      </c>
      <c r="Q3329" s="8">
        <f t="shared" si="207"/>
        <v>36551</v>
      </c>
      <c r="R3329" s="2" t="s">
        <v>50</v>
      </c>
      <c r="S3329" s="9">
        <f>VLOOKUP(P3329,$T$2:U3326,2,1)</f>
        <v>7.0000000000000007E-2</v>
      </c>
    </row>
    <row r="3330" spans="1:19" x14ac:dyDescent="0.25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e">
        <f>VLOOKUP(F3330,'Customer Info'!A3322:I3821,2,0)</f>
        <v>#N/A</v>
      </c>
      <c r="H3330" s="6" t="e">
        <f>VLOOKUP(F3330,'Customer Info'!A3322:I3821,3,0)</f>
        <v>#N/A</v>
      </c>
      <c r="I3330" s="6" t="e">
        <f>VLOOKUP(F3330,'Customer Info'!A3322:I3821,5,0)</f>
        <v>#N/A</v>
      </c>
      <c r="J3330" s="2">
        <v>1125</v>
      </c>
      <c r="K3330" s="2">
        <v>1040</v>
      </c>
      <c r="L3330" s="2">
        <v>3</v>
      </c>
      <c r="M3330" s="7">
        <f t="shared" si="204"/>
        <v>3120</v>
      </c>
      <c r="N3330" s="7">
        <f t="shared" si="205"/>
        <v>3375</v>
      </c>
      <c r="O3330" s="2">
        <v>100</v>
      </c>
      <c r="P3330" s="8">
        <f t="shared" si="206"/>
        <v>3475</v>
      </c>
      <c r="Q3330" s="8">
        <f t="shared" si="207"/>
        <v>3275</v>
      </c>
      <c r="R3330" s="2" t="s">
        <v>50</v>
      </c>
      <c r="S3330" s="9">
        <f>VLOOKUP(P3330,$T$2:U3327,2,1)</f>
        <v>0.02</v>
      </c>
    </row>
    <row r="3331" spans="1:19" x14ac:dyDescent="0.25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e">
        <f>VLOOKUP(F3331,'Customer Info'!A3323:I3822,2,0)</f>
        <v>#N/A</v>
      </c>
      <c r="H3331" s="6" t="e">
        <f>VLOOKUP(F3331,'Customer Info'!A3323:I3822,3,0)</f>
        <v>#N/A</v>
      </c>
      <c r="I3331" s="6" t="e">
        <f>VLOOKUP(F3331,'Customer Info'!A3323:I3822,5,0)</f>
        <v>#N/A</v>
      </c>
      <c r="J3331" s="2">
        <v>1654</v>
      </c>
      <c r="K3331" s="2">
        <v>1577</v>
      </c>
      <c r="L3331" s="2">
        <v>3</v>
      </c>
      <c r="M3331" s="7">
        <f t="shared" si="204"/>
        <v>4731</v>
      </c>
      <c r="N3331" s="7">
        <f t="shared" si="205"/>
        <v>4962</v>
      </c>
      <c r="O3331" s="2">
        <v>79</v>
      </c>
      <c r="P3331" s="8">
        <f t="shared" si="206"/>
        <v>5041</v>
      </c>
      <c r="Q3331" s="8">
        <f t="shared" si="207"/>
        <v>4883</v>
      </c>
      <c r="R3331" s="2" t="s">
        <v>50</v>
      </c>
      <c r="S3331" s="9">
        <f>VLOOKUP(P3331,$T$2:U3328,2,1)</f>
        <v>0.05</v>
      </c>
    </row>
    <row r="3332" spans="1:19" x14ac:dyDescent="0.25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e">
        <f>VLOOKUP(F3332,'Customer Info'!A3324:I3823,2,0)</f>
        <v>#N/A</v>
      </c>
      <c r="H3332" s="6" t="e">
        <f>VLOOKUP(F3332,'Customer Info'!A3324:I3823,3,0)</f>
        <v>#N/A</v>
      </c>
      <c r="I3332" s="6" t="e">
        <f>VLOOKUP(F3332,'Customer Info'!A3324:I3823,5,0)</f>
        <v>#N/A</v>
      </c>
      <c r="J3332" s="2">
        <v>882</v>
      </c>
      <c r="K3332" s="2">
        <v>818</v>
      </c>
      <c r="L3332" s="2">
        <v>3</v>
      </c>
      <c r="M3332" s="7">
        <f t="shared" si="204"/>
        <v>2454</v>
      </c>
      <c r="N3332" s="7">
        <f t="shared" si="205"/>
        <v>2646</v>
      </c>
      <c r="O3332" s="2">
        <v>98</v>
      </c>
      <c r="P3332" s="8">
        <f t="shared" si="206"/>
        <v>2744</v>
      </c>
      <c r="Q3332" s="8">
        <f t="shared" si="207"/>
        <v>2548</v>
      </c>
      <c r="R3332" s="2" t="s">
        <v>50</v>
      </c>
      <c r="S3332" s="9">
        <f>VLOOKUP(P3332,$T$2:U3329,2,1)</f>
        <v>0.02</v>
      </c>
    </row>
    <row r="3333" spans="1:19" x14ac:dyDescent="0.25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e">
        <f>VLOOKUP(F3333,'Customer Info'!A3325:I3824,2,0)</f>
        <v>#N/A</v>
      </c>
      <c r="H3333" s="6" t="e">
        <f>VLOOKUP(F3333,'Customer Info'!A3325:I3824,3,0)</f>
        <v>#N/A</v>
      </c>
      <c r="I3333" s="6" t="e">
        <f>VLOOKUP(F3333,'Customer Info'!A3325:I3824,5,0)</f>
        <v>#N/A</v>
      </c>
      <c r="J3333" s="2">
        <v>2787</v>
      </c>
      <c r="K3333" s="2">
        <v>2681</v>
      </c>
      <c r="L3333" s="2">
        <v>2</v>
      </c>
      <c r="M3333" s="7">
        <f t="shared" si="204"/>
        <v>5362</v>
      </c>
      <c r="N3333" s="7">
        <f t="shared" si="205"/>
        <v>5574</v>
      </c>
      <c r="O3333" s="2">
        <v>56</v>
      </c>
      <c r="P3333" s="8">
        <f t="shared" si="206"/>
        <v>5630</v>
      </c>
      <c r="Q3333" s="8">
        <f t="shared" si="207"/>
        <v>5518</v>
      </c>
      <c r="R3333" s="2" t="s">
        <v>56</v>
      </c>
      <c r="S3333" s="9">
        <f>VLOOKUP(P3333,$T$2:U3330,2,1)</f>
        <v>0.05</v>
      </c>
    </row>
    <row r="3334" spans="1:19" x14ac:dyDescent="0.25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e">
        <f>VLOOKUP(F3334,'Customer Info'!A3326:I3825,2,0)</f>
        <v>#N/A</v>
      </c>
      <c r="H3334" s="6" t="e">
        <f>VLOOKUP(F3334,'Customer Info'!A3326:I3825,3,0)</f>
        <v>#N/A</v>
      </c>
      <c r="I3334" s="6" t="e">
        <f>VLOOKUP(F3334,'Customer Info'!A3326:I3825,5,0)</f>
        <v>#N/A</v>
      </c>
      <c r="J3334" s="2">
        <v>6024</v>
      </c>
      <c r="K3334" s="2">
        <v>5424</v>
      </c>
      <c r="L3334" s="2">
        <v>4</v>
      </c>
      <c r="M3334" s="7">
        <f t="shared" si="204"/>
        <v>21696</v>
      </c>
      <c r="N3334" s="7">
        <f t="shared" si="205"/>
        <v>24096</v>
      </c>
      <c r="O3334" s="2">
        <v>95</v>
      </c>
      <c r="P3334" s="8">
        <f t="shared" si="206"/>
        <v>24191</v>
      </c>
      <c r="Q3334" s="8">
        <f t="shared" si="207"/>
        <v>24001</v>
      </c>
      <c r="R3334" s="2" t="s">
        <v>28</v>
      </c>
      <c r="S3334" s="9">
        <f>VLOOKUP(P3334,$T$2:U3331,2,1)</f>
        <v>0.05</v>
      </c>
    </row>
    <row r="3335" spans="1:19" x14ac:dyDescent="0.25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e">
        <f>VLOOKUP(F3335,'Customer Info'!A3327:I3826,2,0)</f>
        <v>#N/A</v>
      </c>
      <c r="H3335" s="6" t="e">
        <f>VLOOKUP(F3335,'Customer Info'!A3327:I3826,3,0)</f>
        <v>#N/A</v>
      </c>
      <c r="I3335" s="6" t="e">
        <f>VLOOKUP(F3335,'Customer Info'!A3327:I3826,5,0)</f>
        <v>#N/A</v>
      </c>
      <c r="J3335" s="2">
        <v>851</v>
      </c>
      <c r="K3335" s="2">
        <v>773</v>
      </c>
      <c r="L3335" s="2">
        <v>7</v>
      </c>
      <c r="M3335" s="7">
        <f t="shared" si="204"/>
        <v>5411</v>
      </c>
      <c r="N3335" s="7">
        <f t="shared" si="205"/>
        <v>5957</v>
      </c>
      <c r="O3335" s="2">
        <v>57</v>
      </c>
      <c r="P3335" s="8">
        <f t="shared" si="206"/>
        <v>6014</v>
      </c>
      <c r="Q3335" s="8">
        <f t="shared" si="207"/>
        <v>5900</v>
      </c>
      <c r="R3335" s="2" t="s">
        <v>50</v>
      </c>
      <c r="S3335" s="9">
        <f>VLOOKUP(P3335,$T$2:U3332,2,1)</f>
        <v>0.05</v>
      </c>
    </row>
    <row r="3336" spans="1:19" x14ac:dyDescent="0.25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e">
        <f>VLOOKUP(F3336,'Customer Info'!A3328:I3827,2,0)</f>
        <v>#N/A</v>
      </c>
      <c r="H3336" s="6" t="e">
        <f>VLOOKUP(F3336,'Customer Info'!A3328:I3827,3,0)</f>
        <v>#N/A</v>
      </c>
      <c r="I3336" s="6" t="e">
        <f>VLOOKUP(F3336,'Customer Info'!A3328:I3827,5,0)</f>
        <v>#N/A</v>
      </c>
      <c r="J3336" s="2">
        <v>4798</v>
      </c>
      <c r="K3336" s="2">
        <v>4448</v>
      </c>
      <c r="L3336" s="2">
        <v>6</v>
      </c>
      <c r="M3336" s="7">
        <f t="shared" si="204"/>
        <v>26688</v>
      </c>
      <c r="N3336" s="7">
        <f t="shared" si="205"/>
        <v>28788</v>
      </c>
      <c r="O3336" s="2">
        <v>84</v>
      </c>
      <c r="P3336" s="8">
        <f t="shared" si="206"/>
        <v>28872</v>
      </c>
      <c r="Q3336" s="8">
        <f t="shared" si="207"/>
        <v>28704</v>
      </c>
      <c r="R3336" s="2" t="s">
        <v>50</v>
      </c>
      <c r="S3336" s="9">
        <f>VLOOKUP(P3336,$T$2:U3333,2,1)</f>
        <v>7.0000000000000007E-2</v>
      </c>
    </row>
    <row r="3337" spans="1:19" x14ac:dyDescent="0.25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e">
        <f>VLOOKUP(F3337,'Customer Info'!A3329:I3828,2,0)</f>
        <v>#N/A</v>
      </c>
      <c r="H3337" s="6" t="e">
        <f>VLOOKUP(F3337,'Customer Info'!A3329:I3828,3,0)</f>
        <v>#N/A</v>
      </c>
      <c r="I3337" s="6" t="e">
        <f>VLOOKUP(F3337,'Customer Info'!A3329:I3828,5,0)</f>
        <v>#N/A</v>
      </c>
      <c r="J3337" s="2">
        <v>671</v>
      </c>
      <c r="K3337" s="2">
        <v>627</v>
      </c>
      <c r="L3337" s="2">
        <v>4</v>
      </c>
      <c r="M3337" s="7">
        <f t="shared" si="204"/>
        <v>2508</v>
      </c>
      <c r="N3337" s="7">
        <f t="shared" si="205"/>
        <v>2684</v>
      </c>
      <c r="O3337" s="2">
        <v>56</v>
      </c>
      <c r="P3337" s="8">
        <f t="shared" si="206"/>
        <v>2740</v>
      </c>
      <c r="Q3337" s="8">
        <f t="shared" si="207"/>
        <v>2628</v>
      </c>
      <c r="R3337" s="2" t="s">
        <v>28</v>
      </c>
      <c r="S3337" s="9">
        <f>VLOOKUP(P3337,$T$2:U3334,2,1)</f>
        <v>0.02</v>
      </c>
    </row>
    <row r="3338" spans="1:19" x14ac:dyDescent="0.25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e">
        <f>VLOOKUP(F3338,'Customer Info'!A3330:I3829,2,0)</f>
        <v>#N/A</v>
      </c>
      <c r="H3338" s="6" t="e">
        <f>VLOOKUP(F3338,'Customer Info'!A3330:I3829,3,0)</f>
        <v>#N/A</v>
      </c>
      <c r="I3338" s="6" t="e">
        <f>VLOOKUP(F3338,'Customer Info'!A3330:I3829,5,0)</f>
        <v>#N/A</v>
      </c>
      <c r="J3338" s="2">
        <v>1997</v>
      </c>
      <c r="K3338" s="2">
        <v>1816</v>
      </c>
      <c r="L3338" s="2">
        <v>2</v>
      </c>
      <c r="M3338" s="7">
        <f t="shared" si="204"/>
        <v>3632</v>
      </c>
      <c r="N3338" s="7">
        <f t="shared" si="205"/>
        <v>3994</v>
      </c>
      <c r="O3338" s="2">
        <v>62</v>
      </c>
      <c r="P3338" s="8">
        <f t="shared" si="206"/>
        <v>4056</v>
      </c>
      <c r="Q3338" s="8">
        <f t="shared" si="207"/>
        <v>3932</v>
      </c>
      <c r="R3338" s="2" t="s">
        <v>28</v>
      </c>
      <c r="S3338" s="9">
        <f>VLOOKUP(P3338,$T$2:U3335,2,1)</f>
        <v>0.02</v>
      </c>
    </row>
    <row r="3339" spans="1:19" x14ac:dyDescent="0.25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e">
        <f>VLOOKUP(F3339,'Customer Info'!A3331:I3830,2,0)</f>
        <v>#N/A</v>
      </c>
      <c r="H3339" s="6" t="e">
        <f>VLOOKUP(F3339,'Customer Info'!A3331:I3830,3,0)</f>
        <v>#N/A</v>
      </c>
      <c r="I3339" s="6" t="e">
        <f>VLOOKUP(F3339,'Customer Info'!A3331:I3830,5,0)</f>
        <v>#N/A</v>
      </c>
      <c r="J3339" s="2">
        <v>1997</v>
      </c>
      <c r="K3339" s="2">
        <v>1816</v>
      </c>
      <c r="L3339" s="2">
        <v>1</v>
      </c>
      <c r="M3339" s="7">
        <f t="shared" ref="M3339:M3402" si="208">K3339*L3339</f>
        <v>1816</v>
      </c>
      <c r="N3339" s="7">
        <f t="shared" ref="N3339:N3402" si="209">J3339*L3339</f>
        <v>1997</v>
      </c>
      <c r="O3339" s="2">
        <v>76</v>
      </c>
      <c r="P3339" s="8">
        <f t="shared" ref="P3339:P3402" si="210">SUM(N3339,O3339)</f>
        <v>2073</v>
      </c>
      <c r="Q3339" s="8">
        <f t="shared" ref="Q3339:Q3402" si="211">N3339-O3339</f>
        <v>1921</v>
      </c>
      <c r="R3339" s="2" t="s">
        <v>28</v>
      </c>
      <c r="S3339" s="9">
        <f>VLOOKUP(P3339,$T$2:U3336,2,1)</f>
        <v>0.02</v>
      </c>
    </row>
    <row r="3340" spans="1:19" x14ac:dyDescent="0.25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e">
        <f>VLOOKUP(F3340,'Customer Info'!A3332:I3831,2,0)</f>
        <v>#N/A</v>
      </c>
      <c r="H3340" s="6" t="e">
        <f>VLOOKUP(F3340,'Customer Info'!A3332:I3831,3,0)</f>
        <v>#N/A</v>
      </c>
      <c r="I3340" s="6" t="e">
        <f>VLOOKUP(F3340,'Customer Info'!A3332:I3831,5,0)</f>
        <v>#N/A</v>
      </c>
      <c r="J3340" s="2">
        <v>8351</v>
      </c>
      <c r="K3340" s="2">
        <v>8033</v>
      </c>
      <c r="L3340" s="2">
        <v>2</v>
      </c>
      <c r="M3340" s="7">
        <f t="shared" si="208"/>
        <v>16066</v>
      </c>
      <c r="N3340" s="7">
        <f t="shared" si="209"/>
        <v>16702</v>
      </c>
      <c r="O3340" s="2">
        <v>86</v>
      </c>
      <c r="P3340" s="8">
        <f t="shared" si="210"/>
        <v>16788</v>
      </c>
      <c r="Q3340" s="8">
        <f t="shared" si="211"/>
        <v>16616</v>
      </c>
      <c r="R3340" s="2" t="s">
        <v>28</v>
      </c>
      <c r="S3340" s="9">
        <f>VLOOKUP(P3340,$T$2:U3337,2,1)</f>
        <v>0.05</v>
      </c>
    </row>
    <row r="3341" spans="1:19" x14ac:dyDescent="0.25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e">
        <f>VLOOKUP(F3341,'Customer Info'!A3333:I3832,2,0)</f>
        <v>#N/A</v>
      </c>
      <c r="H3341" s="6" t="e">
        <f>VLOOKUP(F3341,'Customer Info'!A3333:I3832,3,0)</f>
        <v>#N/A</v>
      </c>
      <c r="I3341" s="6" t="e">
        <f>VLOOKUP(F3341,'Customer Info'!A3333:I3832,5,0)</f>
        <v>#N/A</v>
      </c>
      <c r="J3341" s="2">
        <v>4846</v>
      </c>
      <c r="K3341" s="2">
        <v>4492</v>
      </c>
      <c r="L3341" s="2">
        <v>7</v>
      </c>
      <c r="M3341" s="7">
        <f t="shared" si="208"/>
        <v>31444</v>
      </c>
      <c r="N3341" s="7">
        <f t="shared" si="209"/>
        <v>33922</v>
      </c>
      <c r="O3341" s="2">
        <v>34</v>
      </c>
      <c r="P3341" s="8">
        <f t="shared" si="210"/>
        <v>33956</v>
      </c>
      <c r="Q3341" s="8">
        <f t="shared" si="211"/>
        <v>33888</v>
      </c>
      <c r="R3341" s="2" t="s">
        <v>28</v>
      </c>
      <c r="S3341" s="9">
        <f>VLOOKUP(P3341,$T$2:U3338,2,1)</f>
        <v>7.0000000000000007E-2</v>
      </c>
    </row>
    <row r="3342" spans="1:19" x14ac:dyDescent="0.25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e">
        <f>VLOOKUP(F3342,'Customer Info'!A3334:I3833,2,0)</f>
        <v>#N/A</v>
      </c>
      <c r="H3342" s="6" t="e">
        <f>VLOOKUP(F3342,'Customer Info'!A3334:I3833,3,0)</f>
        <v>#N/A</v>
      </c>
      <c r="I3342" s="6" t="e">
        <f>VLOOKUP(F3342,'Customer Info'!A3334:I3833,5,0)</f>
        <v>#N/A</v>
      </c>
      <c r="J3342" s="2">
        <v>998</v>
      </c>
      <c r="K3342" s="2">
        <v>931</v>
      </c>
      <c r="L3342" s="2">
        <v>1</v>
      </c>
      <c r="M3342" s="7">
        <f t="shared" si="208"/>
        <v>931</v>
      </c>
      <c r="N3342" s="7">
        <f t="shared" si="209"/>
        <v>998</v>
      </c>
      <c r="O3342" s="2">
        <v>46</v>
      </c>
      <c r="P3342" s="8">
        <f t="shared" si="210"/>
        <v>1044</v>
      </c>
      <c r="Q3342" s="8">
        <f t="shared" si="211"/>
        <v>952</v>
      </c>
      <c r="R3342" s="2" t="s">
        <v>28</v>
      </c>
      <c r="S3342" s="9">
        <f>VLOOKUP(P3342,$T$2:U3339,2,1)</f>
        <v>0.02</v>
      </c>
    </row>
    <row r="3343" spans="1:19" x14ac:dyDescent="0.25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e">
        <f>VLOOKUP(F3343,'Customer Info'!A3335:I3834,2,0)</f>
        <v>#N/A</v>
      </c>
      <c r="H3343" s="6" t="e">
        <f>VLOOKUP(F3343,'Customer Info'!A3335:I3834,3,0)</f>
        <v>#N/A</v>
      </c>
      <c r="I3343" s="6" t="e">
        <f>VLOOKUP(F3343,'Customer Info'!A3335:I3834,5,0)</f>
        <v>#N/A</v>
      </c>
      <c r="J3343" s="2">
        <v>674</v>
      </c>
      <c r="K3343" s="2">
        <v>629</v>
      </c>
      <c r="L3343" s="2">
        <v>2</v>
      </c>
      <c r="M3343" s="7">
        <f t="shared" si="208"/>
        <v>1258</v>
      </c>
      <c r="N3343" s="7">
        <f t="shared" si="209"/>
        <v>1348</v>
      </c>
      <c r="O3343" s="2">
        <v>25</v>
      </c>
      <c r="P3343" s="8">
        <f t="shared" si="210"/>
        <v>1373</v>
      </c>
      <c r="Q3343" s="8">
        <f t="shared" si="211"/>
        <v>1323</v>
      </c>
      <c r="R3343" s="2" t="s">
        <v>28</v>
      </c>
      <c r="S3343" s="9">
        <f>VLOOKUP(P3343,$T$2:U3340,2,1)</f>
        <v>0.02</v>
      </c>
    </row>
    <row r="3344" spans="1:19" x14ac:dyDescent="0.25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e">
        <f>VLOOKUP(F3344,'Customer Info'!A3336:I3835,2,0)</f>
        <v>#N/A</v>
      </c>
      <c r="H3344" s="6" t="e">
        <f>VLOOKUP(F3344,'Customer Info'!A3336:I3835,3,0)</f>
        <v>#N/A</v>
      </c>
      <c r="I3344" s="6" t="e">
        <f>VLOOKUP(F3344,'Customer Info'!A3336:I3835,5,0)</f>
        <v>#N/A</v>
      </c>
      <c r="J3344" s="2">
        <v>148</v>
      </c>
      <c r="K3344" s="2">
        <v>136</v>
      </c>
      <c r="L3344" s="2">
        <v>2</v>
      </c>
      <c r="M3344" s="7">
        <f t="shared" si="208"/>
        <v>272</v>
      </c>
      <c r="N3344" s="7">
        <f t="shared" si="209"/>
        <v>296</v>
      </c>
      <c r="O3344" s="2">
        <v>30</v>
      </c>
      <c r="P3344" s="8">
        <f t="shared" si="210"/>
        <v>326</v>
      </c>
      <c r="Q3344" s="8">
        <f t="shared" si="211"/>
        <v>266</v>
      </c>
      <c r="R3344" s="2" t="s">
        <v>28</v>
      </c>
      <c r="S3344" s="9">
        <f>VLOOKUP(P3344,$T$2:U3341,2,1)</f>
        <v>0.02</v>
      </c>
    </row>
    <row r="3345" spans="1:19" x14ac:dyDescent="0.25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e">
        <f>VLOOKUP(F3345,'Customer Info'!A3337:I3836,2,0)</f>
        <v>#N/A</v>
      </c>
      <c r="H3345" s="6" t="e">
        <f>VLOOKUP(F3345,'Customer Info'!A3337:I3836,3,0)</f>
        <v>#N/A</v>
      </c>
      <c r="I3345" s="6" t="e">
        <f>VLOOKUP(F3345,'Customer Info'!A3337:I3836,5,0)</f>
        <v>#N/A</v>
      </c>
      <c r="J3345" s="2">
        <v>743</v>
      </c>
      <c r="K3345" s="2">
        <v>694</v>
      </c>
      <c r="L3345" s="2">
        <v>2</v>
      </c>
      <c r="M3345" s="7">
        <f t="shared" si="208"/>
        <v>1388</v>
      </c>
      <c r="N3345" s="7">
        <f t="shared" si="209"/>
        <v>1486</v>
      </c>
      <c r="O3345" s="2">
        <v>60</v>
      </c>
      <c r="P3345" s="8">
        <f t="shared" si="210"/>
        <v>1546</v>
      </c>
      <c r="Q3345" s="8">
        <f t="shared" si="211"/>
        <v>1426</v>
      </c>
      <c r="R3345" s="2" t="s">
        <v>28</v>
      </c>
      <c r="S3345" s="9">
        <f>VLOOKUP(P3345,$T$2:U3342,2,1)</f>
        <v>0.02</v>
      </c>
    </row>
    <row r="3346" spans="1:19" x14ac:dyDescent="0.25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e">
        <f>VLOOKUP(F3346,'Customer Info'!A3338:I3837,2,0)</f>
        <v>#N/A</v>
      </c>
      <c r="H3346" s="6" t="e">
        <f>VLOOKUP(F3346,'Customer Info'!A3338:I3837,3,0)</f>
        <v>#N/A</v>
      </c>
      <c r="I3346" s="6" t="e">
        <f>VLOOKUP(F3346,'Customer Info'!A3338:I3837,5,0)</f>
        <v>#N/A</v>
      </c>
      <c r="J3346" s="2">
        <v>69</v>
      </c>
      <c r="K3346" s="2">
        <v>64</v>
      </c>
      <c r="L3346" s="2">
        <v>1</v>
      </c>
      <c r="M3346" s="7">
        <f t="shared" si="208"/>
        <v>64</v>
      </c>
      <c r="N3346" s="7">
        <f t="shared" si="209"/>
        <v>69</v>
      </c>
      <c r="O3346" s="2">
        <v>10</v>
      </c>
      <c r="P3346" s="8">
        <f t="shared" si="210"/>
        <v>79</v>
      </c>
      <c r="Q3346" s="8">
        <f t="shared" si="211"/>
        <v>59</v>
      </c>
      <c r="R3346" s="2" t="s">
        <v>26</v>
      </c>
      <c r="S3346" s="9">
        <f>VLOOKUP(P3346,$T$2:U3343,2,1)</f>
        <v>0.02</v>
      </c>
    </row>
    <row r="3347" spans="1:19" x14ac:dyDescent="0.25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e">
        <f>VLOOKUP(F3347,'Customer Info'!A3339:I3838,2,0)</f>
        <v>#N/A</v>
      </c>
      <c r="H3347" s="6" t="e">
        <f>VLOOKUP(F3347,'Customer Info'!A3339:I3838,3,0)</f>
        <v>#N/A</v>
      </c>
      <c r="I3347" s="6" t="e">
        <f>VLOOKUP(F3347,'Customer Info'!A3339:I3838,5,0)</f>
        <v>#N/A</v>
      </c>
      <c r="J3347" s="2">
        <v>4577</v>
      </c>
      <c r="K3347" s="2">
        <v>4280</v>
      </c>
      <c r="L3347" s="2">
        <v>2</v>
      </c>
      <c r="M3347" s="7">
        <f t="shared" si="208"/>
        <v>8560</v>
      </c>
      <c r="N3347" s="7">
        <f t="shared" si="209"/>
        <v>9154</v>
      </c>
      <c r="O3347" s="2">
        <v>71</v>
      </c>
      <c r="P3347" s="8">
        <f t="shared" si="210"/>
        <v>9225</v>
      </c>
      <c r="Q3347" s="8">
        <f t="shared" si="211"/>
        <v>9083</v>
      </c>
      <c r="R3347" s="2" t="s">
        <v>28</v>
      </c>
      <c r="S3347" s="9">
        <f>VLOOKUP(P3347,$T$2:U3344,2,1)</f>
        <v>0.05</v>
      </c>
    </row>
    <row r="3348" spans="1:19" x14ac:dyDescent="0.25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e">
        <f>VLOOKUP(F3348,'Customer Info'!A3340:I3839,2,0)</f>
        <v>#N/A</v>
      </c>
      <c r="H3348" s="6" t="e">
        <f>VLOOKUP(F3348,'Customer Info'!A3340:I3839,3,0)</f>
        <v>#N/A</v>
      </c>
      <c r="I3348" s="6" t="e">
        <f>VLOOKUP(F3348,'Customer Info'!A3340:I3839,5,0)</f>
        <v>#N/A</v>
      </c>
      <c r="J3348" s="2">
        <v>526</v>
      </c>
      <c r="K3348" s="2">
        <v>487</v>
      </c>
      <c r="L3348" s="2">
        <v>2</v>
      </c>
      <c r="M3348" s="7">
        <f t="shared" si="208"/>
        <v>974</v>
      </c>
      <c r="N3348" s="7">
        <f t="shared" si="209"/>
        <v>1052</v>
      </c>
      <c r="O3348" s="2">
        <v>80</v>
      </c>
      <c r="P3348" s="8">
        <f t="shared" si="210"/>
        <v>1132</v>
      </c>
      <c r="Q3348" s="8">
        <f t="shared" si="211"/>
        <v>972</v>
      </c>
      <c r="R3348" s="2" t="s">
        <v>50</v>
      </c>
      <c r="S3348" s="9">
        <f>VLOOKUP(P3348,$T$2:U3345,2,1)</f>
        <v>0.02</v>
      </c>
    </row>
    <row r="3349" spans="1:19" x14ac:dyDescent="0.25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e">
        <f>VLOOKUP(F3349,'Customer Info'!A3341:I3840,2,0)</f>
        <v>#N/A</v>
      </c>
      <c r="H3349" s="6" t="e">
        <f>VLOOKUP(F3349,'Customer Info'!A3341:I3840,3,0)</f>
        <v>#N/A</v>
      </c>
      <c r="I3349" s="6" t="e">
        <f>VLOOKUP(F3349,'Customer Info'!A3341:I3840,5,0)</f>
        <v>#N/A</v>
      </c>
      <c r="J3349" s="2">
        <v>2787</v>
      </c>
      <c r="K3349" s="2">
        <v>2681</v>
      </c>
      <c r="L3349" s="2">
        <v>2</v>
      </c>
      <c r="M3349" s="7">
        <f t="shared" si="208"/>
        <v>5362</v>
      </c>
      <c r="N3349" s="7">
        <f t="shared" si="209"/>
        <v>5574</v>
      </c>
      <c r="O3349" s="2">
        <v>62</v>
      </c>
      <c r="P3349" s="8">
        <f t="shared" si="210"/>
        <v>5636</v>
      </c>
      <c r="Q3349" s="8">
        <f t="shared" si="211"/>
        <v>5512</v>
      </c>
      <c r="R3349" s="2" t="s">
        <v>28</v>
      </c>
      <c r="S3349" s="9">
        <f>VLOOKUP(P3349,$T$2:U3346,2,1)</f>
        <v>0.05</v>
      </c>
    </row>
    <row r="3350" spans="1:19" x14ac:dyDescent="0.25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e">
        <f>VLOOKUP(F3350,'Customer Info'!A3342:I3841,2,0)</f>
        <v>#N/A</v>
      </c>
      <c r="H3350" s="6" t="e">
        <f>VLOOKUP(F3350,'Customer Info'!A3342:I3841,3,0)</f>
        <v>#N/A</v>
      </c>
      <c r="I3350" s="6" t="e">
        <f>VLOOKUP(F3350,'Customer Info'!A3342:I3841,5,0)</f>
        <v>#N/A</v>
      </c>
      <c r="J3350" s="2">
        <v>8752</v>
      </c>
      <c r="K3350" s="2">
        <v>7877</v>
      </c>
      <c r="L3350" s="2">
        <v>2</v>
      </c>
      <c r="M3350" s="7">
        <f t="shared" si="208"/>
        <v>15754</v>
      </c>
      <c r="N3350" s="7">
        <f t="shared" si="209"/>
        <v>17504</v>
      </c>
      <c r="O3350" s="2">
        <v>27</v>
      </c>
      <c r="P3350" s="8">
        <f t="shared" si="210"/>
        <v>17531</v>
      </c>
      <c r="Q3350" s="8">
        <f t="shared" si="211"/>
        <v>17477</v>
      </c>
      <c r="R3350" s="2" t="s">
        <v>28</v>
      </c>
      <c r="S3350" s="9">
        <f>VLOOKUP(P3350,$T$2:U3347,2,1)</f>
        <v>0.05</v>
      </c>
    </row>
    <row r="3351" spans="1:19" x14ac:dyDescent="0.25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e">
        <f>VLOOKUP(F3351,'Customer Info'!A3343:I3842,2,0)</f>
        <v>#N/A</v>
      </c>
      <c r="H3351" s="6" t="e">
        <f>VLOOKUP(F3351,'Customer Info'!A3343:I3842,3,0)</f>
        <v>#N/A</v>
      </c>
      <c r="I3351" s="6" t="e">
        <f>VLOOKUP(F3351,'Customer Info'!A3343:I3842,5,0)</f>
        <v>#N/A</v>
      </c>
      <c r="J3351" s="2">
        <v>765</v>
      </c>
      <c r="K3351" s="2">
        <v>701</v>
      </c>
      <c r="L3351" s="2">
        <v>2</v>
      </c>
      <c r="M3351" s="7">
        <f t="shared" si="208"/>
        <v>1402</v>
      </c>
      <c r="N3351" s="7">
        <f t="shared" si="209"/>
        <v>1530</v>
      </c>
      <c r="O3351" s="2">
        <v>33</v>
      </c>
      <c r="P3351" s="8">
        <f t="shared" si="210"/>
        <v>1563</v>
      </c>
      <c r="Q3351" s="8">
        <f t="shared" si="211"/>
        <v>1497</v>
      </c>
      <c r="R3351" s="2" t="s">
        <v>28</v>
      </c>
      <c r="S3351" s="9">
        <f>VLOOKUP(P3351,$T$2:U3348,2,1)</f>
        <v>0.02</v>
      </c>
    </row>
    <row r="3352" spans="1:19" x14ac:dyDescent="0.25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e">
        <f>VLOOKUP(F3352,'Customer Info'!A3344:I3843,2,0)</f>
        <v>#N/A</v>
      </c>
      <c r="H3352" s="6" t="e">
        <f>VLOOKUP(F3352,'Customer Info'!A3344:I3843,3,0)</f>
        <v>#N/A</v>
      </c>
      <c r="I3352" s="6" t="e">
        <f>VLOOKUP(F3352,'Customer Info'!A3344:I3843,5,0)</f>
        <v>#N/A</v>
      </c>
      <c r="J3352" s="2">
        <v>998</v>
      </c>
      <c r="K3352" s="2">
        <v>931</v>
      </c>
      <c r="L3352" s="2">
        <v>2</v>
      </c>
      <c r="M3352" s="7">
        <f t="shared" si="208"/>
        <v>1862</v>
      </c>
      <c r="N3352" s="7">
        <f t="shared" si="209"/>
        <v>1996</v>
      </c>
      <c r="O3352" s="2">
        <v>66</v>
      </c>
      <c r="P3352" s="8">
        <f t="shared" si="210"/>
        <v>2062</v>
      </c>
      <c r="Q3352" s="8">
        <f t="shared" si="211"/>
        <v>1930</v>
      </c>
      <c r="R3352" s="2" t="s">
        <v>26</v>
      </c>
      <c r="S3352" s="9">
        <f>VLOOKUP(P3352,$T$2:U3349,2,1)</f>
        <v>0.02</v>
      </c>
    </row>
    <row r="3353" spans="1:19" x14ac:dyDescent="0.25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e">
        <f>VLOOKUP(F3353,'Customer Info'!A3345:I3844,2,0)</f>
        <v>#N/A</v>
      </c>
      <c r="H3353" s="6" t="e">
        <f>VLOOKUP(F3353,'Customer Info'!A3345:I3844,3,0)</f>
        <v>#N/A</v>
      </c>
      <c r="I3353" s="6" t="e">
        <f>VLOOKUP(F3353,'Customer Info'!A3345:I3844,5,0)</f>
        <v>#N/A</v>
      </c>
      <c r="J3353" s="2">
        <v>2654</v>
      </c>
      <c r="K3353" s="2">
        <v>2410</v>
      </c>
      <c r="L3353" s="2">
        <v>8</v>
      </c>
      <c r="M3353" s="7">
        <f t="shared" si="208"/>
        <v>19280</v>
      </c>
      <c r="N3353" s="7">
        <f t="shared" si="209"/>
        <v>21232</v>
      </c>
      <c r="O3353" s="2">
        <v>80</v>
      </c>
      <c r="P3353" s="8">
        <f t="shared" si="210"/>
        <v>21312</v>
      </c>
      <c r="Q3353" s="8">
        <f t="shared" si="211"/>
        <v>21152</v>
      </c>
      <c r="R3353" s="2" t="s">
        <v>28</v>
      </c>
      <c r="S3353" s="9">
        <f>VLOOKUP(P3353,$T$2:U3350,2,1)</f>
        <v>0.05</v>
      </c>
    </row>
    <row r="3354" spans="1:19" x14ac:dyDescent="0.25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e">
        <f>VLOOKUP(F3354,'Customer Info'!A3346:I3845,2,0)</f>
        <v>#N/A</v>
      </c>
      <c r="H3354" s="6" t="e">
        <f>VLOOKUP(F3354,'Customer Info'!A3346:I3845,3,0)</f>
        <v>#N/A</v>
      </c>
      <c r="I3354" s="6" t="e">
        <f>VLOOKUP(F3354,'Customer Info'!A3346:I3845,5,0)</f>
        <v>#N/A</v>
      </c>
      <c r="J3354" s="2">
        <v>1887</v>
      </c>
      <c r="K3354" s="2">
        <v>1763</v>
      </c>
      <c r="L3354" s="2">
        <v>3</v>
      </c>
      <c r="M3354" s="7">
        <f t="shared" si="208"/>
        <v>5289</v>
      </c>
      <c r="N3354" s="7">
        <f t="shared" si="209"/>
        <v>5661</v>
      </c>
      <c r="O3354" s="2">
        <v>27</v>
      </c>
      <c r="P3354" s="8">
        <f t="shared" si="210"/>
        <v>5688</v>
      </c>
      <c r="Q3354" s="8">
        <f t="shared" si="211"/>
        <v>5634</v>
      </c>
      <c r="R3354" s="2" t="s">
        <v>28</v>
      </c>
      <c r="S3354" s="9">
        <f>VLOOKUP(P3354,$T$2:U3351,2,1)</f>
        <v>0.05</v>
      </c>
    </row>
    <row r="3355" spans="1:19" x14ac:dyDescent="0.25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e">
        <f>VLOOKUP(F3355,'Customer Info'!A3347:I3846,2,0)</f>
        <v>#N/A</v>
      </c>
      <c r="H3355" s="6" t="e">
        <f>VLOOKUP(F3355,'Customer Info'!A3347:I3846,3,0)</f>
        <v>#N/A</v>
      </c>
      <c r="I3355" s="6" t="e">
        <f>VLOOKUP(F3355,'Customer Info'!A3347:I3846,5,0)</f>
        <v>#N/A</v>
      </c>
      <c r="J3355" s="2">
        <v>8160</v>
      </c>
      <c r="K3355" s="2">
        <v>7475</v>
      </c>
      <c r="L3355" s="2">
        <v>2</v>
      </c>
      <c r="M3355" s="7">
        <f t="shared" si="208"/>
        <v>14950</v>
      </c>
      <c r="N3355" s="7">
        <f t="shared" si="209"/>
        <v>16320</v>
      </c>
      <c r="O3355" s="2">
        <v>29</v>
      </c>
      <c r="P3355" s="8">
        <f t="shared" si="210"/>
        <v>16349</v>
      </c>
      <c r="Q3355" s="8">
        <f t="shared" si="211"/>
        <v>16291</v>
      </c>
      <c r="R3355" s="2" t="s">
        <v>50</v>
      </c>
      <c r="S3355" s="9">
        <f>VLOOKUP(P3355,$T$2:U3352,2,1)</f>
        <v>0.05</v>
      </c>
    </row>
    <row r="3356" spans="1:19" x14ac:dyDescent="0.25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e">
        <f>VLOOKUP(F3356,'Customer Info'!A3348:I3847,2,0)</f>
        <v>#N/A</v>
      </c>
      <c r="H3356" s="6" t="e">
        <f>VLOOKUP(F3356,'Customer Info'!A3348:I3847,3,0)</f>
        <v>#N/A</v>
      </c>
      <c r="I3356" s="6" t="e">
        <f>VLOOKUP(F3356,'Customer Info'!A3348:I3847,5,0)</f>
        <v>#N/A</v>
      </c>
      <c r="J3356" s="2">
        <v>2078</v>
      </c>
      <c r="K3356" s="2">
        <v>1871</v>
      </c>
      <c r="L3356" s="2">
        <v>1</v>
      </c>
      <c r="M3356" s="7">
        <f t="shared" si="208"/>
        <v>1871</v>
      </c>
      <c r="N3356" s="7">
        <f t="shared" si="209"/>
        <v>2078</v>
      </c>
      <c r="O3356" s="2">
        <v>51</v>
      </c>
      <c r="P3356" s="8">
        <f t="shared" si="210"/>
        <v>2129</v>
      </c>
      <c r="Q3356" s="8">
        <f t="shared" si="211"/>
        <v>2027</v>
      </c>
      <c r="R3356" s="2" t="s">
        <v>28</v>
      </c>
      <c r="S3356" s="9">
        <f>VLOOKUP(P3356,$T$2:U3353,2,1)</f>
        <v>0.02</v>
      </c>
    </row>
    <row r="3357" spans="1:19" x14ac:dyDescent="0.25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e">
        <f>VLOOKUP(F3357,'Customer Info'!A3349:I3848,2,0)</f>
        <v>#N/A</v>
      </c>
      <c r="H3357" s="6" t="e">
        <f>VLOOKUP(F3357,'Customer Info'!A3349:I3848,3,0)</f>
        <v>#N/A</v>
      </c>
      <c r="I3357" s="6" t="e">
        <f>VLOOKUP(F3357,'Customer Info'!A3349:I3848,5,0)</f>
        <v>#N/A</v>
      </c>
      <c r="J3357" s="2">
        <v>92</v>
      </c>
      <c r="K3357" s="2">
        <v>85</v>
      </c>
      <c r="L3357" s="2">
        <v>2</v>
      </c>
      <c r="M3357" s="7">
        <f t="shared" si="208"/>
        <v>170</v>
      </c>
      <c r="N3357" s="7">
        <f t="shared" si="209"/>
        <v>184</v>
      </c>
      <c r="O3357" s="2">
        <v>10</v>
      </c>
      <c r="P3357" s="8">
        <f t="shared" si="210"/>
        <v>194</v>
      </c>
      <c r="Q3357" s="8">
        <f t="shared" si="211"/>
        <v>174</v>
      </c>
      <c r="R3357" s="2" t="s">
        <v>28</v>
      </c>
      <c r="S3357" s="9">
        <f>VLOOKUP(P3357,$T$2:U3354,2,1)</f>
        <v>0.02</v>
      </c>
    </row>
    <row r="3358" spans="1:19" x14ac:dyDescent="0.25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e">
        <f>VLOOKUP(F3358,'Customer Info'!A3350:I3849,2,0)</f>
        <v>#N/A</v>
      </c>
      <c r="H3358" s="6" t="e">
        <f>VLOOKUP(F3358,'Customer Info'!A3350:I3849,3,0)</f>
        <v>#N/A</v>
      </c>
      <c r="I3358" s="6" t="e">
        <f>VLOOKUP(F3358,'Customer Info'!A3350:I3849,5,0)</f>
        <v>#N/A</v>
      </c>
      <c r="J3358" s="2">
        <v>147</v>
      </c>
      <c r="K3358" s="2">
        <v>138</v>
      </c>
      <c r="L3358" s="2">
        <v>2</v>
      </c>
      <c r="M3358" s="7">
        <f t="shared" si="208"/>
        <v>276</v>
      </c>
      <c r="N3358" s="7">
        <f t="shared" si="209"/>
        <v>294</v>
      </c>
      <c r="O3358" s="2">
        <v>30</v>
      </c>
      <c r="P3358" s="8">
        <f t="shared" si="210"/>
        <v>324</v>
      </c>
      <c r="Q3358" s="8">
        <f t="shared" si="211"/>
        <v>264</v>
      </c>
      <c r="R3358" s="2" t="s">
        <v>28</v>
      </c>
      <c r="S3358" s="9">
        <f>VLOOKUP(P3358,$T$2:U3355,2,1)</f>
        <v>0.02</v>
      </c>
    </row>
    <row r="3359" spans="1:19" x14ac:dyDescent="0.25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e">
        <f>VLOOKUP(F3359,'Customer Info'!A3351:I3850,2,0)</f>
        <v>#N/A</v>
      </c>
      <c r="H3359" s="6" t="e">
        <f>VLOOKUP(F3359,'Customer Info'!A3351:I3850,3,0)</f>
        <v>#N/A</v>
      </c>
      <c r="I3359" s="6" t="e">
        <f>VLOOKUP(F3359,'Customer Info'!A3351:I3850,5,0)</f>
        <v>#N/A</v>
      </c>
      <c r="J3359" s="2">
        <v>759</v>
      </c>
      <c r="K3359" s="2">
        <v>703</v>
      </c>
      <c r="L3359" s="2">
        <v>4</v>
      </c>
      <c r="M3359" s="7">
        <f t="shared" si="208"/>
        <v>2812</v>
      </c>
      <c r="N3359" s="7">
        <f t="shared" si="209"/>
        <v>3036</v>
      </c>
      <c r="O3359" s="2">
        <v>46</v>
      </c>
      <c r="P3359" s="8">
        <f t="shared" si="210"/>
        <v>3082</v>
      </c>
      <c r="Q3359" s="8">
        <f t="shared" si="211"/>
        <v>2990</v>
      </c>
      <c r="R3359" s="2" t="s">
        <v>28</v>
      </c>
      <c r="S3359" s="9">
        <f>VLOOKUP(P3359,$T$2:U3356,2,1)</f>
        <v>0.02</v>
      </c>
    </row>
    <row r="3360" spans="1:19" x14ac:dyDescent="0.25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e">
        <f>VLOOKUP(F3360,'Customer Info'!A3352:I3851,2,0)</f>
        <v>#N/A</v>
      </c>
      <c r="H3360" s="6" t="e">
        <f>VLOOKUP(F3360,'Customer Info'!A3352:I3851,3,0)</f>
        <v>#N/A</v>
      </c>
      <c r="I3360" s="6" t="e">
        <f>VLOOKUP(F3360,'Customer Info'!A3352:I3851,5,0)</f>
        <v>#N/A</v>
      </c>
      <c r="J3360" s="2">
        <v>60</v>
      </c>
      <c r="K3360" s="2">
        <v>55</v>
      </c>
      <c r="L3360" s="2">
        <v>3</v>
      </c>
      <c r="M3360" s="7">
        <f t="shared" si="208"/>
        <v>165</v>
      </c>
      <c r="N3360" s="7">
        <f t="shared" si="209"/>
        <v>180</v>
      </c>
      <c r="O3360" s="2">
        <v>10</v>
      </c>
      <c r="P3360" s="8">
        <f t="shared" si="210"/>
        <v>190</v>
      </c>
      <c r="Q3360" s="8">
        <f t="shared" si="211"/>
        <v>170</v>
      </c>
      <c r="R3360" s="2" t="s">
        <v>28</v>
      </c>
      <c r="S3360" s="9">
        <f>VLOOKUP(P3360,$T$2:U3357,2,1)</f>
        <v>0.02</v>
      </c>
    </row>
    <row r="3361" spans="1:19" x14ac:dyDescent="0.25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e">
        <f>VLOOKUP(F3361,'Customer Info'!A3353:I3852,2,0)</f>
        <v>#N/A</v>
      </c>
      <c r="H3361" s="6" t="e">
        <f>VLOOKUP(F3361,'Customer Info'!A3353:I3852,3,0)</f>
        <v>#N/A</v>
      </c>
      <c r="I3361" s="6" t="e">
        <f>VLOOKUP(F3361,'Customer Info'!A3353:I3852,5,0)</f>
        <v>#N/A</v>
      </c>
      <c r="J3361" s="2">
        <v>169</v>
      </c>
      <c r="K3361" s="2">
        <v>154</v>
      </c>
      <c r="L3361" s="2">
        <v>2</v>
      </c>
      <c r="M3361" s="7">
        <f t="shared" si="208"/>
        <v>308</v>
      </c>
      <c r="N3361" s="7">
        <f t="shared" si="209"/>
        <v>338</v>
      </c>
      <c r="O3361" s="2">
        <v>30</v>
      </c>
      <c r="P3361" s="8">
        <f t="shared" si="210"/>
        <v>368</v>
      </c>
      <c r="Q3361" s="8">
        <f t="shared" si="211"/>
        <v>308</v>
      </c>
      <c r="R3361" s="2" t="s">
        <v>28</v>
      </c>
      <c r="S3361" s="9">
        <f>VLOOKUP(P3361,$T$2:U3358,2,1)</f>
        <v>0.02</v>
      </c>
    </row>
    <row r="3362" spans="1:19" x14ac:dyDescent="0.25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e">
        <f>VLOOKUP(F3362,'Customer Info'!A3354:I3853,2,0)</f>
        <v>#N/A</v>
      </c>
      <c r="H3362" s="6" t="e">
        <f>VLOOKUP(F3362,'Customer Info'!A3354:I3853,3,0)</f>
        <v>#N/A</v>
      </c>
      <c r="I3362" s="6" t="e">
        <f>VLOOKUP(F3362,'Customer Info'!A3354:I3853,5,0)</f>
        <v>#N/A</v>
      </c>
      <c r="J3362" s="2">
        <v>90</v>
      </c>
      <c r="K3362" s="2">
        <v>81</v>
      </c>
      <c r="L3362" s="2">
        <v>4</v>
      </c>
      <c r="M3362" s="7">
        <f t="shared" si="208"/>
        <v>324</v>
      </c>
      <c r="N3362" s="7">
        <f t="shared" si="209"/>
        <v>360</v>
      </c>
      <c r="O3362" s="2">
        <v>10</v>
      </c>
      <c r="P3362" s="8">
        <f t="shared" si="210"/>
        <v>370</v>
      </c>
      <c r="Q3362" s="8">
        <f t="shared" si="211"/>
        <v>350</v>
      </c>
      <c r="R3362" s="2" t="s">
        <v>50</v>
      </c>
      <c r="S3362" s="9">
        <f>VLOOKUP(P3362,$T$2:U3359,2,1)</f>
        <v>0.02</v>
      </c>
    </row>
    <row r="3363" spans="1:19" x14ac:dyDescent="0.25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e">
        <f>VLOOKUP(F3363,'Customer Info'!A3355:I3854,2,0)</f>
        <v>#N/A</v>
      </c>
      <c r="H3363" s="6" t="e">
        <f>VLOOKUP(F3363,'Customer Info'!A3355:I3854,3,0)</f>
        <v>#N/A</v>
      </c>
      <c r="I3363" s="6" t="e">
        <f>VLOOKUP(F3363,'Customer Info'!A3355:I3854,5,0)</f>
        <v>#N/A</v>
      </c>
      <c r="J3363" s="2">
        <v>4122</v>
      </c>
      <c r="K3363" s="2">
        <v>3781</v>
      </c>
      <c r="L3363" s="2">
        <v>3</v>
      </c>
      <c r="M3363" s="7">
        <f t="shared" si="208"/>
        <v>11343</v>
      </c>
      <c r="N3363" s="7">
        <f t="shared" si="209"/>
        <v>12366</v>
      </c>
      <c r="O3363" s="2">
        <v>47</v>
      </c>
      <c r="P3363" s="8">
        <f t="shared" si="210"/>
        <v>12413</v>
      </c>
      <c r="Q3363" s="8">
        <f t="shared" si="211"/>
        <v>12319</v>
      </c>
      <c r="R3363" s="2" t="s">
        <v>28</v>
      </c>
      <c r="S3363" s="9">
        <f>VLOOKUP(P3363,$T$2:U3360,2,1)</f>
        <v>0.05</v>
      </c>
    </row>
    <row r="3364" spans="1:19" x14ac:dyDescent="0.25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e">
        <f>VLOOKUP(F3364,'Customer Info'!A3356:I3855,2,0)</f>
        <v>#N/A</v>
      </c>
      <c r="H3364" s="6" t="e">
        <f>VLOOKUP(F3364,'Customer Info'!A3356:I3855,3,0)</f>
        <v>#N/A</v>
      </c>
      <c r="I3364" s="6" t="e">
        <f>VLOOKUP(F3364,'Customer Info'!A3356:I3855,5,0)</f>
        <v>#N/A</v>
      </c>
      <c r="J3364" s="2">
        <v>7623</v>
      </c>
      <c r="K3364" s="2">
        <v>7064</v>
      </c>
      <c r="L3364" s="2">
        <v>2</v>
      </c>
      <c r="M3364" s="7">
        <f t="shared" si="208"/>
        <v>14128</v>
      </c>
      <c r="N3364" s="7">
        <f t="shared" si="209"/>
        <v>15246</v>
      </c>
      <c r="O3364" s="2">
        <v>23</v>
      </c>
      <c r="P3364" s="8">
        <f t="shared" si="210"/>
        <v>15269</v>
      </c>
      <c r="Q3364" s="8">
        <f t="shared" si="211"/>
        <v>15223</v>
      </c>
      <c r="R3364" s="2" t="s">
        <v>28</v>
      </c>
      <c r="S3364" s="9">
        <f>VLOOKUP(P3364,$T$2:U3361,2,1)</f>
        <v>0.05</v>
      </c>
    </row>
    <row r="3365" spans="1:19" x14ac:dyDescent="0.25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e">
        <f>VLOOKUP(F3365,'Customer Info'!A3357:I3856,2,0)</f>
        <v>#N/A</v>
      </c>
      <c r="H3365" s="6" t="e">
        <f>VLOOKUP(F3365,'Customer Info'!A3357:I3856,3,0)</f>
        <v>#N/A</v>
      </c>
      <c r="I3365" s="6" t="e">
        <f>VLOOKUP(F3365,'Customer Info'!A3357:I3856,5,0)</f>
        <v>#N/A</v>
      </c>
      <c r="J3365" s="2">
        <v>27691</v>
      </c>
      <c r="K3365" s="2">
        <v>25616</v>
      </c>
      <c r="L3365" s="2">
        <v>1</v>
      </c>
      <c r="M3365" s="7">
        <f t="shared" si="208"/>
        <v>25616</v>
      </c>
      <c r="N3365" s="7">
        <f t="shared" si="209"/>
        <v>27691</v>
      </c>
      <c r="O3365" s="2">
        <v>74</v>
      </c>
      <c r="P3365" s="8">
        <f t="shared" si="210"/>
        <v>27765</v>
      </c>
      <c r="Q3365" s="8">
        <f t="shared" si="211"/>
        <v>27617</v>
      </c>
      <c r="R3365" s="2" t="s">
        <v>26</v>
      </c>
      <c r="S3365" s="9">
        <f>VLOOKUP(P3365,$T$2:U3362,2,1)</f>
        <v>7.0000000000000007E-2</v>
      </c>
    </row>
    <row r="3366" spans="1:19" x14ac:dyDescent="0.25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e">
        <f>VLOOKUP(F3366,'Customer Info'!A3358:I3857,2,0)</f>
        <v>#N/A</v>
      </c>
      <c r="H3366" s="6" t="e">
        <f>VLOOKUP(F3366,'Customer Info'!A3358:I3857,3,0)</f>
        <v>#N/A</v>
      </c>
      <c r="I3366" s="6" t="e">
        <f>VLOOKUP(F3366,'Customer Info'!A3358:I3857,5,0)</f>
        <v>#N/A</v>
      </c>
      <c r="J3366" s="2">
        <v>1635</v>
      </c>
      <c r="K3366" s="2">
        <v>1573</v>
      </c>
      <c r="L3366" s="2">
        <v>3</v>
      </c>
      <c r="M3366" s="7">
        <f t="shared" si="208"/>
        <v>4719</v>
      </c>
      <c r="N3366" s="7">
        <f t="shared" si="209"/>
        <v>4905</v>
      </c>
      <c r="O3366" s="2">
        <v>88</v>
      </c>
      <c r="P3366" s="8">
        <f t="shared" si="210"/>
        <v>4993</v>
      </c>
      <c r="Q3366" s="8">
        <f t="shared" si="211"/>
        <v>4817</v>
      </c>
      <c r="R3366" s="2" t="s">
        <v>56</v>
      </c>
      <c r="S3366" s="9">
        <f>VLOOKUP(P3366,$T$2:U3363,2,1)</f>
        <v>0.02</v>
      </c>
    </row>
    <row r="3367" spans="1:19" x14ac:dyDescent="0.25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e">
        <f>VLOOKUP(F3367,'Customer Info'!A3359:I3858,2,0)</f>
        <v>#N/A</v>
      </c>
      <c r="H3367" s="6" t="e">
        <f>VLOOKUP(F3367,'Customer Info'!A3359:I3858,3,0)</f>
        <v>#N/A</v>
      </c>
      <c r="I3367" s="6" t="e">
        <f>VLOOKUP(F3367,'Customer Info'!A3359:I3858,5,0)</f>
        <v>#N/A</v>
      </c>
      <c r="J3367" s="2">
        <v>417</v>
      </c>
      <c r="K3367" s="2">
        <v>392</v>
      </c>
      <c r="L3367" s="2">
        <v>2</v>
      </c>
      <c r="M3367" s="7">
        <f t="shared" si="208"/>
        <v>784</v>
      </c>
      <c r="N3367" s="7">
        <f t="shared" si="209"/>
        <v>834</v>
      </c>
      <c r="O3367" s="2">
        <v>57</v>
      </c>
      <c r="P3367" s="8">
        <f t="shared" si="210"/>
        <v>891</v>
      </c>
      <c r="Q3367" s="8">
        <f t="shared" si="211"/>
        <v>777</v>
      </c>
      <c r="R3367" s="2" t="s">
        <v>56</v>
      </c>
      <c r="S3367" s="9">
        <f>VLOOKUP(P3367,$T$2:U3364,2,1)</f>
        <v>0.02</v>
      </c>
    </row>
    <row r="3368" spans="1:19" x14ac:dyDescent="0.25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e">
        <f>VLOOKUP(F3368,'Customer Info'!A3360:I3859,2,0)</f>
        <v>#N/A</v>
      </c>
      <c r="H3368" s="6" t="e">
        <f>VLOOKUP(F3368,'Customer Info'!A3360:I3859,3,0)</f>
        <v>#N/A</v>
      </c>
      <c r="I3368" s="6" t="e">
        <f>VLOOKUP(F3368,'Customer Info'!A3360:I3859,5,0)</f>
        <v>#N/A</v>
      </c>
      <c r="J3368" s="2">
        <v>9033</v>
      </c>
      <c r="K3368" s="2">
        <v>8132</v>
      </c>
      <c r="L3368" s="2">
        <v>2</v>
      </c>
      <c r="M3368" s="7">
        <f t="shared" si="208"/>
        <v>16264</v>
      </c>
      <c r="N3368" s="7">
        <f t="shared" si="209"/>
        <v>18066</v>
      </c>
      <c r="O3368" s="2">
        <v>65</v>
      </c>
      <c r="P3368" s="8">
        <f t="shared" si="210"/>
        <v>18131</v>
      </c>
      <c r="Q3368" s="8">
        <f t="shared" si="211"/>
        <v>18001</v>
      </c>
      <c r="R3368" s="2" t="s">
        <v>50</v>
      </c>
      <c r="S3368" s="9">
        <f>VLOOKUP(P3368,$T$2:U3365,2,1)</f>
        <v>0.05</v>
      </c>
    </row>
    <row r="3369" spans="1:19" x14ac:dyDescent="0.25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e">
        <f>VLOOKUP(F3369,'Customer Info'!A3361:I3860,2,0)</f>
        <v>#N/A</v>
      </c>
      <c r="H3369" s="6" t="e">
        <f>VLOOKUP(F3369,'Customer Info'!A3361:I3860,3,0)</f>
        <v>#N/A</v>
      </c>
      <c r="I3369" s="6" t="e">
        <f>VLOOKUP(F3369,'Customer Info'!A3361:I3860,5,0)</f>
        <v>#N/A</v>
      </c>
      <c r="J3369" s="2">
        <v>9214</v>
      </c>
      <c r="K3369" s="2">
        <v>8295</v>
      </c>
      <c r="L3369" s="2">
        <v>6</v>
      </c>
      <c r="M3369" s="7">
        <f t="shared" si="208"/>
        <v>49770</v>
      </c>
      <c r="N3369" s="7">
        <f t="shared" si="209"/>
        <v>55284</v>
      </c>
      <c r="O3369" s="2">
        <v>70</v>
      </c>
      <c r="P3369" s="8">
        <f t="shared" si="210"/>
        <v>55354</v>
      </c>
      <c r="Q3369" s="8">
        <f t="shared" si="211"/>
        <v>55214</v>
      </c>
      <c r="R3369" s="2" t="s">
        <v>56</v>
      </c>
      <c r="S3369" s="9">
        <f>VLOOKUP(P3369,$T$2:U3366,2,1)</f>
        <v>0.09</v>
      </c>
    </row>
    <row r="3370" spans="1:19" x14ac:dyDescent="0.25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e">
        <f>VLOOKUP(F3370,'Customer Info'!A3362:I3861,2,0)</f>
        <v>#N/A</v>
      </c>
      <c r="H3370" s="6" t="e">
        <f>VLOOKUP(F3370,'Customer Info'!A3362:I3861,3,0)</f>
        <v>#N/A</v>
      </c>
      <c r="I3370" s="6" t="e">
        <f>VLOOKUP(F3370,'Customer Info'!A3362:I3861,5,0)</f>
        <v>#N/A</v>
      </c>
      <c r="J3370" s="2">
        <v>1556</v>
      </c>
      <c r="K3370" s="2">
        <v>1414</v>
      </c>
      <c r="L3370" s="2">
        <v>3</v>
      </c>
      <c r="M3370" s="7">
        <f t="shared" si="208"/>
        <v>4242</v>
      </c>
      <c r="N3370" s="7">
        <f t="shared" si="209"/>
        <v>4668</v>
      </c>
      <c r="O3370" s="2">
        <v>86</v>
      </c>
      <c r="P3370" s="8">
        <f t="shared" si="210"/>
        <v>4754</v>
      </c>
      <c r="Q3370" s="8">
        <f t="shared" si="211"/>
        <v>4582</v>
      </c>
      <c r="R3370" s="2" t="s">
        <v>28</v>
      </c>
      <c r="S3370" s="9">
        <f>VLOOKUP(P3370,$T$2:U3367,2,1)</f>
        <v>0.02</v>
      </c>
    </row>
    <row r="3371" spans="1:19" x14ac:dyDescent="0.25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e">
        <f>VLOOKUP(F3371,'Customer Info'!A3363:I3862,2,0)</f>
        <v>#N/A</v>
      </c>
      <c r="H3371" s="6" t="e">
        <f>VLOOKUP(F3371,'Customer Info'!A3363:I3862,3,0)</f>
        <v>#N/A</v>
      </c>
      <c r="I3371" s="6" t="e">
        <f>VLOOKUP(F3371,'Customer Info'!A3363:I3862,5,0)</f>
        <v>#N/A</v>
      </c>
      <c r="J3371" s="2">
        <v>1752</v>
      </c>
      <c r="K3371" s="2">
        <v>1576</v>
      </c>
      <c r="L3371" s="2">
        <v>4</v>
      </c>
      <c r="M3371" s="7">
        <f t="shared" si="208"/>
        <v>6304</v>
      </c>
      <c r="N3371" s="7">
        <f t="shared" si="209"/>
        <v>7008</v>
      </c>
      <c r="O3371" s="2">
        <v>86</v>
      </c>
      <c r="P3371" s="8">
        <f t="shared" si="210"/>
        <v>7094</v>
      </c>
      <c r="Q3371" s="8">
        <f t="shared" si="211"/>
        <v>6922</v>
      </c>
      <c r="R3371" s="2" t="s">
        <v>56</v>
      </c>
      <c r="S3371" s="9">
        <f>VLOOKUP(P3371,$T$2:U3368,2,1)</f>
        <v>0.05</v>
      </c>
    </row>
    <row r="3372" spans="1:19" x14ac:dyDescent="0.25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e">
        <f>VLOOKUP(F3372,'Customer Info'!A3364:I3863,2,0)</f>
        <v>#N/A</v>
      </c>
      <c r="H3372" s="6" t="e">
        <f>VLOOKUP(F3372,'Customer Info'!A3364:I3863,3,0)</f>
        <v>#N/A</v>
      </c>
      <c r="I3372" s="6" t="e">
        <f>VLOOKUP(F3372,'Customer Info'!A3364:I3863,5,0)</f>
        <v>#N/A</v>
      </c>
      <c r="J3372" s="2">
        <v>5836</v>
      </c>
      <c r="K3372" s="2">
        <v>5457</v>
      </c>
      <c r="L3372" s="2">
        <v>3</v>
      </c>
      <c r="M3372" s="7">
        <f t="shared" si="208"/>
        <v>16371</v>
      </c>
      <c r="N3372" s="7">
        <f t="shared" si="209"/>
        <v>17508</v>
      </c>
      <c r="O3372" s="2">
        <v>85</v>
      </c>
      <c r="P3372" s="8">
        <f t="shared" si="210"/>
        <v>17593</v>
      </c>
      <c r="Q3372" s="8">
        <f t="shared" si="211"/>
        <v>17423</v>
      </c>
      <c r="R3372" s="2" t="s">
        <v>50</v>
      </c>
      <c r="S3372" s="9">
        <f>VLOOKUP(P3372,$T$2:U3369,2,1)</f>
        <v>0.05</v>
      </c>
    </row>
    <row r="3373" spans="1:19" x14ac:dyDescent="0.25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e">
        <f>VLOOKUP(F3373,'Customer Info'!A3365:I3864,2,0)</f>
        <v>#N/A</v>
      </c>
      <c r="H3373" s="6" t="e">
        <f>VLOOKUP(F3373,'Customer Info'!A3365:I3864,3,0)</f>
        <v>#N/A</v>
      </c>
      <c r="I3373" s="6" t="e">
        <f>VLOOKUP(F3373,'Customer Info'!A3365:I3864,5,0)</f>
        <v>#N/A</v>
      </c>
      <c r="J3373" s="2">
        <v>2088</v>
      </c>
      <c r="K3373" s="2">
        <v>1970</v>
      </c>
      <c r="L3373" s="2">
        <v>2</v>
      </c>
      <c r="M3373" s="7">
        <f t="shared" si="208"/>
        <v>3940</v>
      </c>
      <c r="N3373" s="7">
        <f t="shared" si="209"/>
        <v>4176</v>
      </c>
      <c r="O3373" s="2">
        <v>40</v>
      </c>
      <c r="P3373" s="8">
        <f t="shared" si="210"/>
        <v>4216</v>
      </c>
      <c r="Q3373" s="8">
        <f t="shared" si="211"/>
        <v>4136</v>
      </c>
      <c r="R3373" s="2" t="s">
        <v>50</v>
      </c>
      <c r="S3373" s="9">
        <f>VLOOKUP(P3373,$T$2:U3370,2,1)</f>
        <v>0.02</v>
      </c>
    </row>
    <row r="3374" spans="1:19" x14ac:dyDescent="0.25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e">
        <f>VLOOKUP(F3374,'Customer Info'!A3366:I3865,2,0)</f>
        <v>#N/A</v>
      </c>
      <c r="H3374" s="6" t="e">
        <f>VLOOKUP(F3374,'Customer Info'!A3366:I3865,3,0)</f>
        <v>#N/A</v>
      </c>
      <c r="I3374" s="6" t="e">
        <f>VLOOKUP(F3374,'Customer Info'!A3366:I3865,5,0)</f>
        <v>#N/A</v>
      </c>
      <c r="J3374" s="2">
        <v>4577</v>
      </c>
      <c r="K3374" s="2">
        <v>4280</v>
      </c>
      <c r="L3374" s="2">
        <v>6</v>
      </c>
      <c r="M3374" s="7">
        <f t="shared" si="208"/>
        <v>25680</v>
      </c>
      <c r="N3374" s="7">
        <f t="shared" si="209"/>
        <v>27462</v>
      </c>
      <c r="O3374" s="2">
        <v>34</v>
      </c>
      <c r="P3374" s="8">
        <f t="shared" si="210"/>
        <v>27496</v>
      </c>
      <c r="Q3374" s="8">
        <f t="shared" si="211"/>
        <v>27428</v>
      </c>
      <c r="R3374" s="2" t="s">
        <v>50</v>
      </c>
      <c r="S3374" s="9">
        <f>VLOOKUP(P3374,$T$2:U3371,2,1)</f>
        <v>7.0000000000000007E-2</v>
      </c>
    </row>
    <row r="3375" spans="1:19" x14ac:dyDescent="0.25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e">
        <f>VLOOKUP(F3375,'Customer Info'!A3367:I3866,2,0)</f>
        <v>#N/A</v>
      </c>
      <c r="H3375" s="6" t="e">
        <f>VLOOKUP(F3375,'Customer Info'!A3367:I3866,3,0)</f>
        <v>#N/A</v>
      </c>
      <c r="I3375" s="6" t="e">
        <f>VLOOKUP(F3375,'Customer Info'!A3367:I3866,5,0)</f>
        <v>#N/A</v>
      </c>
      <c r="J3375" s="2">
        <v>206</v>
      </c>
      <c r="K3375" s="2">
        <v>189</v>
      </c>
      <c r="L3375" s="2">
        <v>5</v>
      </c>
      <c r="M3375" s="7">
        <f t="shared" si="208"/>
        <v>945</v>
      </c>
      <c r="N3375" s="7">
        <f t="shared" si="209"/>
        <v>1030</v>
      </c>
      <c r="O3375" s="2">
        <v>80</v>
      </c>
      <c r="P3375" s="8">
        <f t="shared" si="210"/>
        <v>1110</v>
      </c>
      <c r="Q3375" s="8">
        <f t="shared" si="211"/>
        <v>950</v>
      </c>
      <c r="R3375" s="2" t="s">
        <v>50</v>
      </c>
      <c r="S3375" s="9">
        <f>VLOOKUP(P3375,$T$2:U3372,2,1)</f>
        <v>0.02</v>
      </c>
    </row>
    <row r="3376" spans="1:19" x14ac:dyDescent="0.25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e">
        <f>VLOOKUP(F3376,'Customer Info'!A3368:I3867,2,0)</f>
        <v>#N/A</v>
      </c>
      <c r="H3376" s="6" t="e">
        <f>VLOOKUP(F3376,'Customer Info'!A3368:I3867,3,0)</f>
        <v>#N/A</v>
      </c>
      <c r="I3376" s="6" t="e">
        <f>VLOOKUP(F3376,'Customer Info'!A3368:I3867,5,0)</f>
        <v>#N/A</v>
      </c>
      <c r="J3376" s="2">
        <v>1552</v>
      </c>
      <c r="K3376" s="2">
        <v>1466</v>
      </c>
      <c r="L3376" s="2">
        <v>5</v>
      </c>
      <c r="M3376" s="7">
        <f t="shared" si="208"/>
        <v>7330</v>
      </c>
      <c r="N3376" s="7">
        <f t="shared" si="209"/>
        <v>7760</v>
      </c>
      <c r="O3376" s="2">
        <v>57</v>
      </c>
      <c r="P3376" s="8">
        <f t="shared" si="210"/>
        <v>7817</v>
      </c>
      <c r="Q3376" s="8">
        <f t="shared" si="211"/>
        <v>7703</v>
      </c>
      <c r="R3376" s="2" t="s">
        <v>50</v>
      </c>
      <c r="S3376" s="9">
        <f>VLOOKUP(P3376,$T$2:U3373,2,1)</f>
        <v>0.05</v>
      </c>
    </row>
    <row r="3377" spans="1:19" x14ac:dyDescent="0.25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e">
        <f>VLOOKUP(F3377,'Customer Info'!A3369:I3868,2,0)</f>
        <v>#N/A</v>
      </c>
      <c r="H3377" s="6" t="e">
        <f>VLOOKUP(F3377,'Customer Info'!A3369:I3868,3,0)</f>
        <v>#N/A</v>
      </c>
      <c r="I3377" s="6" t="e">
        <f>VLOOKUP(F3377,'Customer Info'!A3369:I3868,5,0)</f>
        <v>#N/A</v>
      </c>
      <c r="J3377" s="2">
        <v>7691</v>
      </c>
      <c r="K3377" s="2">
        <v>7255</v>
      </c>
      <c r="L3377" s="2">
        <v>4</v>
      </c>
      <c r="M3377" s="7">
        <f t="shared" si="208"/>
        <v>29020</v>
      </c>
      <c r="N3377" s="7">
        <f t="shared" si="209"/>
        <v>30764</v>
      </c>
      <c r="O3377" s="2">
        <v>48</v>
      </c>
      <c r="P3377" s="8">
        <f t="shared" si="210"/>
        <v>30812</v>
      </c>
      <c r="Q3377" s="8">
        <f t="shared" si="211"/>
        <v>30716</v>
      </c>
      <c r="R3377" s="2" t="s">
        <v>26</v>
      </c>
      <c r="S3377" s="9">
        <f>VLOOKUP(P3377,$T$2:U3374,2,1)</f>
        <v>7.0000000000000007E-2</v>
      </c>
    </row>
    <row r="3378" spans="1:19" x14ac:dyDescent="0.25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e">
        <f>VLOOKUP(F3378,'Customer Info'!A3370:I3869,2,0)</f>
        <v>#N/A</v>
      </c>
      <c r="H3378" s="6" t="e">
        <f>VLOOKUP(F3378,'Customer Info'!A3370:I3869,3,0)</f>
        <v>#N/A</v>
      </c>
      <c r="I3378" s="6" t="e">
        <f>VLOOKUP(F3378,'Customer Info'!A3370:I3869,5,0)</f>
        <v>#N/A</v>
      </c>
      <c r="J3378" s="2">
        <v>7508</v>
      </c>
      <c r="K3378" s="2">
        <v>6956</v>
      </c>
      <c r="L3378" s="2">
        <v>6</v>
      </c>
      <c r="M3378" s="7">
        <f t="shared" si="208"/>
        <v>41736</v>
      </c>
      <c r="N3378" s="7">
        <f t="shared" si="209"/>
        <v>45048</v>
      </c>
      <c r="O3378" s="2">
        <v>34</v>
      </c>
      <c r="P3378" s="8">
        <f t="shared" si="210"/>
        <v>45082</v>
      </c>
      <c r="Q3378" s="8">
        <f t="shared" si="211"/>
        <v>45014</v>
      </c>
      <c r="R3378" s="2" t="s">
        <v>50</v>
      </c>
      <c r="S3378" s="9">
        <f>VLOOKUP(P3378,$T$2:U3375,2,1)</f>
        <v>7.0000000000000007E-2</v>
      </c>
    </row>
    <row r="3379" spans="1:19" x14ac:dyDescent="0.25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e">
        <f>VLOOKUP(F3379,'Customer Info'!A3371:I3870,2,0)</f>
        <v>#N/A</v>
      </c>
      <c r="H3379" s="6" t="e">
        <f>VLOOKUP(F3379,'Customer Info'!A3371:I3870,3,0)</f>
        <v>#N/A</v>
      </c>
      <c r="I3379" s="6" t="e">
        <f>VLOOKUP(F3379,'Customer Info'!A3371:I3870,5,0)</f>
        <v>#N/A</v>
      </c>
      <c r="J3379" s="2">
        <v>1071</v>
      </c>
      <c r="K3379" s="2">
        <v>1010</v>
      </c>
      <c r="L3379" s="2">
        <v>5</v>
      </c>
      <c r="M3379" s="7">
        <f t="shared" si="208"/>
        <v>5050</v>
      </c>
      <c r="N3379" s="7">
        <f t="shared" si="209"/>
        <v>5355</v>
      </c>
      <c r="O3379" s="2">
        <v>46</v>
      </c>
      <c r="P3379" s="8">
        <f t="shared" si="210"/>
        <v>5401</v>
      </c>
      <c r="Q3379" s="8">
        <f t="shared" si="211"/>
        <v>5309</v>
      </c>
      <c r="R3379" s="2" t="s">
        <v>50</v>
      </c>
      <c r="S3379" s="9">
        <f>VLOOKUP(P3379,$T$2:U3376,2,1)</f>
        <v>0.05</v>
      </c>
    </row>
    <row r="3380" spans="1:19" x14ac:dyDescent="0.25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e">
        <f>VLOOKUP(F3380,'Customer Info'!A3372:I3871,2,0)</f>
        <v>#N/A</v>
      </c>
      <c r="H3380" s="6" t="e">
        <f>VLOOKUP(F3380,'Customer Info'!A3372:I3871,3,0)</f>
        <v>#N/A</v>
      </c>
      <c r="I3380" s="6" t="e">
        <f>VLOOKUP(F3380,'Customer Info'!A3372:I3871,5,0)</f>
        <v>#N/A</v>
      </c>
      <c r="J3380" s="2">
        <v>1734</v>
      </c>
      <c r="K3380" s="2">
        <v>1702</v>
      </c>
      <c r="L3380" s="2">
        <v>1</v>
      </c>
      <c r="M3380" s="7">
        <f t="shared" si="208"/>
        <v>1702</v>
      </c>
      <c r="N3380" s="7">
        <f t="shared" si="209"/>
        <v>1734</v>
      </c>
      <c r="O3380" s="2">
        <v>70</v>
      </c>
      <c r="P3380" s="8">
        <f t="shared" si="210"/>
        <v>1804</v>
      </c>
      <c r="Q3380" s="8">
        <f t="shared" si="211"/>
        <v>1664</v>
      </c>
      <c r="R3380" s="2" t="s">
        <v>50</v>
      </c>
      <c r="S3380" s="9">
        <f>VLOOKUP(P3380,$T$2:U3377,2,1)</f>
        <v>0.02</v>
      </c>
    </row>
    <row r="3381" spans="1:19" x14ac:dyDescent="0.25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e">
        <f>VLOOKUP(F3381,'Customer Info'!A3373:I3872,2,0)</f>
        <v>#N/A</v>
      </c>
      <c r="H3381" s="6" t="e">
        <f>VLOOKUP(F3381,'Customer Info'!A3373:I3872,3,0)</f>
        <v>#N/A</v>
      </c>
      <c r="I3381" s="6" t="e">
        <f>VLOOKUP(F3381,'Customer Info'!A3373:I3872,5,0)</f>
        <v>#N/A</v>
      </c>
      <c r="J3381" s="2">
        <v>63</v>
      </c>
      <c r="K3381" s="2">
        <v>58</v>
      </c>
      <c r="L3381" s="2">
        <v>9</v>
      </c>
      <c r="M3381" s="7">
        <f t="shared" si="208"/>
        <v>522</v>
      </c>
      <c r="N3381" s="7">
        <f t="shared" si="209"/>
        <v>567</v>
      </c>
      <c r="O3381" s="2">
        <v>10</v>
      </c>
      <c r="P3381" s="8">
        <f t="shared" si="210"/>
        <v>577</v>
      </c>
      <c r="Q3381" s="8">
        <f t="shared" si="211"/>
        <v>557</v>
      </c>
      <c r="R3381" s="2" t="s">
        <v>28</v>
      </c>
      <c r="S3381" s="9">
        <f>VLOOKUP(P3381,$T$2:U3378,2,1)</f>
        <v>0.02</v>
      </c>
    </row>
    <row r="3382" spans="1:19" x14ac:dyDescent="0.25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e">
        <f>VLOOKUP(F3382,'Customer Info'!A3374:I3873,2,0)</f>
        <v>#N/A</v>
      </c>
      <c r="H3382" s="6" t="e">
        <f>VLOOKUP(F3382,'Customer Info'!A3374:I3873,3,0)</f>
        <v>#N/A</v>
      </c>
      <c r="I3382" s="6" t="e">
        <f>VLOOKUP(F3382,'Customer Info'!A3374:I3873,5,0)</f>
        <v>#N/A</v>
      </c>
      <c r="J3382" s="2">
        <v>998</v>
      </c>
      <c r="K3382" s="2">
        <v>931</v>
      </c>
      <c r="L3382" s="2">
        <v>1</v>
      </c>
      <c r="M3382" s="7">
        <f t="shared" si="208"/>
        <v>931</v>
      </c>
      <c r="N3382" s="7">
        <f t="shared" si="209"/>
        <v>998</v>
      </c>
      <c r="O3382" s="2">
        <v>50</v>
      </c>
      <c r="P3382" s="8">
        <f t="shared" si="210"/>
        <v>1048</v>
      </c>
      <c r="Q3382" s="8">
        <f t="shared" si="211"/>
        <v>948</v>
      </c>
      <c r="R3382" s="2" t="s">
        <v>28</v>
      </c>
      <c r="S3382" s="9">
        <f>VLOOKUP(P3382,$T$2:U3379,2,1)</f>
        <v>0.02</v>
      </c>
    </row>
    <row r="3383" spans="1:19" x14ac:dyDescent="0.25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e">
        <f>VLOOKUP(F3383,'Customer Info'!A3375:I3874,2,0)</f>
        <v>#N/A</v>
      </c>
      <c r="H3383" s="6" t="e">
        <f>VLOOKUP(F3383,'Customer Info'!A3375:I3874,3,0)</f>
        <v>#N/A</v>
      </c>
      <c r="I3383" s="6" t="e">
        <f>VLOOKUP(F3383,'Customer Info'!A3375:I3874,5,0)</f>
        <v>#N/A</v>
      </c>
      <c r="J3383" s="2">
        <v>6611</v>
      </c>
      <c r="K3383" s="2">
        <v>5943</v>
      </c>
      <c r="L3383" s="2">
        <v>7</v>
      </c>
      <c r="M3383" s="7">
        <f t="shared" si="208"/>
        <v>41601</v>
      </c>
      <c r="N3383" s="7">
        <f t="shared" si="209"/>
        <v>46277</v>
      </c>
      <c r="O3383" s="2">
        <v>37</v>
      </c>
      <c r="P3383" s="8">
        <f t="shared" si="210"/>
        <v>46314</v>
      </c>
      <c r="Q3383" s="8">
        <f t="shared" si="211"/>
        <v>46240</v>
      </c>
      <c r="R3383" s="2" t="s">
        <v>28</v>
      </c>
      <c r="S3383" s="9">
        <f>VLOOKUP(P3383,$T$2:U3380,2,1)</f>
        <v>7.0000000000000007E-2</v>
      </c>
    </row>
    <row r="3384" spans="1:19" x14ac:dyDescent="0.25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e">
        <f>VLOOKUP(F3384,'Customer Info'!A3376:I3875,2,0)</f>
        <v>#N/A</v>
      </c>
      <c r="H3384" s="6" t="e">
        <f>VLOOKUP(F3384,'Customer Info'!A3376:I3875,3,0)</f>
        <v>#N/A</v>
      </c>
      <c r="I3384" s="6" t="e">
        <f>VLOOKUP(F3384,'Customer Info'!A3376:I3875,5,0)</f>
        <v>#N/A</v>
      </c>
      <c r="J3384" s="2">
        <v>167</v>
      </c>
      <c r="K3384" s="2">
        <v>155</v>
      </c>
      <c r="L3384" s="2">
        <v>3</v>
      </c>
      <c r="M3384" s="7">
        <f t="shared" si="208"/>
        <v>465</v>
      </c>
      <c r="N3384" s="7">
        <f t="shared" si="209"/>
        <v>501</v>
      </c>
      <c r="O3384" s="2">
        <v>30</v>
      </c>
      <c r="P3384" s="8">
        <f t="shared" si="210"/>
        <v>531</v>
      </c>
      <c r="Q3384" s="8">
        <f t="shared" si="211"/>
        <v>471</v>
      </c>
      <c r="R3384" s="2" t="s">
        <v>28</v>
      </c>
      <c r="S3384" s="9">
        <f>VLOOKUP(P3384,$T$2:U3381,2,1)</f>
        <v>0.02</v>
      </c>
    </row>
    <row r="3385" spans="1:19" x14ac:dyDescent="0.25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e">
        <f>VLOOKUP(F3385,'Customer Info'!A3377:I3876,2,0)</f>
        <v>#N/A</v>
      </c>
      <c r="H3385" s="6" t="e">
        <f>VLOOKUP(F3385,'Customer Info'!A3377:I3876,3,0)</f>
        <v>#N/A</v>
      </c>
      <c r="I3385" s="6" t="e">
        <f>VLOOKUP(F3385,'Customer Info'!A3377:I3876,5,0)</f>
        <v>#N/A</v>
      </c>
      <c r="J3385" s="2">
        <v>1103</v>
      </c>
      <c r="K3385" s="2">
        <v>1030</v>
      </c>
      <c r="L3385" s="2">
        <v>3</v>
      </c>
      <c r="M3385" s="7">
        <f t="shared" si="208"/>
        <v>3090</v>
      </c>
      <c r="N3385" s="7">
        <f t="shared" si="209"/>
        <v>3309</v>
      </c>
      <c r="O3385" s="2">
        <v>44</v>
      </c>
      <c r="P3385" s="8">
        <f t="shared" si="210"/>
        <v>3353</v>
      </c>
      <c r="Q3385" s="8">
        <f t="shared" si="211"/>
        <v>3265</v>
      </c>
      <c r="R3385" s="2" t="s">
        <v>50</v>
      </c>
      <c r="S3385" s="9">
        <f>VLOOKUP(P3385,$T$2:U3382,2,1)</f>
        <v>0.02</v>
      </c>
    </row>
    <row r="3386" spans="1:19" x14ac:dyDescent="0.25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e">
        <f>VLOOKUP(F3386,'Customer Info'!A3378:I3877,2,0)</f>
        <v>#N/A</v>
      </c>
      <c r="H3386" s="6" t="e">
        <f>VLOOKUP(F3386,'Customer Info'!A3378:I3877,3,0)</f>
        <v>#N/A</v>
      </c>
      <c r="I3386" s="6" t="e">
        <f>VLOOKUP(F3386,'Customer Info'!A3378:I3877,5,0)</f>
        <v>#N/A</v>
      </c>
      <c r="J3386" s="2">
        <v>1447</v>
      </c>
      <c r="K3386" s="2">
        <v>1326</v>
      </c>
      <c r="L3386" s="2">
        <v>4</v>
      </c>
      <c r="M3386" s="7">
        <f t="shared" si="208"/>
        <v>5304</v>
      </c>
      <c r="N3386" s="7">
        <f t="shared" si="209"/>
        <v>5788</v>
      </c>
      <c r="O3386" s="2">
        <v>39</v>
      </c>
      <c r="P3386" s="8">
        <f t="shared" si="210"/>
        <v>5827</v>
      </c>
      <c r="Q3386" s="8">
        <f t="shared" si="211"/>
        <v>5749</v>
      </c>
      <c r="R3386" s="2" t="s">
        <v>28</v>
      </c>
      <c r="S3386" s="9">
        <f>VLOOKUP(P3386,$T$2:U3383,2,1)</f>
        <v>0.05</v>
      </c>
    </row>
    <row r="3387" spans="1:19" x14ac:dyDescent="0.25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e">
        <f>VLOOKUP(F3387,'Customer Info'!A3379:I3878,2,0)</f>
        <v>#N/A</v>
      </c>
      <c r="H3387" s="6" t="e">
        <f>VLOOKUP(F3387,'Customer Info'!A3379:I3878,3,0)</f>
        <v>#N/A</v>
      </c>
      <c r="I3387" s="6" t="e">
        <f>VLOOKUP(F3387,'Customer Info'!A3379:I3878,5,0)</f>
        <v>#N/A</v>
      </c>
      <c r="J3387" s="2">
        <v>149</v>
      </c>
      <c r="K3387" s="2">
        <v>131</v>
      </c>
      <c r="L3387" s="2">
        <v>4</v>
      </c>
      <c r="M3387" s="7">
        <f t="shared" si="208"/>
        <v>524</v>
      </c>
      <c r="N3387" s="7">
        <f t="shared" si="209"/>
        <v>596</v>
      </c>
      <c r="O3387" s="2">
        <v>30</v>
      </c>
      <c r="P3387" s="8">
        <f t="shared" si="210"/>
        <v>626</v>
      </c>
      <c r="Q3387" s="8">
        <f t="shared" si="211"/>
        <v>566</v>
      </c>
      <c r="R3387" s="2" t="s">
        <v>28</v>
      </c>
      <c r="S3387" s="9">
        <f>VLOOKUP(P3387,$T$2:U3384,2,1)</f>
        <v>0.02</v>
      </c>
    </row>
    <row r="3388" spans="1:19" x14ac:dyDescent="0.25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e">
        <f>VLOOKUP(F3388,'Customer Info'!A3380:I3879,2,0)</f>
        <v>#N/A</v>
      </c>
      <c r="H3388" s="6" t="e">
        <f>VLOOKUP(F3388,'Customer Info'!A3380:I3879,3,0)</f>
        <v>#N/A</v>
      </c>
      <c r="I3388" s="6" t="e">
        <f>VLOOKUP(F3388,'Customer Info'!A3380:I3879,5,0)</f>
        <v>#N/A</v>
      </c>
      <c r="J3388" s="2">
        <v>400</v>
      </c>
      <c r="K3388" s="2">
        <v>360</v>
      </c>
      <c r="L3388" s="2">
        <v>6</v>
      </c>
      <c r="M3388" s="7">
        <f t="shared" si="208"/>
        <v>2160</v>
      </c>
      <c r="N3388" s="7">
        <f t="shared" si="209"/>
        <v>2400</v>
      </c>
      <c r="O3388" s="2">
        <v>70</v>
      </c>
      <c r="P3388" s="8">
        <f t="shared" si="210"/>
        <v>2470</v>
      </c>
      <c r="Q3388" s="8">
        <f t="shared" si="211"/>
        <v>2330</v>
      </c>
      <c r="R3388" s="2" t="s">
        <v>28</v>
      </c>
      <c r="S3388" s="9">
        <f>VLOOKUP(P3388,$T$2:U3385,2,1)</f>
        <v>0.02</v>
      </c>
    </row>
    <row r="3389" spans="1:19" x14ac:dyDescent="0.25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e">
        <f>VLOOKUP(F3389,'Customer Info'!A3381:I3880,2,0)</f>
        <v>#N/A</v>
      </c>
      <c r="H3389" s="6" t="e">
        <f>VLOOKUP(F3389,'Customer Info'!A3381:I3880,3,0)</f>
        <v>#N/A</v>
      </c>
      <c r="I3389" s="6" t="e">
        <f>VLOOKUP(F3389,'Customer Info'!A3381:I3880,5,0)</f>
        <v>#N/A</v>
      </c>
      <c r="J3389" s="2">
        <v>2790</v>
      </c>
      <c r="K3389" s="2">
        <v>2557</v>
      </c>
      <c r="L3389" s="2">
        <v>2</v>
      </c>
      <c r="M3389" s="7">
        <f t="shared" si="208"/>
        <v>5114</v>
      </c>
      <c r="N3389" s="7">
        <f t="shared" si="209"/>
        <v>5580</v>
      </c>
      <c r="O3389" s="2">
        <v>25</v>
      </c>
      <c r="P3389" s="8">
        <f t="shared" si="210"/>
        <v>5605</v>
      </c>
      <c r="Q3389" s="8">
        <f t="shared" si="211"/>
        <v>5555</v>
      </c>
      <c r="R3389" s="2" t="s">
        <v>50</v>
      </c>
      <c r="S3389" s="9">
        <f>VLOOKUP(P3389,$T$2:U3386,2,1)</f>
        <v>0.05</v>
      </c>
    </row>
    <row r="3390" spans="1:19" x14ac:dyDescent="0.25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e">
        <f>VLOOKUP(F3390,'Customer Info'!A3382:I3881,2,0)</f>
        <v>#N/A</v>
      </c>
      <c r="H3390" s="6" t="e">
        <f>VLOOKUP(F3390,'Customer Info'!A3382:I3881,3,0)</f>
        <v>#N/A</v>
      </c>
      <c r="I3390" s="6" t="e">
        <f>VLOOKUP(F3390,'Customer Info'!A3382:I3881,5,0)</f>
        <v>#N/A</v>
      </c>
      <c r="J3390" s="2">
        <v>2787</v>
      </c>
      <c r="K3390" s="2">
        <v>2681</v>
      </c>
      <c r="L3390" s="2">
        <v>1</v>
      </c>
      <c r="M3390" s="7">
        <f t="shared" si="208"/>
        <v>2681</v>
      </c>
      <c r="N3390" s="7">
        <f t="shared" si="209"/>
        <v>2787</v>
      </c>
      <c r="O3390" s="2">
        <v>97</v>
      </c>
      <c r="P3390" s="8">
        <f t="shared" si="210"/>
        <v>2884</v>
      </c>
      <c r="Q3390" s="8">
        <f t="shared" si="211"/>
        <v>2690</v>
      </c>
      <c r="R3390" s="2" t="s">
        <v>56</v>
      </c>
      <c r="S3390" s="9">
        <f>VLOOKUP(P3390,$T$2:U3387,2,1)</f>
        <v>0.02</v>
      </c>
    </row>
    <row r="3391" spans="1:19" x14ac:dyDescent="0.25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e">
        <f>VLOOKUP(F3391,'Customer Info'!A3383:I3882,2,0)</f>
        <v>#N/A</v>
      </c>
      <c r="H3391" s="6" t="e">
        <f>VLOOKUP(F3391,'Customer Info'!A3383:I3882,3,0)</f>
        <v>#N/A</v>
      </c>
      <c r="I3391" s="6" t="e">
        <f>VLOOKUP(F3391,'Customer Info'!A3383:I3882,5,0)</f>
        <v>#N/A</v>
      </c>
      <c r="J3391" s="2">
        <v>6701</v>
      </c>
      <c r="K3391" s="2">
        <v>6384</v>
      </c>
      <c r="L3391" s="2">
        <v>6</v>
      </c>
      <c r="M3391" s="7">
        <f t="shared" si="208"/>
        <v>38304</v>
      </c>
      <c r="N3391" s="7">
        <f t="shared" si="209"/>
        <v>40206</v>
      </c>
      <c r="O3391" s="2">
        <v>29</v>
      </c>
      <c r="P3391" s="8">
        <f t="shared" si="210"/>
        <v>40235</v>
      </c>
      <c r="Q3391" s="8">
        <f t="shared" si="211"/>
        <v>40177</v>
      </c>
      <c r="R3391" s="2" t="s">
        <v>28</v>
      </c>
      <c r="S3391" s="9">
        <f>VLOOKUP(P3391,$T$2:U3388,2,1)</f>
        <v>7.0000000000000007E-2</v>
      </c>
    </row>
    <row r="3392" spans="1:19" x14ac:dyDescent="0.25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e">
        <f>VLOOKUP(F3392,'Customer Info'!A3384:I3883,2,0)</f>
        <v>#N/A</v>
      </c>
      <c r="H3392" s="6" t="e">
        <f>VLOOKUP(F3392,'Customer Info'!A3384:I3883,3,0)</f>
        <v>#N/A</v>
      </c>
      <c r="I3392" s="6" t="e">
        <f>VLOOKUP(F3392,'Customer Info'!A3384:I3883,5,0)</f>
        <v>#N/A</v>
      </c>
      <c r="J3392" s="2">
        <v>166</v>
      </c>
      <c r="K3392" s="2">
        <v>157</v>
      </c>
      <c r="L3392" s="2">
        <v>6</v>
      </c>
      <c r="M3392" s="7">
        <f t="shared" si="208"/>
        <v>942</v>
      </c>
      <c r="N3392" s="7">
        <f t="shared" si="209"/>
        <v>996</v>
      </c>
      <c r="O3392" s="2">
        <v>30</v>
      </c>
      <c r="P3392" s="8">
        <f t="shared" si="210"/>
        <v>1026</v>
      </c>
      <c r="Q3392" s="8">
        <f t="shared" si="211"/>
        <v>966</v>
      </c>
      <c r="R3392" s="2" t="s">
        <v>50</v>
      </c>
      <c r="S3392" s="9">
        <f>VLOOKUP(P3392,$T$2:U3389,2,1)</f>
        <v>0.02</v>
      </c>
    </row>
    <row r="3393" spans="1:19" x14ac:dyDescent="0.25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e">
        <f>VLOOKUP(F3393,'Customer Info'!A3385:I3884,2,0)</f>
        <v>#N/A</v>
      </c>
      <c r="H3393" s="6" t="e">
        <f>VLOOKUP(F3393,'Customer Info'!A3385:I3884,3,0)</f>
        <v>#N/A</v>
      </c>
      <c r="I3393" s="6" t="e">
        <f>VLOOKUP(F3393,'Customer Info'!A3385:I3884,5,0)</f>
        <v>#N/A</v>
      </c>
      <c r="J3393" s="2">
        <v>1958</v>
      </c>
      <c r="K3393" s="2">
        <v>1846</v>
      </c>
      <c r="L3393" s="2">
        <v>5</v>
      </c>
      <c r="M3393" s="7">
        <f t="shared" si="208"/>
        <v>9230</v>
      </c>
      <c r="N3393" s="7">
        <f t="shared" si="209"/>
        <v>9790</v>
      </c>
      <c r="O3393" s="2">
        <v>58</v>
      </c>
      <c r="P3393" s="8">
        <f t="shared" si="210"/>
        <v>9848</v>
      </c>
      <c r="Q3393" s="8">
        <f t="shared" si="211"/>
        <v>9732</v>
      </c>
      <c r="R3393" s="2" t="s">
        <v>28</v>
      </c>
      <c r="S3393" s="9">
        <f>VLOOKUP(P3393,$T$2:U3390,2,1)</f>
        <v>0.05</v>
      </c>
    </row>
    <row r="3394" spans="1:19" x14ac:dyDescent="0.25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e">
        <f>VLOOKUP(F3394,'Customer Info'!A3386:I3885,2,0)</f>
        <v>#N/A</v>
      </c>
      <c r="H3394" s="6" t="e">
        <f>VLOOKUP(F3394,'Customer Info'!A3386:I3885,3,0)</f>
        <v>#N/A</v>
      </c>
      <c r="I3394" s="6" t="e">
        <f>VLOOKUP(F3394,'Customer Info'!A3386:I3885,5,0)</f>
        <v>#N/A</v>
      </c>
      <c r="J3394" s="2">
        <v>900</v>
      </c>
      <c r="K3394" s="2">
        <v>834</v>
      </c>
      <c r="L3394" s="2">
        <v>3</v>
      </c>
      <c r="M3394" s="7">
        <f t="shared" si="208"/>
        <v>2502</v>
      </c>
      <c r="N3394" s="7">
        <f t="shared" si="209"/>
        <v>2700</v>
      </c>
      <c r="O3394" s="2">
        <v>52</v>
      </c>
      <c r="P3394" s="8">
        <f t="shared" si="210"/>
        <v>2752</v>
      </c>
      <c r="Q3394" s="8">
        <f t="shared" si="211"/>
        <v>2648</v>
      </c>
      <c r="R3394" s="2" t="s">
        <v>28</v>
      </c>
      <c r="S3394" s="9">
        <f>VLOOKUP(P3394,$T$2:U3391,2,1)</f>
        <v>0.02</v>
      </c>
    </row>
    <row r="3395" spans="1:19" x14ac:dyDescent="0.25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e">
        <f>VLOOKUP(F3395,'Customer Info'!A3387:I3886,2,0)</f>
        <v>#N/A</v>
      </c>
      <c r="H3395" s="6" t="e">
        <f>VLOOKUP(F3395,'Customer Info'!A3387:I3886,3,0)</f>
        <v>#N/A</v>
      </c>
      <c r="I3395" s="6" t="e">
        <f>VLOOKUP(F3395,'Customer Info'!A3387:I3886,5,0)</f>
        <v>#N/A</v>
      </c>
      <c r="J3395" s="2">
        <v>992</v>
      </c>
      <c r="K3395" s="2">
        <v>928</v>
      </c>
      <c r="L3395" s="2">
        <v>6</v>
      </c>
      <c r="M3395" s="7">
        <f t="shared" si="208"/>
        <v>5568</v>
      </c>
      <c r="N3395" s="7">
        <f t="shared" si="209"/>
        <v>5952</v>
      </c>
      <c r="O3395" s="2">
        <v>74</v>
      </c>
      <c r="P3395" s="8">
        <f t="shared" si="210"/>
        <v>6026</v>
      </c>
      <c r="Q3395" s="8">
        <f t="shared" si="211"/>
        <v>5878</v>
      </c>
      <c r="R3395" s="2" t="s">
        <v>50</v>
      </c>
      <c r="S3395" s="9">
        <f>VLOOKUP(P3395,$T$2:U3392,2,1)</f>
        <v>0.05</v>
      </c>
    </row>
    <row r="3396" spans="1:19" x14ac:dyDescent="0.25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e">
        <f>VLOOKUP(F3396,'Customer Info'!A3388:I3887,2,0)</f>
        <v>#N/A</v>
      </c>
      <c r="H3396" s="6" t="e">
        <f>VLOOKUP(F3396,'Customer Info'!A3388:I3887,3,0)</f>
        <v>#N/A</v>
      </c>
      <c r="I3396" s="6" t="e">
        <f>VLOOKUP(F3396,'Customer Info'!A3388:I3887,5,0)</f>
        <v>#N/A</v>
      </c>
      <c r="J3396" s="2">
        <v>645</v>
      </c>
      <c r="K3396" s="2">
        <v>565</v>
      </c>
      <c r="L3396" s="2">
        <v>5</v>
      </c>
      <c r="M3396" s="7">
        <f t="shared" si="208"/>
        <v>2825</v>
      </c>
      <c r="N3396" s="7">
        <f t="shared" si="209"/>
        <v>3225</v>
      </c>
      <c r="O3396" s="2">
        <v>74</v>
      </c>
      <c r="P3396" s="8">
        <f t="shared" si="210"/>
        <v>3299</v>
      </c>
      <c r="Q3396" s="8">
        <f t="shared" si="211"/>
        <v>3151</v>
      </c>
      <c r="R3396" s="2" t="s">
        <v>28</v>
      </c>
      <c r="S3396" s="9">
        <f>VLOOKUP(P3396,$T$2:U3393,2,1)</f>
        <v>0.02</v>
      </c>
    </row>
    <row r="3397" spans="1:19" x14ac:dyDescent="0.25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e">
        <f>VLOOKUP(F3397,'Customer Info'!A3389:I3888,2,0)</f>
        <v>#N/A</v>
      </c>
      <c r="H3397" s="6" t="e">
        <f>VLOOKUP(F3397,'Customer Info'!A3389:I3888,3,0)</f>
        <v>#N/A</v>
      </c>
      <c r="I3397" s="6" t="e">
        <f>VLOOKUP(F3397,'Customer Info'!A3389:I3888,5,0)</f>
        <v>#N/A</v>
      </c>
      <c r="J3397" s="2">
        <v>2958</v>
      </c>
      <c r="K3397" s="2">
        <v>2743</v>
      </c>
      <c r="L3397" s="2">
        <v>1</v>
      </c>
      <c r="M3397" s="7">
        <f t="shared" si="208"/>
        <v>2743</v>
      </c>
      <c r="N3397" s="7">
        <f t="shared" si="209"/>
        <v>2958</v>
      </c>
      <c r="O3397" s="2">
        <v>72</v>
      </c>
      <c r="P3397" s="8">
        <f t="shared" si="210"/>
        <v>3030</v>
      </c>
      <c r="Q3397" s="8">
        <f t="shared" si="211"/>
        <v>2886</v>
      </c>
      <c r="R3397" s="2" t="s">
        <v>50</v>
      </c>
      <c r="S3397" s="9">
        <f>VLOOKUP(P3397,$T$2:U3394,2,1)</f>
        <v>0.02</v>
      </c>
    </row>
    <row r="3398" spans="1:19" x14ac:dyDescent="0.25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e">
        <f>VLOOKUP(F3398,'Customer Info'!A3390:I3889,2,0)</f>
        <v>#N/A</v>
      </c>
      <c r="H3398" s="6" t="e">
        <f>VLOOKUP(F3398,'Customer Info'!A3390:I3889,3,0)</f>
        <v>#N/A</v>
      </c>
      <c r="I3398" s="6" t="e">
        <f>VLOOKUP(F3398,'Customer Info'!A3390:I3889,5,0)</f>
        <v>#N/A</v>
      </c>
      <c r="J3398" s="2">
        <v>511</v>
      </c>
      <c r="K3398" s="2">
        <v>468</v>
      </c>
      <c r="L3398" s="2">
        <v>11</v>
      </c>
      <c r="M3398" s="7">
        <f t="shared" si="208"/>
        <v>5148</v>
      </c>
      <c r="N3398" s="7">
        <f t="shared" si="209"/>
        <v>5621</v>
      </c>
      <c r="O3398" s="2">
        <v>89</v>
      </c>
      <c r="P3398" s="8">
        <f t="shared" si="210"/>
        <v>5710</v>
      </c>
      <c r="Q3398" s="8">
        <f t="shared" si="211"/>
        <v>5532</v>
      </c>
      <c r="R3398" s="2" t="s">
        <v>28</v>
      </c>
      <c r="S3398" s="9">
        <f>VLOOKUP(P3398,$T$2:U3395,2,1)</f>
        <v>0.05</v>
      </c>
    </row>
    <row r="3399" spans="1:19" x14ac:dyDescent="0.25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e">
        <f>VLOOKUP(F3399,'Customer Info'!A3391:I3890,2,0)</f>
        <v>#N/A</v>
      </c>
      <c r="H3399" s="6" t="e">
        <f>VLOOKUP(F3399,'Customer Info'!A3391:I3890,3,0)</f>
        <v>#N/A</v>
      </c>
      <c r="I3399" s="6" t="e">
        <f>VLOOKUP(F3399,'Customer Info'!A3391:I3890,5,0)</f>
        <v>#N/A</v>
      </c>
      <c r="J3399" s="2">
        <v>8160</v>
      </c>
      <c r="K3399" s="2">
        <v>7475</v>
      </c>
      <c r="L3399" s="2">
        <v>12</v>
      </c>
      <c r="M3399" s="7">
        <f t="shared" si="208"/>
        <v>89700</v>
      </c>
      <c r="N3399" s="7">
        <f t="shared" si="209"/>
        <v>97920</v>
      </c>
      <c r="O3399" s="2">
        <v>95</v>
      </c>
      <c r="P3399" s="8">
        <f t="shared" si="210"/>
        <v>98015</v>
      </c>
      <c r="Q3399" s="8">
        <f t="shared" si="211"/>
        <v>97825</v>
      </c>
      <c r="R3399" s="2" t="s">
        <v>56</v>
      </c>
      <c r="S3399" s="9">
        <f>VLOOKUP(P3399,$T$2:U3396,2,1)</f>
        <v>0.09</v>
      </c>
    </row>
    <row r="3400" spans="1:19" x14ac:dyDescent="0.25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e">
        <f>VLOOKUP(F3400,'Customer Info'!A3392:I3891,2,0)</f>
        <v>#N/A</v>
      </c>
      <c r="H3400" s="6" t="e">
        <f>VLOOKUP(F3400,'Customer Info'!A3392:I3891,3,0)</f>
        <v>#N/A</v>
      </c>
      <c r="I3400" s="6" t="e">
        <f>VLOOKUP(F3400,'Customer Info'!A3392:I3891,5,0)</f>
        <v>#N/A</v>
      </c>
      <c r="J3400" s="2">
        <v>63</v>
      </c>
      <c r="K3400" s="2">
        <v>58</v>
      </c>
      <c r="L3400" s="2">
        <v>5</v>
      </c>
      <c r="M3400" s="7">
        <f t="shared" si="208"/>
        <v>290</v>
      </c>
      <c r="N3400" s="7">
        <f t="shared" si="209"/>
        <v>315</v>
      </c>
      <c r="O3400" s="2">
        <v>10</v>
      </c>
      <c r="P3400" s="8">
        <f t="shared" si="210"/>
        <v>325</v>
      </c>
      <c r="Q3400" s="8">
        <f t="shared" si="211"/>
        <v>305</v>
      </c>
      <c r="R3400" s="2" t="s">
        <v>50</v>
      </c>
      <c r="S3400" s="9">
        <f>VLOOKUP(P3400,$T$2:U3397,2,1)</f>
        <v>0.02</v>
      </c>
    </row>
    <row r="3401" spans="1:19" x14ac:dyDescent="0.25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e">
        <f>VLOOKUP(F3401,'Customer Info'!A3393:I3892,2,0)</f>
        <v>#N/A</v>
      </c>
      <c r="H3401" s="6" t="e">
        <f>VLOOKUP(F3401,'Customer Info'!A3393:I3892,3,0)</f>
        <v>#N/A</v>
      </c>
      <c r="I3401" s="6" t="e">
        <f>VLOOKUP(F3401,'Customer Info'!A3393:I3892,5,0)</f>
        <v>#N/A</v>
      </c>
      <c r="J3401" s="2">
        <v>691</v>
      </c>
      <c r="K3401" s="2">
        <v>646</v>
      </c>
      <c r="L3401" s="2">
        <v>9</v>
      </c>
      <c r="M3401" s="7">
        <f t="shared" si="208"/>
        <v>5814</v>
      </c>
      <c r="N3401" s="7">
        <f t="shared" si="209"/>
        <v>6219</v>
      </c>
      <c r="O3401" s="2">
        <v>91</v>
      </c>
      <c r="P3401" s="8">
        <f t="shared" si="210"/>
        <v>6310</v>
      </c>
      <c r="Q3401" s="8">
        <f t="shared" si="211"/>
        <v>6128</v>
      </c>
      <c r="R3401" s="2" t="s">
        <v>50</v>
      </c>
      <c r="S3401" s="9">
        <f>VLOOKUP(P3401,$T$2:U3398,2,1)</f>
        <v>0.05</v>
      </c>
    </row>
    <row r="3402" spans="1:19" x14ac:dyDescent="0.25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e">
        <f>VLOOKUP(F3402,'Customer Info'!A3394:I3893,2,0)</f>
        <v>#N/A</v>
      </c>
      <c r="H3402" s="6" t="e">
        <f>VLOOKUP(F3402,'Customer Info'!A3394:I3893,3,0)</f>
        <v>#N/A</v>
      </c>
      <c r="I3402" s="6" t="e">
        <f>VLOOKUP(F3402,'Customer Info'!A3394:I3893,5,0)</f>
        <v>#N/A</v>
      </c>
      <c r="J3402" s="2">
        <v>2965</v>
      </c>
      <c r="K3402" s="2">
        <v>2694</v>
      </c>
      <c r="L3402" s="2">
        <v>2</v>
      </c>
      <c r="M3402" s="7">
        <f t="shared" si="208"/>
        <v>5388</v>
      </c>
      <c r="N3402" s="7">
        <f t="shared" si="209"/>
        <v>5930</v>
      </c>
      <c r="O3402" s="2">
        <v>53</v>
      </c>
      <c r="P3402" s="8">
        <f t="shared" si="210"/>
        <v>5983</v>
      </c>
      <c r="Q3402" s="8">
        <f t="shared" si="211"/>
        <v>5877</v>
      </c>
      <c r="R3402" s="2" t="s">
        <v>26</v>
      </c>
      <c r="S3402" s="9">
        <f>VLOOKUP(P3402,$T$2:U3399,2,1)</f>
        <v>0.05</v>
      </c>
    </row>
    <row r="3403" spans="1:19" x14ac:dyDescent="0.25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e">
        <f>VLOOKUP(F3403,'Customer Info'!A3395:I3894,2,0)</f>
        <v>#N/A</v>
      </c>
      <c r="H3403" s="6" t="e">
        <f>VLOOKUP(F3403,'Customer Info'!A3395:I3894,3,0)</f>
        <v>#N/A</v>
      </c>
      <c r="I3403" s="6" t="e">
        <f>VLOOKUP(F3403,'Customer Info'!A3395:I3894,5,0)</f>
        <v>#N/A</v>
      </c>
      <c r="J3403" s="2">
        <v>2478</v>
      </c>
      <c r="K3403" s="2">
        <v>2406</v>
      </c>
      <c r="L3403" s="2">
        <v>2</v>
      </c>
      <c r="M3403" s="7">
        <f t="shared" ref="M3403:M3466" si="212">K3403*L3403</f>
        <v>4812</v>
      </c>
      <c r="N3403" s="7">
        <f t="shared" ref="N3403:N3466" si="213">J3403*L3403</f>
        <v>4956</v>
      </c>
      <c r="O3403" s="2">
        <v>77</v>
      </c>
      <c r="P3403" s="8">
        <f t="shared" ref="P3403:P3466" si="214">SUM(N3403,O3403)</f>
        <v>5033</v>
      </c>
      <c r="Q3403" s="8">
        <f t="shared" ref="Q3403:Q3466" si="215">N3403-O3403</f>
        <v>4879</v>
      </c>
      <c r="R3403" s="2" t="s">
        <v>50</v>
      </c>
      <c r="S3403" s="9">
        <f>VLOOKUP(P3403,$T$2:U3400,2,1)</f>
        <v>0.05</v>
      </c>
    </row>
    <row r="3404" spans="1:19" x14ac:dyDescent="0.25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e">
        <f>VLOOKUP(F3404,'Customer Info'!A3396:I3895,2,0)</f>
        <v>#N/A</v>
      </c>
      <c r="H3404" s="6" t="e">
        <f>VLOOKUP(F3404,'Customer Info'!A3396:I3895,3,0)</f>
        <v>#N/A</v>
      </c>
      <c r="I3404" s="6" t="e">
        <f>VLOOKUP(F3404,'Customer Info'!A3396:I3895,5,0)</f>
        <v>#N/A</v>
      </c>
      <c r="J3404" s="2">
        <v>2540</v>
      </c>
      <c r="K3404" s="2">
        <v>2397</v>
      </c>
      <c r="L3404" s="2">
        <v>2</v>
      </c>
      <c r="M3404" s="7">
        <f t="shared" si="212"/>
        <v>4794</v>
      </c>
      <c r="N3404" s="7">
        <f t="shared" si="213"/>
        <v>5080</v>
      </c>
      <c r="O3404" s="2">
        <v>99</v>
      </c>
      <c r="P3404" s="8">
        <f t="shared" si="214"/>
        <v>5179</v>
      </c>
      <c r="Q3404" s="8">
        <f t="shared" si="215"/>
        <v>4981</v>
      </c>
      <c r="R3404" s="2" t="s">
        <v>50</v>
      </c>
      <c r="S3404" s="9">
        <f>VLOOKUP(P3404,$T$2:U3401,2,1)</f>
        <v>0.05</v>
      </c>
    </row>
    <row r="3405" spans="1:19" x14ac:dyDescent="0.25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e">
        <f>VLOOKUP(F3405,'Customer Info'!A3397:I3896,2,0)</f>
        <v>#N/A</v>
      </c>
      <c r="H3405" s="6" t="e">
        <f>VLOOKUP(F3405,'Customer Info'!A3397:I3896,3,0)</f>
        <v>#N/A</v>
      </c>
      <c r="I3405" s="6" t="e">
        <f>VLOOKUP(F3405,'Customer Info'!A3397:I3896,5,0)</f>
        <v>#N/A</v>
      </c>
      <c r="J3405" s="2">
        <v>3145</v>
      </c>
      <c r="K3405" s="2">
        <v>3025</v>
      </c>
      <c r="L3405" s="2">
        <v>4</v>
      </c>
      <c r="M3405" s="7">
        <f t="shared" si="212"/>
        <v>12100</v>
      </c>
      <c r="N3405" s="7">
        <f t="shared" si="213"/>
        <v>12580</v>
      </c>
      <c r="O3405" s="2">
        <v>49</v>
      </c>
      <c r="P3405" s="8">
        <f t="shared" si="214"/>
        <v>12629</v>
      </c>
      <c r="Q3405" s="8">
        <f t="shared" si="215"/>
        <v>12531</v>
      </c>
      <c r="R3405" s="2" t="s">
        <v>50</v>
      </c>
      <c r="S3405" s="9">
        <f>VLOOKUP(P3405,$T$2:U3402,2,1)</f>
        <v>0.05</v>
      </c>
    </row>
    <row r="3406" spans="1:19" x14ac:dyDescent="0.25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e">
        <f>VLOOKUP(F3406,'Customer Info'!A3398:I3897,2,0)</f>
        <v>#N/A</v>
      </c>
      <c r="H3406" s="6" t="e">
        <f>VLOOKUP(F3406,'Customer Info'!A3398:I3897,3,0)</f>
        <v>#N/A</v>
      </c>
      <c r="I3406" s="6" t="e">
        <f>VLOOKUP(F3406,'Customer Info'!A3398:I3897,5,0)</f>
        <v>#N/A</v>
      </c>
      <c r="J3406" s="2">
        <v>626</v>
      </c>
      <c r="K3406" s="2">
        <v>559</v>
      </c>
      <c r="L3406" s="2">
        <v>6</v>
      </c>
      <c r="M3406" s="7">
        <f t="shared" si="212"/>
        <v>3354</v>
      </c>
      <c r="N3406" s="7">
        <f t="shared" si="213"/>
        <v>3756</v>
      </c>
      <c r="O3406" s="2">
        <v>96</v>
      </c>
      <c r="P3406" s="8">
        <f t="shared" si="214"/>
        <v>3852</v>
      </c>
      <c r="Q3406" s="8">
        <f t="shared" si="215"/>
        <v>3660</v>
      </c>
      <c r="R3406" s="2" t="s">
        <v>28</v>
      </c>
      <c r="S3406" s="9">
        <f>VLOOKUP(P3406,$T$2:U3403,2,1)</f>
        <v>0.02</v>
      </c>
    </row>
    <row r="3407" spans="1:19" x14ac:dyDescent="0.25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e">
        <f>VLOOKUP(F3407,'Customer Info'!A3399:I3898,2,0)</f>
        <v>#N/A</v>
      </c>
      <c r="H3407" s="6" t="e">
        <f>VLOOKUP(F3407,'Customer Info'!A3399:I3898,3,0)</f>
        <v>#N/A</v>
      </c>
      <c r="I3407" s="6" t="e">
        <f>VLOOKUP(F3407,'Customer Info'!A3399:I3898,5,0)</f>
        <v>#N/A</v>
      </c>
      <c r="J3407" s="2">
        <v>144</v>
      </c>
      <c r="K3407" s="2">
        <v>132</v>
      </c>
      <c r="L3407" s="2">
        <v>4</v>
      </c>
      <c r="M3407" s="7">
        <f t="shared" si="212"/>
        <v>528</v>
      </c>
      <c r="N3407" s="7">
        <f t="shared" si="213"/>
        <v>576</v>
      </c>
      <c r="O3407" s="2">
        <v>30</v>
      </c>
      <c r="P3407" s="8">
        <f t="shared" si="214"/>
        <v>606</v>
      </c>
      <c r="Q3407" s="8">
        <f t="shared" si="215"/>
        <v>546</v>
      </c>
      <c r="R3407" s="2" t="s">
        <v>50</v>
      </c>
      <c r="S3407" s="9">
        <f>VLOOKUP(P3407,$T$2:U3404,2,1)</f>
        <v>0.02</v>
      </c>
    </row>
    <row r="3408" spans="1:19" x14ac:dyDescent="0.25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e">
        <f>VLOOKUP(F3408,'Customer Info'!A3400:I3899,2,0)</f>
        <v>#N/A</v>
      </c>
      <c r="H3408" s="6" t="e">
        <f>VLOOKUP(F3408,'Customer Info'!A3400:I3899,3,0)</f>
        <v>#N/A</v>
      </c>
      <c r="I3408" s="6" t="e">
        <f>VLOOKUP(F3408,'Customer Info'!A3400:I3899,5,0)</f>
        <v>#N/A</v>
      </c>
      <c r="J3408" s="2">
        <v>759</v>
      </c>
      <c r="K3408" s="2">
        <v>703</v>
      </c>
      <c r="L3408" s="2">
        <v>3</v>
      </c>
      <c r="M3408" s="7">
        <f t="shared" si="212"/>
        <v>2109</v>
      </c>
      <c r="N3408" s="7">
        <f t="shared" si="213"/>
        <v>2277</v>
      </c>
      <c r="O3408" s="2">
        <v>84</v>
      </c>
      <c r="P3408" s="8">
        <f t="shared" si="214"/>
        <v>2361</v>
      </c>
      <c r="Q3408" s="8">
        <f t="shared" si="215"/>
        <v>2193</v>
      </c>
      <c r="R3408" s="2" t="s">
        <v>28</v>
      </c>
      <c r="S3408" s="9">
        <f>VLOOKUP(P3408,$T$2:U3405,2,1)</f>
        <v>0.02</v>
      </c>
    </row>
    <row r="3409" spans="1:19" x14ac:dyDescent="0.25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e">
        <f>VLOOKUP(F3409,'Customer Info'!A3401:I3900,2,0)</f>
        <v>#N/A</v>
      </c>
      <c r="H3409" s="6" t="e">
        <f>VLOOKUP(F3409,'Customer Info'!A3401:I3900,3,0)</f>
        <v>#N/A</v>
      </c>
      <c r="I3409" s="6" t="e">
        <f>VLOOKUP(F3409,'Customer Info'!A3401:I3900,5,0)</f>
        <v>#N/A</v>
      </c>
      <c r="J3409" s="2">
        <v>1721</v>
      </c>
      <c r="K3409" s="2">
        <v>1640</v>
      </c>
      <c r="L3409" s="2">
        <v>3</v>
      </c>
      <c r="M3409" s="7">
        <f t="shared" si="212"/>
        <v>4920</v>
      </c>
      <c r="N3409" s="7">
        <f t="shared" si="213"/>
        <v>5163</v>
      </c>
      <c r="O3409" s="2">
        <v>21</v>
      </c>
      <c r="P3409" s="8">
        <f t="shared" si="214"/>
        <v>5184</v>
      </c>
      <c r="Q3409" s="8">
        <f t="shared" si="215"/>
        <v>5142</v>
      </c>
      <c r="R3409" s="2" t="s">
        <v>28</v>
      </c>
      <c r="S3409" s="9">
        <f>VLOOKUP(P3409,$T$2:U3406,2,1)</f>
        <v>0.05</v>
      </c>
    </row>
    <row r="3410" spans="1:19" x14ac:dyDescent="0.25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e">
        <f>VLOOKUP(F3410,'Customer Info'!A3402:I3901,2,0)</f>
        <v>#N/A</v>
      </c>
      <c r="H3410" s="6" t="e">
        <f>VLOOKUP(F3410,'Customer Info'!A3402:I3901,3,0)</f>
        <v>#N/A</v>
      </c>
      <c r="I3410" s="6" t="e">
        <f>VLOOKUP(F3410,'Customer Info'!A3402:I3901,5,0)</f>
        <v>#N/A</v>
      </c>
      <c r="J3410" s="2">
        <v>1545</v>
      </c>
      <c r="K3410" s="2">
        <v>1486</v>
      </c>
      <c r="L3410" s="2">
        <v>1</v>
      </c>
      <c r="M3410" s="7">
        <f t="shared" si="212"/>
        <v>1486</v>
      </c>
      <c r="N3410" s="7">
        <f t="shared" si="213"/>
        <v>1545</v>
      </c>
      <c r="O3410" s="2">
        <v>55</v>
      </c>
      <c r="P3410" s="8">
        <f t="shared" si="214"/>
        <v>1600</v>
      </c>
      <c r="Q3410" s="8">
        <f t="shared" si="215"/>
        <v>1490</v>
      </c>
      <c r="R3410" s="2" t="s">
        <v>28</v>
      </c>
      <c r="S3410" s="9">
        <f>VLOOKUP(P3410,$T$2:U3407,2,1)</f>
        <v>0.02</v>
      </c>
    </row>
    <row r="3411" spans="1:19" x14ac:dyDescent="0.25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e">
        <f>VLOOKUP(F3411,'Customer Info'!A3403:I3902,2,0)</f>
        <v>#N/A</v>
      </c>
      <c r="H3411" s="6" t="e">
        <f>VLOOKUP(F3411,'Customer Info'!A3403:I3902,3,0)</f>
        <v>#N/A</v>
      </c>
      <c r="I3411" s="6" t="e">
        <f>VLOOKUP(F3411,'Customer Info'!A3403:I3902,5,0)</f>
        <v>#N/A</v>
      </c>
      <c r="J3411" s="2">
        <v>125</v>
      </c>
      <c r="K3411" s="2">
        <v>113</v>
      </c>
      <c r="L3411" s="2">
        <v>2</v>
      </c>
      <c r="M3411" s="7">
        <f t="shared" si="212"/>
        <v>226</v>
      </c>
      <c r="N3411" s="7">
        <f t="shared" si="213"/>
        <v>250</v>
      </c>
      <c r="O3411" s="2">
        <v>30</v>
      </c>
      <c r="P3411" s="8">
        <f t="shared" si="214"/>
        <v>280</v>
      </c>
      <c r="Q3411" s="8">
        <f t="shared" si="215"/>
        <v>220</v>
      </c>
      <c r="R3411" s="2" t="s">
        <v>50</v>
      </c>
      <c r="S3411" s="9">
        <f>VLOOKUP(P3411,$T$2:U3408,2,1)</f>
        <v>0.02</v>
      </c>
    </row>
    <row r="3412" spans="1:19" x14ac:dyDescent="0.25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e">
        <f>VLOOKUP(F3412,'Customer Info'!A3404:I3903,2,0)</f>
        <v>#N/A</v>
      </c>
      <c r="H3412" s="6" t="e">
        <f>VLOOKUP(F3412,'Customer Info'!A3404:I3903,3,0)</f>
        <v>#N/A</v>
      </c>
      <c r="I3412" s="6" t="e">
        <f>VLOOKUP(F3412,'Customer Info'!A3404:I3903,5,0)</f>
        <v>#N/A</v>
      </c>
      <c r="J3412" s="2">
        <v>8026</v>
      </c>
      <c r="K3412" s="2">
        <v>7572</v>
      </c>
      <c r="L3412" s="2">
        <v>1</v>
      </c>
      <c r="M3412" s="7">
        <f t="shared" si="212"/>
        <v>7572</v>
      </c>
      <c r="N3412" s="7">
        <f t="shared" si="213"/>
        <v>8026</v>
      </c>
      <c r="O3412" s="2">
        <v>89</v>
      </c>
      <c r="P3412" s="8">
        <f t="shared" si="214"/>
        <v>8115</v>
      </c>
      <c r="Q3412" s="8">
        <f t="shared" si="215"/>
        <v>7937</v>
      </c>
      <c r="R3412" s="2" t="s">
        <v>50</v>
      </c>
      <c r="S3412" s="9">
        <f>VLOOKUP(P3412,$T$2:U3409,2,1)</f>
        <v>0.05</v>
      </c>
    </row>
    <row r="3413" spans="1:19" x14ac:dyDescent="0.25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e">
        <f>VLOOKUP(F3413,'Customer Info'!A3405:I3904,2,0)</f>
        <v>#N/A</v>
      </c>
      <c r="H3413" s="6" t="e">
        <f>VLOOKUP(F3413,'Customer Info'!A3405:I3904,3,0)</f>
        <v>#N/A</v>
      </c>
      <c r="I3413" s="6" t="e">
        <f>VLOOKUP(F3413,'Customer Info'!A3405:I3904,5,0)</f>
        <v>#N/A</v>
      </c>
      <c r="J3413" s="2">
        <v>6481</v>
      </c>
      <c r="K3413" s="2">
        <v>5884</v>
      </c>
      <c r="L3413" s="2">
        <v>3</v>
      </c>
      <c r="M3413" s="7">
        <f t="shared" si="212"/>
        <v>17652</v>
      </c>
      <c r="N3413" s="7">
        <f t="shared" si="213"/>
        <v>19443</v>
      </c>
      <c r="O3413" s="2">
        <v>26</v>
      </c>
      <c r="P3413" s="8">
        <f t="shared" si="214"/>
        <v>19469</v>
      </c>
      <c r="Q3413" s="8">
        <f t="shared" si="215"/>
        <v>19417</v>
      </c>
      <c r="R3413" s="2" t="s">
        <v>28</v>
      </c>
      <c r="S3413" s="9">
        <f>VLOOKUP(P3413,$T$2:U3410,2,1)</f>
        <v>0.05</v>
      </c>
    </row>
    <row r="3414" spans="1:19" x14ac:dyDescent="0.25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e">
        <f>VLOOKUP(F3414,'Customer Info'!A3406:I3905,2,0)</f>
        <v>#N/A</v>
      </c>
      <c r="H3414" s="6" t="e">
        <f>VLOOKUP(F3414,'Customer Info'!A3406:I3905,3,0)</f>
        <v>#N/A</v>
      </c>
      <c r="I3414" s="6" t="e">
        <f>VLOOKUP(F3414,'Customer Info'!A3406:I3905,5,0)</f>
        <v>#N/A</v>
      </c>
      <c r="J3414" s="2">
        <v>61</v>
      </c>
      <c r="K3414" s="2">
        <v>57</v>
      </c>
      <c r="L3414" s="2">
        <v>1</v>
      </c>
      <c r="M3414" s="7">
        <f t="shared" si="212"/>
        <v>57</v>
      </c>
      <c r="N3414" s="7">
        <f t="shared" si="213"/>
        <v>61</v>
      </c>
      <c r="O3414" s="2">
        <v>10</v>
      </c>
      <c r="P3414" s="8">
        <f t="shared" si="214"/>
        <v>71</v>
      </c>
      <c r="Q3414" s="8">
        <f t="shared" si="215"/>
        <v>51</v>
      </c>
      <c r="R3414" s="2" t="s">
        <v>28</v>
      </c>
      <c r="S3414" s="9">
        <f>VLOOKUP(P3414,$T$2:U3411,2,1)</f>
        <v>0.02</v>
      </c>
    </row>
    <row r="3415" spans="1:19" x14ac:dyDescent="0.25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e">
        <f>VLOOKUP(F3415,'Customer Info'!A3407:I3906,2,0)</f>
        <v>#N/A</v>
      </c>
      <c r="H3415" s="6" t="e">
        <f>VLOOKUP(F3415,'Customer Info'!A3407:I3906,3,0)</f>
        <v>#N/A</v>
      </c>
      <c r="I3415" s="6" t="e">
        <f>VLOOKUP(F3415,'Customer Info'!A3407:I3906,5,0)</f>
        <v>#N/A</v>
      </c>
      <c r="J3415" s="2">
        <v>1482</v>
      </c>
      <c r="K3415" s="2">
        <v>1453</v>
      </c>
      <c r="L3415" s="2">
        <v>1</v>
      </c>
      <c r="M3415" s="7">
        <f t="shared" si="212"/>
        <v>1453</v>
      </c>
      <c r="N3415" s="7">
        <f t="shared" si="213"/>
        <v>1482</v>
      </c>
      <c r="O3415" s="2">
        <v>25</v>
      </c>
      <c r="P3415" s="8">
        <f t="shared" si="214"/>
        <v>1507</v>
      </c>
      <c r="Q3415" s="8">
        <f t="shared" si="215"/>
        <v>1457</v>
      </c>
      <c r="R3415" s="2" t="s">
        <v>28</v>
      </c>
      <c r="S3415" s="9">
        <f>VLOOKUP(P3415,$T$2:U3412,2,1)</f>
        <v>0.02</v>
      </c>
    </row>
    <row r="3416" spans="1:19" x14ac:dyDescent="0.25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e">
        <f>VLOOKUP(F3416,'Customer Info'!A3408:I3907,2,0)</f>
        <v>#N/A</v>
      </c>
      <c r="H3416" s="6" t="e">
        <f>VLOOKUP(F3416,'Customer Info'!A3408:I3907,3,0)</f>
        <v>#N/A</v>
      </c>
      <c r="I3416" s="6" t="e">
        <f>VLOOKUP(F3416,'Customer Info'!A3408:I3907,5,0)</f>
        <v>#N/A</v>
      </c>
      <c r="J3416" s="2">
        <v>2228</v>
      </c>
      <c r="K3416" s="2">
        <v>2143</v>
      </c>
      <c r="L3416" s="2">
        <v>2</v>
      </c>
      <c r="M3416" s="7">
        <f t="shared" si="212"/>
        <v>4286</v>
      </c>
      <c r="N3416" s="7">
        <f t="shared" si="213"/>
        <v>4456</v>
      </c>
      <c r="O3416" s="2">
        <v>48</v>
      </c>
      <c r="P3416" s="8">
        <f t="shared" si="214"/>
        <v>4504</v>
      </c>
      <c r="Q3416" s="8">
        <f t="shared" si="215"/>
        <v>4408</v>
      </c>
      <c r="R3416" s="2" t="s">
        <v>28</v>
      </c>
      <c r="S3416" s="9">
        <f>VLOOKUP(P3416,$T$2:U3413,2,1)</f>
        <v>0.02</v>
      </c>
    </row>
    <row r="3417" spans="1:19" x14ac:dyDescent="0.25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e">
        <f>VLOOKUP(F3417,'Customer Info'!A3409:I3908,2,0)</f>
        <v>#N/A</v>
      </c>
      <c r="H3417" s="6" t="e">
        <f>VLOOKUP(F3417,'Customer Info'!A3409:I3908,3,0)</f>
        <v>#N/A</v>
      </c>
      <c r="I3417" s="6" t="e">
        <f>VLOOKUP(F3417,'Customer Info'!A3409:I3908,5,0)</f>
        <v>#N/A</v>
      </c>
      <c r="J3417" s="2">
        <v>1358</v>
      </c>
      <c r="K3417" s="2">
        <v>1270</v>
      </c>
      <c r="L3417" s="2">
        <v>4</v>
      </c>
      <c r="M3417" s="7">
        <f t="shared" si="212"/>
        <v>5080</v>
      </c>
      <c r="N3417" s="7">
        <f t="shared" si="213"/>
        <v>5432</v>
      </c>
      <c r="O3417" s="2">
        <v>39</v>
      </c>
      <c r="P3417" s="8">
        <f t="shared" si="214"/>
        <v>5471</v>
      </c>
      <c r="Q3417" s="8">
        <f t="shared" si="215"/>
        <v>5393</v>
      </c>
      <c r="R3417" s="2" t="s">
        <v>28</v>
      </c>
      <c r="S3417" s="9">
        <f>VLOOKUP(P3417,$T$2:U3414,2,1)</f>
        <v>0.05</v>
      </c>
    </row>
    <row r="3418" spans="1:19" x14ac:dyDescent="0.25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e">
        <f>VLOOKUP(F3418,'Customer Info'!A3410:I3909,2,0)</f>
        <v>#N/A</v>
      </c>
      <c r="H3418" s="6" t="e">
        <f>VLOOKUP(F3418,'Customer Info'!A3410:I3909,3,0)</f>
        <v>#N/A</v>
      </c>
      <c r="I3418" s="6" t="e">
        <f>VLOOKUP(F3418,'Customer Info'!A3410:I3909,5,0)</f>
        <v>#N/A</v>
      </c>
      <c r="J3418" s="2">
        <v>143</v>
      </c>
      <c r="K3418" s="2">
        <v>137</v>
      </c>
      <c r="L3418" s="2">
        <v>1</v>
      </c>
      <c r="M3418" s="7">
        <f t="shared" si="212"/>
        <v>137</v>
      </c>
      <c r="N3418" s="7">
        <f t="shared" si="213"/>
        <v>143</v>
      </c>
      <c r="O3418" s="2">
        <v>30</v>
      </c>
      <c r="P3418" s="8">
        <f t="shared" si="214"/>
        <v>173</v>
      </c>
      <c r="Q3418" s="8">
        <f t="shared" si="215"/>
        <v>113</v>
      </c>
      <c r="R3418" s="2" t="s">
        <v>50</v>
      </c>
      <c r="S3418" s="9">
        <f>VLOOKUP(P3418,$T$2:U3415,2,1)</f>
        <v>0.02</v>
      </c>
    </row>
    <row r="3419" spans="1:19" x14ac:dyDescent="0.25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e">
        <f>VLOOKUP(F3419,'Customer Info'!A3411:I3910,2,0)</f>
        <v>#N/A</v>
      </c>
      <c r="H3419" s="6" t="e">
        <f>VLOOKUP(F3419,'Customer Info'!A3411:I3910,3,0)</f>
        <v>#N/A</v>
      </c>
      <c r="I3419" s="6" t="e">
        <f>VLOOKUP(F3419,'Customer Info'!A3411:I3910,5,0)</f>
        <v>#N/A</v>
      </c>
      <c r="J3419" s="2">
        <v>1700</v>
      </c>
      <c r="K3419" s="2">
        <v>1620</v>
      </c>
      <c r="L3419" s="2">
        <v>1</v>
      </c>
      <c r="M3419" s="7">
        <f t="shared" si="212"/>
        <v>1620</v>
      </c>
      <c r="N3419" s="7">
        <f t="shared" si="213"/>
        <v>1700</v>
      </c>
      <c r="O3419" s="2">
        <v>94</v>
      </c>
      <c r="P3419" s="8">
        <f t="shared" si="214"/>
        <v>1794</v>
      </c>
      <c r="Q3419" s="8">
        <f t="shared" si="215"/>
        <v>1606</v>
      </c>
      <c r="R3419" s="2" t="s">
        <v>50</v>
      </c>
      <c r="S3419" s="9">
        <f>VLOOKUP(P3419,$T$2:U3416,2,1)</f>
        <v>0.02</v>
      </c>
    </row>
    <row r="3420" spans="1:19" x14ac:dyDescent="0.25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e">
        <f>VLOOKUP(F3420,'Customer Info'!A3412:I3911,2,0)</f>
        <v>#N/A</v>
      </c>
      <c r="H3420" s="6" t="e">
        <f>VLOOKUP(F3420,'Customer Info'!A3412:I3911,3,0)</f>
        <v>#N/A</v>
      </c>
      <c r="I3420" s="6" t="e">
        <f>VLOOKUP(F3420,'Customer Info'!A3412:I3911,5,0)</f>
        <v>#N/A</v>
      </c>
      <c r="J3420" s="2">
        <v>141</v>
      </c>
      <c r="K3420" s="2">
        <v>131</v>
      </c>
      <c r="L3420" s="2">
        <v>2</v>
      </c>
      <c r="M3420" s="7">
        <f t="shared" si="212"/>
        <v>262</v>
      </c>
      <c r="N3420" s="7">
        <f t="shared" si="213"/>
        <v>282</v>
      </c>
      <c r="O3420" s="2">
        <v>30</v>
      </c>
      <c r="P3420" s="8">
        <f t="shared" si="214"/>
        <v>312</v>
      </c>
      <c r="Q3420" s="8">
        <f t="shared" si="215"/>
        <v>252</v>
      </c>
      <c r="R3420" s="2" t="s">
        <v>28</v>
      </c>
      <c r="S3420" s="9">
        <f>VLOOKUP(P3420,$T$2:U3417,2,1)</f>
        <v>0.02</v>
      </c>
    </row>
    <row r="3421" spans="1:19" x14ac:dyDescent="0.25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e">
        <f>VLOOKUP(F3421,'Customer Info'!A3413:I3912,2,0)</f>
        <v>#N/A</v>
      </c>
      <c r="H3421" s="6" t="e">
        <f>VLOOKUP(F3421,'Customer Info'!A3413:I3912,3,0)</f>
        <v>#N/A</v>
      </c>
      <c r="I3421" s="6" t="e">
        <f>VLOOKUP(F3421,'Customer Info'!A3413:I3912,5,0)</f>
        <v>#N/A</v>
      </c>
      <c r="J3421" s="2">
        <v>827</v>
      </c>
      <c r="K3421" s="2">
        <v>788</v>
      </c>
      <c r="L3421" s="2">
        <v>3</v>
      </c>
      <c r="M3421" s="7">
        <f t="shared" si="212"/>
        <v>2364</v>
      </c>
      <c r="N3421" s="7">
        <f t="shared" si="213"/>
        <v>2481</v>
      </c>
      <c r="O3421" s="2">
        <v>75</v>
      </c>
      <c r="P3421" s="8">
        <f t="shared" si="214"/>
        <v>2556</v>
      </c>
      <c r="Q3421" s="8">
        <f t="shared" si="215"/>
        <v>2406</v>
      </c>
      <c r="R3421" s="2" t="s">
        <v>28</v>
      </c>
      <c r="S3421" s="9">
        <f>VLOOKUP(P3421,$T$2:U3418,2,1)</f>
        <v>0.02</v>
      </c>
    </row>
    <row r="3422" spans="1:19" x14ac:dyDescent="0.25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e">
        <f>VLOOKUP(F3422,'Customer Info'!A3414:I3913,2,0)</f>
        <v>#N/A</v>
      </c>
      <c r="H3422" s="6" t="e">
        <f>VLOOKUP(F3422,'Customer Info'!A3414:I3913,3,0)</f>
        <v>#N/A</v>
      </c>
      <c r="I3422" s="6" t="e">
        <f>VLOOKUP(F3422,'Customer Info'!A3414:I3913,5,0)</f>
        <v>#N/A</v>
      </c>
      <c r="J3422" s="2">
        <v>8495</v>
      </c>
      <c r="K3422" s="2">
        <v>7647</v>
      </c>
      <c r="L3422" s="2">
        <v>5</v>
      </c>
      <c r="M3422" s="7">
        <f t="shared" si="212"/>
        <v>38235</v>
      </c>
      <c r="N3422" s="7">
        <f t="shared" si="213"/>
        <v>42475</v>
      </c>
      <c r="O3422" s="2">
        <v>65</v>
      </c>
      <c r="P3422" s="8">
        <f t="shared" si="214"/>
        <v>42540</v>
      </c>
      <c r="Q3422" s="8">
        <f t="shared" si="215"/>
        <v>42410</v>
      </c>
      <c r="R3422" s="2" t="s">
        <v>28</v>
      </c>
      <c r="S3422" s="9">
        <f>VLOOKUP(P3422,$T$2:U3419,2,1)</f>
        <v>7.0000000000000007E-2</v>
      </c>
    </row>
    <row r="3423" spans="1:19" x14ac:dyDescent="0.25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e">
        <f>VLOOKUP(F3423,'Customer Info'!A3415:I3914,2,0)</f>
        <v>#N/A</v>
      </c>
      <c r="H3423" s="6" t="e">
        <f>VLOOKUP(F3423,'Customer Info'!A3415:I3914,3,0)</f>
        <v>#N/A</v>
      </c>
      <c r="I3423" s="6" t="e">
        <f>VLOOKUP(F3423,'Customer Info'!A3415:I3914,5,0)</f>
        <v>#N/A</v>
      </c>
      <c r="J3423" s="2">
        <v>1169</v>
      </c>
      <c r="K3423" s="2">
        <v>1072</v>
      </c>
      <c r="L3423" s="2">
        <v>2</v>
      </c>
      <c r="M3423" s="7">
        <f t="shared" si="212"/>
        <v>2144</v>
      </c>
      <c r="N3423" s="7">
        <f t="shared" si="213"/>
        <v>2338</v>
      </c>
      <c r="O3423" s="2">
        <v>52</v>
      </c>
      <c r="P3423" s="8">
        <f t="shared" si="214"/>
        <v>2390</v>
      </c>
      <c r="Q3423" s="8">
        <f t="shared" si="215"/>
        <v>2286</v>
      </c>
      <c r="R3423" s="2" t="s">
        <v>26</v>
      </c>
      <c r="S3423" s="9">
        <f>VLOOKUP(P3423,$T$2:U3420,2,1)</f>
        <v>0.02</v>
      </c>
    </row>
    <row r="3424" spans="1:19" x14ac:dyDescent="0.25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e">
        <f>VLOOKUP(F3424,'Customer Info'!A3416:I3915,2,0)</f>
        <v>#N/A</v>
      </c>
      <c r="H3424" s="6" t="e">
        <f>VLOOKUP(F3424,'Customer Info'!A3416:I3915,3,0)</f>
        <v>#N/A</v>
      </c>
      <c r="I3424" s="6" t="e">
        <f>VLOOKUP(F3424,'Customer Info'!A3416:I3915,5,0)</f>
        <v>#N/A</v>
      </c>
      <c r="J3424" s="2">
        <v>472</v>
      </c>
      <c r="K3424" s="2">
        <v>432</v>
      </c>
      <c r="L3424" s="2">
        <v>3</v>
      </c>
      <c r="M3424" s="7">
        <f t="shared" si="212"/>
        <v>1296</v>
      </c>
      <c r="N3424" s="7">
        <f t="shared" si="213"/>
        <v>1416</v>
      </c>
      <c r="O3424" s="2">
        <v>26</v>
      </c>
      <c r="P3424" s="8">
        <f t="shared" si="214"/>
        <v>1442</v>
      </c>
      <c r="Q3424" s="8">
        <f t="shared" si="215"/>
        <v>1390</v>
      </c>
      <c r="R3424" s="2" t="s">
        <v>56</v>
      </c>
      <c r="S3424" s="9">
        <f>VLOOKUP(P3424,$T$2:U3421,2,1)</f>
        <v>0.02</v>
      </c>
    </row>
    <row r="3425" spans="1:19" x14ac:dyDescent="0.25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e">
        <f>VLOOKUP(F3425,'Customer Info'!A3417:I3916,2,0)</f>
        <v>#N/A</v>
      </c>
      <c r="H3425" s="6" t="e">
        <f>VLOOKUP(F3425,'Customer Info'!A3417:I3916,3,0)</f>
        <v>#N/A</v>
      </c>
      <c r="I3425" s="6" t="e">
        <f>VLOOKUP(F3425,'Customer Info'!A3417:I3916,5,0)</f>
        <v>#N/A</v>
      </c>
      <c r="J3425" s="2">
        <v>505</v>
      </c>
      <c r="K3425" s="2">
        <v>463</v>
      </c>
      <c r="L3425" s="2">
        <v>6</v>
      </c>
      <c r="M3425" s="7">
        <f t="shared" si="212"/>
        <v>2778</v>
      </c>
      <c r="N3425" s="7">
        <f t="shared" si="213"/>
        <v>3030</v>
      </c>
      <c r="O3425" s="2">
        <v>32</v>
      </c>
      <c r="P3425" s="8">
        <f t="shared" si="214"/>
        <v>3062</v>
      </c>
      <c r="Q3425" s="8">
        <f t="shared" si="215"/>
        <v>2998</v>
      </c>
      <c r="R3425" s="2" t="s">
        <v>28</v>
      </c>
      <c r="S3425" s="9">
        <f>VLOOKUP(P3425,$T$2:U3422,2,1)</f>
        <v>0.02</v>
      </c>
    </row>
    <row r="3426" spans="1:19" x14ac:dyDescent="0.25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e">
        <f>VLOOKUP(F3426,'Customer Info'!A3418:I3917,2,0)</f>
        <v>#N/A</v>
      </c>
      <c r="H3426" s="6" t="e">
        <f>VLOOKUP(F3426,'Customer Info'!A3418:I3917,3,0)</f>
        <v>#N/A</v>
      </c>
      <c r="I3426" s="6" t="e">
        <f>VLOOKUP(F3426,'Customer Info'!A3418:I3917,5,0)</f>
        <v>#N/A</v>
      </c>
      <c r="J3426" s="2">
        <v>2271</v>
      </c>
      <c r="K3426" s="2">
        <v>2144</v>
      </c>
      <c r="L3426" s="2">
        <v>5</v>
      </c>
      <c r="M3426" s="7">
        <f t="shared" si="212"/>
        <v>10720</v>
      </c>
      <c r="N3426" s="7">
        <f t="shared" si="213"/>
        <v>11355</v>
      </c>
      <c r="O3426" s="2">
        <v>75</v>
      </c>
      <c r="P3426" s="8">
        <f t="shared" si="214"/>
        <v>11430</v>
      </c>
      <c r="Q3426" s="8">
        <f t="shared" si="215"/>
        <v>11280</v>
      </c>
      <c r="R3426" s="2" t="s">
        <v>50</v>
      </c>
      <c r="S3426" s="9">
        <f>VLOOKUP(P3426,$T$2:U3423,2,1)</f>
        <v>0.05</v>
      </c>
    </row>
    <row r="3427" spans="1:19" x14ac:dyDescent="0.25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e">
        <f>VLOOKUP(F3427,'Customer Info'!A3419:I3918,2,0)</f>
        <v>#N/A</v>
      </c>
      <c r="H3427" s="6" t="e">
        <f>VLOOKUP(F3427,'Customer Info'!A3419:I3918,3,0)</f>
        <v>#N/A</v>
      </c>
      <c r="I3427" s="6" t="e">
        <f>VLOOKUP(F3427,'Customer Info'!A3419:I3918,5,0)</f>
        <v>#N/A</v>
      </c>
      <c r="J3427" s="2">
        <v>185</v>
      </c>
      <c r="K3427" s="2">
        <v>171</v>
      </c>
      <c r="L3427" s="2">
        <v>2</v>
      </c>
      <c r="M3427" s="7">
        <f t="shared" si="212"/>
        <v>342</v>
      </c>
      <c r="N3427" s="7">
        <f t="shared" si="213"/>
        <v>370</v>
      </c>
      <c r="O3427" s="2">
        <v>30</v>
      </c>
      <c r="P3427" s="8">
        <f t="shared" si="214"/>
        <v>400</v>
      </c>
      <c r="Q3427" s="8">
        <f t="shared" si="215"/>
        <v>340</v>
      </c>
      <c r="R3427" s="2" t="s">
        <v>50</v>
      </c>
      <c r="S3427" s="9">
        <f>VLOOKUP(P3427,$T$2:U3424,2,1)</f>
        <v>0.02</v>
      </c>
    </row>
    <row r="3428" spans="1:19" x14ac:dyDescent="0.25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e">
        <f>VLOOKUP(F3428,'Customer Info'!A3420:I3919,2,0)</f>
        <v>#N/A</v>
      </c>
      <c r="H3428" s="6" t="e">
        <f>VLOOKUP(F3428,'Customer Info'!A3420:I3919,3,0)</f>
        <v>#N/A</v>
      </c>
      <c r="I3428" s="6" t="e">
        <f>VLOOKUP(F3428,'Customer Info'!A3420:I3919,5,0)</f>
        <v>#N/A</v>
      </c>
      <c r="J3428" s="2">
        <v>8752</v>
      </c>
      <c r="K3428" s="2">
        <v>7877</v>
      </c>
      <c r="L3428" s="2">
        <v>2</v>
      </c>
      <c r="M3428" s="7">
        <f t="shared" si="212"/>
        <v>15754</v>
      </c>
      <c r="N3428" s="7">
        <f t="shared" si="213"/>
        <v>17504</v>
      </c>
      <c r="O3428" s="2">
        <v>50</v>
      </c>
      <c r="P3428" s="8">
        <f t="shared" si="214"/>
        <v>17554</v>
      </c>
      <c r="Q3428" s="8">
        <f t="shared" si="215"/>
        <v>17454</v>
      </c>
      <c r="R3428" s="2" t="s">
        <v>50</v>
      </c>
      <c r="S3428" s="9">
        <f>VLOOKUP(P3428,$T$2:U3425,2,1)</f>
        <v>0.05</v>
      </c>
    </row>
    <row r="3429" spans="1:19" x14ac:dyDescent="0.25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e">
        <f>VLOOKUP(F3429,'Customer Info'!A3421:I3920,2,0)</f>
        <v>#N/A</v>
      </c>
      <c r="H3429" s="6" t="e">
        <f>VLOOKUP(F3429,'Customer Info'!A3421:I3920,3,0)</f>
        <v>#N/A</v>
      </c>
      <c r="I3429" s="6" t="e">
        <f>VLOOKUP(F3429,'Customer Info'!A3421:I3920,5,0)</f>
        <v>#N/A</v>
      </c>
      <c r="J3429" s="2">
        <v>27691</v>
      </c>
      <c r="K3429" s="2">
        <v>25616</v>
      </c>
      <c r="L3429" s="2">
        <v>2</v>
      </c>
      <c r="M3429" s="7">
        <f t="shared" si="212"/>
        <v>51232</v>
      </c>
      <c r="N3429" s="7">
        <f t="shared" si="213"/>
        <v>55382</v>
      </c>
      <c r="O3429" s="2">
        <v>39</v>
      </c>
      <c r="P3429" s="8">
        <f t="shared" si="214"/>
        <v>55421</v>
      </c>
      <c r="Q3429" s="8">
        <f t="shared" si="215"/>
        <v>55343</v>
      </c>
      <c r="R3429" s="2" t="s">
        <v>28</v>
      </c>
      <c r="S3429" s="9">
        <f>VLOOKUP(P3429,$T$2:U3426,2,1)</f>
        <v>0.09</v>
      </c>
    </row>
    <row r="3430" spans="1:19" x14ac:dyDescent="0.25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e">
        <f>VLOOKUP(F3430,'Customer Info'!A3422:I3921,2,0)</f>
        <v>#N/A</v>
      </c>
      <c r="H3430" s="6" t="e">
        <f>VLOOKUP(F3430,'Customer Info'!A3422:I3921,3,0)</f>
        <v>#N/A</v>
      </c>
      <c r="I3430" s="6" t="e">
        <f>VLOOKUP(F3430,'Customer Info'!A3422:I3921,5,0)</f>
        <v>#N/A</v>
      </c>
      <c r="J3430" s="2">
        <v>96</v>
      </c>
      <c r="K3430" s="2">
        <v>87</v>
      </c>
      <c r="L3430" s="2">
        <v>1</v>
      </c>
      <c r="M3430" s="7">
        <f t="shared" si="212"/>
        <v>87</v>
      </c>
      <c r="N3430" s="7">
        <f t="shared" si="213"/>
        <v>96</v>
      </c>
      <c r="O3430" s="2">
        <v>10</v>
      </c>
      <c r="P3430" s="8">
        <f t="shared" si="214"/>
        <v>106</v>
      </c>
      <c r="Q3430" s="8">
        <f t="shared" si="215"/>
        <v>86</v>
      </c>
      <c r="R3430" s="2" t="s">
        <v>50</v>
      </c>
      <c r="S3430" s="9">
        <f>VLOOKUP(P3430,$T$2:U3427,2,1)</f>
        <v>0.02</v>
      </c>
    </row>
    <row r="3431" spans="1:19" x14ac:dyDescent="0.25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e">
        <f>VLOOKUP(F3431,'Customer Info'!A3423:I3922,2,0)</f>
        <v>#N/A</v>
      </c>
      <c r="H3431" s="6" t="e">
        <f>VLOOKUP(F3431,'Customer Info'!A3423:I3922,3,0)</f>
        <v>#N/A</v>
      </c>
      <c r="I3431" s="6" t="e">
        <f>VLOOKUP(F3431,'Customer Info'!A3423:I3922,5,0)</f>
        <v>#N/A</v>
      </c>
      <c r="J3431" s="2">
        <v>1528</v>
      </c>
      <c r="K3431" s="2">
        <v>1348</v>
      </c>
      <c r="L3431" s="2">
        <v>5</v>
      </c>
      <c r="M3431" s="7">
        <f t="shared" si="212"/>
        <v>6740</v>
      </c>
      <c r="N3431" s="7">
        <f t="shared" si="213"/>
        <v>7640</v>
      </c>
      <c r="O3431" s="2">
        <v>98</v>
      </c>
      <c r="P3431" s="8">
        <f t="shared" si="214"/>
        <v>7738</v>
      </c>
      <c r="Q3431" s="8">
        <f t="shared" si="215"/>
        <v>7542</v>
      </c>
      <c r="R3431" s="2" t="s">
        <v>28</v>
      </c>
      <c r="S3431" s="9">
        <f>VLOOKUP(P3431,$T$2:U3428,2,1)</f>
        <v>0.05</v>
      </c>
    </row>
    <row r="3432" spans="1:19" x14ac:dyDescent="0.25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e">
        <f>VLOOKUP(F3432,'Customer Info'!A3424:I3923,2,0)</f>
        <v>#N/A</v>
      </c>
      <c r="H3432" s="6" t="e">
        <f>VLOOKUP(F3432,'Customer Info'!A3424:I3923,3,0)</f>
        <v>#N/A</v>
      </c>
      <c r="I3432" s="6" t="e">
        <f>VLOOKUP(F3432,'Customer Info'!A3424:I3923,5,0)</f>
        <v>#N/A</v>
      </c>
      <c r="J3432" s="2">
        <v>170</v>
      </c>
      <c r="K3432" s="2">
        <v>153</v>
      </c>
      <c r="L3432" s="2">
        <v>2</v>
      </c>
      <c r="M3432" s="7">
        <f t="shared" si="212"/>
        <v>306</v>
      </c>
      <c r="N3432" s="7">
        <f t="shared" si="213"/>
        <v>340</v>
      </c>
      <c r="O3432" s="2">
        <v>30</v>
      </c>
      <c r="P3432" s="8">
        <f t="shared" si="214"/>
        <v>370</v>
      </c>
      <c r="Q3432" s="8">
        <f t="shared" si="215"/>
        <v>310</v>
      </c>
      <c r="R3432" s="2" t="s">
        <v>28</v>
      </c>
      <c r="S3432" s="9">
        <f>VLOOKUP(P3432,$T$2:U3429,2,1)</f>
        <v>0.02</v>
      </c>
    </row>
    <row r="3433" spans="1:19" x14ac:dyDescent="0.25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e">
        <f>VLOOKUP(F3433,'Customer Info'!A3425:I3924,2,0)</f>
        <v>#N/A</v>
      </c>
      <c r="H3433" s="6" t="e">
        <f>VLOOKUP(F3433,'Customer Info'!A3425:I3924,3,0)</f>
        <v>#N/A</v>
      </c>
      <c r="I3433" s="6" t="e">
        <f>VLOOKUP(F3433,'Customer Info'!A3425:I3924,5,0)</f>
        <v>#N/A</v>
      </c>
      <c r="J3433" s="2">
        <v>5941</v>
      </c>
      <c r="K3433" s="2">
        <v>5827</v>
      </c>
      <c r="L3433" s="2">
        <v>4</v>
      </c>
      <c r="M3433" s="7">
        <f t="shared" si="212"/>
        <v>23308</v>
      </c>
      <c r="N3433" s="7">
        <f t="shared" si="213"/>
        <v>23764</v>
      </c>
      <c r="O3433" s="2">
        <v>51</v>
      </c>
      <c r="P3433" s="8">
        <f t="shared" si="214"/>
        <v>23815</v>
      </c>
      <c r="Q3433" s="8">
        <f t="shared" si="215"/>
        <v>23713</v>
      </c>
      <c r="R3433" s="2" t="s">
        <v>50</v>
      </c>
      <c r="S3433" s="9">
        <f>VLOOKUP(P3433,$T$2:U3430,2,1)</f>
        <v>0.05</v>
      </c>
    </row>
    <row r="3434" spans="1:19" x14ac:dyDescent="0.25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e">
        <f>VLOOKUP(F3434,'Customer Info'!A3426:I3925,2,0)</f>
        <v>#N/A</v>
      </c>
      <c r="H3434" s="6" t="e">
        <f>VLOOKUP(F3434,'Customer Info'!A3426:I3925,3,0)</f>
        <v>#N/A</v>
      </c>
      <c r="I3434" s="6" t="e">
        <f>VLOOKUP(F3434,'Customer Info'!A3426:I3925,5,0)</f>
        <v>#N/A</v>
      </c>
      <c r="J3434" s="2">
        <v>2874</v>
      </c>
      <c r="K3434" s="2">
        <v>2583</v>
      </c>
      <c r="L3434" s="2">
        <v>6</v>
      </c>
      <c r="M3434" s="7">
        <f t="shared" si="212"/>
        <v>15498</v>
      </c>
      <c r="N3434" s="7">
        <f t="shared" si="213"/>
        <v>17244</v>
      </c>
      <c r="O3434" s="2">
        <v>56</v>
      </c>
      <c r="P3434" s="8">
        <f t="shared" si="214"/>
        <v>17300</v>
      </c>
      <c r="Q3434" s="8">
        <f t="shared" si="215"/>
        <v>17188</v>
      </c>
      <c r="R3434" s="2" t="s">
        <v>28</v>
      </c>
      <c r="S3434" s="9">
        <f>VLOOKUP(P3434,$T$2:U3431,2,1)</f>
        <v>0.05</v>
      </c>
    </row>
    <row r="3435" spans="1:19" x14ac:dyDescent="0.25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e">
        <f>VLOOKUP(F3435,'Customer Info'!A3427:I3926,2,0)</f>
        <v>#N/A</v>
      </c>
      <c r="H3435" s="6" t="e">
        <f>VLOOKUP(F3435,'Customer Info'!A3427:I3926,3,0)</f>
        <v>#N/A</v>
      </c>
      <c r="I3435" s="6" t="e">
        <f>VLOOKUP(F3435,'Customer Info'!A3427:I3926,5,0)</f>
        <v>#N/A</v>
      </c>
      <c r="J3435" s="2">
        <v>2249</v>
      </c>
      <c r="K3435" s="2">
        <v>2102</v>
      </c>
      <c r="L3435" s="2">
        <v>3</v>
      </c>
      <c r="M3435" s="7">
        <f t="shared" si="212"/>
        <v>6306</v>
      </c>
      <c r="N3435" s="7">
        <f t="shared" si="213"/>
        <v>6747</v>
      </c>
      <c r="O3435" s="2">
        <v>30</v>
      </c>
      <c r="P3435" s="8">
        <f t="shared" si="214"/>
        <v>6777</v>
      </c>
      <c r="Q3435" s="8">
        <f t="shared" si="215"/>
        <v>6717</v>
      </c>
      <c r="R3435" s="2" t="s">
        <v>50</v>
      </c>
      <c r="S3435" s="9">
        <f>VLOOKUP(P3435,$T$2:U3432,2,1)</f>
        <v>0.05</v>
      </c>
    </row>
    <row r="3436" spans="1:19" x14ac:dyDescent="0.25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e">
        <f>VLOOKUP(F3436,'Customer Info'!A3428:I3927,2,0)</f>
        <v>#N/A</v>
      </c>
      <c r="H3436" s="6" t="e">
        <f>VLOOKUP(F3436,'Customer Info'!A3428:I3927,3,0)</f>
        <v>#N/A</v>
      </c>
      <c r="I3436" s="6" t="e">
        <f>VLOOKUP(F3436,'Customer Info'!A3428:I3927,5,0)</f>
        <v>#N/A</v>
      </c>
      <c r="J3436" s="2">
        <v>2310</v>
      </c>
      <c r="K3436" s="2">
        <v>2040</v>
      </c>
      <c r="L3436" s="2">
        <v>1</v>
      </c>
      <c r="M3436" s="7">
        <f t="shared" si="212"/>
        <v>2040</v>
      </c>
      <c r="N3436" s="7">
        <f t="shared" si="213"/>
        <v>2310</v>
      </c>
      <c r="O3436" s="2">
        <v>48</v>
      </c>
      <c r="P3436" s="8">
        <f t="shared" si="214"/>
        <v>2358</v>
      </c>
      <c r="Q3436" s="8">
        <f t="shared" si="215"/>
        <v>2262</v>
      </c>
      <c r="R3436" s="2" t="s">
        <v>28</v>
      </c>
      <c r="S3436" s="9">
        <f>VLOOKUP(P3436,$T$2:U3433,2,1)</f>
        <v>0.02</v>
      </c>
    </row>
    <row r="3437" spans="1:19" x14ac:dyDescent="0.25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e">
        <f>VLOOKUP(F3437,'Customer Info'!A3429:I3928,2,0)</f>
        <v>#N/A</v>
      </c>
      <c r="H3437" s="6" t="e">
        <f>VLOOKUP(F3437,'Customer Info'!A3429:I3928,3,0)</f>
        <v>#N/A</v>
      </c>
      <c r="I3437" s="6" t="e">
        <f>VLOOKUP(F3437,'Customer Info'!A3429:I3928,5,0)</f>
        <v>#N/A</v>
      </c>
      <c r="J3437" s="2">
        <v>3224</v>
      </c>
      <c r="K3437" s="2">
        <v>2901</v>
      </c>
      <c r="L3437" s="2">
        <v>9</v>
      </c>
      <c r="M3437" s="7">
        <f t="shared" si="212"/>
        <v>26109</v>
      </c>
      <c r="N3437" s="7">
        <f t="shared" si="213"/>
        <v>29016</v>
      </c>
      <c r="O3437" s="2">
        <v>74</v>
      </c>
      <c r="P3437" s="8">
        <f t="shared" si="214"/>
        <v>29090</v>
      </c>
      <c r="Q3437" s="8">
        <f t="shared" si="215"/>
        <v>28942</v>
      </c>
      <c r="R3437" s="2" t="s">
        <v>50</v>
      </c>
      <c r="S3437" s="9">
        <f>VLOOKUP(P3437,$T$2:U3434,2,1)</f>
        <v>7.0000000000000007E-2</v>
      </c>
    </row>
    <row r="3438" spans="1:19" x14ac:dyDescent="0.25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e">
        <f>VLOOKUP(F3438,'Customer Info'!A3430:I3929,2,0)</f>
        <v>#N/A</v>
      </c>
      <c r="H3438" s="6" t="e">
        <f>VLOOKUP(F3438,'Customer Info'!A3430:I3929,3,0)</f>
        <v>#N/A</v>
      </c>
      <c r="I3438" s="6" t="e">
        <f>VLOOKUP(F3438,'Customer Info'!A3430:I3929,5,0)</f>
        <v>#N/A</v>
      </c>
      <c r="J3438" s="2">
        <v>887</v>
      </c>
      <c r="K3438" s="2">
        <v>814</v>
      </c>
      <c r="L3438" s="2">
        <v>2</v>
      </c>
      <c r="M3438" s="7">
        <f t="shared" si="212"/>
        <v>1628</v>
      </c>
      <c r="N3438" s="7">
        <f t="shared" si="213"/>
        <v>1774</v>
      </c>
      <c r="O3438" s="2">
        <v>44</v>
      </c>
      <c r="P3438" s="8">
        <f t="shared" si="214"/>
        <v>1818</v>
      </c>
      <c r="Q3438" s="8">
        <f t="shared" si="215"/>
        <v>1730</v>
      </c>
      <c r="R3438" s="2" t="s">
        <v>28</v>
      </c>
      <c r="S3438" s="9">
        <f>VLOOKUP(P3438,$T$2:U3435,2,1)</f>
        <v>0.02</v>
      </c>
    </row>
    <row r="3439" spans="1:19" x14ac:dyDescent="0.25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e">
        <f>VLOOKUP(F3439,'Customer Info'!A3431:I3930,2,0)</f>
        <v>#N/A</v>
      </c>
      <c r="H3439" s="6" t="e">
        <f>VLOOKUP(F3439,'Customer Info'!A3431:I3930,3,0)</f>
        <v>#N/A</v>
      </c>
      <c r="I3439" s="6" t="e">
        <f>VLOOKUP(F3439,'Customer Info'!A3431:I3930,5,0)</f>
        <v>#N/A</v>
      </c>
      <c r="J3439" s="2">
        <v>8630</v>
      </c>
      <c r="K3439" s="2">
        <v>8303</v>
      </c>
      <c r="L3439" s="2">
        <v>2</v>
      </c>
      <c r="M3439" s="7">
        <f t="shared" si="212"/>
        <v>16606</v>
      </c>
      <c r="N3439" s="7">
        <f t="shared" si="213"/>
        <v>17260</v>
      </c>
      <c r="O3439" s="2">
        <v>57</v>
      </c>
      <c r="P3439" s="8">
        <f t="shared" si="214"/>
        <v>17317</v>
      </c>
      <c r="Q3439" s="8">
        <f t="shared" si="215"/>
        <v>17203</v>
      </c>
      <c r="R3439" s="2" t="s">
        <v>28</v>
      </c>
      <c r="S3439" s="9">
        <f>VLOOKUP(P3439,$T$2:U3436,2,1)</f>
        <v>0.05</v>
      </c>
    </row>
    <row r="3440" spans="1:19" x14ac:dyDescent="0.25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e">
        <f>VLOOKUP(F3440,'Customer Info'!A3432:I3931,2,0)</f>
        <v>#N/A</v>
      </c>
      <c r="H3440" s="6" t="e">
        <f>VLOOKUP(F3440,'Customer Info'!A3432:I3931,3,0)</f>
        <v>#N/A</v>
      </c>
      <c r="I3440" s="6" t="e">
        <f>VLOOKUP(F3440,'Customer Info'!A3432:I3931,5,0)</f>
        <v>#N/A</v>
      </c>
      <c r="J3440" s="2">
        <v>978</v>
      </c>
      <c r="K3440" s="2">
        <v>922</v>
      </c>
      <c r="L3440" s="2">
        <v>2</v>
      </c>
      <c r="M3440" s="7">
        <f t="shared" si="212"/>
        <v>1844</v>
      </c>
      <c r="N3440" s="7">
        <f t="shared" si="213"/>
        <v>1956</v>
      </c>
      <c r="O3440" s="2">
        <v>68</v>
      </c>
      <c r="P3440" s="8">
        <f t="shared" si="214"/>
        <v>2024</v>
      </c>
      <c r="Q3440" s="8">
        <f t="shared" si="215"/>
        <v>1888</v>
      </c>
      <c r="R3440" s="2" t="s">
        <v>50</v>
      </c>
      <c r="S3440" s="9">
        <f>VLOOKUP(P3440,$T$2:U3437,2,1)</f>
        <v>0.02</v>
      </c>
    </row>
    <row r="3441" spans="1:19" x14ac:dyDescent="0.25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e">
        <f>VLOOKUP(F3441,'Customer Info'!A3433:I3932,2,0)</f>
        <v>#N/A</v>
      </c>
      <c r="H3441" s="6" t="e">
        <f>VLOOKUP(F3441,'Customer Info'!A3433:I3932,3,0)</f>
        <v>#N/A</v>
      </c>
      <c r="I3441" s="6" t="e">
        <f>VLOOKUP(F3441,'Customer Info'!A3433:I3932,5,0)</f>
        <v>#N/A</v>
      </c>
      <c r="J3441" s="2">
        <v>1246</v>
      </c>
      <c r="K3441" s="2">
        <v>1164</v>
      </c>
      <c r="L3441" s="2">
        <v>4</v>
      </c>
      <c r="M3441" s="7">
        <f t="shared" si="212"/>
        <v>4656</v>
      </c>
      <c r="N3441" s="7">
        <f t="shared" si="213"/>
        <v>4984</v>
      </c>
      <c r="O3441" s="2">
        <v>86</v>
      </c>
      <c r="P3441" s="8">
        <f t="shared" si="214"/>
        <v>5070</v>
      </c>
      <c r="Q3441" s="8">
        <f t="shared" si="215"/>
        <v>4898</v>
      </c>
      <c r="R3441" s="2" t="s">
        <v>28</v>
      </c>
      <c r="S3441" s="9">
        <f>VLOOKUP(P3441,$T$2:U3438,2,1)</f>
        <v>0.05</v>
      </c>
    </row>
    <row r="3442" spans="1:19" x14ac:dyDescent="0.25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e">
        <f>VLOOKUP(F3442,'Customer Info'!A3434:I3933,2,0)</f>
        <v>#N/A</v>
      </c>
      <c r="H3442" s="6" t="e">
        <f>VLOOKUP(F3442,'Customer Info'!A3434:I3933,3,0)</f>
        <v>#N/A</v>
      </c>
      <c r="I3442" s="6" t="e">
        <f>VLOOKUP(F3442,'Customer Info'!A3434:I3933,5,0)</f>
        <v>#N/A</v>
      </c>
      <c r="J3442" s="2">
        <v>185</v>
      </c>
      <c r="K3442" s="2">
        <v>174</v>
      </c>
      <c r="L3442" s="2">
        <v>5</v>
      </c>
      <c r="M3442" s="7">
        <f t="shared" si="212"/>
        <v>870</v>
      </c>
      <c r="N3442" s="7">
        <f t="shared" si="213"/>
        <v>925</v>
      </c>
      <c r="O3442" s="2">
        <v>30</v>
      </c>
      <c r="P3442" s="8">
        <f t="shared" si="214"/>
        <v>955</v>
      </c>
      <c r="Q3442" s="8">
        <f t="shared" si="215"/>
        <v>895</v>
      </c>
      <c r="R3442" s="2" t="s">
        <v>50</v>
      </c>
      <c r="S3442" s="9">
        <f>VLOOKUP(P3442,$T$2:U3439,2,1)</f>
        <v>0.02</v>
      </c>
    </row>
    <row r="3443" spans="1:19" x14ac:dyDescent="0.25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e">
        <f>VLOOKUP(F3443,'Customer Info'!A3435:I3934,2,0)</f>
        <v>#N/A</v>
      </c>
      <c r="H3443" s="6" t="e">
        <f>VLOOKUP(F3443,'Customer Info'!A3435:I3934,3,0)</f>
        <v>#N/A</v>
      </c>
      <c r="I3443" s="6" t="e">
        <f>VLOOKUP(F3443,'Customer Info'!A3435:I3934,5,0)</f>
        <v>#N/A</v>
      </c>
      <c r="J3443" s="2">
        <v>6717</v>
      </c>
      <c r="K3443" s="2">
        <v>6288</v>
      </c>
      <c r="L3443" s="2">
        <v>1</v>
      </c>
      <c r="M3443" s="7">
        <f t="shared" si="212"/>
        <v>6288</v>
      </c>
      <c r="N3443" s="7">
        <f t="shared" si="213"/>
        <v>6717</v>
      </c>
      <c r="O3443" s="2">
        <v>84</v>
      </c>
      <c r="P3443" s="8">
        <f t="shared" si="214"/>
        <v>6801</v>
      </c>
      <c r="Q3443" s="8">
        <f t="shared" si="215"/>
        <v>6633</v>
      </c>
      <c r="R3443" s="2" t="s">
        <v>28</v>
      </c>
      <c r="S3443" s="9">
        <f>VLOOKUP(P3443,$T$2:U3440,2,1)</f>
        <v>0.05</v>
      </c>
    </row>
    <row r="3444" spans="1:19" x14ac:dyDescent="0.25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e">
        <f>VLOOKUP(F3444,'Customer Info'!A3436:I3935,2,0)</f>
        <v>#N/A</v>
      </c>
      <c r="H3444" s="6" t="e">
        <f>VLOOKUP(F3444,'Customer Info'!A3436:I3935,3,0)</f>
        <v>#N/A</v>
      </c>
      <c r="I3444" s="6" t="e">
        <f>VLOOKUP(F3444,'Customer Info'!A3436:I3935,5,0)</f>
        <v>#N/A</v>
      </c>
      <c r="J3444" s="2">
        <v>169</v>
      </c>
      <c r="K3444" s="2">
        <v>154</v>
      </c>
      <c r="L3444" s="2">
        <v>2</v>
      </c>
      <c r="M3444" s="7">
        <f t="shared" si="212"/>
        <v>308</v>
      </c>
      <c r="N3444" s="7">
        <f t="shared" si="213"/>
        <v>338</v>
      </c>
      <c r="O3444" s="2">
        <v>30</v>
      </c>
      <c r="P3444" s="8">
        <f t="shared" si="214"/>
        <v>368</v>
      </c>
      <c r="Q3444" s="8">
        <f t="shared" si="215"/>
        <v>308</v>
      </c>
      <c r="R3444" s="2" t="s">
        <v>28</v>
      </c>
      <c r="S3444" s="9">
        <f>VLOOKUP(P3444,$T$2:U3441,2,1)</f>
        <v>0.02</v>
      </c>
    </row>
    <row r="3445" spans="1:19" x14ac:dyDescent="0.25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e">
        <f>VLOOKUP(F3445,'Customer Info'!A3437:I3936,2,0)</f>
        <v>#N/A</v>
      </c>
      <c r="H3445" s="6" t="e">
        <f>VLOOKUP(F3445,'Customer Info'!A3437:I3936,3,0)</f>
        <v>#N/A</v>
      </c>
      <c r="I3445" s="6" t="e">
        <f>VLOOKUP(F3445,'Customer Info'!A3437:I3936,5,0)</f>
        <v>#N/A</v>
      </c>
      <c r="J3445" s="2">
        <v>3192</v>
      </c>
      <c r="K3445" s="2">
        <v>3011</v>
      </c>
      <c r="L3445" s="2">
        <v>3</v>
      </c>
      <c r="M3445" s="7">
        <f t="shared" si="212"/>
        <v>9033</v>
      </c>
      <c r="N3445" s="7">
        <f t="shared" si="213"/>
        <v>9576</v>
      </c>
      <c r="O3445" s="2">
        <v>72</v>
      </c>
      <c r="P3445" s="8">
        <f t="shared" si="214"/>
        <v>9648</v>
      </c>
      <c r="Q3445" s="8">
        <f t="shared" si="215"/>
        <v>9504</v>
      </c>
      <c r="R3445" s="2" t="s">
        <v>28</v>
      </c>
      <c r="S3445" s="9">
        <f>VLOOKUP(P3445,$T$2:U3442,2,1)</f>
        <v>0.05</v>
      </c>
    </row>
    <row r="3446" spans="1:19" x14ac:dyDescent="0.25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e">
        <f>VLOOKUP(F3446,'Customer Info'!A3438:I3937,2,0)</f>
        <v>#N/A</v>
      </c>
      <c r="H3446" s="6" t="e">
        <f>VLOOKUP(F3446,'Customer Info'!A3438:I3937,3,0)</f>
        <v>#N/A</v>
      </c>
      <c r="I3446" s="6" t="e">
        <f>VLOOKUP(F3446,'Customer Info'!A3438:I3937,5,0)</f>
        <v>#N/A</v>
      </c>
      <c r="J3446" s="2">
        <v>206</v>
      </c>
      <c r="K3446" s="2">
        <v>189</v>
      </c>
      <c r="L3446" s="2">
        <v>5</v>
      </c>
      <c r="M3446" s="7">
        <f t="shared" si="212"/>
        <v>945</v>
      </c>
      <c r="N3446" s="7">
        <f t="shared" si="213"/>
        <v>1030</v>
      </c>
      <c r="O3446" s="2">
        <v>30</v>
      </c>
      <c r="P3446" s="8">
        <f t="shared" si="214"/>
        <v>1060</v>
      </c>
      <c r="Q3446" s="8">
        <f t="shared" si="215"/>
        <v>1000</v>
      </c>
      <c r="R3446" s="2" t="s">
        <v>28</v>
      </c>
      <c r="S3446" s="9">
        <f>VLOOKUP(P3446,$T$2:U3443,2,1)</f>
        <v>0.02</v>
      </c>
    </row>
    <row r="3447" spans="1:19" x14ac:dyDescent="0.25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e">
        <f>VLOOKUP(F3447,'Customer Info'!A3439:I3938,2,0)</f>
        <v>#N/A</v>
      </c>
      <c r="H3447" s="6" t="e">
        <f>VLOOKUP(F3447,'Customer Info'!A3439:I3938,3,0)</f>
        <v>#N/A</v>
      </c>
      <c r="I3447" s="6" t="e">
        <f>VLOOKUP(F3447,'Customer Info'!A3439:I3938,5,0)</f>
        <v>#N/A</v>
      </c>
      <c r="J3447" s="2">
        <v>7021</v>
      </c>
      <c r="K3447" s="2">
        <v>6686</v>
      </c>
      <c r="L3447" s="2">
        <v>3</v>
      </c>
      <c r="M3447" s="7">
        <f t="shared" si="212"/>
        <v>20058</v>
      </c>
      <c r="N3447" s="7">
        <f t="shared" si="213"/>
        <v>21063</v>
      </c>
      <c r="O3447" s="2">
        <v>64</v>
      </c>
      <c r="P3447" s="8">
        <f t="shared" si="214"/>
        <v>21127</v>
      </c>
      <c r="Q3447" s="8">
        <f t="shared" si="215"/>
        <v>20999</v>
      </c>
      <c r="R3447" s="2" t="s">
        <v>50</v>
      </c>
      <c r="S3447" s="9">
        <f>VLOOKUP(P3447,$T$2:U3444,2,1)</f>
        <v>0.05</v>
      </c>
    </row>
    <row r="3448" spans="1:19" x14ac:dyDescent="0.25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e">
        <f>VLOOKUP(F3448,'Customer Info'!A3440:I3939,2,0)</f>
        <v>#N/A</v>
      </c>
      <c r="H3448" s="6" t="e">
        <f>VLOOKUP(F3448,'Customer Info'!A3440:I3939,3,0)</f>
        <v>#N/A</v>
      </c>
      <c r="I3448" s="6" t="e">
        <f>VLOOKUP(F3448,'Customer Info'!A3440:I3939,5,0)</f>
        <v>#N/A</v>
      </c>
      <c r="J3448" s="2">
        <v>1321</v>
      </c>
      <c r="K3448" s="2">
        <v>1211</v>
      </c>
      <c r="L3448" s="2">
        <v>3</v>
      </c>
      <c r="M3448" s="7">
        <f t="shared" si="212"/>
        <v>3633</v>
      </c>
      <c r="N3448" s="7">
        <f t="shared" si="213"/>
        <v>3963</v>
      </c>
      <c r="O3448" s="2">
        <v>21</v>
      </c>
      <c r="P3448" s="8">
        <f t="shared" si="214"/>
        <v>3984</v>
      </c>
      <c r="Q3448" s="8">
        <f t="shared" si="215"/>
        <v>3942</v>
      </c>
      <c r="R3448" s="2" t="s">
        <v>28</v>
      </c>
      <c r="S3448" s="9">
        <f>VLOOKUP(P3448,$T$2:U3445,2,1)</f>
        <v>0.02</v>
      </c>
    </row>
    <row r="3449" spans="1:19" x14ac:dyDescent="0.25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e">
        <f>VLOOKUP(F3449,'Customer Info'!A3441:I3940,2,0)</f>
        <v>#N/A</v>
      </c>
      <c r="H3449" s="6" t="e">
        <f>VLOOKUP(F3449,'Customer Info'!A3441:I3940,3,0)</f>
        <v>#N/A</v>
      </c>
      <c r="I3449" s="6" t="e">
        <f>VLOOKUP(F3449,'Customer Info'!A3441:I3940,5,0)</f>
        <v>#N/A</v>
      </c>
      <c r="J3449" s="2">
        <v>900</v>
      </c>
      <c r="K3449" s="2">
        <v>834</v>
      </c>
      <c r="L3449" s="2">
        <v>3</v>
      </c>
      <c r="M3449" s="7">
        <f t="shared" si="212"/>
        <v>2502</v>
      </c>
      <c r="N3449" s="7">
        <f t="shared" si="213"/>
        <v>2700</v>
      </c>
      <c r="O3449" s="2">
        <v>28</v>
      </c>
      <c r="P3449" s="8">
        <f t="shared" si="214"/>
        <v>2728</v>
      </c>
      <c r="Q3449" s="8">
        <f t="shared" si="215"/>
        <v>2672</v>
      </c>
      <c r="R3449" s="2" t="s">
        <v>28</v>
      </c>
      <c r="S3449" s="9">
        <f>VLOOKUP(P3449,$T$2:U3446,2,1)</f>
        <v>0.02</v>
      </c>
    </row>
    <row r="3450" spans="1:19" x14ac:dyDescent="0.25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e">
        <f>VLOOKUP(F3450,'Customer Info'!A3442:I3941,2,0)</f>
        <v>#N/A</v>
      </c>
      <c r="H3450" s="6" t="e">
        <f>VLOOKUP(F3450,'Customer Info'!A3442:I3941,3,0)</f>
        <v>#N/A</v>
      </c>
      <c r="I3450" s="6" t="e">
        <f>VLOOKUP(F3450,'Customer Info'!A3442:I3941,5,0)</f>
        <v>#N/A</v>
      </c>
      <c r="J3450" s="2">
        <v>6701</v>
      </c>
      <c r="K3450" s="2">
        <v>6384</v>
      </c>
      <c r="L3450" s="2">
        <v>2</v>
      </c>
      <c r="M3450" s="7">
        <f t="shared" si="212"/>
        <v>12768</v>
      </c>
      <c r="N3450" s="7">
        <f t="shared" si="213"/>
        <v>13402</v>
      </c>
      <c r="O3450" s="2">
        <v>87</v>
      </c>
      <c r="P3450" s="8">
        <f t="shared" si="214"/>
        <v>13489</v>
      </c>
      <c r="Q3450" s="8">
        <f t="shared" si="215"/>
        <v>13315</v>
      </c>
      <c r="R3450" s="2" t="s">
        <v>28</v>
      </c>
      <c r="S3450" s="9">
        <f>VLOOKUP(P3450,$T$2:U3447,2,1)</f>
        <v>0.05</v>
      </c>
    </row>
    <row r="3451" spans="1:19" x14ac:dyDescent="0.25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e">
        <f>VLOOKUP(F3451,'Customer Info'!A3443:I3942,2,0)</f>
        <v>#N/A</v>
      </c>
      <c r="H3451" s="6" t="e">
        <f>VLOOKUP(F3451,'Customer Info'!A3443:I3942,3,0)</f>
        <v>#N/A</v>
      </c>
      <c r="I3451" s="6" t="e">
        <f>VLOOKUP(F3451,'Customer Info'!A3443:I3942,5,0)</f>
        <v>#N/A</v>
      </c>
      <c r="J3451" s="2">
        <v>3408</v>
      </c>
      <c r="K3451" s="2">
        <v>3215</v>
      </c>
      <c r="L3451" s="2">
        <v>6</v>
      </c>
      <c r="M3451" s="7">
        <f t="shared" si="212"/>
        <v>19290</v>
      </c>
      <c r="N3451" s="7">
        <f t="shared" si="213"/>
        <v>20448</v>
      </c>
      <c r="O3451" s="2">
        <v>20</v>
      </c>
      <c r="P3451" s="8">
        <f t="shared" si="214"/>
        <v>20468</v>
      </c>
      <c r="Q3451" s="8">
        <f t="shared" si="215"/>
        <v>20428</v>
      </c>
      <c r="R3451" s="2" t="s">
        <v>26</v>
      </c>
      <c r="S3451" s="9">
        <f>VLOOKUP(P3451,$T$2:U3448,2,1)</f>
        <v>0.05</v>
      </c>
    </row>
    <row r="3452" spans="1:19" x14ac:dyDescent="0.25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e">
        <f>VLOOKUP(F3452,'Customer Info'!A3444:I3943,2,0)</f>
        <v>#N/A</v>
      </c>
      <c r="H3452" s="6" t="e">
        <f>VLOOKUP(F3452,'Customer Info'!A3444:I3943,3,0)</f>
        <v>#N/A</v>
      </c>
      <c r="I3452" s="6" t="e">
        <f>VLOOKUP(F3452,'Customer Info'!A3444:I3943,5,0)</f>
        <v>#N/A</v>
      </c>
      <c r="J3452" s="2">
        <v>8202</v>
      </c>
      <c r="K3452" s="2">
        <v>7594</v>
      </c>
      <c r="L3452" s="2">
        <v>6</v>
      </c>
      <c r="M3452" s="7">
        <f t="shared" si="212"/>
        <v>45564</v>
      </c>
      <c r="N3452" s="7">
        <f t="shared" si="213"/>
        <v>49212</v>
      </c>
      <c r="O3452" s="2">
        <v>48</v>
      </c>
      <c r="P3452" s="8">
        <f t="shared" si="214"/>
        <v>49260</v>
      </c>
      <c r="Q3452" s="8">
        <f t="shared" si="215"/>
        <v>49164</v>
      </c>
      <c r="R3452" s="2" t="s">
        <v>50</v>
      </c>
      <c r="S3452" s="9">
        <f>VLOOKUP(P3452,$T$2:U3449,2,1)</f>
        <v>7.0000000000000007E-2</v>
      </c>
    </row>
    <row r="3453" spans="1:19" x14ac:dyDescent="0.25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e">
        <f>VLOOKUP(F3453,'Customer Info'!A3445:I3944,2,0)</f>
        <v>#N/A</v>
      </c>
      <c r="H3453" s="6" t="e">
        <f>VLOOKUP(F3453,'Customer Info'!A3445:I3944,3,0)</f>
        <v>#N/A</v>
      </c>
      <c r="I3453" s="6" t="e">
        <f>VLOOKUP(F3453,'Customer Info'!A3445:I3944,5,0)</f>
        <v>#N/A</v>
      </c>
      <c r="J3453" s="2">
        <v>199</v>
      </c>
      <c r="K3453" s="2">
        <v>176</v>
      </c>
      <c r="L3453" s="2">
        <v>2</v>
      </c>
      <c r="M3453" s="7">
        <f t="shared" si="212"/>
        <v>352</v>
      </c>
      <c r="N3453" s="7">
        <f t="shared" si="213"/>
        <v>398</v>
      </c>
      <c r="O3453" s="2">
        <v>30</v>
      </c>
      <c r="P3453" s="8">
        <f t="shared" si="214"/>
        <v>428</v>
      </c>
      <c r="Q3453" s="8">
        <f t="shared" si="215"/>
        <v>368</v>
      </c>
      <c r="R3453" s="2" t="s">
        <v>28</v>
      </c>
      <c r="S3453" s="9">
        <f>VLOOKUP(P3453,$T$2:U3450,2,1)</f>
        <v>0.02</v>
      </c>
    </row>
    <row r="3454" spans="1:19" x14ac:dyDescent="0.25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e">
        <f>VLOOKUP(F3454,'Customer Info'!A3446:I3945,2,0)</f>
        <v>#N/A</v>
      </c>
      <c r="H3454" s="6" t="e">
        <f>VLOOKUP(F3454,'Customer Info'!A3446:I3945,3,0)</f>
        <v>#N/A</v>
      </c>
      <c r="I3454" s="6" t="e">
        <f>VLOOKUP(F3454,'Customer Info'!A3446:I3945,5,0)</f>
        <v>#N/A</v>
      </c>
      <c r="J3454" s="2">
        <v>4846</v>
      </c>
      <c r="K3454" s="2">
        <v>4492</v>
      </c>
      <c r="L3454" s="2">
        <v>4</v>
      </c>
      <c r="M3454" s="7">
        <f t="shared" si="212"/>
        <v>17968</v>
      </c>
      <c r="N3454" s="7">
        <f t="shared" si="213"/>
        <v>19384</v>
      </c>
      <c r="O3454" s="2">
        <v>22</v>
      </c>
      <c r="P3454" s="8">
        <f t="shared" si="214"/>
        <v>19406</v>
      </c>
      <c r="Q3454" s="8">
        <f t="shared" si="215"/>
        <v>19362</v>
      </c>
      <c r="R3454" s="2" t="s">
        <v>50</v>
      </c>
      <c r="S3454" s="9">
        <f>VLOOKUP(P3454,$T$2:U3451,2,1)</f>
        <v>0.05</v>
      </c>
    </row>
    <row r="3455" spans="1:19" x14ac:dyDescent="0.25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e">
        <f>VLOOKUP(F3455,'Customer Info'!A3447:I3946,2,0)</f>
        <v>#N/A</v>
      </c>
      <c r="H3455" s="6" t="e">
        <f>VLOOKUP(F3455,'Customer Info'!A3447:I3946,3,0)</f>
        <v>#N/A</v>
      </c>
      <c r="I3455" s="6" t="e">
        <f>VLOOKUP(F3455,'Customer Info'!A3447:I3946,5,0)</f>
        <v>#N/A</v>
      </c>
      <c r="J3455" s="2">
        <v>1637</v>
      </c>
      <c r="K3455" s="2">
        <v>1532</v>
      </c>
      <c r="L3455" s="2">
        <v>2</v>
      </c>
      <c r="M3455" s="7">
        <f t="shared" si="212"/>
        <v>3064</v>
      </c>
      <c r="N3455" s="7">
        <f t="shared" si="213"/>
        <v>3274</v>
      </c>
      <c r="O3455" s="2">
        <v>67</v>
      </c>
      <c r="P3455" s="8">
        <f t="shared" si="214"/>
        <v>3341</v>
      </c>
      <c r="Q3455" s="8">
        <f t="shared" si="215"/>
        <v>3207</v>
      </c>
      <c r="R3455" s="2" t="s">
        <v>50</v>
      </c>
      <c r="S3455" s="9">
        <f>VLOOKUP(P3455,$T$2:U3452,2,1)</f>
        <v>0.02</v>
      </c>
    </row>
    <row r="3456" spans="1:19" x14ac:dyDescent="0.25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e">
        <f>VLOOKUP(F3456,'Customer Info'!A3448:I3947,2,0)</f>
        <v>#N/A</v>
      </c>
      <c r="H3456" s="6" t="e">
        <f>VLOOKUP(F3456,'Customer Info'!A3448:I3947,3,0)</f>
        <v>#N/A</v>
      </c>
      <c r="I3456" s="6" t="e">
        <f>VLOOKUP(F3456,'Customer Info'!A3448:I3947,5,0)</f>
        <v>#N/A</v>
      </c>
      <c r="J3456" s="2">
        <v>7315</v>
      </c>
      <c r="K3456" s="2">
        <v>6967</v>
      </c>
      <c r="L3456" s="2">
        <v>1</v>
      </c>
      <c r="M3456" s="7">
        <f t="shared" si="212"/>
        <v>6967</v>
      </c>
      <c r="N3456" s="7">
        <f t="shared" si="213"/>
        <v>7315</v>
      </c>
      <c r="O3456" s="2">
        <v>52</v>
      </c>
      <c r="P3456" s="8">
        <f t="shared" si="214"/>
        <v>7367</v>
      </c>
      <c r="Q3456" s="8">
        <f t="shared" si="215"/>
        <v>7263</v>
      </c>
      <c r="R3456" s="2" t="s">
        <v>28</v>
      </c>
      <c r="S3456" s="9">
        <f>VLOOKUP(P3456,$T$2:U3453,2,1)</f>
        <v>0.05</v>
      </c>
    </row>
    <row r="3457" spans="1:19" x14ac:dyDescent="0.25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e">
        <f>VLOOKUP(F3457,'Customer Info'!A3449:I3948,2,0)</f>
        <v>#N/A</v>
      </c>
      <c r="H3457" s="6" t="e">
        <f>VLOOKUP(F3457,'Customer Info'!A3449:I3948,3,0)</f>
        <v>#N/A</v>
      </c>
      <c r="I3457" s="6" t="e">
        <f>VLOOKUP(F3457,'Customer Info'!A3449:I3948,5,0)</f>
        <v>#N/A</v>
      </c>
      <c r="J3457" s="2">
        <v>5882</v>
      </c>
      <c r="K3457" s="2">
        <v>5713</v>
      </c>
      <c r="L3457" s="2">
        <v>1</v>
      </c>
      <c r="M3457" s="7">
        <f t="shared" si="212"/>
        <v>5713</v>
      </c>
      <c r="N3457" s="7">
        <f t="shared" si="213"/>
        <v>5882</v>
      </c>
      <c r="O3457" s="2">
        <v>33</v>
      </c>
      <c r="P3457" s="8">
        <f t="shared" si="214"/>
        <v>5915</v>
      </c>
      <c r="Q3457" s="8">
        <f t="shared" si="215"/>
        <v>5849</v>
      </c>
      <c r="R3457" s="2" t="s">
        <v>26</v>
      </c>
      <c r="S3457" s="9">
        <f>VLOOKUP(P3457,$T$2:U3454,2,1)</f>
        <v>0.05</v>
      </c>
    </row>
    <row r="3458" spans="1:19" x14ac:dyDescent="0.25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e">
        <f>VLOOKUP(F3458,'Customer Info'!A3450:I3949,2,0)</f>
        <v>#N/A</v>
      </c>
      <c r="H3458" s="6" t="e">
        <f>VLOOKUP(F3458,'Customer Info'!A3450:I3949,3,0)</f>
        <v>#N/A</v>
      </c>
      <c r="I3458" s="6" t="e">
        <f>VLOOKUP(F3458,'Customer Info'!A3450:I3949,5,0)</f>
        <v>#N/A</v>
      </c>
      <c r="J3458" s="2">
        <v>210</v>
      </c>
      <c r="K3458" s="2">
        <v>193</v>
      </c>
      <c r="L3458" s="2">
        <v>10</v>
      </c>
      <c r="M3458" s="7">
        <f t="shared" si="212"/>
        <v>1930</v>
      </c>
      <c r="N3458" s="7">
        <f t="shared" si="213"/>
        <v>2100</v>
      </c>
      <c r="O3458" s="2">
        <v>43</v>
      </c>
      <c r="P3458" s="8">
        <f t="shared" si="214"/>
        <v>2143</v>
      </c>
      <c r="Q3458" s="8">
        <f t="shared" si="215"/>
        <v>2057</v>
      </c>
      <c r="R3458" s="2" t="s">
        <v>28</v>
      </c>
      <c r="S3458" s="9">
        <f>VLOOKUP(P3458,$T$2:U3455,2,1)</f>
        <v>0.02</v>
      </c>
    </row>
    <row r="3459" spans="1:19" x14ac:dyDescent="0.25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e">
        <f>VLOOKUP(F3459,'Customer Info'!A3451:I3950,2,0)</f>
        <v>#N/A</v>
      </c>
      <c r="H3459" s="6" t="e">
        <f>VLOOKUP(F3459,'Customer Info'!A3451:I3950,3,0)</f>
        <v>#N/A</v>
      </c>
      <c r="I3459" s="6" t="e">
        <f>VLOOKUP(F3459,'Customer Info'!A3451:I3950,5,0)</f>
        <v>#N/A</v>
      </c>
      <c r="J3459" s="2">
        <v>59</v>
      </c>
      <c r="K3459" s="2">
        <v>55</v>
      </c>
      <c r="L3459" s="2">
        <v>3</v>
      </c>
      <c r="M3459" s="7">
        <f t="shared" si="212"/>
        <v>165</v>
      </c>
      <c r="N3459" s="7">
        <f t="shared" si="213"/>
        <v>177</v>
      </c>
      <c r="O3459" s="2">
        <v>10</v>
      </c>
      <c r="P3459" s="8">
        <f t="shared" si="214"/>
        <v>187</v>
      </c>
      <c r="Q3459" s="8">
        <f t="shared" si="215"/>
        <v>167</v>
      </c>
      <c r="R3459" s="2" t="s">
        <v>28</v>
      </c>
      <c r="S3459" s="9">
        <f>VLOOKUP(P3459,$T$2:U3456,2,1)</f>
        <v>0.02</v>
      </c>
    </row>
    <row r="3460" spans="1:19" x14ac:dyDescent="0.25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e">
        <f>VLOOKUP(F3460,'Customer Info'!A3452:I3951,2,0)</f>
        <v>#N/A</v>
      </c>
      <c r="H3460" s="6" t="e">
        <f>VLOOKUP(F3460,'Customer Info'!A3452:I3951,3,0)</f>
        <v>#N/A</v>
      </c>
      <c r="I3460" s="6" t="e">
        <f>VLOOKUP(F3460,'Customer Info'!A3452:I3951,5,0)</f>
        <v>#N/A</v>
      </c>
      <c r="J3460" s="2">
        <v>3354</v>
      </c>
      <c r="K3460" s="2">
        <v>3102</v>
      </c>
      <c r="L3460" s="2">
        <v>3</v>
      </c>
      <c r="M3460" s="7">
        <f t="shared" si="212"/>
        <v>9306</v>
      </c>
      <c r="N3460" s="7">
        <f t="shared" si="213"/>
        <v>10062</v>
      </c>
      <c r="O3460" s="2">
        <v>41</v>
      </c>
      <c r="P3460" s="8">
        <f t="shared" si="214"/>
        <v>10103</v>
      </c>
      <c r="Q3460" s="8">
        <f t="shared" si="215"/>
        <v>10021</v>
      </c>
      <c r="R3460" s="2" t="s">
        <v>28</v>
      </c>
      <c r="S3460" s="9">
        <f>VLOOKUP(P3460,$T$2:U3457,2,1)</f>
        <v>0.05</v>
      </c>
    </row>
    <row r="3461" spans="1:19" x14ac:dyDescent="0.25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e">
        <f>VLOOKUP(F3461,'Customer Info'!A3453:I3952,2,0)</f>
        <v>#N/A</v>
      </c>
      <c r="H3461" s="6" t="e">
        <f>VLOOKUP(F3461,'Customer Info'!A3453:I3952,3,0)</f>
        <v>#N/A</v>
      </c>
      <c r="I3461" s="6" t="e">
        <f>VLOOKUP(F3461,'Customer Info'!A3453:I3952,5,0)</f>
        <v>#N/A</v>
      </c>
      <c r="J3461" s="2">
        <v>101</v>
      </c>
      <c r="K3461" s="2">
        <v>98</v>
      </c>
      <c r="L3461" s="2">
        <v>1</v>
      </c>
      <c r="M3461" s="7">
        <f t="shared" si="212"/>
        <v>98</v>
      </c>
      <c r="N3461" s="7">
        <f t="shared" si="213"/>
        <v>101</v>
      </c>
      <c r="O3461" s="2">
        <v>10</v>
      </c>
      <c r="P3461" s="8">
        <f t="shared" si="214"/>
        <v>111</v>
      </c>
      <c r="Q3461" s="8">
        <f t="shared" si="215"/>
        <v>91</v>
      </c>
      <c r="R3461" s="2" t="s">
        <v>56</v>
      </c>
      <c r="S3461" s="9">
        <f>VLOOKUP(P3461,$T$2:U3458,2,1)</f>
        <v>0.02</v>
      </c>
    </row>
    <row r="3462" spans="1:19" x14ac:dyDescent="0.25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e">
        <f>VLOOKUP(F3462,'Customer Info'!A3454:I3953,2,0)</f>
        <v>#N/A</v>
      </c>
      <c r="H3462" s="6" t="e">
        <f>VLOOKUP(F3462,'Customer Info'!A3454:I3953,3,0)</f>
        <v>#N/A</v>
      </c>
      <c r="I3462" s="6" t="e">
        <f>VLOOKUP(F3462,'Customer Info'!A3454:I3953,5,0)</f>
        <v>#N/A</v>
      </c>
      <c r="J3462" s="2">
        <v>542</v>
      </c>
      <c r="K3462" s="2">
        <v>492</v>
      </c>
      <c r="L3462" s="2">
        <v>3</v>
      </c>
      <c r="M3462" s="7">
        <f t="shared" si="212"/>
        <v>1476</v>
      </c>
      <c r="N3462" s="7">
        <f t="shared" si="213"/>
        <v>1626</v>
      </c>
      <c r="O3462" s="2">
        <v>69</v>
      </c>
      <c r="P3462" s="8">
        <f t="shared" si="214"/>
        <v>1695</v>
      </c>
      <c r="Q3462" s="8">
        <f t="shared" si="215"/>
        <v>1557</v>
      </c>
      <c r="R3462" s="2" t="s">
        <v>28</v>
      </c>
      <c r="S3462" s="9">
        <f>VLOOKUP(P3462,$T$2:U3459,2,1)</f>
        <v>0.02</v>
      </c>
    </row>
    <row r="3463" spans="1:19" x14ac:dyDescent="0.25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e">
        <f>VLOOKUP(F3463,'Customer Info'!A3455:I3954,2,0)</f>
        <v>#N/A</v>
      </c>
      <c r="H3463" s="6" t="e">
        <f>VLOOKUP(F3463,'Customer Info'!A3455:I3954,3,0)</f>
        <v>#N/A</v>
      </c>
      <c r="I3463" s="6" t="e">
        <f>VLOOKUP(F3463,'Customer Info'!A3455:I3954,5,0)</f>
        <v>#N/A</v>
      </c>
      <c r="J3463" s="2">
        <v>626</v>
      </c>
      <c r="K3463" s="2">
        <v>559</v>
      </c>
      <c r="L3463" s="2">
        <v>1</v>
      </c>
      <c r="M3463" s="7">
        <f t="shared" si="212"/>
        <v>559</v>
      </c>
      <c r="N3463" s="7">
        <f t="shared" si="213"/>
        <v>626</v>
      </c>
      <c r="O3463" s="2">
        <v>40</v>
      </c>
      <c r="P3463" s="8">
        <f t="shared" si="214"/>
        <v>666</v>
      </c>
      <c r="Q3463" s="8">
        <f t="shared" si="215"/>
        <v>586</v>
      </c>
      <c r="R3463" s="2" t="s">
        <v>26</v>
      </c>
      <c r="S3463" s="9">
        <f>VLOOKUP(P3463,$T$2:U3460,2,1)</f>
        <v>0.02</v>
      </c>
    </row>
    <row r="3464" spans="1:19" x14ac:dyDescent="0.25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e">
        <f>VLOOKUP(F3464,'Customer Info'!A3456:I3955,2,0)</f>
        <v>#N/A</v>
      </c>
      <c r="H3464" s="6" t="e">
        <f>VLOOKUP(F3464,'Customer Info'!A3456:I3955,3,0)</f>
        <v>#N/A</v>
      </c>
      <c r="I3464" s="6" t="e">
        <f>VLOOKUP(F3464,'Customer Info'!A3456:I3955,5,0)</f>
        <v>#N/A</v>
      </c>
      <c r="J3464" s="2">
        <v>173</v>
      </c>
      <c r="K3464" s="2">
        <v>155</v>
      </c>
      <c r="L3464" s="2">
        <v>9</v>
      </c>
      <c r="M3464" s="7">
        <f t="shared" si="212"/>
        <v>1395</v>
      </c>
      <c r="N3464" s="7">
        <f t="shared" si="213"/>
        <v>1557</v>
      </c>
      <c r="O3464" s="2">
        <v>30</v>
      </c>
      <c r="P3464" s="8">
        <f t="shared" si="214"/>
        <v>1587</v>
      </c>
      <c r="Q3464" s="8">
        <f t="shared" si="215"/>
        <v>1527</v>
      </c>
      <c r="R3464" s="2" t="s">
        <v>28</v>
      </c>
      <c r="S3464" s="9">
        <f>VLOOKUP(P3464,$T$2:U3461,2,1)</f>
        <v>0.02</v>
      </c>
    </row>
    <row r="3465" spans="1:19" x14ac:dyDescent="0.25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e">
        <f>VLOOKUP(F3465,'Customer Info'!A3457:I3956,2,0)</f>
        <v>#N/A</v>
      </c>
      <c r="H3465" s="6" t="e">
        <f>VLOOKUP(F3465,'Customer Info'!A3457:I3956,3,0)</f>
        <v>#N/A</v>
      </c>
      <c r="I3465" s="6" t="e">
        <f>VLOOKUP(F3465,'Customer Info'!A3457:I3956,5,0)</f>
        <v>#N/A</v>
      </c>
      <c r="J3465" s="2">
        <v>1146</v>
      </c>
      <c r="K3465" s="2">
        <v>1061</v>
      </c>
      <c r="L3465" s="2">
        <v>7</v>
      </c>
      <c r="M3465" s="7">
        <f t="shared" si="212"/>
        <v>7427</v>
      </c>
      <c r="N3465" s="7">
        <f t="shared" si="213"/>
        <v>8022</v>
      </c>
      <c r="O3465" s="2">
        <v>83</v>
      </c>
      <c r="P3465" s="8">
        <f t="shared" si="214"/>
        <v>8105</v>
      </c>
      <c r="Q3465" s="8">
        <f t="shared" si="215"/>
        <v>7939</v>
      </c>
      <c r="R3465" s="2" t="s">
        <v>50</v>
      </c>
      <c r="S3465" s="9">
        <f>VLOOKUP(P3465,$T$2:U3462,2,1)</f>
        <v>0.05</v>
      </c>
    </row>
    <row r="3466" spans="1:19" x14ac:dyDescent="0.25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e">
        <f>VLOOKUP(F3466,'Customer Info'!A3458:I3957,2,0)</f>
        <v>#N/A</v>
      </c>
      <c r="H3466" s="6" t="e">
        <f>VLOOKUP(F3466,'Customer Info'!A3458:I3957,3,0)</f>
        <v>#N/A</v>
      </c>
      <c r="I3466" s="6" t="e">
        <f>VLOOKUP(F3466,'Customer Info'!A3458:I3957,5,0)</f>
        <v>#N/A</v>
      </c>
      <c r="J3466" s="2">
        <v>1512</v>
      </c>
      <c r="K3466" s="2">
        <v>1497</v>
      </c>
      <c r="L3466" s="2">
        <v>6</v>
      </c>
      <c r="M3466" s="7">
        <f t="shared" si="212"/>
        <v>8982</v>
      </c>
      <c r="N3466" s="7">
        <f t="shared" si="213"/>
        <v>9072</v>
      </c>
      <c r="O3466" s="2">
        <v>84</v>
      </c>
      <c r="P3466" s="8">
        <f t="shared" si="214"/>
        <v>9156</v>
      </c>
      <c r="Q3466" s="8">
        <f t="shared" si="215"/>
        <v>8988</v>
      </c>
      <c r="R3466" s="2" t="s">
        <v>28</v>
      </c>
      <c r="S3466" s="9">
        <f>VLOOKUP(P3466,$T$2:U3463,2,1)</f>
        <v>0.05</v>
      </c>
    </row>
    <row r="3467" spans="1:19" x14ac:dyDescent="0.25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e">
        <f>VLOOKUP(F3467,'Customer Info'!A3459:I3958,2,0)</f>
        <v>#N/A</v>
      </c>
      <c r="H3467" s="6" t="e">
        <f>VLOOKUP(F3467,'Customer Info'!A3459:I3958,3,0)</f>
        <v>#N/A</v>
      </c>
      <c r="I3467" s="6" t="e">
        <f>VLOOKUP(F3467,'Customer Info'!A3459:I3958,5,0)</f>
        <v>#N/A</v>
      </c>
      <c r="J3467" s="2">
        <v>151</v>
      </c>
      <c r="K3467" s="2">
        <v>139</v>
      </c>
      <c r="L3467" s="2">
        <v>1</v>
      </c>
      <c r="M3467" s="7">
        <f t="shared" ref="M3467:M3530" si="216">K3467*L3467</f>
        <v>139</v>
      </c>
      <c r="N3467" s="7">
        <f t="shared" ref="N3467:N3530" si="217">J3467*L3467</f>
        <v>151</v>
      </c>
      <c r="O3467" s="2">
        <v>30</v>
      </c>
      <c r="P3467" s="8">
        <f t="shared" ref="P3467:P3530" si="218">SUM(N3467,O3467)</f>
        <v>181</v>
      </c>
      <c r="Q3467" s="8">
        <f t="shared" ref="Q3467:Q3530" si="219">N3467-O3467</f>
        <v>121</v>
      </c>
      <c r="R3467" s="2" t="s">
        <v>50</v>
      </c>
      <c r="S3467" s="9">
        <f>VLOOKUP(P3467,$T$2:U3464,2,1)</f>
        <v>0.02</v>
      </c>
    </row>
    <row r="3468" spans="1:19" x14ac:dyDescent="0.25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e">
        <f>VLOOKUP(F3468,'Customer Info'!A3460:I3959,2,0)</f>
        <v>#N/A</v>
      </c>
      <c r="H3468" s="6" t="e">
        <f>VLOOKUP(F3468,'Customer Info'!A3460:I3959,3,0)</f>
        <v>#N/A</v>
      </c>
      <c r="I3468" s="6" t="e">
        <f>VLOOKUP(F3468,'Customer Info'!A3460:I3959,5,0)</f>
        <v>#N/A</v>
      </c>
      <c r="J3468" s="2">
        <v>4704</v>
      </c>
      <c r="K3468" s="2">
        <v>4361</v>
      </c>
      <c r="L3468" s="2">
        <v>3</v>
      </c>
      <c r="M3468" s="7">
        <f t="shared" si="216"/>
        <v>13083</v>
      </c>
      <c r="N3468" s="7">
        <f t="shared" si="217"/>
        <v>14112</v>
      </c>
      <c r="O3468" s="2">
        <v>20</v>
      </c>
      <c r="P3468" s="8">
        <f t="shared" si="218"/>
        <v>14132</v>
      </c>
      <c r="Q3468" s="8">
        <f t="shared" si="219"/>
        <v>14092</v>
      </c>
      <c r="R3468" s="2" t="s">
        <v>28</v>
      </c>
      <c r="S3468" s="9">
        <f>VLOOKUP(P3468,$T$2:U3465,2,1)</f>
        <v>0.05</v>
      </c>
    </row>
    <row r="3469" spans="1:19" x14ac:dyDescent="0.25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e">
        <f>VLOOKUP(F3469,'Customer Info'!A3461:I3960,2,0)</f>
        <v>#N/A</v>
      </c>
      <c r="H3469" s="6" t="e">
        <f>VLOOKUP(F3469,'Customer Info'!A3461:I3960,3,0)</f>
        <v>#N/A</v>
      </c>
      <c r="I3469" s="6" t="e">
        <f>VLOOKUP(F3469,'Customer Info'!A3461:I3960,5,0)</f>
        <v>#N/A</v>
      </c>
      <c r="J3469" s="2">
        <v>1654</v>
      </c>
      <c r="K3469" s="2">
        <v>1577</v>
      </c>
      <c r="L3469" s="2">
        <v>4</v>
      </c>
      <c r="M3469" s="7">
        <f t="shared" si="216"/>
        <v>6308</v>
      </c>
      <c r="N3469" s="7">
        <f t="shared" si="217"/>
        <v>6616</v>
      </c>
      <c r="O3469" s="2">
        <v>98</v>
      </c>
      <c r="P3469" s="8">
        <f t="shared" si="218"/>
        <v>6714</v>
      </c>
      <c r="Q3469" s="8">
        <f t="shared" si="219"/>
        <v>6518</v>
      </c>
      <c r="R3469" s="2" t="s">
        <v>26</v>
      </c>
      <c r="S3469" s="9">
        <f>VLOOKUP(P3469,$T$2:U3466,2,1)</f>
        <v>0.05</v>
      </c>
    </row>
    <row r="3470" spans="1:19" x14ac:dyDescent="0.25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e">
        <f>VLOOKUP(F3470,'Customer Info'!A3462:I3961,2,0)</f>
        <v>#N/A</v>
      </c>
      <c r="H3470" s="6" t="e">
        <f>VLOOKUP(F3470,'Customer Info'!A3462:I3961,3,0)</f>
        <v>#N/A</v>
      </c>
      <c r="I3470" s="6" t="e">
        <f>VLOOKUP(F3470,'Customer Info'!A3462:I3961,5,0)</f>
        <v>#N/A</v>
      </c>
      <c r="J3470" s="2">
        <v>2310</v>
      </c>
      <c r="K3470" s="2">
        <v>2040</v>
      </c>
      <c r="L3470" s="2">
        <v>1</v>
      </c>
      <c r="M3470" s="7">
        <f t="shared" si="216"/>
        <v>2040</v>
      </c>
      <c r="N3470" s="7">
        <f t="shared" si="217"/>
        <v>2310</v>
      </c>
      <c r="O3470" s="2">
        <v>87</v>
      </c>
      <c r="P3470" s="8">
        <f t="shared" si="218"/>
        <v>2397</v>
      </c>
      <c r="Q3470" s="8">
        <f t="shared" si="219"/>
        <v>2223</v>
      </c>
      <c r="R3470" s="2" t="s">
        <v>28</v>
      </c>
      <c r="S3470" s="9">
        <f>VLOOKUP(P3470,$T$2:U3467,2,1)</f>
        <v>0.02</v>
      </c>
    </row>
    <row r="3471" spans="1:19" x14ac:dyDescent="0.25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e">
        <f>VLOOKUP(F3471,'Customer Info'!A3463:I3962,2,0)</f>
        <v>#N/A</v>
      </c>
      <c r="H3471" s="6" t="e">
        <f>VLOOKUP(F3471,'Customer Info'!A3463:I3962,3,0)</f>
        <v>#N/A</v>
      </c>
      <c r="I3471" s="6" t="e">
        <f>VLOOKUP(F3471,'Customer Info'!A3463:I3962,5,0)</f>
        <v>#N/A</v>
      </c>
      <c r="J3471" s="2">
        <v>7474</v>
      </c>
      <c r="K3471" s="2">
        <v>6858</v>
      </c>
      <c r="L3471" s="2">
        <v>2</v>
      </c>
      <c r="M3471" s="7">
        <f t="shared" si="216"/>
        <v>13716</v>
      </c>
      <c r="N3471" s="7">
        <f t="shared" si="217"/>
        <v>14948</v>
      </c>
      <c r="O3471" s="2">
        <v>84</v>
      </c>
      <c r="P3471" s="8">
        <f t="shared" si="218"/>
        <v>15032</v>
      </c>
      <c r="Q3471" s="8">
        <f t="shared" si="219"/>
        <v>14864</v>
      </c>
      <c r="R3471" s="2" t="s">
        <v>50</v>
      </c>
      <c r="S3471" s="9">
        <f>VLOOKUP(P3471,$T$2:U3468,2,1)</f>
        <v>0.05</v>
      </c>
    </row>
    <row r="3472" spans="1:19" x14ac:dyDescent="0.25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e">
        <f>VLOOKUP(F3472,'Customer Info'!A3464:I3963,2,0)</f>
        <v>#N/A</v>
      </c>
      <c r="H3472" s="6" t="e">
        <f>VLOOKUP(F3472,'Customer Info'!A3464:I3963,3,0)</f>
        <v>#N/A</v>
      </c>
      <c r="I3472" s="6" t="e">
        <f>VLOOKUP(F3472,'Customer Info'!A3464:I3963,5,0)</f>
        <v>#N/A</v>
      </c>
      <c r="J3472" s="2">
        <v>3017</v>
      </c>
      <c r="K3472" s="2">
        <v>2825</v>
      </c>
      <c r="L3472" s="2">
        <v>5</v>
      </c>
      <c r="M3472" s="7">
        <f t="shared" si="216"/>
        <v>14125</v>
      </c>
      <c r="N3472" s="7">
        <f t="shared" si="217"/>
        <v>15085</v>
      </c>
      <c r="O3472" s="2">
        <v>72</v>
      </c>
      <c r="P3472" s="8">
        <f t="shared" si="218"/>
        <v>15157</v>
      </c>
      <c r="Q3472" s="8">
        <f t="shared" si="219"/>
        <v>15013</v>
      </c>
      <c r="R3472" s="2" t="s">
        <v>28</v>
      </c>
      <c r="S3472" s="9">
        <f>VLOOKUP(P3472,$T$2:U3469,2,1)</f>
        <v>0.05</v>
      </c>
    </row>
    <row r="3473" spans="1:19" x14ac:dyDescent="0.25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e">
        <f>VLOOKUP(F3473,'Customer Info'!A3465:I3964,2,0)</f>
        <v>#N/A</v>
      </c>
      <c r="H3473" s="6" t="e">
        <f>VLOOKUP(F3473,'Customer Info'!A3465:I3964,3,0)</f>
        <v>#N/A</v>
      </c>
      <c r="I3473" s="6" t="e">
        <f>VLOOKUP(F3473,'Customer Info'!A3465:I3964,5,0)</f>
        <v>#N/A</v>
      </c>
      <c r="J3473" s="2">
        <v>173</v>
      </c>
      <c r="K3473" s="2">
        <v>155</v>
      </c>
      <c r="L3473" s="2">
        <v>2</v>
      </c>
      <c r="M3473" s="7">
        <f t="shared" si="216"/>
        <v>310</v>
      </c>
      <c r="N3473" s="7">
        <f t="shared" si="217"/>
        <v>346</v>
      </c>
      <c r="O3473" s="2">
        <v>30</v>
      </c>
      <c r="P3473" s="8">
        <f t="shared" si="218"/>
        <v>376</v>
      </c>
      <c r="Q3473" s="8">
        <f t="shared" si="219"/>
        <v>316</v>
      </c>
      <c r="R3473" s="2" t="s">
        <v>28</v>
      </c>
      <c r="S3473" s="9">
        <f>VLOOKUP(P3473,$T$2:U3470,2,1)</f>
        <v>0.02</v>
      </c>
    </row>
    <row r="3474" spans="1:19" x14ac:dyDescent="0.25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e">
        <f>VLOOKUP(F3474,'Customer Info'!A3466:I3965,2,0)</f>
        <v>#N/A</v>
      </c>
      <c r="H3474" s="6" t="e">
        <f>VLOOKUP(F3474,'Customer Info'!A3466:I3965,3,0)</f>
        <v>#N/A</v>
      </c>
      <c r="I3474" s="6" t="e">
        <f>VLOOKUP(F3474,'Customer Info'!A3466:I3965,5,0)</f>
        <v>#N/A</v>
      </c>
      <c r="J3474" s="2">
        <v>1453</v>
      </c>
      <c r="K3474" s="2">
        <v>1411</v>
      </c>
      <c r="L3474" s="2">
        <v>2</v>
      </c>
      <c r="M3474" s="7">
        <f t="shared" si="216"/>
        <v>2822</v>
      </c>
      <c r="N3474" s="7">
        <f t="shared" si="217"/>
        <v>2906</v>
      </c>
      <c r="O3474" s="2">
        <v>89</v>
      </c>
      <c r="P3474" s="8">
        <f t="shared" si="218"/>
        <v>2995</v>
      </c>
      <c r="Q3474" s="8">
        <f t="shared" si="219"/>
        <v>2817</v>
      </c>
      <c r="R3474" s="2" t="s">
        <v>28</v>
      </c>
      <c r="S3474" s="9">
        <f>VLOOKUP(P3474,$T$2:U3471,2,1)</f>
        <v>0.02</v>
      </c>
    </row>
    <row r="3475" spans="1:19" x14ac:dyDescent="0.25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e">
        <f>VLOOKUP(F3475,'Customer Info'!A3467:I3966,2,0)</f>
        <v>#N/A</v>
      </c>
      <c r="H3475" s="6" t="e">
        <f>VLOOKUP(F3475,'Customer Info'!A3467:I3966,3,0)</f>
        <v>#N/A</v>
      </c>
      <c r="I3475" s="6" t="e">
        <f>VLOOKUP(F3475,'Customer Info'!A3467:I3966,5,0)</f>
        <v>#N/A</v>
      </c>
      <c r="J3475" s="2">
        <v>61</v>
      </c>
      <c r="K3475" s="2">
        <v>56</v>
      </c>
      <c r="L3475" s="2">
        <v>1</v>
      </c>
      <c r="M3475" s="7">
        <f t="shared" si="216"/>
        <v>56</v>
      </c>
      <c r="N3475" s="7">
        <f t="shared" si="217"/>
        <v>61</v>
      </c>
      <c r="O3475" s="2">
        <v>10</v>
      </c>
      <c r="P3475" s="8">
        <f t="shared" si="218"/>
        <v>71</v>
      </c>
      <c r="Q3475" s="8">
        <f t="shared" si="219"/>
        <v>51</v>
      </c>
      <c r="R3475" s="2" t="s">
        <v>50</v>
      </c>
      <c r="S3475" s="9">
        <f>VLOOKUP(P3475,$T$2:U3472,2,1)</f>
        <v>0.02</v>
      </c>
    </row>
    <row r="3476" spans="1:19" x14ac:dyDescent="0.25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e">
        <f>VLOOKUP(F3476,'Customer Info'!A3468:I3967,2,0)</f>
        <v>#N/A</v>
      </c>
      <c r="H3476" s="6" t="e">
        <f>VLOOKUP(F3476,'Customer Info'!A3468:I3967,3,0)</f>
        <v>#N/A</v>
      </c>
      <c r="I3476" s="6" t="e">
        <f>VLOOKUP(F3476,'Customer Info'!A3468:I3967,5,0)</f>
        <v>#N/A</v>
      </c>
      <c r="J3476" s="2">
        <v>169</v>
      </c>
      <c r="K3476" s="2">
        <v>154</v>
      </c>
      <c r="L3476" s="2">
        <v>1</v>
      </c>
      <c r="M3476" s="7">
        <f t="shared" si="216"/>
        <v>154</v>
      </c>
      <c r="N3476" s="7">
        <f t="shared" si="217"/>
        <v>169</v>
      </c>
      <c r="O3476" s="2">
        <v>30</v>
      </c>
      <c r="P3476" s="8">
        <f t="shared" si="218"/>
        <v>199</v>
      </c>
      <c r="Q3476" s="8">
        <f t="shared" si="219"/>
        <v>139</v>
      </c>
      <c r="R3476" s="2" t="s">
        <v>28</v>
      </c>
      <c r="S3476" s="9">
        <f>VLOOKUP(P3476,$T$2:U3473,2,1)</f>
        <v>0.02</v>
      </c>
    </row>
    <row r="3477" spans="1:19" x14ac:dyDescent="0.25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e">
        <f>VLOOKUP(F3477,'Customer Info'!A3469:I3968,2,0)</f>
        <v>#N/A</v>
      </c>
      <c r="H3477" s="6" t="e">
        <f>VLOOKUP(F3477,'Customer Info'!A3469:I3968,3,0)</f>
        <v>#N/A</v>
      </c>
      <c r="I3477" s="6" t="e">
        <f>VLOOKUP(F3477,'Customer Info'!A3469:I3968,5,0)</f>
        <v>#N/A</v>
      </c>
      <c r="J3477" s="2">
        <v>2526</v>
      </c>
      <c r="K3477" s="2">
        <v>2408</v>
      </c>
      <c r="L3477" s="2">
        <v>6</v>
      </c>
      <c r="M3477" s="7">
        <f t="shared" si="216"/>
        <v>14448</v>
      </c>
      <c r="N3477" s="7">
        <f t="shared" si="217"/>
        <v>15156</v>
      </c>
      <c r="O3477" s="2">
        <v>24</v>
      </c>
      <c r="P3477" s="8">
        <f t="shared" si="218"/>
        <v>15180</v>
      </c>
      <c r="Q3477" s="8">
        <f t="shared" si="219"/>
        <v>15132</v>
      </c>
      <c r="R3477" s="2" t="s">
        <v>28</v>
      </c>
      <c r="S3477" s="9">
        <f>VLOOKUP(P3477,$T$2:U3474,2,1)</f>
        <v>0.05</v>
      </c>
    </row>
    <row r="3478" spans="1:19" x14ac:dyDescent="0.25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e">
        <f>VLOOKUP(F3478,'Customer Info'!A3470:I3969,2,0)</f>
        <v>#N/A</v>
      </c>
      <c r="H3478" s="6" t="e">
        <f>VLOOKUP(F3478,'Customer Info'!A3470:I3969,3,0)</f>
        <v>#N/A</v>
      </c>
      <c r="I3478" s="6" t="e">
        <f>VLOOKUP(F3478,'Customer Info'!A3470:I3969,5,0)</f>
        <v>#N/A</v>
      </c>
      <c r="J3478" s="2">
        <v>474</v>
      </c>
      <c r="K3478" s="2">
        <v>443</v>
      </c>
      <c r="L3478" s="2">
        <v>2</v>
      </c>
      <c r="M3478" s="7">
        <f t="shared" si="216"/>
        <v>886</v>
      </c>
      <c r="N3478" s="7">
        <f t="shared" si="217"/>
        <v>948</v>
      </c>
      <c r="O3478" s="2">
        <v>38</v>
      </c>
      <c r="P3478" s="8">
        <f t="shared" si="218"/>
        <v>986</v>
      </c>
      <c r="Q3478" s="8">
        <f t="shared" si="219"/>
        <v>910</v>
      </c>
      <c r="R3478" s="2" t="s">
        <v>28</v>
      </c>
      <c r="S3478" s="9">
        <f>VLOOKUP(P3478,$T$2:U3475,2,1)</f>
        <v>0.02</v>
      </c>
    </row>
    <row r="3479" spans="1:19" x14ac:dyDescent="0.25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e">
        <f>VLOOKUP(F3479,'Customer Info'!A3471:I3970,2,0)</f>
        <v>#N/A</v>
      </c>
      <c r="H3479" s="6" t="e">
        <f>VLOOKUP(F3479,'Customer Info'!A3471:I3970,3,0)</f>
        <v>#N/A</v>
      </c>
      <c r="I3479" s="6" t="e">
        <f>VLOOKUP(F3479,'Customer Info'!A3471:I3970,5,0)</f>
        <v>#N/A</v>
      </c>
      <c r="J3479" s="2">
        <v>1605</v>
      </c>
      <c r="K3479" s="2">
        <v>1487</v>
      </c>
      <c r="L3479" s="2">
        <v>2</v>
      </c>
      <c r="M3479" s="7">
        <f t="shared" si="216"/>
        <v>2974</v>
      </c>
      <c r="N3479" s="7">
        <f t="shared" si="217"/>
        <v>3210</v>
      </c>
      <c r="O3479" s="2">
        <v>68</v>
      </c>
      <c r="P3479" s="8">
        <f t="shared" si="218"/>
        <v>3278</v>
      </c>
      <c r="Q3479" s="8">
        <f t="shared" si="219"/>
        <v>3142</v>
      </c>
      <c r="R3479" s="2" t="s">
        <v>28</v>
      </c>
      <c r="S3479" s="9">
        <f>VLOOKUP(P3479,$T$2:U3476,2,1)</f>
        <v>0.02</v>
      </c>
    </row>
    <row r="3480" spans="1:19" x14ac:dyDescent="0.25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e">
        <f>VLOOKUP(F3480,'Customer Info'!A3472:I3971,2,0)</f>
        <v>#N/A</v>
      </c>
      <c r="H3480" s="6" t="e">
        <f>VLOOKUP(F3480,'Customer Info'!A3472:I3971,3,0)</f>
        <v>#N/A</v>
      </c>
      <c r="I3480" s="6" t="e">
        <f>VLOOKUP(F3480,'Customer Info'!A3472:I3971,5,0)</f>
        <v>#N/A</v>
      </c>
      <c r="J3480" s="2">
        <v>1071</v>
      </c>
      <c r="K3480" s="2">
        <v>1010</v>
      </c>
      <c r="L3480" s="2">
        <v>2</v>
      </c>
      <c r="M3480" s="7">
        <f t="shared" si="216"/>
        <v>2020</v>
      </c>
      <c r="N3480" s="7">
        <f t="shared" si="217"/>
        <v>2142</v>
      </c>
      <c r="O3480" s="2">
        <v>56</v>
      </c>
      <c r="P3480" s="8">
        <f t="shared" si="218"/>
        <v>2198</v>
      </c>
      <c r="Q3480" s="8">
        <f t="shared" si="219"/>
        <v>2086</v>
      </c>
      <c r="R3480" s="2" t="s">
        <v>50</v>
      </c>
      <c r="S3480" s="9">
        <f>VLOOKUP(P3480,$T$2:U3477,2,1)</f>
        <v>0.02</v>
      </c>
    </row>
    <row r="3481" spans="1:19" x14ac:dyDescent="0.25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e">
        <f>VLOOKUP(F3481,'Customer Info'!A3473:I3972,2,0)</f>
        <v>#N/A</v>
      </c>
      <c r="H3481" s="6" t="e">
        <f>VLOOKUP(F3481,'Customer Info'!A3473:I3972,3,0)</f>
        <v>#N/A</v>
      </c>
      <c r="I3481" s="6" t="e">
        <f>VLOOKUP(F3481,'Customer Info'!A3473:I3972,5,0)</f>
        <v>#N/A</v>
      </c>
      <c r="J3481" s="2">
        <v>1997</v>
      </c>
      <c r="K3481" s="2">
        <v>1816</v>
      </c>
      <c r="L3481" s="2">
        <v>2</v>
      </c>
      <c r="M3481" s="7">
        <f t="shared" si="216"/>
        <v>3632</v>
      </c>
      <c r="N3481" s="7">
        <f t="shared" si="217"/>
        <v>3994</v>
      </c>
      <c r="O3481" s="2">
        <v>93</v>
      </c>
      <c r="P3481" s="8">
        <f t="shared" si="218"/>
        <v>4087</v>
      </c>
      <c r="Q3481" s="8">
        <f t="shared" si="219"/>
        <v>3901</v>
      </c>
      <c r="R3481" s="2" t="s">
        <v>50</v>
      </c>
      <c r="S3481" s="9">
        <f>VLOOKUP(P3481,$T$2:U3478,2,1)</f>
        <v>0.02</v>
      </c>
    </row>
    <row r="3482" spans="1:19" x14ac:dyDescent="0.25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e">
        <f>VLOOKUP(F3482,'Customer Info'!A3474:I3973,2,0)</f>
        <v>#N/A</v>
      </c>
      <c r="H3482" s="6" t="e">
        <f>VLOOKUP(F3482,'Customer Info'!A3474:I3973,3,0)</f>
        <v>#N/A</v>
      </c>
      <c r="I3482" s="6" t="e">
        <f>VLOOKUP(F3482,'Customer Info'!A3474:I3973,5,0)</f>
        <v>#N/A</v>
      </c>
      <c r="J3482" s="2">
        <v>474</v>
      </c>
      <c r="K3482" s="2">
        <v>443</v>
      </c>
      <c r="L3482" s="2">
        <v>1</v>
      </c>
      <c r="M3482" s="7">
        <f t="shared" si="216"/>
        <v>443</v>
      </c>
      <c r="N3482" s="7">
        <f t="shared" si="217"/>
        <v>474</v>
      </c>
      <c r="O3482" s="2">
        <v>37</v>
      </c>
      <c r="P3482" s="8">
        <f t="shared" si="218"/>
        <v>511</v>
      </c>
      <c r="Q3482" s="8">
        <f t="shared" si="219"/>
        <v>437</v>
      </c>
      <c r="R3482" s="2" t="s">
        <v>28</v>
      </c>
      <c r="S3482" s="9">
        <f>VLOOKUP(P3482,$T$2:U3479,2,1)</f>
        <v>0.02</v>
      </c>
    </row>
    <row r="3483" spans="1:19" x14ac:dyDescent="0.25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e">
        <f>VLOOKUP(F3483,'Customer Info'!A3475:I3974,2,0)</f>
        <v>#N/A</v>
      </c>
      <c r="H3483" s="6" t="e">
        <f>VLOOKUP(F3483,'Customer Info'!A3475:I3974,3,0)</f>
        <v>#N/A</v>
      </c>
      <c r="I3483" s="6" t="e">
        <f>VLOOKUP(F3483,'Customer Info'!A3475:I3974,5,0)</f>
        <v>#N/A</v>
      </c>
      <c r="J3483" s="2">
        <v>526</v>
      </c>
      <c r="K3483" s="2">
        <v>487</v>
      </c>
      <c r="L3483" s="2">
        <v>2</v>
      </c>
      <c r="M3483" s="7">
        <f t="shared" si="216"/>
        <v>974</v>
      </c>
      <c r="N3483" s="7">
        <f t="shared" si="217"/>
        <v>1052</v>
      </c>
      <c r="O3483" s="2">
        <v>60</v>
      </c>
      <c r="P3483" s="8">
        <f t="shared" si="218"/>
        <v>1112</v>
      </c>
      <c r="Q3483" s="8">
        <f t="shared" si="219"/>
        <v>992</v>
      </c>
      <c r="R3483" s="2" t="s">
        <v>50</v>
      </c>
      <c r="S3483" s="9">
        <f>VLOOKUP(P3483,$T$2:U3480,2,1)</f>
        <v>0.02</v>
      </c>
    </row>
    <row r="3484" spans="1:19" x14ac:dyDescent="0.25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e">
        <f>VLOOKUP(F3484,'Customer Info'!A3476:I3975,2,0)</f>
        <v>#N/A</v>
      </c>
      <c r="H3484" s="6" t="e">
        <f>VLOOKUP(F3484,'Customer Info'!A3476:I3975,3,0)</f>
        <v>#N/A</v>
      </c>
      <c r="I3484" s="6" t="e">
        <f>VLOOKUP(F3484,'Customer Info'!A3476:I3975,5,0)</f>
        <v>#N/A</v>
      </c>
      <c r="J3484" s="2">
        <v>681</v>
      </c>
      <c r="K3484" s="2">
        <v>642</v>
      </c>
      <c r="L3484" s="2">
        <v>7</v>
      </c>
      <c r="M3484" s="7">
        <f t="shared" si="216"/>
        <v>4494</v>
      </c>
      <c r="N3484" s="7">
        <f t="shared" si="217"/>
        <v>4767</v>
      </c>
      <c r="O3484" s="2">
        <v>43</v>
      </c>
      <c r="P3484" s="8">
        <f t="shared" si="218"/>
        <v>4810</v>
      </c>
      <c r="Q3484" s="8">
        <f t="shared" si="219"/>
        <v>4724</v>
      </c>
      <c r="R3484" s="2" t="s">
        <v>28</v>
      </c>
      <c r="S3484" s="9">
        <f>VLOOKUP(P3484,$T$2:U3481,2,1)</f>
        <v>0.02</v>
      </c>
    </row>
    <row r="3485" spans="1:19" x14ac:dyDescent="0.25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e">
        <f>VLOOKUP(F3485,'Customer Info'!A3477:I3976,2,0)</f>
        <v>#N/A</v>
      </c>
      <c r="H3485" s="6" t="e">
        <f>VLOOKUP(F3485,'Customer Info'!A3477:I3976,3,0)</f>
        <v>#N/A</v>
      </c>
      <c r="I3485" s="6" t="e">
        <f>VLOOKUP(F3485,'Customer Info'!A3477:I3976,5,0)</f>
        <v>#N/A</v>
      </c>
      <c r="J3485" s="2">
        <v>393</v>
      </c>
      <c r="K3485" s="2">
        <v>374</v>
      </c>
      <c r="L3485" s="2">
        <v>10</v>
      </c>
      <c r="M3485" s="7">
        <f t="shared" si="216"/>
        <v>3740</v>
      </c>
      <c r="N3485" s="7">
        <f t="shared" si="217"/>
        <v>3930</v>
      </c>
      <c r="O3485" s="2">
        <v>100</v>
      </c>
      <c r="P3485" s="8">
        <f t="shared" si="218"/>
        <v>4030</v>
      </c>
      <c r="Q3485" s="8">
        <f t="shared" si="219"/>
        <v>3830</v>
      </c>
      <c r="R3485" s="2" t="s">
        <v>50</v>
      </c>
      <c r="S3485" s="9">
        <f>VLOOKUP(P3485,$T$2:U3482,2,1)</f>
        <v>0.02</v>
      </c>
    </row>
    <row r="3486" spans="1:19" x14ac:dyDescent="0.25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e">
        <f>VLOOKUP(F3486,'Customer Info'!A3478:I3977,2,0)</f>
        <v>#N/A</v>
      </c>
      <c r="H3486" s="6" t="e">
        <f>VLOOKUP(F3486,'Customer Info'!A3478:I3977,3,0)</f>
        <v>#N/A</v>
      </c>
      <c r="I3486" s="6" t="e">
        <f>VLOOKUP(F3486,'Customer Info'!A3478:I3977,5,0)</f>
        <v>#N/A</v>
      </c>
      <c r="J3486" s="2">
        <v>128</v>
      </c>
      <c r="K3486" s="2">
        <v>115</v>
      </c>
      <c r="L3486" s="2">
        <v>6</v>
      </c>
      <c r="M3486" s="7">
        <f t="shared" si="216"/>
        <v>690</v>
      </c>
      <c r="N3486" s="7">
        <f t="shared" si="217"/>
        <v>768</v>
      </c>
      <c r="O3486" s="2">
        <v>30</v>
      </c>
      <c r="P3486" s="8">
        <f t="shared" si="218"/>
        <v>798</v>
      </c>
      <c r="Q3486" s="8">
        <f t="shared" si="219"/>
        <v>738</v>
      </c>
      <c r="R3486" s="2" t="s">
        <v>50</v>
      </c>
      <c r="S3486" s="9">
        <f>VLOOKUP(P3486,$T$2:U3483,2,1)</f>
        <v>0.02</v>
      </c>
    </row>
    <row r="3487" spans="1:19" x14ac:dyDescent="0.25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e">
        <f>VLOOKUP(F3487,'Customer Info'!A3479:I3978,2,0)</f>
        <v>#N/A</v>
      </c>
      <c r="H3487" s="6" t="e">
        <f>VLOOKUP(F3487,'Customer Info'!A3479:I3978,3,0)</f>
        <v>#N/A</v>
      </c>
      <c r="I3487" s="6" t="e">
        <f>VLOOKUP(F3487,'Customer Info'!A3479:I3978,5,0)</f>
        <v>#N/A</v>
      </c>
      <c r="J3487" s="2">
        <v>1518</v>
      </c>
      <c r="K3487" s="2">
        <v>1392</v>
      </c>
      <c r="L3487" s="2">
        <v>3</v>
      </c>
      <c r="M3487" s="7">
        <f t="shared" si="216"/>
        <v>4176</v>
      </c>
      <c r="N3487" s="7">
        <f t="shared" si="217"/>
        <v>4554</v>
      </c>
      <c r="O3487" s="2">
        <v>35</v>
      </c>
      <c r="P3487" s="8">
        <f t="shared" si="218"/>
        <v>4589</v>
      </c>
      <c r="Q3487" s="8">
        <f t="shared" si="219"/>
        <v>4519</v>
      </c>
      <c r="R3487" s="2" t="s">
        <v>26</v>
      </c>
      <c r="S3487" s="9">
        <f>VLOOKUP(P3487,$T$2:U3484,2,1)</f>
        <v>0.02</v>
      </c>
    </row>
    <row r="3488" spans="1:19" x14ac:dyDescent="0.25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e">
        <f>VLOOKUP(F3488,'Customer Info'!A3480:I3979,2,0)</f>
        <v>#N/A</v>
      </c>
      <c r="H3488" s="6" t="e">
        <f>VLOOKUP(F3488,'Customer Info'!A3480:I3979,3,0)</f>
        <v>#N/A</v>
      </c>
      <c r="I3488" s="6" t="e">
        <f>VLOOKUP(F3488,'Customer Info'!A3480:I3979,5,0)</f>
        <v>#N/A</v>
      </c>
      <c r="J3488" s="2">
        <v>9306</v>
      </c>
      <c r="K3488" s="2">
        <v>8461</v>
      </c>
      <c r="L3488" s="2">
        <v>6</v>
      </c>
      <c r="M3488" s="7">
        <f t="shared" si="216"/>
        <v>50766</v>
      </c>
      <c r="N3488" s="7">
        <f t="shared" si="217"/>
        <v>55836</v>
      </c>
      <c r="O3488" s="2">
        <v>70</v>
      </c>
      <c r="P3488" s="8">
        <f t="shared" si="218"/>
        <v>55906</v>
      </c>
      <c r="Q3488" s="8">
        <f t="shared" si="219"/>
        <v>55766</v>
      </c>
      <c r="R3488" s="2" t="s">
        <v>28</v>
      </c>
      <c r="S3488" s="9">
        <f>VLOOKUP(P3488,$T$2:U3485,2,1)</f>
        <v>0.09</v>
      </c>
    </row>
    <row r="3489" spans="1:19" x14ac:dyDescent="0.25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e">
        <f>VLOOKUP(F3489,'Customer Info'!A3481:I3980,2,0)</f>
        <v>#N/A</v>
      </c>
      <c r="H3489" s="6" t="e">
        <f>VLOOKUP(F3489,'Customer Info'!A3481:I3980,3,0)</f>
        <v>#N/A</v>
      </c>
      <c r="I3489" s="6" t="e">
        <f>VLOOKUP(F3489,'Customer Info'!A3481:I3980,5,0)</f>
        <v>#N/A</v>
      </c>
      <c r="J3489" s="2">
        <v>765</v>
      </c>
      <c r="K3489" s="2">
        <v>701</v>
      </c>
      <c r="L3489" s="2">
        <v>1</v>
      </c>
      <c r="M3489" s="7">
        <f t="shared" si="216"/>
        <v>701</v>
      </c>
      <c r="N3489" s="7">
        <f t="shared" si="217"/>
        <v>765</v>
      </c>
      <c r="O3489" s="2">
        <v>85</v>
      </c>
      <c r="P3489" s="8">
        <f t="shared" si="218"/>
        <v>850</v>
      </c>
      <c r="Q3489" s="8">
        <f t="shared" si="219"/>
        <v>680</v>
      </c>
      <c r="R3489" s="2" t="s">
        <v>50</v>
      </c>
      <c r="S3489" s="9">
        <f>VLOOKUP(P3489,$T$2:U3486,2,1)</f>
        <v>0.02</v>
      </c>
    </row>
    <row r="3490" spans="1:19" x14ac:dyDescent="0.25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e">
        <f>VLOOKUP(F3490,'Customer Info'!A3482:I3981,2,0)</f>
        <v>#N/A</v>
      </c>
      <c r="H3490" s="6" t="e">
        <f>VLOOKUP(F3490,'Customer Info'!A3482:I3981,3,0)</f>
        <v>#N/A</v>
      </c>
      <c r="I3490" s="6" t="e">
        <f>VLOOKUP(F3490,'Customer Info'!A3482:I3981,5,0)</f>
        <v>#N/A</v>
      </c>
      <c r="J3490" s="2">
        <v>2017</v>
      </c>
      <c r="K3490" s="2">
        <v>1834</v>
      </c>
      <c r="L3490" s="2">
        <v>2</v>
      </c>
      <c r="M3490" s="7">
        <f t="shared" si="216"/>
        <v>3668</v>
      </c>
      <c r="N3490" s="7">
        <f t="shared" si="217"/>
        <v>4034</v>
      </c>
      <c r="O3490" s="2">
        <v>53</v>
      </c>
      <c r="P3490" s="8">
        <f t="shared" si="218"/>
        <v>4087</v>
      </c>
      <c r="Q3490" s="8">
        <f t="shared" si="219"/>
        <v>3981</v>
      </c>
      <c r="R3490" s="2" t="s">
        <v>28</v>
      </c>
      <c r="S3490" s="9">
        <f>VLOOKUP(P3490,$T$2:U3487,2,1)</f>
        <v>0.02</v>
      </c>
    </row>
    <row r="3491" spans="1:19" x14ac:dyDescent="0.25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e">
        <f>VLOOKUP(F3491,'Customer Info'!A3483:I3982,2,0)</f>
        <v>#N/A</v>
      </c>
      <c r="H3491" s="6" t="e">
        <f>VLOOKUP(F3491,'Customer Info'!A3483:I3982,3,0)</f>
        <v>#N/A</v>
      </c>
      <c r="I3491" s="6" t="e">
        <f>VLOOKUP(F3491,'Customer Info'!A3483:I3982,5,0)</f>
        <v>#N/A</v>
      </c>
      <c r="J3491" s="2">
        <v>1615</v>
      </c>
      <c r="K3491" s="2">
        <v>1525</v>
      </c>
      <c r="L3491" s="2">
        <v>2</v>
      </c>
      <c r="M3491" s="7">
        <f t="shared" si="216"/>
        <v>3050</v>
      </c>
      <c r="N3491" s="7">
        <f t="shared" si="217"/>
        <v>3230</v>
      </c>
      <c r="O3491" s="2">
        <v>41</v>
      </c>
      <c r="P3491" s="8">
        <f t="shared" si="218"/>
        <v>3271</v>
      </c>
      <c r="Q3491" s="8">
        <f t="shared" si="219"/>
        <v>3189</v>
      </c>
      <c r="R3491" s="2" t="s">
        <v>26</v>
      </c>
      <c r="S3491" s="9">
        <f>VLOOKUP(P3491,$T$2:U3488,2,1)</f>
        <v>0.02</v>
      </c>
    </row>
    <row r="3492" spans="1:19" x14ac:dyDescent="0.25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e">
        <f>VLOOKUP(F3492,'Customer Info'!A3484:I3983,2,0)</f>
        <v>#N/A</v>
      </c>
      <c r="H3492" s="6" t="e">
        <f>VLOOKUP(F3492,'Customer Info'!A3484:I3983,3,0)</f>
        <v>#N/A</v>
      </c>
      <c r="I3492" s="6" t="e">
        <f>VLOOKUP(F3492,'Customer Info'!A3484:I3983,5,0)</f>
        <v>#N/A</v>
      </c>
      <c r="J3492" s="2">
        <v>1332</v>
      </c>
      <c r="K3492" s="2">
        <v>1209</v>
      </c>
      <c r="L3492" s="2">
        <v>8</v>
      </c>
      <c r="M3492" s="7">
        <f t="shared" si="216"/>
        <v>9672</v>
      </c>
      <c r="N3492" s="7">
        <f t="shared" si="217"/>
        <v>10656</v>
      </c>
      <c r="O3492" s="2">
        <v>53</v>
      </c>
      <c r="P3492" s="8">
        <f t="shared" si="218"/>
        <v>10709</v>
      </c>
      <c r="Q3492" s="8">
        <f t="shared" si="219"/>
        <v>10603</v>
      </c>
      <c r="R3492" s="2" t="s">
        <v>50</v>
      </c>
      <c r="S3492" s="9">
        <f>VLOOKUP(P3492,$T$2:U3489,2,1)</f>
        <v>0.05</v>
      </c>
    </row>
    <row r="3493" spans="1:19" x14ac:dyDescent="0.25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e">
        <f>VLOOKUP(F3493,'Customer Info'!A3485:I3984,2,0)</f>
        <v>#N/A</v>
      </c>
      <c r="H3493" s="6" t="e">
        <f>VLOOKUP(F3493,'Customer Info'!A3485:I3984,3,0)</f>
        <v>#N/A</v>
      </c>
      <c r="I3493" s="6" t="e">
        <f>VLOOKUP(F3493,'Customer Info'!A3485:I3984,5,0)</f>
        <v>#N/A</v>
      </c>
      <c r="J3493" s="2">
        <v>3176</v>
      </c>
      <c r="K3493" s="2">
        <v>3116</v>
      </c>
      <c r="L3493" s="2">
        <v>11</v>
      </c>
      <c r="M3493" s="7">
        <f t="shared" si="216"/>
        <v>34276</v>
      </c>
      <c r="N3493" s="7">
        <f t="shared" si="217"/>
        <v>34936</v>
      </c>
      <c r="O3493" s="2">
        <v>31</v>
      </c>
      <c r="P3493" s="8">
        <f t="shared" si="218"/>
        <v>34967</v>
      </c>
      <c r="Q3493" s="8">
        <f t="shared" si="219"/>
        <v>34905</v>
      </c>
      <c r="R3493" s="2" t="s">
        <v>50</v>
      </c>
      <c r="S3493" s="9">
        <f>VLOOKUP(P3493,$T$2:U3490,2,1)</f>
        <v>7.0000000000000007E-2</v>
      </c>
    </row>
    <row r="3494" spans="1:19" x14ac:dyDescent="0.25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e">
        <f>VLOOKUP(F3494,'Customer Info'!A3486:I3985,2,0)</f>
        <v>#N/A</v>
      </c>
      <c r="H3494" s="6" t="e">
        <f>VLOOKUP(F3494,'Customer Info'!A3486:I3985,3,0)</f>
        <v>#N/A</v>
      </c>
      <c r="I3494" s="6" t="e">
        <f>VLOOKUP(F3494,'Customer Info'!A3486:I3985,5,0)</f>
        <v>#N/A</v>
      </c>
      <c r="J3494" s="2">
        <v>3145</v>
      </c>
      <c r="K3494" s="2">
        <v>3025</v>
      </c>
      <c r="L3494" s="2">
        <v>3</v>
      </c>
      <c r="M3494" s="7">
        <f t="shared" si="216"/>
        <v>9075</v>
      </c>
      <c r="N3494" s="7">
        <f t="shared" si="217"/>
        <v>9435</v>
      </c>
      <c r="O3494" s="2">
        <v>97</v>
      </c>
      <c r="P3494" s="8">
        <f t="shared" si="218"/>
        <v>9532</v>
      </c>
      <c r="Q3494" s="8">
        <f t="shared" si="219"/>
        <v>9338</v>
      </c>
      <c r="R3494" s="2" t="s">
        <v>28</v>
      </c>
      <c r="S3494" s="9">
        <f>VLOOKUP(P3494,$T$2:U3491,2,1)</f>
        <v>0.05</v>
      </c>
    </row>
    <row r="3495" spans="1:19" x14ac:dyDescent="0.25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e">
        <f>VLOOKUP(F3495,'Customer Info'!A3487:I3986,2,0)</f>
        <v>#N/A</v>
      </c>
      <c r="H3495" s="6" t="e">
        <f>VLOOKUP(F3495,'Customer Info'!A3487:I3986,3,0)</f>
        <v>#N/A</v>
      </c>
      <c r="I3495" s="6" t="e">
        <f>VLOOKUP(F3495,'Customer Info'!A3487:I3986,5,0)</f>
        <v>#N/A</v>
      </c>
      <c r="J3495" s="2">
        <v>1845</v>
      </c>
      <c r="K3495" s="2">
        <v>1742</v>
      </c>
      <c r="L3495" s="2">
        <v>2</v>
      </c>
      <c r="M3495" s="7">
        <f t="shared" si="216"/>
        <v>3484</v>
      </c>
      <c r="N3495" s="7">
        <f t="shared" si="217"/>
        <v>3690</v>
      </c>
      <c r="O3495" s="2">
        <v>39</v>
      </c>
      <c r="P3495" s="8">
        <f t="shared" si="218"/>
        <v>3729</v>
      </c>
      <c r="Q3495" s="8">
        <f t="shared" si="219"/>
        <v>3651</v>
      </c>
      <c r="R3495" s="2" t="s">
        <v>28</v>
      </c>
      <c r="S3495" s="9">
        <f>VLOOKUP(P3495,$T$2:U3492,2,1)</f>
        <v>0.02</v>
      </c>
    </row>
    <row r="3496" spans="1:19" x14ac:dyDescent="0.25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e">
        <f>VLOOKUP(F3496,'Customer Info'!A3488:I3987,2,0)</f>
        <v>#N/A</v>
      </c>
      <c r="H3496" s="6" t="e">
        <f>VLOOKUP(F3496,'Customer Info'!A3488:I3987,3,0)</f>
        <v>#N/A</v>
      </c>
      <c r="I3496" s="6" t="e">
        <f>VLOOKUP(F3496,'Customer Info'!A3488:I3987,5,0)</f>
        <v>#N/A</v>
      </c>
      <c r="J3496" s="2">
        <v>2681</v>
      </c>
      <c r="K3496" s="2">
        <v>2458</v>
      </c>
      <c r="L3496" s="2">
        <v>9</v>
      </c>
      <c r="M3496" s="7">
        <f t="shared" si="216"/>
        <v>22122</v>
      </c>
      <c r="N3496" s="7">
        <f t="shared" si="217"/>
        <v>24129</v>
      </c>
      <c r="O3496" s="2">
        <v>85</v>
      </c>
      <c r="P3496" s="8">
        <f t="shared" si="218"/>
        <v>24214</v>
      </c>
      <c r="Q3496" s="8">
        <f t="shared" si="219"/>
        <v>24044</v>
      </c>
      <c r="R3496" s="2" t="s">
        <v>28</v>
      </c>
      <c r="S3496" s="9">
        <f>VLOOKUP(P3496,$T$2:U3493,2,1)</f>
        <v>0.05</v>
      </c>
    </row>
    <row r="3497" spans="1:19" x14ac:dyDescent="0.25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e">
        <f>VLOOKUP(F3497,'Customer Info'!A3489:I3988,2,0)</f>
        <v>#N/A</v>
      </c>
      <c r="H3497" s="6" t="e">
        <f>VLOOKUP(F3497,'Customer Info'!A3489:I3988,3,0)</f>
        <v>#N/A</v>
      </c>
      <c r="I3497" s="6" t="e">
        <f>VLOOKUP(F3497,'Customer Info'!A3489:I3988,5,0)</f>
        <v>#N/A</v>
      </c>
      <c r="J3497" s="2">
        <v>2250</v>
      </c>
      <c r="K3497" s="2">
        <v>2207</v>
      </c>
      <c r="L3497" s="2">
        <v>4</v>
      </c>
      <c r="M3497" s="7">
        <f t="shared" si="216"/>
        <v>8828</v>
      </c>
      <c r="N3497" s="7">
        <f t="shared" si="217"/>
        <v>9000</v>
      </c>
      <c r="O3497" s="2">
        <v>62</v>
      </c>
      <c r="P3497" s="8">
        <f t="shared" si="218"/>
        <v>9062</v>
      </c>
      <c r="Q3497" s="8">
        <f t="shared" si="219"/>
        <v>8938</v>
      </c>
      <c r="R3497" s="2" t="s">
        <v>28</v>
      </c>
      <c r="S3497" s="9">
        <f>VLOOKUP(P3497,$T$2:U3494,2,1)</f>
        <v>0.05</v>
      </c>
    </row>
    <row r="3498" spans="1:19" x14ac:dyDescent="0.25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e">
        <f>VLOOKUP(F3498,'Customer Info'!A3490:I3989,2,0)</f>
        <v>#N/A</v>
      </c>
      <c r="H3498" s="6" t="e">
        <f>VLOOKUP(F3498,'Customer Info'!A3490:I3989,3,0)</f>
        <v>#N/A</v>
      </c>
      <c r="I3498" s="6" t="e">
        <f>VLOOKUP(F3498,'Customer Info'!A3490:I3989,5,0)</f>
        <v>#N/A</v>
      </c>
      <c r="J3498" s="2">
        <v>8878</v>
      </c>
      <c r="K3498" s="2">
        <v>7914</v>
      </c>
      <c r="L3498" s="2">
        <v>2</v>
      </c>
      <c r="M3498" s="7">
        <f t="shared" si="216"/>
        <v>15828</v>
      </c>
      <c r="N3498" s="7">
        <f t="shared" si="217"/>
        <v>17756</v>
      </c>
      <c r="O3498" s="2">
        <v>21</v>
      </c>
      <c r="P3498" s="8">
        <f t="shared" si="218"/>
        <v>17777</v>
      </c>
      <c r="Q3498" s="8">
        <f t="shared" si="219"/>
        <v>17735</v>
      </c>
      <c r="R3498" s="2" t="s">
        <v>50</v>
      </c>
      <c r="S3498" s="9">
        <f>VLOOKUP(P3498,$T$2:U3495,2,1)</f>
        <v>0.05</v>
      </c>
    </row>
    <row r="3499" spans="1:19" x14ac:dyDescent="0.25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e">
        <f>VLOOKUP(F3499,'Customer Info'!A3491:I3990,2,0)</f>
        <v>#N/A</v>
      </c>
      <c r="H3499" s="6" t="e">
        <f>VLOOKUP(F3499,'Customer Info'!A3491:I3990,3,0)</f>
        <v>#N/A</v>
      </c>
      <c r="I3499" s="6" t="e">
        <f>VLOOKUP(F3499,'Customer Info'!A3491:I3990,5,0)</f>
        <v>#N/A</v>
      </c>
      <c r="J3499" s="2">
        <v>2342</v>
      </c>
      <c r="K3499" s="2">
        <v>2210</v>
      </c>
      <c r="L3499" s="2">
        <v>3</v>
      </c>
      <c r="M3499" s="7">
        <f t="shared" si="216"/>
        <v>6630</v>
      </c>
      <c r="N3499" s="7">
        <f t="shared" si="217"/>
        <v>7026</v>
      </c>
      <c r="O3499" s="2">
        <v>76</v>
      </c>
      <c r="P3499" s="8">
        <f t="shared" si="218"/>
        <v>7102</v>
      </c>
      <c r="Q3499" s="8">
        <f t="shared" si="219"/>
        <v>6950</v>
      </c>
      <c r="R3499" s="2" t="s">
        <v>28</v>
      </c>
      <c r="S3499" s="9">
        <f>VLOOKUP(P3499,$T$2:U3496,2,1)</f>
        <v>0.05</v>
      </c>
    </row>
    <row r="3500" spans="1:19" x14ac:dyDescent="0.25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e">
        <f>VLOOKUP(F3500,'Customer Info'!A3492:I3991,2,0)</f>
        <v>#N/A</v>
      </c>
      <c r="H3500" s="6" t="e">
        <f>VLOOKUP(F3500,'Customer Info'!A3492:I3991,3,0)</f>
        <v>#N/A</v>
      </c>
      <c r="I3500" s="6" t="e">
        <f>VLOOKUP(F3500,'Customer Info'!A3492:I3991,5,0)</f>
        <v>#N/A</v>
      </c>
      <c r="J3500" s="2">
        <v>63</v>
      </c>
      <c r="K3500" s="2">
        <v>58</v>
      </c>
      <c r="L3500" s="2">
        <v>9</v>
      </c>
      <c r="M3500" s="7">
        <f t="shared" si="216"/>
        <v>522</v>
      </c>
      <c r="N3500" s="7">
        <f t="shared" si="217"/>
        <v>567</v>
      </c>
      <c r="O3500" s="2">
        <v>10</v>
      </c>
      <c r="P3500" s="8">
        <f t="shared" si="218"/>
        <v>577</v>
      </c>
      <c r="Q3500" s="8">
        <f t="shared" si="219"/>
        <v>557</v>
      </c>
      <c r="R3500" s="2" t="s">
        <v>28</v>
      </c>
      <c r="S3500" s="9">
        <f>VLOOKUP(P3500,$T$2:U3497,2,1)</f>
        <v>0.02</v>
      </c>
    </row>
    <row r="3501" spans="1:19" x14ac:dyDescent="0.25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e">
        <f>VLOOKUP(F3501,'Customer Info'!A3493:I3992,2,0)</f>
        <v>#N/A</v>
      </c>
      <c r="H3501" s="6" t="e">
        <f>VLOOKUP(F3501,'Customer Info'!A3493:I3992,3,0)</f>
        <v>#N/A</v>
      </c>
      <c r="I3501" s="6" t="e">
        <f>VLOOKUP(F3501,'Customer Info'!A3493:I3992,5,0)</f>
        <v>#N/A</v>
      </c>
      <c r="J3501" s="2">
        <v>3176</v>
      </c>
      <c r="K3501" s="2">
        <v>3116</v>
      </c>
      <c r="L3501" s="2">
        <v>7</v>
      </c>
      <c r="M3501" s="7">
        <f t="shared" si="216"/>
        <v>21812</v>
      </c>
      <c r="N3501" s="7">
        <f t="shared" si="217"/>
        <v>22232</v>
      </c>
      <c r="O3501" s="2">
        <v>21</v>
      </c>
      <c r="P3501" s="8">
        <f t="shared" si="218"/>
        <v>22253</v>
      </c>
      <c r="Q3501" s="8">
        <f t="shared" si="219"/>
        <v>22211</v>
      </c>
      <c r="R3501" s="2" t="s">
        <v>28</v>
      </c>
      <c r="S3501" s="9">
        <f>VLOOKUP(P3501,$T$2:U3498,2,1)</f>
        <v>0.05</v>
      </c>
    </row>
    <row r="3502" spans="1:19" x14ac:dyDescent="0.25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e">
        <f>VLOOKUP(F3502,'Customer Info'!A3494:I3993,2,0)</f>
        <v>#N/A</v>
      </c>
      <c r="H3502" s="6" t="e">
        <f>VLOOKUP(F3502,'Customer Info'!A3494:I3993,3,0)</f>
        <v>#N/A</v>
      </c>
      <c r="I3502" s="6" t="e">
        <f>VLOOKUP(F3502,'Customer Info'!A3494:I3993,5,0)</f>
        <v>#N/A</v>
      </c>
      <c r="J3502" s="2">
        <v>1637</v>
      </c>
      <c r="K3502" s="2">
        <v>1591</v>
      </c>
      <c r="L3502" s="2">
        <v>2</v>
      </c>
      <c r="M3502" s="7">
        <f t="shared" si="216"/>
        <v>3182</v>
      </c>
      <c r="N3502" s="7">
        <f t="shared" si="217"/>
        <v>3274</v>
      </c>
      <c r="O3502" s="2">
        <v>53</v>
      </c>
      <c r="P3502" s="8">
        <f t="shared" si="218"/>
        <v>3327</v>
      </c>
      <c r="Q3502" s="8">
        <f t="shared" si="219"/>
        <v>3221</v>
      </c>
      <c r="R3502" s="2" t="s">
        <v>28</v>
      </c>
      <c r="S3502" s="9">
        <f>VLOOKUP(P3502,$T$2:U3499,2,1)</f>
        <v>0.02</v>
      </c>
    </row>
    <row r="3503" spans="1:19" x14ac:dyDescent="0.25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e">
        <f>VLOOKUP(F3503,'Customer Info'!A3495:I3994,2,0)</f>
        <v>#N/A</v>
      </c>
      <c r="H3503" s="6" t="e">
        <f>VLOOKUP(F3503,'Customer Info'!A3495:I3994,3,0)</f>
        <v>#N/A</v>
      </c>
      <c r="I3503" s="6" t="e">
        <f>VLOOKUP(F3503,'Customer Info'!A3495:I3994,5,0)</f>
        <v>#N/A</v>
      </c>
      <c r="J3503" s="2">
        <v>1039</v>
      </c>
      <c r="K3503" s="2">
        <v>954</v>
      </c>
      <c r="L3503" s="2">
        <v>5</v>
      </c>
      <c r="M3503" s="7">
        <f t="shared" si="216"/>
        <v>4770</v>
      </c>
      <c r="N3503" s="7">
        <f t="shared" si="217"/>
        <v>5195</v>
      </c>
      <c r="O3503" s="2">
        <v>51</v>
      </c>
      <c r="P3503" s="8">
        <f t="shared" si="218"/>
        <v>5246</v>
      </c>
      <c r="Q3503" s="8">
        <f t="shared" si="219"/>
        <v>5144</v>
      </c>
      <c r="R3503" s="2" t="s">
        <v>26</v>
      </c>
      <c r="S3503" s="9">
        <f>VLOOKUP(P3503,$T$2:U3500,2,1)</f>
        <v>0.05</v>
      </c>
    </row>
    <row r="3504" spans="1:19" x14ac:dyDescent="0.25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e">
        <f>VLOOKUP(F3504,'Customer Info'!A3496:I3995,2,0)</f>
        <v>#N/A</v>
      </c>
      <c r="H3504" s="6" t="e">
        <f>VLOOKUP(F3504,'Customer Info'!A3496:I3995,3,0)</f>
        <v>#N/A</v>
      </c>
      <c r="I3504" s="6" t="e">
        <f>VLOOKUP(F3504,'Customer Info'!A3496:I3995,5,0)</f>
        <v>#N/A</v>
      </c>
      <c r="J3504" s="2">
        <v>1763</v>
      </c>
      <c r="K3504" s="2">
        <v>1602</v>
      </c>
      <c r="L3504" s="2">
        <v>4</v>
      </c>
      <c r="M3504" s="7">
        <f t="shared" si="216"/>
        <v>6408</v>
      </c>
      <c r="N3504" s="7">
        <f t="shared" si="217"/>
        <v>7052</v>
      </c>
      <c r="O3504" s="2">
        <v>31</v>
      </c>
      <c r="P3504" s="8">
        <f t="shared" si="218"/>
        <v>7083</v>
      </c>
      <c r="Q3504" s="8">
        <f t="shared" si="219"/>
        <v>7021</v>
      </c>
      <c r="R3504" s="2" t="s">
        <v>28</v>
      </c>
      <c r="S3504" s="9">
        <f>VLOOKUP(P3504,$T$2:U3501,2,1)</f>
        <v>0.05</v>
      </c>
    </row>
    <row r="3505" spans="1:19" x14ac:dyDescent="0.25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e">
        <f>VLOOKUP(F3505,'Customer Info'!A3497:I3996,2,0)</f>
        <v>#N/A</v>
      </c>
      <c r="H3505" s="6" t="e">
        <f>VLOOKUP(F3505,'Customer Info'!A3497:I3996,3,0)</f>
        <v>#N/A</v>
      </c>
      <c r="I3505" s="6" t="e">
        <f>VLOOKUP(F3505,'Customer Info'!A3497:I3996,5,0)</f>
        <v>#N/A</v>
      </c>
      <c r="J3505" s="2">
        <v>2759</v>
      </c>
      <c r="K3505" s="2">
        <v>2628</v>
      </c>
      <c r="L3505" s="2">
        <v>3</v>
      </c>
      <c r="M3505" s="7">
        <f t="shared" si="216"/>
        <v>7884</v>
      </c>
      <c r="N3505" s="7">
        <f t="shared" si="217"/>
        <v>8277</v>
      </c>
      <c r="O3505" s="2">
        <v>57</v>
      </c>
      <c r="P3505" s="8">
        <f t="shared" si="218"/>
        <v>8334</v>
      </c>
      <c r="Q3505" s="8">
        <f t="shared" si="219"/>
        <v>8220</v>
      </c>
      <c r="R3505" s="2" t="s">
        <v>28</v>
      </c>
      <c r="S3505" s="9">
        <f>VLOOKUP(P3505,$T$2:U3502,2,1)</f>
        <v>0.05</v>
      </c>
    </row>
    <row r="3506" spans="1:19" x14ac:dyDescent="0.25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e">
        <f>VLOOKUP(F3506,'Customer Info'!A3498:I3997,2,0)</f>
        <v>#N/A</v>
      </c>
      <c r="H3506" s="6" t="e">
        <f>VLOOKUP(F3506,'Customer Info'!A3498:I3997,3,0)</f>
        <v>#N/A</v>
      </c>
      <c r="I3506" s="6" t="e">
        <f>VLOOKUP(F3506,'Customer Info'!A3498:I3997,5,0)</f>
        <v>#N/A</v>
      </c>
      <c r="J3506" s="2">
        <v>2222</v>
      </c>
      <c r="K3506" s="2">
        <v>2081</v>
      </c>
      <c r="L3506" s="2">
        <v>3</v>
      </c>
      <c r="M3506" s="7">
        <f t="shared" si="216"/>
        <v>6243</v>
      </c>
      <c r="N3506" s="7">
        <f t="shared" si="217"/>
        <v>6666</v>
      </c>
      <c r="O3506" s="2">
        <v>50</v>
      </c>
      <c r="P3506" s="8">
        <f t="shared" si="218"/>
        <v>6716</v>
      </c>
      <c r="Q3506" s="8">
        <f t="shared" si="219"/>
        <v>6616</v>
      </c>
      <c r="R3506" s="2" t="s">
        <v>28</v>
      </c>
      <c r="S3506" s="9">
        <f>VLOOKUP(P3506,$T$2:U3503,2,1)</f>
        <v>0.05</v>
      </c>
    </row>
    <row r="3507" spans="1:19" x14ac:dyDescent="0.25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e">
        <f>VLOOKUP(F3507,'Customer Info'!A3499:I3998,2,0)</f>
        <v>#N/A</v>
      </c>
      <c r="H3507" s="6" t="e">
        <f>VLOOKUP(F3507,'Customer Info'!A3499:I3998,3,0)</f>
        <v>#N/A</v>
      </c>
      <c r="I3507" s="6" t="e">
        <f>VLOOKUP(F3507,'Customer Info'!A3499:I3998,5,0)</f>
        <v>#N/A</v>
      </c>
      <c r="J3507" s="2">
        <v>194</v>
      </c>
      <c r="K3507" s="2">
        <v>176</v>
      </c>
      <c r="L3507" s="2">
        <v>3</v>
      </c>
      <c r="M3507" s="7">
        <f t="shared" si="216"/>
        <v>528</v>
      </c>
      <c r="N3507" s="7">
        <f t="shared" si="217"/>
        <v>582</v>
      </c>
      <c r="O3507" s="2">
        <v>30</v>
      </c>
      <c r="P3507" s="8">
        <f t="shared" si="218"/>
        <v>612</v>
      </c>
      <c r="Q3507" s="8">
        <f t="shared" si="219"/>
        <v>552</v>
      </c>
      <c r="R3507" s="2" t="s">
        <v>50</v>
      </c>
      <c r="S3507" s="9">
        <f>VLOOKUP(P3507,$T$2:U3504,2,1)</f>
        <v>0.02</v>
      </c>
    </row>
    <row r="3508" spans="1:19" x14ac:dyDescent="0.25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e">
        <f>VLOOKUP(F3508,'Customer Info'!A3500:I3999,2,0)</f>
        <v>#N/A</v>
      </c>
      <c r="H3508" s="6" t="e">
        <f>VLOOKUP(F3508,'Customer Info'!A3500:I3999,3,0)</f>
        <v>#N/A</v>
      </c>
      <c r="I3508" s="6" t="e">
        <f>VLOOKUP(F3508,'Customer Info'!A3500:I3999,5,0)</f>
        <v>#N/A</v>
      </c>
      <c r="J3508" s="2">
        <v>1763</v>
      </c>
      <c r="K3508" s="2">
        <v>1602</v>
      </c>
      <c r="L3508" s="2">
        <v>2</v>
      </c>
      <c r="M3508" s="7">
        <f t="shared" si="216"/>
        <v>3204</v>
      </c>
      <c r="N3508" s="7">
        <f t="shared" si="217"/>
        <v>3526</v>
      </c>
      <c r="O3508" s="2">
        <v>92</v>
      </c>
      <c r="P3508" s="8">
        <f t="shared" si="218"/>
        <v>3618</v>
      </c>
      <c r="Q3508" s="8">
        <f t="shared" si="219"/>
        <v>3434</v>
      </c>
      <c r="R3508" s="2" t="s">
        <v>26</v>
      </c>
      <c r="S3508" s="9">
        <f>VLOOKUP(P3508,$T$2:U3505,2,1)</f>
        <v>0.02</v>
      </c>
    </row>
    <row r="3509" spans="1:19" x14ac:dyDescent="0.25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e">
        <f>VLOOKUP(F3509,'Customer Info'!A3501:I4000,2,0)</f>
        <v>#N/A</v>
      </c>
      <c r="H3509" s="6" t="e">
        <f>VLOOKUP(F3509,'Customer Info'!A3501:I4000,3,0)</f>
        <v>#N/A</v>
      </c>
      <c r="I3509" s="6" t="e">
        <f>VLOOKUP(F3509,'Customer Info'!A3501:I4000,5,0)</f>
        <v>#N/A</v>
      </c>
      <c r="J3509" s="2">
        <v>6481</v>
      </c>
      <c r="K3509" s="2">
        <v>5884</v>
      </c>
      <c r="L3509" s="2">
        <v>10</v>
      </c>
      <c r="M3509" s="7">
        <f t="shared" si="216"/>
        <v>58840</v>
      </c>
      <c r="N3509" s="7">
        <f t="shared" si="217"/>
        <v>64810</v>
      </c>
      <c r="O3509" s="2">
        <v>43</v>
      </c>
      <c r="P3509" s="8">
        <f t="shared" si="218"/>
        <v>64853</v>
      </c>
      <c r="Q3509" s="8">
        <f t="shared" si="219"/>
        <v>64767</v>
      </c>
      <c r="R3509" s="2" t="s">
        <v>26</v>
      </c>
      <c r="S3509" s="9">
        <f>VLOOKUP(P3509,$T$2:U3506,2,1)</f>
        <v>0.09</v>
      </c>
    </row>
    <row r="3510" spans="1:19" x14ac:dyDescent="0.25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e">
        <f>VLOOKUP(F3510,'Customer Info'!A3502:I4001,2,0)</f>
        <v>#N/A</v>
      </c>
      <c r="H3510" s="6" t="e">
        <f>VLOOKUP(F3510,'Customer Info'!A3502:I4001,3,0)</f>
        <v>#N/A</v>
      </c>
      <c r="I3510" s="6" t="e">
        <f>VLOOKUP(F3510,'Customer Info'!A3502:I4001,5,0)</f>
        <v>#N/A</v>
      </c>
      <c r="J3510" s="2">
        <v>1528</v>
      </c>
      <c r="K3510" s="2">
        <v>1348</v>
      </c>
      <c r="L3510" s="2">
        <v>2</v>
      </c>
      <c r="M3510" s="7">
        <f t="shared" si="216"/>
        <v>2696</v>
      </c>
      <c r="N3510" s="7">
        <f t="shared" si="217"/>
        <v>3056</v>
      </c>
      <c r="O3510" s="2">
        <v>38</v>
      </c>
      <c r="P3510" s="8">
        <f t="shared" si="218"/>
        <v>3094</v>
      </c>
      <c r="Q3510" s="8">
        <f t="shared" si="219"/>
        <v>3018</v>
      </c>
      <c r="R3510" s="2" t="s">
        <v>28</v>
      </c>
      <c r="S3510" s="9">
        <f>VLOOKUP(P3510,$T$2:U3507,2,1)</f>
        <v>0.02</v>
      </c>
    </row>
    <row r="3511" spans="1:19" x14ac:dyDescent="0.25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e">
        <f>VLOOKUP(F3511,'Customer Info'!A3503:I4002,2,0)</f>
        <v>#N/A</v>
      </c>
      <c r="H3511" s="6" t="e">
        <f>VLOOKUP(F3511,'Customer Info'!A3503:I4002,3,0)</f>
        <v>#N/A</v>
      </c>
      <c r="I3511" s="6" t="e">
        <f>VLOOKUP(F3511,'Customer Info'!A3503:I4002,5,0)</f>
        <v>#N/A</v>
      </c>
      <c r="J3511" s="2">
        <v>8630</v>
      </c>
      <c r="K3511" s="2">
        <v>8303</v>
      </c>
      <c r="L3511" s="2">
        <v>2</v>
      </c>
      <c r="M3511" s="7">
        <f t="shared" si="216"/>
        <v>16606</v>
      </c>
      <c r="N3511" s="7">
        <f t="shared" si="217"/>
        <v>17260</v>
      </c>
      <c r="O3511" s="2">
        <v>96</v>
      </c>
      <c r="P3511" s="8">
        <f t="shared" si="218"/>
        <v>17356</v>
      </c>
      <c r="Q3511" s="8">
        <f t="shared" si="219"/>
        <v>17164</v>
      </c>
      <c r="R3511" s="2" t="s">
        <v>28</v>
      </c>
      <c r="S3511" s="9">
        <f>VLOOKUP(P3511,$T$2:U3508,2,1)</f>
        <v>0.05</v>
      </c>
    </row>
    <row r="3512" spans="1:19" x14ac:dyDescent="0.25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e">
        <f>VLOOKUP(F3512,'Customer Info'!A3504:I4003,2,0)</f>
        <v>#N/A</v>
      </c>
      <c r="H3512" s="6" t="e">
        <f>VLOOKUP(F3512,'Customer Info'!A3504:I4003,3,0)</f>
        <v>#N/A</v>
      </c>
      <c r="I3512" s="6" t="e">
        <f>VLOOKUP(F3512,'Customer Info'!A3504:I4003,5,0)</f>
        <v>#N/A</v>
      </c>
      <c r="J3512" s="2">
        <v>1623</v>
      </c>
      <c r="K3512" s="2">
        <v>1546</v>
      </c>
      <c r="L3512" s="2">
        <v>1</v>
      </c>
      <c r="M3512" s="7">
        <f t="shared" si="216"/>
        <v>1546</v>
      </c>
      <c r="N3512" s="7">
        <f t="shared" si="217"/>
        <v>1623</v>
      </c>
      <c r="O3512" s="2">
        <v>86</v>
      </c>
      <c r="P3512" s="8">
        <f t="shared" si="218"/>
        <v>1709</v>
      </c>
      <c r="Q3512" s="8">
        <f t="shared" si="219"/>
        <v>1537</v>
      </c>
      <c r="R3512" s="2" t="s">
        <v>50</v>
      </c>
      <c r="S3512" s="9">
        <f>VLOOKUP(P3512,$T$2:U3509,2,1)</f>
        <v>0.02</v>
      </c>
    </row>
    <row r="3513" spans="1:19" x14ac:dyDescent="0.25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e">
        <f>VLOOKUP(F3513,'Customer Info'!A3505:I4004,2,0)</f>
        <v>#N/A</v>
      </c>
      <c r="H3513" s="6" t="e">
        <f>VLOOKUP(F3513,'Customer Info'!A3505:I4004,3,0)</f>
        <v>#N/A</v>
      </c>
      <c r="I3513" s="6" t="e">
        <f>VLOOKUP(F3513,'Customer Info'!A3505:I4004,5,0)</f>
        <v>#N/A</v>
      </c>
      <c r="J3513" s="2">
        <v>1453</v>
      </c>
      <c r="K3513" s="2">
        <v>1411</v>
      </c>
      <c r="L3513" s="2">
        <v>1</v>
      </c>
      <c r="M3513" s="7">
        <f t="shared" si="216"/>
        <v>1411</v>
      </c>
      <c r="N3513" s="7">
        <f t="shared" si="217"/>
        <v>1453</v>
      </c>
      <c r="O3513" s="2">
        <v>84</v>
      </c>
      <c r="P3513" s="8">
        <f t="shared" si="218"/>
        <v>1537</v>
      </c>
      <c r="Q3513" s="8">
        <f t="shared" si="219"/>
        <v>1369</v>
      </c>
      <c r="R3513" s="2" t="s">
        <v>28</v>
      </c>
      <c r="S3513" s="9">
        <f>VLOOKUP(P3513,$T$2:U3510,2,1)</f>
        <v>0.02</v>
      </c>
    </row>
    <row r="3514" spans="1:19" x14ac:dyDescent="0.25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e">
        <f>VLOOKUP(F3514,'Customer Info'!A3506:I4005,2,0)</f>
        <v>#N/A</v>
      </c>
      <c r="H3514" s="6" t="e">
        <f>VLOOKUP(F3514,'Customer Info'!A3506:I4005,3,0)</f>
        <v>#N/A</v>
      </c>
      <c r="I3514" s="6" t="e">
        <f>VLOOKUP(F3514,'Customer Info'!A3506:I4005,5,0)</f>
        <v>#N/A</v>
      </c>
      <c r="J3514" s="2">
        <v>1060</v>
      </c>
      <c r="K3514" s="2">
        <v>964</v>
      </c>
      <c r="L3514" s="2">
        <v>3</v>
      </c>
      <c r="M3514" s="7">
        <f t="shared" si="216"/>
        <v>2892</v>
      </c>
      <c r="N3514" s="7">
        <f t="shared" si="217"/>
        <v>3180</v>
      </c>
      <c r="O3514" s="2">
        <v>97</v>
      </c>
      <c r="P3514" s="8">
        <f t="shared" si="218"/>
        <v>3277</v>
      </c>
      <c r="Q3514" s="8">
        <f t="shared" si="219"/>
        <v>3083</v>
      </c>
      <c r="R3514" s="2" t="s">
        <v>28</v>
      </c>
      <c r="S3514" s="9">
        <f>VLOOKUP(P3514,$T$2:U3511,2,1)</f>
        <v>0.02</v>
      </c>
    </row>
    <row r="3515" spans="1:19" x14ac:dyDescent="0.25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e">
        <f>VLOOKUP(F3515,'Customer Info'!A3507:I4006,2,0)</f>
        <v>#N/A</v>
      </c>
      <c r="H3515" s="6" t="e">
        <f>VLOOKUP(F3515,'Customer Info'!A3507:I4006,3,0)</f>
        <v>#N/A</v>
      </c>
      <c r="I3515" s="6" t="e">
        <f>VLOOKUP(F3515,'Customer Info'!A3507:I4006,5,0)</f>
        <v>#N/A</v>
      </c>
      <c r="J3515" s="2">
        <v>170</v>
      </c>
      <c r="K3515" s="2">
        <v>153</v>
      </c>
      <c r="L3515" s="2">
        <v>7</v>
      </c>
      <c r="M3515" s="7">
        <f t="shared" si="216"/>
        <v>1071</v>
      </c>
      <c r="N3515" s="7">
        <f t="shared" si="217"/>
        <v>1190</v>
      </c>
      <c r="O3515" s="2">
        <v>30</v>
      </c>
      <c r="P3515" s="8">
        <f t="shared" si="218"/>
        <v>1220</v>
      </c>
      <c r="Q3515" s="8">
        <f t="shared" si="219"/>
        <v>1160</v>
      </c>
      <c r="R3515" s="2" t="s">
        <v>28</v>
      </c>
      <c r="S3515" s="9">
        <f>VLOOKUP(P3515,$T$2:U3512,2,1)</f>
        <v>0.02</v>
      </c>
    </row>
    <row r="3516" spans="1:19" x14ac:dyDescent="0.25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e">
        <f>VLOOKUP(F3516,'Customer Info'!A3508:I4007,2,0)</f>
        <v>#N/A</v>
      </c>
      <c r="H3516" s="6" t="e">
        <f>VLOOKUP(F3516,'Customer Info'!A3508:I4007,3,0)</f>
        <v>#N/A</v>
      </c>
      <c r="I3516" s="6" t="e">
        <f>VLOOKUP(F3516,'Customer Info'!A3508:I4007,5,0)</f>
        <v>#N/A</v>
      </c>
      <c r="J3516" s="2">
        <v>60</v>
      </c>
      <c r="K3516" s="2">
        <v>55</v>
      </c>
      <c r="L3516" s="2">
        <v>5</v>
      </c>
      <c r="M3516" s="7">
        <f t="shared" si="216"/>
        <v>275</v>
      </c>
      <c r="N3516" s="7">
        <f t="shared" si="217"/>
        <v>300</v>
      </c>
      <c r="O3516" s="2">
        <v>10</v>
      </c>
      <c r="P3516" s="8">
        <f t="shared" si="218"/>
        <v>310</v>
      </c>
      <c r="Q3516" s="8">
        <f t="shared" si="219"/>
        <v>290</v>
      </c>
      <c r="R3516" s="2" t="s">
        <v>28</v>
      </c>
      <c r="S3516" s="9">
        <f>VLOOKUP(P3516,$T$2:U3513,2,1)</f>
        <v>0.02</v>
      </c>
    </row>
    <row r="3517" spans="1:19" x14ac:dyDescent="0.25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e">
        <f>VLOOKUP(F3517,'Customer Info'!A3509:I4008,2,0)</f>
        <v>#N/A</v>
      </c>
      <c r="H3517" s="6" t="e">
        <f>VLOOKUP(F3517,'Customer Info'!A3509:I4008,3,0)</f>
        <v>#N/A</v>
      </c>
      <c r="I3517" s="6" t="e">
        <f>VLOOKUP(F3517,'Customer Info'!A3509:I4008,5,0)</f>
        <v>#N/A</v>
      </c>
      <c r="J3517" s="2">
        <v>8399</v>
      </c>
      <c r="K3517" s="2">
        <v>8001</v>
      </c>
      <c r="L3517" s="2">
        <v>3</v>
      </c>
      <c r="M3517" s="7">
        <f t="shared" si="216"/>
        <v>24003</v>
      </c>
      <c r="N3517" s="7">
        <f t="shared" si="217"/>
        <v>25197</v>
      </c>
      <c r="O3517" s="2">
        <v>57</v>
      </c>
      <c r="P3517" s="8">
        <f t="shared" si="218"/>
        <v>25254</v>
      </c>
      <c r="Q3517" s="8">
        <f t="shared" si="219"/>
        <v>25140</v>
      </c>
      <c r="R3517" s="2" t="s">
        <v>50</v>
      </c>
      <c r="S3517" s="9">
        <f>VLOOKUP(P3517,$T$2:U3514,2,1)</f>
        <v>7.0000000000000007E-2</v>
      </c>
    </row>
    <row r="3518" spans="1:19" x14ac:dyDescent="0.25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e">
        <f>VLOOKUP(F3518,'Customer Info'!A3510:I4009,2,0)</f>
        <v>#N/A</v>
      </c>
      <c r="H3518" s="6" t="e">
        <f>VLOOKUP(F3518,'Customer Info'!A3510:I4009,3,0)</f>
        <v>#N/A</v>
      </c>
      <c r="I3518" s="6" t="e">
        <f>VLOOKUP(F3518,'Customer Info'!A3510:I4009,5,0)</f>
        <v>#N/A</v>
      </c>
      <c r="J3518" s="2">
        <v>1399</v>
      </c>
      <c r="K3518" s="2">
        <v>1333</v>
      </c>
      <c r="L3518" s="2">
        <v>4</v>
      </c>
      <c r="M3518" s="7">
        <f t="shared" si="216"/>
        <v>5332</v>
      </c>
      <c r="N3518" s="7">
        <f t="shared" si="217"/>
        <v>5596</v>
      </c>
      <c r="O3518" s="2">
        <v>95</v>
      </c>
      <c r="P3518" s="8">
        <f t="shared" si="218"/>
        <v>5691</v>
      </c>
      <c r="Q3518" s="8">
        <f t="shared" si="219"/>
        <v>5501</v>
      </c>
      <c r="R3518" s="2" t="s">
        <v>28</v>
      </c>
      <c r="S3518" s="9">
        <f>VLOOKUP(P3518,$T$2:U3515,2,1)</f>
        <v>0.05</v>
      </c>
    </row>
    <row r="3519" spans="1:19" x14ac:dyDescent="0.25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e">
        <f>VLOOKUP(F3519,'Customer Info'!A3511:I4010,2,0)</f>
        <v>#N/A</v>
      </c>
      <c r="H3519" s="6" t="e">
        <f>VLOOKUP(F3519,'Customer Info'!A3511:I4010,3,0)</f>
        <v>#N/A</v>
      </c>
      <c r="I3519" s="6" t="e">
        <f>VLOOKUP(F3519,'Customer Info'!A3511:I4010,5,0)</f>
        <v>#N/A</v>
      </c>
      <c r="J3519" s="2">
        <v>208</v>
      </c>
      <c r="K3519" s="2">
        <v>187</v>
      </c>
      <c r="L3519" s="2">
        <v>2</v>
      </c>
      <c r="M3519" s="7">
        <f t="shared" si="216"/>
        <v>374</v>
      </c>
      <c r="N3519" s="7">
        <f t="shared" si="217"/>
        <v>416</v>
      </c>
      <c r="O3519" s="2">
        <v>39</v>
      </c>
      <c r="P3519" s="8">
        <f t="shared" si="218"/>
        <v>455</v>
      </c>
      <c r="Q3519" s="8">
        <f t="shared" si="219"/>
        <v>377</v>
      </c>
      <c r="R3519" s="2" t="s">
        <v>28</v>
      </c>
      <c r="S3519" s="9">
        <f>VLOOKUP(P3519,$T$2:U3516,2,1)</f>
        <v>0.02</v>
      </c>
    </row>
    <row r="3520" spans="1:19" x14ac:dyDescent="0.25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e">
        <f>VLOOKUP(F3520,'Customer Info'!A3512:I4011,2,0)</f>
        <v>#N/A</v>
      </c>
      <c r="H3520" s="6" t="e">
        <f>VLOOKUP(F3520,'Customer Info'!A3512:I4011,3,0)</f>
        <v>#N/A</v>
      </c>
      <c r="I3520" s="6" t="e">
        <f>VLOOKUP(F3520,'Customer Info'!A3512:I4011,5,0)</f>
        <v>#N/A</v>
      </c>
      <c r="J3520" s="2">
        <v>6400</v>
      </c>
      <c r="K3520" s="2">
        <v>6401</v>
      </c>
      <c r="L3520" s="2">
        <v>3</v>
      </c>
      <c r="M3520" s="7">
        <f t="shared" si="216"/>
        <v>19203</v>
      </c>
      <c r="N3520" s="7">
        <f t="shared" si="217"/>
        <v>19200</v>
      </c>
      <c r="O3520" s="2">
        <v>79</v>
      </c>
      <c r="P3520" s="8">
        <f t="shared" si="218"/>
        <v>19279</v>
      </c>
      <c r="Q3520" s="8">
        <f t="shared" si="219"/>
        <v>19121</v>
      </c>
      <c r="R3520" s="2" t="s">
        <v>28</v>
      </c>
      <c r="S3520" s="9">
        <f>VLOOKUP(P3520,$T$2:U3517,2,1)</f>
        <v>0.05</v>
      </c>
    </row>
    <row r="3521" spans="1:19" x14ac:dyDescent="0.25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e">
        <f>VLOOKUP(F3521,'Customer Info'!A3513:I4012,2,0)</f>
        <v>#N/A</v>
      </c>
      <c r="H3521" s="6" t="e">
        <f>VLOOKUP(F3521,'Customer Info'!A3513:I4012,3,0)</f>
        <v>#N/A</v>
      </c>
      <c r="I3521" s="6" t="e">
        <f>VLOOKUP(F3521,'Customer Info'!A3513:I4012,5,0)</f>
        <v>#N/A</v>
      </c>
      <c r="J3521" s="2">
        <v>6354</v>
      </c>
      <c r="K3521" s="2">
        <v>5769</v>
      </c>
      <c r="L3521" s="2">
        <v>4</v>
      </c>
      <c r="M3521" s="7">
        <f t="shared" si="216"/>
        <v>23076</v>
      </c>
      <c r="N3521" s="7">
        <f t="shared" si="217"/>
        <v>25416</v>
      </c>
      <c r="O3521" s="2">
        <v>48</v>
      </c>
      <c r="P3521" s="8">
        <f t="shared" si="218"/>
        <v>25464</v>
      </c>
      <c r="Q3521" s="8">
        <f t="shared" si="219"/>
        <v>25368</v>
      </c>
      <c r="R3521" s="2" t="s">
        <v>28</v>
      </c>
      <c r="S3521" s="9">
        <f>VLOOKUP(P3521,$T$2:U3518,2,1)</f>
        <v>7.0000000000000007E-2</v>
      </c>
    </row>
    <row r="3522" spans="1:19" x14ac:dyDescent="0.25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e">
        <f>VLOOKUP(F3522,'Customer Info'!A3514:I4013,2,0)</f>
        <v>#N/A</v>
      </c>
      <c r="H3522" s="6" t="e">
        <f>VLOOKUP(F3522,'Customer Info'!A3514:I4013,3,0)</f>
        <v>#N/A</v>
      </c>
      <c r="I3522" s="6" t="e">
        <f>VLOOKUP(F3522,'Customer Info'!A3514:I4013,5,0)</f>
        <v>#N/A</v>
      </c>
      <c r="J3522" s="2">
        <v>671</v>
      </c>
      <c r="K3522" s="2">
        <v>627</v>
      </c>
      <c r="L3522" s="2">
        <v>2</v>
      </c>
      <c r="M3522" s="7">
        <f t="shared" si="216"/>
        <v>1254</v>
      </c>
      <c r="N3522" s="7">
        <f t="shared" si="217"/>
        <v>1342</v>
      </c>
      <c r="O3522" s="2">
        <v>23</v>
      </c>
      <c r="P3522" s="8">
        <f t="shared" si="218"/>
        <v>1365</v>
      </c>
      <c r="Q3522" s="8">
        <f t="shared" si="219"/>
        <v>1319</v>
      </c>
      <c r="R3522" s="2" t="s">
        <v>28</v>
      </c>
      <c r="S3522" s="9">
        <f>VLOOKUP(P3522,$T$2:U3519,2,1)</f>
        <v>0.02</v>
      </c>
    </row>
    <row r="3523" spans="1:19" x14ac:dyDescent="0.25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e">
        <f>VLOOKUP(F3523,'Customer Info'!A3515:I4014,2,0)</f>
        <v>#N/A</v>
      </c>
      <c r="H3523" s="6" t="e">
        <f>VLOOKUP(F3523,'Customer Info'!A3515:I4014,3,0)</f>
        <v>#N/A</v>
      </c>
      <c r="I3523" s="6" t="e">
        <f>VLOOKUP(F3523,'Customer Info'!A3515:I4014,5,0)</f>
        <v>#N/A</v>
      </c>
      <c r="J3523" s="2">
        <v>2981</v>
      </c>
      <c r="K3523" s="2">
        <v>2870</v>
      </c>
      <c r="L3523" s="2">
        <v>6</v>
      </c>
      <c r="M3523" s="7">
        <f t="shared" si="216"/>
        <v>17220</v>
      </c>
      <c r="N3523" s="7">
        <f t="shared" si="217"/>
        <v>17886</v>
      </c>
      <c r="O3523" s="2">
        <v>79</v>
      </c>
      <c r="P3523" s="8">
        <f t="shared" si="218"/>
        <v>17965</v>
      </c>
      <c r="Q3523" s="8">
        <f t="shared" si="219"/>
        <v>17807</v>
      </c>
      <c r="R3523" s="2" t="s">
        <v>50</v>
      </c>
      <c r="S3523" s="9">
        <f>VLOOKUP(P3523,$T$2:U3520,2,1)</f>
        <v>0.05</v>
      </c>
    </row>
    <row r="3524" spans="1:19" x14ac:dyDescent="0.25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e">
        <f>VLOOKUP(F3524,'Customer Info'!A3516:I4015,2,0)</f>
        <v>#N/A</v>
      </c>
      <c r="H3524" s="6" t="e">
        <f>VLOOKUP(F3524,'Customer Info'!A3516:I4015,3,0)</f>
        <v>#N/A</v>
      </c>
      <c r="I3524" s="6" t="e">
        <f>VLOOKUP(F3524,'Customer Info'!A3516:I4015,5,0)</f>
        <v>#N/A</v>
      </c>
      <c r="J3524" s="2">
        <v>1601</v>
      </c>
      <c r="K3524" s="2">
        <v>1510</v>
      </c>
      <c r="L3524" s="2">
        <v>4</v>
      </c>
      <c r="M3524" s="7">
        <f t="shared" si="216"/>
        <v>6040</v>
      </c>
      <c r="N3524" s="7">
        <f t="shared" si="217"/>
        <v>6404</v>
      </c>
      <c r="O3524" s="2">
        <v>94</v>
      </c>
      <c r="P3524" s="8">
        <f t="shared" si="218"/>
        <v>6498</v>
      </c>
      <c r="Q3524" s="8">
        <f t="shared" si="219"/>
        <v>6310</v>
      </c>
      <c r="R3524" s="2" t="s">
        <v>28</v>
      </c>
      <c r="S3524" s="9">
        <f>VLOOKUP(P3524,$T$2:U3521,2,1)</f>
        <v>0.05</v>
      </c>
    </row>
    <row r="3525" spans="1:19" x14ac:dyDescent="0.25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e">
        <f>VLOOKUP(F3525,'Customer Info'!A3517:I4016,2,0)</f>
        <v>#N/A</v>
      </c>
      <c r="H3525" s="6" t="e">
        <f>VLOOKUP(F3525,'Customer Info'!A3517:I4016,3,0)</f>
        <v>#N/A</v>
      </c>
      <c r="I3525" s="6" t="e">
        <f>VLOOKUP(F3525,'Customer Info'!A3517:I4016,5,0)</f>
        <v>#N/A</v>
      </c>
      <c r="J3525" s="2">
        <v>3224</v>
      </c>
      <c r="K3525" s="2">
        <v>2901</v>
      </c>
      <c r="L3525" s="2">
        <v>1</v>
      </c>
      <c r="M3525" s="7">
        <f t="shared" si="216"/>
        <v>2901</v>
      </c>
      <c r="N3525" s="7">
        <f t="shared" si="217"/>
        <v>3224</v>
      </c>
      <c r="O3525" s="2">
        <v>38</v>
      </c>
      <c r="P3525" s="8">
        <f t="shared" si="218"/>
        <v>3262</v>
      </c>
      <c r="Q3525" s="8">
        <f t="shared" si="219"/>
        <v>3186</v>
      </c>
      <c r="R3525" s="2" t="s">
        <v>28</v>
      </c>
      <c r="S3525" s="9">
        <f>VLOOKUP(P3525,$T$2:U3522,2,1)</f>
        <v>0.02</v>
      </c>
    </row>
    <row r="3526" spans="1:19" x14ac:dyDescent="0.25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e">
        <f>VLOOKUP(F3526,'Customer Info'!A3518:I4017,2,0)</f>
        <v>#N/A</v>
      </c>
      <c r="H3526" s="6" t="e">
        <f>VLOOKUP(F3526,'Customer Info'!A3518:I4017,3,0)</f>
        <v>#N/A</v>
      </c>
      <c r="I3526" s="6" t="e">
        <f>VLOOKUP(F3526,'Customer Info'!A3518:I4017,5,0)</f>
        <v>#N/A</v>
      </c>
      <c r="J3526" s="2">
        <v>9033</v>
      </c>
      <c r="K3526" s="2">
        <v>8132</v>
      </c>
      <c r="L3526" s="2">
        <v>2</v>
      </c>
      <c r="M3526" s="7">
        <f t="shared" si="216"/>
        <v>16264</v>
      </c>
      <c r="N3526" s="7">
        <f t="shared" si="217"/>
        <v>18066</v>
      </c>
      <c r="O3526" s="2">
        <v>55</v>
      </c>
      <c r="P3526" s="8">
        <f t="shared" si="218"/>
        <v>18121</v>
      </c>
      <c r="Q3526" s="8">
        <f t="shared" si="219"/>
        <v>18011</v>
      </c>
      <c r="R3526" s="2" t="s">
        <v>56</v>
      </c>
      <c r="S3526" s="9">
        <f>VLOOKUP(P3526,$T$2:U3523,2,1)</f>
        <v>0.05</v>
      </c>
    </row>
    <row r="3527" spans="1:19" x14ac:dyDescent="0.25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e">
        <f>VLOOKUP(F3527,'Customer Info'!A3519:I4018,2,0)</f>
        <v>#N/A</v>
      </c>
      <c r="H3527" s="6" t="e">
        <f>VLOOKUP(F3527,'Customer Info'!A3519:I4018,3,0)</f>
        <v>#N/A</v>
      </c>
      <c r="I3527" s="6" t="e">
        <f>VLOOKUP(F3527,'Customer Info'!A3519:I4018,5,0)</f>
        <v>#N/A</v>
      </c>
      <c r="J3527" s="2">
        <v>1619</v>
      </c>
      <c r="K3527" s="2">
        <v>1442</v>
      </c>
      <c r="L3527" s="2">
        <v>9</v>
      </c>
      <c r="M3527" s="7">
        <f t="shared" si="216"/>
        <v>12978</v>
      </c>
      <c r="N3527" s="7">
        <f t="shared" si="217"/>
        <v>14571</v>
      </c>
      <c r="O3527" s="2">
        <v>57</v>
      </c>
      <c r="P3527" s="8">
        <f t="shared" si="218"/>
        <v>14628</v>
      </c>
      <c r="Q3527" s="8">
        <f t="shared" si="219"/>
        <v>14514</v>
      </c>
      <c r="R3527" s="2" t="s">
        <v>28</v>
      </c>
      <c r="S3527" s="9">
        <f>VLOOKUP(P3527,$T$2:U3524,2,1)</f>
        <v>0.05</v>
      </c>
    </row>
    <row r="3528" spans="1:19" x14ac:dyDescent="0.25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e">
        <f>VLOOKUP(F3528,'Customer Info'!A3520:I4019,2,0)</f>
        <v>#N/A</v>
      </c>
      <c r="H3528" s="6" t="e">
        <f>VLOOKUP(F3528,'Customer Info'!A3520:I4019,3,0)</f>
        <v>#N/A</v>
      </c>
      <c r="I3528" s="6" t="e">
        <f>VLOOKUP(F3528,'Customer Info'!A3520:I4019,5,0)</f>
        <v>#N/A</v>
      </c>
      <c r="J3528" s="2">
        <v>1721</v>
      </c>
      <c r="K3528" s="2">
        <v>1640</v>
      </c>
      <c r="L3528" s="2">
        <v>6</v>
      </c>
      <c r="M3528" s="7">
        <f t="shared" si="216"/>
        <v>9840</v>
      </c>
      <c r="N3528" s="7">
        <f t="shared" si="217"/>
        <v>10326</v>
      </c>
      <c r="O3528" s="2">
        <v>85</v>
      </c>
      <c r="P3528" s="8">
        <f t="shared" si="218"/>
        <v>10411</v>
      </c>
      <c r="Q3528" s="8">
        <f t="shared" si="219"/>
        <v>10241</v>
      </c>
      <c r="R3528" s="2" t="s">
        <v>28</v>
      </c>
      <c r="S3528" s="9">
        <f>VLOOKUP(P3528,$T$2:U3525,2,1)</f>
        <v>0.05</v>
      </c>
    </row>
    <row r="3529" spans="1:19" x14ac:dyDescent="0.25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e">
        <f>VLOOKUP(F3529,'Customer Info'!A3521:I4020,2,0)</f>
        <v>#N/A</v>
      </c>
      <c r="H3529" s="6" t="e">
        <f>VLOOKUP(F3529,'Customer Info'!A3521:I4020,3,0)</f>
        <v>#N/A</v>
      </c>
      <c r="I3529" s="6" t="e">
        <f>VLOOKUP(F3529,'Customer Info'!A3521:I4020,5,0)</f>
        <v>#N/A</v>
      </c>
      <c r="J3529" s="2">
        <v>1635</v>
      </c>
      <c r="K3529" s="2">
        <v>1573</v>
      </c>
      <c r="L3529" s="2">
        <v>2</v>
      </c>
      <c r="M3529" s="7">
        <f t="shared" si="216"/>
        <v>3146</v>
      </c>
      <c r="N3529" s="7">
        <f t="shared" si="217"/>
        <v>3270</v>
      </c>
      <c r="O3529" s="2">
        <v>94</v>
      </c>
      <c r="P3529" s="8">
        <f t="shared" si="218"/>
        <v>3364</v>
      </c>
      <c r="Q3529" s="8">
        <f t="shared" si="219"/>
        <v>3176</v>
      </c>
      <c r="R3529" s="2" t="s">
        <v>28</v>
      </c>
      <c r="S3529" s="9">
        <f>VLOOKUP(P3529,$T$2:U3526,2,1)</f>
        <v>0.02</v>
      </c>
    </row>
    <row r="3530" spans="1:19" x14ac:dyDescent="0.25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e">
        <f>VLOOKUP(F3530,'Customer Info'!A3522:I4021,2,0)</f>
        <v>#N/A</v>
      </c>
      <c r="H3530" s="6" t="e">
        <f>VLOOKUP(F3530,'Customer Info'!A3522:I4021,3,0)</f>
        <v>#N/A</v>
      </c>
      <c r="I3530" s="6" t="e">
        <f>VLOOKUP(F3530,'Customer Info'!A3522:I4021,5,0)</f>
        <v>#N/A</v>
      </c>
      <c r="J3530" s="2">
        <v>1305</v>
      </c>
      <c r="K3530" s="2">
        <v>1197</v>
      </c>
      <c r="L3530" s="2">
        <v>1</v>
      </c>
      <c r="M3530" s="7">
        <f t="shared" si="216"/>
        <v>1197</v>
      </c>
      <c r="N3530" s="7">
        <f t="shared" si="217"/>
        <v>1305</v>
      </c>
      <c r="O3530" s="2">
        <v>98</v>
      </c>
      <c r="P3530" s="8">
        <f t="shared" si="218"/>
        <v>1403</v>
      </c>
      <c r="Q3530" s="8">
        <f t="shared" si="219"/>
        <v>1207</v>
      </c>
      <c r="R3530" s="2" t="s">
        <v>28</v>
      </c>
      <c r="S3530" s="9">
        <f>VLOOKUP(P3530,$T$2:U3527,2,1)</f>
        <v>0.02</v>
      </c>
    </row>
    <row r="3531" spans="1:19" x14ac:dyDescent="0.25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e">
        <f>VLOOKUP(F3531,'Customer Info'!A3523:I4022,2,0)</f>
        <v>#N/A</v>
      </c>
      <c r="H3531" s="6" t="e">
        <f>VLOOKUP(F3531,'Customer Info'!A3523:I4022,3,0)</f>
        <v>#N/A</v>
      </c>
      <c r="I3531" s="6" t="e">
        <f>VLOOKUP(F3531,'Customer Info'!A3523:I4022,5,0)</f>
        <v>#N/A</v>
      </c>
      <c r="J3531" s="2">
        <v>1372</v>
      </c>
      <c r="K3531" s="2">
        <v>1308</v>
      </c>
      <c r="L3531" s="2">
        <v>4</v>
      </c>
      <c r="M3531" s="7">
        <f t="shared" ref="M3531:M3594" si="220">K3531*L3531</f>
        <v>5232</v>
      </c>
      <c r="N3531" s="7">
        <f t="shared" ref="N3531:N3594" si="221">J3531*L3531</f>
        <v>5488</v>
      </c>
      <c r="O3531" s="2">
        <v>99</v>
      </c>
      <c r="P3531" s="8">
        <f t="shared" ref="P3531:P3594" si="222">SUM(N3531,O3531)</f>
        <v>5587</v>
      </c>
      <c r="Q3531" s="8">
        <f t="shared" ref="Q3531:Q3594" si="223">N3531-O3531</f>
        <v>5389</v>
      </c>
      <c r="R3531" s="2" t="s">
        <v>28</v>
      </c>
      <c r="S3531" s="9">
        <f>VLOOKUP(P3531,$T$2:U3528,2,1)</f>
        <v>0.05</v>
      </c>
    </row>
    <row r="3532" spans="1:19" x14ac:dyDescent="0.25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e">
        <f>VLOOKUP(F3532,'Customer Info'!A3524:I4023,2,0)</f>
        <v>#N/A</v>
      </c>
      <c r="H3532" s="6" t="e">
        <f>VLOOKUP(F3532,'Customer Info'!A3524:I4023,3,0)</f>
        <v>#N/A</v>
      </c>
      <c r="I3532" s="6" t="e">
        <f>VLOOKUP(F3532,'Customer Info'!A3524:I4023,5,0)</f>
        <v>#N/A</v>
      </c>
      <c r="J3532" s="2">
        <v>679</v>
      </c>
      <c r="K3532" s="2">
        <v>654</v>
      </c>
      <c r="L3532" s="2">
        <v>4</v>
      </c>
      <c r="M3532" s="7">
        <f t="shared" si="220"/>
        <v>2616</v>
      </c>
      <c r="N3532" s="7">
        <f t="shared" si="221"/>
        <v>2716</v>
      </c>
      <c r="O3532" s="2">
        <v>60</v>
      </c>
      <c r="P3532" s="8">
        <f t="shared" si="222"/>
        <v>2776</v>
      </c>
      <c r="Q3532" s="8">
        <f t="shared" si="223"/>
        <v>2656</v>
      </c>
      <c r="R3532" s="2" t="s">
        <v>50</v>
      </c>
      <c r="S3532" s="9">
        <f>VLOOKUP(P3532,$T$2:U3529,2,1)</f>
        <v>0.02</v>
      </c>
    </row>
    <row r="3533" spans="1:19" x14ac:dyDescent="0.25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e">
        <f>VLOOKUP(F3533,'Customer Info'!A3525:I4024,2,0)</f>
        <v>#N/A</v>
      </c>
      <c r="H3533" s="6" t="e">
        <f>VLOOKUP(F3533,'Customer Info'!A3525:I4024,3,0)</f>
        <v>#N/A</v>
      </c>
      <c r="I3533" s="6" t="e">
        <f>VLOOKUP(F3533,'Customer Info'!A3525:I4024,5,0)</f>
        <v>#N/A</v>
      </c>
      <c r="J3533" s="2">
        <v>141</v>
      </c>
      <c r="K3533" s="2">
        <v>131</v>
      </c>
      <c r="L3533" s="2">
        <v>8</v>
      </c>
      <c r="M3533" s="7">
        <f t="shared" si="220"/>
        <v>1048</v>
      </c>
      <c r="N3533" s="7">
        <f t="shared" si="221"/>
        <v>1128</v>
      </c>
      <c r="O3533" s="2">
        <v>30</v>
      </c>
      <c r="P3533" s="8">
        <f t="shared" si="222"/>
        <v>1158</v>
      </c>
      <c r="Q3533" s="8">
        <f t="shared" si="223"/>
        <v>1098</v>
      </c>
      <c r="R3533" s="2" t="s">
        <v>50</v>
      </c>
      <c r="S3533" s="9">
        <f>VLOOKUP(P3533,$T$2:U3530,2,1)</f>
        <v>0.02</v>
      </c>
    </row>
    <row r="3534" spans="1:19" x14ac:dyDescent="0.25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e">
        <f>VLOOKUP(F3534,'Customer Info'!A3526:I4025,2,0)</f>
        <v>#N/A</v>
      </c>
      <c r="H3534" s="6" t="e">
        <f>VLOOKUP(F3534,'Customer Info'!A3526:I4025,3,0)</f>
        <v>#N/A</v>
      </c>
      <c r="I3534" s="6" t="e">
        <f>VLOOKUP(F3534,'Customer Info'!A3526:I4025,5,0)</f>
        <v>#N/A</v>
      </c>
      <c r="J3534" s="2">
        <v>1533</v>
      </c>
      <c r="K3534" s="2">
        <v>1406</v>
      </c>
      <c r="L3534" s="2">
        <v>6</v>
      </c>
      <c r="M3534" s="7">
        <f t="shared" si="220"/>
        <v>8436</v>
      </c>
      <c r="N3534" s="7">
        <f t="shared" si="221"/>
        <v>9198</v>
      </c>
      <c r="O3534" s="2">
        <v>36</v>
      </c>
      <c r="P3534" s="8">
        <f t="shared" si="222"/>
        <v>9234</v>
      </c>
      <c r="Q3534" s="8">
        <f t="shared" si="223"/>
        <v>9162</v>
      </c>
      <c r="R3534" s="2" t="s">
        <v>50</v>
      </c>
      <c r="S3534" s="9">
        <f>VLOOKUP(P3534,$T$2:U3531,2,1)</f>
        <v>0.05</v>
      </c>
    </row>
    <row r="3535" spans="1:19" x14ac:dyDescent="0.25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e">
        <f>VLOOKUP(F3535,'Customer Info'!A3527:I4026,2,0)</f>
        <v>#N/A</v>
      </c>
      <c r="H3535" s="6" t="e">
        <f>VLOOKUP(F3535,'Customer Info'!A3527:I4026,3,0)</f>
        <v>#N/A</v>
      </c>
      <c r="I3535" s="6" t="e">
        <f>VLOOKUP(F3535,'Customer Info'!A3527:I4026,5,0)</f>
        <v>#N/A</v>
      </c>
      <c r="J3535" s="2">
        <v>6951</v>
      </c>
      <c r="K3535" s="2">
        <v>6620</v>
      </c>
      <c r="L3535" s="2">
        <v>1</v>
      </c>
      <c r="M3535" s="7">
        <f t="shared" si="220"/>
        <v>6620</v>
      </c>
      <c r="N3535" s="7">
        <f t="shared" si="221"/>
        <v>6951</v>
      </c>
      <c r="O3535" s="2">
        <v>22</v>
      </c>
      <c r="P3535" s="8">
        <f t="shared" si="222"/>
        <v>6973</v>
      </c>
      <c r="Q3535" s="8">
        <f t="shared" si="223"/>
        <v>6929</v>
      </c>
      <c r="R3535" s="2" t="s">
        <v>50</v>
      </c>
      <c r="S3535" s="9">
        <f>VLOOKUP(P3535,$T$2:U3532,2,1)</f>
        <v>0.05</v>
      </c>
    </row>
    <row r="3536" spans="1:19" x14ac:dyDescent="0.25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e">
        <f>VLOOKUP(F3536,'Customer Info'!A3528:I4027,2,0)</f>
        <v>#N/A</v>
      </c>
      <c r="H3536" s="6" t="e">
        <f>VLOOKUP(F3536,'Customer Info'!A3528:I4027,3,0)</f>
        <v>#N/A</v>
      </c>
      <c r="I3536" s="6" t="e">
        <f>VLOOKUP(F3536,'Customer Info'!A3528:I4027,5,0)</f>
        <v>#N/A</v>
      </c>
      <c r="J3536" s="2">
        <v>1574</v>
      </c>
      <c r="K3536" s="2">
        <v>1375</v>
      </c>
      <c r="L3536" s="2">
        <v>2</v>
      </c>
      <c r="M3536" s="7">
        <f t="shared" si="220"/>
        <v>2750</v>
      </c>
      <c r="N3536" s="7">
        <f t="shared" si="221"/>
        <v>3148</v>
      </c>
      <c r="O3536" s="2">
        <v>94</v>
      </c>
      <c r="P3536" s="8">
        <f t="shared" si="222"/>
        <v>3242</v>
      </c>
      <c r="Q3536" s="8">
        <f t="shared" si="223"/>
        <v>3054</v>
      </c>
      <c r="R3536" s="2" t="s">
        <v>28</v>
      </c>
      <c r="S3536" s="9">
        <f>VLOOKUP(P3536,$T$2:U3533,2,1)</f>
        <v>0.02</v>
      </c>
    </row>
    <row r="3537" spans="1:19" x14ac:dyDescent="0.25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e">
        <f>VLOOKUP(F3537,'Customer Info'!A3529:I4028,2,0)</f>
        <v>#N/A</v>
      </c>
      <c r="H3537" s="6" t="e">
        <f>VLOOKUP(F3537,'Customer Info'!A3529:I4028,3,0)</f>
        <v>#N/A</v>
      </c>
      <c r="I3537" s="6" t="e">
        <f>VLOOKUP(F3537,'Customer Info'!A3529:I4028,5,0)</f>
        <v>#N/A</v>
      </c>
      <c r="J3537" s="2">
        <v>8686</v>
      </c>
      <c r="K3537" s="2">
        <v>8035</v>
      </c>
      <c r="L3537" s="2">
        <v>5</v>
      </c>
      <c r="M3537" s="7">
        <f t="shared" si="220"/>
        <v>40175</v>
      </c>
      <c r="N3537" s="7">
        <f t="shared" si="221"/>
        <v>43430</v>
      </c>
      <c r="O3537" s="2">
        <v>73</v>
      </c>
      <c r="P3537" s="8">
        <f t="shared" si="222"/>
        <v>43503</v>
      </c>
      <c r="Q3537" s="8">
        <f t="shared" si="223"/>
        <v>43357</v>
      </c>
      <c r="R3537" s="2" t="s">
        <v>28</v>
      </c>
      <c r="S3537" s="9">
        <f>VLOOKUP(P3537,$T$2:U3534,2,1)</f>
        <v>7.0000000000000007E-2</v>
      </c>
    </row>
    <row r="3538" spans="1:19" x14ac:dyDescent="0.25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e">
        <f>VLOOKUP(F3538,'Customer Info'!A3530:I4029,2,0)</f>
        <v>#N/A</v>
      </c>
      <c r="H3538" s="6" t="e">
        <f>VLOOKUP(F3538,'Customer Info'!A3530:I4029,3,0)</f>
        <v>#N/A</v>
      </c>
      <c r="I3538" s="6" t="e">
        <f>VLOOKUP(F3538,'Customer Info'!A3530:I4029,5,0)</f>
        <v>#N/A</v>
      </c>
      <c r="J3538" s="2">
        <v>92</v>
      </c>
      <c r="K3538" s="2">
        <v>82</v>
      </c>
      <c r="L3538" s="2">
        <v>7</v>
      </c>
      <c r="M3538" s="7">
        <f t="shared" si="220"/>
        <v>574</v>
      </c>
      <c r="N3538" s="7">
        <f t="shared" si="221"/>
        <v>644</v>
      </c>
      <c r="O3538" s="2">
        <v>10</v>
      </c>
      <c r="P3538" s="8">
        <f t="shared" si="222"/>
        <v>654</v>
      </c>
      <c r="Q3538" s="8">
        <f t="shared" si="223"/>
        <v>634</v>
      </c>
      <c r="R3538" s="2" t="s">
        <v>26</v>
      </c>
      <c r="S3538" s="9">
        <f>VLOOKUP(P3538,$T$2:U3535,2,1)</f>
        <v>0.02</v>
      </c>
    </row>
    <row r="3539" spans="1:19" x14ac:dyDescent="0.25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e">
        <f>VLOOKUP(F3539,'Customer Info'!A3531:I4030,2,0)</f>
        <v>#N/A</v>
      </c>
      <c r="H3539" s="6" t="e">
        <f>VLOOKUP(F3539,'Customer Info'!A3531:I4030,3,0)</f>
        <v>#N/A</v>
      </c>
      <c r="I3539" s="6" t="e">
        <f>VLOOKUP(F3539,'Customer Info'!A3531:I4030,5,0)</f>
        <v>#N/A</v>
      </c>
      <c r="J3539" s="2">
        <v>1619</v>
      </c>
      <c r="K3539" s="2">
        <v>1442</v>
      </c>
      <c r="L3539" s="2">
        <v>3</v>
      </c>
      <c r="M3539" s="7">
        <f t="shared" si="220"/>
        <v>4326</v>
      </c>
      <c r="N3539" s="7">
        <f t="shared" si="221"/>
        <v>4857</v>
      </c>
      <c r="O3539" s="2">
        <v>97</v>
      </c>
      <c r="P3539" s="8">
        <f t="shared" si="222"/>
        <v>4954</v>
      </c>
      <c r="Q3539" s="8">
        <f t="shared" si="223"/>
        <v>4760</v>
      </c>
      <c r="R3539" s="2" t="s">
        <v>26</v>
      </c>
      <c r="S3539" s="9">
        <f>VLOOKUP(P3539,$T$2:U3536,2,1)</f>
        <v>0.02</v>
      </c>
    </row>
    <row r="3540" spans="1:19" x14ac:dyDescent="0.25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e">
        <f>VLOOKUP(F3540,'Customer Info'!A3532:I4031,2,0)</f>
        <v>#N/A</v>
      </c>
      <c r="H3540" s="6" t="e">
        <f>VLOOKUP(F3540,'Customer Info'!A3532:I4031,3,0)</f>
        <v>#N/A</v>
      </c>
      <c r="I3540" s="6" t="e">
        <f>VLOOKUP(F3540,'Customer Info'!A3532:I4031,5,0)</f>
        <v>#N/A</v>
      </c>
      <c r="J3540" s="2">
        <v>92</v>
      </c>
      <c r="K3540" s="2">
        <v>82</v>
      </c>
      <c r="L3540" s="2">
        <v>1</v>
      </c>
      <c r="M3540" s="7">
        <f t="shared" si="220"/>
        <v>82</v>
      </c>
      <c r="N3540" s="7">
        <f t="shared" si="221"/>
        <v>92</v>
      </c>
      <c r="O3540" s="2">
        <v>10</v>
      </c>
      <c r="P3540" s="8">
        <f t="shared" si="222"/>
        <v>102</v>
      </c>
      <c r="Q3540" s="8">
        <f t="shared" si="223"/>
        <v>82</v>
      </c>
      <c r="R3540" s="2" t="s">
        <v>28</v>
      </c>
      <c r="S3540" s="9">
        <f>VLOOKUP(P3540,$T$2:U3537,2,1)</f>
        <v>0.02</v>
      </c>
    </row>
    <row r="3541" spans="1:19" x14ac:dyDescent="0.25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e">
        <f>VLOOKUP(F3541,'Customer Info'!A3533:I4032,2,0)</f>
        <v>#N/A</v>
      </c>
      <c r="H3541" s="6" t="e">
        <f>VLOOKUP(F3541,'Customer Info'!A3533:I4032,3,0)</f>
        <v>#N/A</v>
      </c>
      <c r="I3541" s="6" t="e">
        <f>VLOOKUP(F3541,'Customer Info'!A3533:I4032,5,0)</f>
        <v>#N/A</v>
      </c>
      <c r="J3541" s="2">
        <v>2864</v>
      </c>
      <c r="K3541" s="2">
        <v>2754</v>
      </c>
      <c r="L3541" s="2">
        <v>3</v>
      </c>
      <c r="M3541" s="7">
        <f t="shared" si="220"/>
        <v>8262</v>
      </c>
      <c r="N3541" s="7">
        <f t="shared" si="221"/>
        <v>8592</v>
      </c>
      <c r="O3541" s="2">
        <v>39</v>
      </c>
      <c r="P3541" s="8">
        <f t="shared" si="222"/>
        <v>8631</v>
      </c>
      <c r="Q3541" s="8">
        <f t="shared" si="223"/>
        <v>8553</v>
      </c>
      <c r="R3541" s="2" t="s">
        <v>28</v>
      </c>
      <c r="S3541" s="9">
        <f>VLOOKUP(P3541,$T$2:U3538,2,1)</f>
        <v>0.05</v>
      </c>
    </row>
    <row r="3542" spans="1:19" x14ac:dyDescent="0.25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e">
        <f>VLOOKUP(F3542,'Customer Info'!A3534:I4033,2,0)</f>
        <v>#N/A</v>
      </c>
      <c r="H3542" s="6" t="e">
        <f>VLOOKUP(F3542,'Customer Info'!A3534:I4033,3,0)</f>
        <v>#N/A</v>
      </c>
      <c r="I3542" s="6" t="e">
        <f>VLOOKUP(F3542,'Customer Info'!A3534:I4033,5,0)</f>
        <v>#N/A</v>
      </c>
      <c r="J3542" s="2">
        <v>2228</v>
      </c>
      <c r="K3542" s="2">
        <v>2143</v>
      </c>
      <c r="L3542" s="2">
        <v>4</v>
      </c>
      <c r="M3542" s="7">
        <f t="shared" si="220"/>
        <v>8572</v>
      </c>
      <c r="N3542" s="7">
        <f t="shared" si="221"/>
        <v>8912</v>
      </c>
      <c r="O3542" s="2">
        <v>96</v>
      </c>
      <c r="P3542" s="8">
        <f t="shared" si="222"/>
        <v>9008</v>
      </c>
      <c r="Q3542" s="8">
        <f t="shared" si="223"/>
        <v>8816</v>
      </c>
      <c r="R3542" s="2" t="s">
        <v>50</v>
      </c>
      <c r="S3542" s="9">
        <f>VLOOKUP(P3542,$T$2:U3539,2,1)</f>
        <v>0.05</v>
      </c>
    </row>
    <row r="3543" spans="1:19" x14ac:dyDescent="0.25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e">
        <f>VLOOKUP(F3543,'Customer Info'!A3535:I4034,2,0)</f>
        <v>#N/A</v>
      </c>
      <c r="H3543" s="6" t="e">
        <f>VLOOKUP(F3543,'Customer Info'!A3535:I4034,3,0)</f>
        <v>#N/A</v>
      </c>
      <c r="I3543" s="6" t="e">
        <f>VLOOKUP(F3543,'Customer Info'!A3535:I4034,5,0)</f>
        <v>#N/A</v>
      </c>
      <c r="J3543" s="2">
        <v>645</v>
      </c>
      <c r="K3543" s="2">
        <v>565</v>
      </c>
      <c r="L3543" s="2">
        <v>3</v>
      </c>
      <c r="M3543" s="7">
        <f t="shared" si="220"/>
        <v>1695</v>
      </c>
      <c r="N3543" s="7">
        <f t="shared" si="221"/>
        <v>1935</v>
      </c>
      <c r="O3543" s="2">
        <v>46</v>
      </c>
      <c r="P3543" s="8">
        <f t="shared" si="222"/>
        <v>1981</v>
      </c>
      <c r="Q3543" s="8">
        <f t="shared" si="223"/>
        <v>1889</v>
      </c>
      <c r="R3543" s="2" t="s">
        <v>26</v>
      </c>
      <c r="S3543" s="9">
        <f>VLOOKUP(P3543,$T$2:U3540,2,1)</f>
        <v>0.02</v>
      </c>
    </row>
    <row r="3544" spans="1:19" x14ac:dyDescent="0.25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e">
        <f>VLOOKUP(F3544,'Customer Info'!A3536:I4035,2,0)</f>
        <v>#N/A</v>
      </c>
      <c r="H3544" s="6" t="e">
        <f>VLOOKUP(F3544,'Customer Info'!A3536:I4035,3,0)</f>
        <v>#N/A</v>
      </c>
      <c r="I3544" s="6" t="e">
        <f>VLOOKUP(F3544,'Customer Info'!A3536:I4035,5,0)</f>
        <v>#N/A</v>
      </c>
      <c r="J3544" s="2">
        <v>8448</v>
      </c>
      <c r="K3544" s="2">
        <v>7822</v>
      </c>
      <c r="L3544" s="2">
        <v>1</v>
      </c>
      <c r="M3544" s="7">
        <f t="shared" si="220"/>
        <v>7822</v>
      </c>
      <c r="N3544" s="7">
        <f t="shared" si="221"/>
        <v>8448</v>
      </c>
      <c r="O3544" s="2">
        <v>98</v>
      </c>
      <c r="P3544" s="8">
        <f t="shared" si="222"/>
        <v>8546</v>
      </c>
      <c r="Q3544" s="8">
        <f t="shared" si="223"/>
        <v>8350</v>
      </c>
      <c r="R3544" s="2" t="s">
        <v>50</v>
      </c>
      <c r="S3544" s="9">
        <f>VLOOKUP(P3544,$T$2:U3541,2,1)</f>
        <v>0.05</v>
      </c>
    </row>
    <row r="3545" spans="1:19" x14ac:dyDescent="0.25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e">
        <f>VLOOKUP(F3545,'Customer Info'!A3537:I4036,2,0)</f>
        <v>#N/A</v>
      </c>
      <c r="H3545" s="6" t="e">
        <f>VLOOKUP(F3545,'Customer Info'!A3537:I4036,3,0)</f>
        <v>#N/A</v>
      </c>
      <c r="I3545" s="6" t="e">
        <f>VLOOKUP(F3545,'Customer Info'!A3537:I4036,5,0)</f>
        <v>#N/A</v>
      </c>
      <c r="J3545" s="2">
        <v>827</v>
      </c>
      <c r="K3545" s="2">
        <v>788</v>
      </c>
      <c r="L3545" s="2">
        <v>6</v>
      </c>
      <c r="M3545" s="7">
        <f t="shared" si="220"/>
        <v>4728</v>
      </c>
      <c r="N3545" s="7">
        <f t="shared" si="221"/>
        <v>4962</v>
      </c>
      <c r="O3545" s="2">
        <v>67</v>
      </c>
      <c r="P3545" s="8">
        <f t="shared" si="222"/>
        <v>5029</v>
      </c>
      <c r="Q3545" s="8">
        <f t="shared" si="223"/>
        <v>4895</v>
      </c>
      <c r="R3545" s="2" t="s">
        <v>28</v>
      </c>
      <c r="S3545" s="9">
        <f>VLOOKUP(P3545,$T$2:U3542,2,1)</f>
        <v>0.05</v>
      </c>
    </row>
    <row r="3546" spans="1:19" x14ac:dyDescent="0.25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e">
        <f>VLOOKUP(F3546,'Customer Info'!A3538:I4037,2,0)</f>
        <v>#N/A</v>
      </c>
      <c r="H3546" s="6" t="e">
        <f>VLOOKUP(F3546,'Customer Info'!A3538:I4037,3,0)</f>
        <v>#N/A</v>
      </c>
      <c r="I3546" s="6" t="e">
        <f>VLOOKUP(F3546,'Customer Info'!A3538:I4037,5,0)</f>
        <v>#N/A</v>
      </c>
      <c r="J3546" s="2">
        <v>1413</v>
      </c>
      <c r="K3546" s="2">
        <v>1334</v>
      </c>
      <c r="L3546" s="2">
        <v>3</v>
      </c>
      <c r="M3546" s="7">
        <f t="shared" si="220"/>
        <v>4002</v>
      </c>
      <c r="N3546" s="7">
        <f t="shared" si="221"/>
        <v>4239</v>
      </c>
      <c r="O3546" s="2">
        <v>38</v>
      </c>
      <c r="P3546" s="8">
        <f t="shared" si="222"/>
        <v>4277</v>
      </c>
      <c r="Q3546" s="8">
        <f t="shared" si="223"/>
        <v>4201</v>
      </c>
      <c r="R3546" s="2" t="s">
        <v>28</v>
      </c>
      <c r="S3546" s="9">
        <f>VLOOKUP(P3546,$T$2:U3543,2,1)</f>
        <v>0.02</v>
      </c>
    </row>
    <row r="3547" spans="1:19" x14ac:dyDescent="0.25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e">
        <f>VLOOKUP(F3547,'Customer Info'!A3539:I4038,2,0)</f>
        <v>#N/A</v>
      </c>
      <c r="H3547" s="6" t="e">
        <f>VLOOKUP(F3547,'Customer Info'!A3539:I4038,3,0)</f>
        <v>#N/A</v>
      </c>
      <c r="I3547" s="6" t="e">
        <f>VLOOKUP(F3547,'Customer Info'!A3539:I4038,5,0)</f>
        <v>#N/A</v>
      </c>
      <c r="J3547" s="2">
        <v>7864</v>
      </c>
      <c r="K3547" s="2">
        <v>7563</v>
      </c>
      <c r="L3547" s="2">
        <v>2</v>
      </c>
      <c r="M3547" s="7">
        <f t="shared" si="220"/>
        <v>15126</v>
      </c>
      <c r="N3547" s="7">
        <f t="shared" si="221"/>
        <v>15728</v>
      </c>
      <c r="O3547" s="2">
        <v>56</v>
      </c>
      <c r="P3547" s="8">
        <f t="shared" si="222"/>
        <v>15784</v>
      </c>
      <c r="Q3547" s="8">
        <f t="shared" si="223"/>
        <v>15672</v>
      </c>
      <c r="R3547" s="2" t="s">
        <v>50</v>
      </c>
      <c r="S3547" s="9">
        <f>VLOOKUP(P3547,$T$2:U3544,2,1)</f>
        <v>0.05</v>
      </c>
    </row>
    <row r="3548" spans="1:19" x14ac:dyDescent="0.25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e">
        <f>VLOOKUP(F3548,'Customer Info'!A3540:I4039,2,0)</f>
        <v>#N/A</v>
      </c>
      <c r="H3548" s="6" t="e">
        <f>VLOOKUP(F3548,'Customer Info'!A3540:I4039,3,0)</f>
        <v>#N/A</v>
      </c>
      <c r="I3548" s="6" t="e">
        <f>VLOOKUP(F3548,'Customer Info'!A3540:I4039,5,0)</f>
        <v>#N/A</v>
      </c>
      <c r="J3548" s="2">
        <v>62</v>
      </c>
      <c r="K3548" s="2">
        <v>58</v>
      </c>
      <c r="L3548" s="2">
        <v>3</v>
      </c>
      <c r="M3548" s="7">
        <f t="shared" si="220"/>
        <v>174</v>
      </c>
      <c r="N3548" s="7">
        <f t="shared" si="221"/>
        <v>186</v>
      </c>
      <c r="O3548" s="2">
        <v>10</v>
      </c>
      <c r="P3548" s="8">
        <f t="shared" si="222"/>
        <v>196</v>
      </c>
      <c r="Q3548" s="8">
        <f t="shared" si="223"/>
        <v>176</v>
      </c>
      <c r="R3548" s="2" t="s">
        <v>26</v>
      </c>
      <c r="S3548" s="9">
        <f>VLOOKUP(P3548,$T$2:U3545,2,1)</f>
        <v>0.02</v>
      </c>
    </row>
    <row r="3549" spans="1:19" x14ac:dyDescent="0.25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e">
        <f>VLOOKUP(F3549,'Customer Info'!A3541:I4040,2,0)</f>
        <v>#N/A</v>
      </c>
      <c r="H3549" s="6" t="e">
        <f>VLOOKUP(F3549,'Customer Info'!A3541:I4040,3,0)</f>
        <v>#N/A</v>
      </c>
      <c r="I3549" s="6" t="e">
        <f>VLOOKUP(F3549,'Customer Info'!A3541:I4040,5,0)</f>
        <v>#N/A</v>
      </c>
      <c r="J3549" s="2">
        <v>24662</v>
      </c>
      <c r="K3549" s="2">
        <v>23061</v>
      </c>
      <c r="L3549" s="2">
        <v>6</v>
      </c>
      <c r="M3549" s="7">
        <f t="shared" si="220"/>
        <v>138366</v>
      </c>
      <c r="N3549" s="7">
        <f t="shared" si="221"/>
        <v>147972</v>
      </c>
      <c r="O3549" s="2">
        <v>93</v>
      </c>
      <c r="P3549" s="8">
        <f t="shared" si="222"/>
        <v>148065</v>
      </c>
      <c r="Q3549" s="8">
        <f t="shared" si="223"/>
        <v>147879</v>
      </c>
      <c r="R3549" s="2" t="s">
        <v>28</v>
      </c>
      <c r="S3549" s="9">
        <f>VLOOKUP(P3549,$T$2:U3546,2,1)</f>
        <v>0.12</v>
      </c>
    </row>
    <row r="3550" spans="1:19" x14ac:dyDescent="0.25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e">
        <f>VLOOKUP(F3550,'Customer Info'!A3542:I4041,2,0)</f>
        <v>#N/A</v>
      </c>
      <c r="H3550" s="6" t="e">
        <f>VLOOKUP(F3550,'Customer Info'!A3542:I4041,3,0)</f>
        <v>#N/A</v>
      </c>
      <c r="I3550" s="6" t="e">
        <f>VLOOKUP(F3550,'Customer Info'!A3542:I4041,5,0)</f>
        <v>#N/A</v>
      </c>
      <c r="J3550" s="2">
        <v>175</v>
      </c>
      <c r="K3550" s="2">
        <v>162</v>
      </c>
      <c r="L3550" s="2">
        <v>3</v>
      </c>
      <c r="M3550" s="7">
        <f t="shared" si="220"/>
        <v>486</v>
      </c>
      <c r="N3550" s="7">
        <f t="shared" si="221"/>
        <v>525</v>
      </c>
      <c r="O3550" s="2">
        <v>30</v>
      </c>
      <c r="P3550" s="8">
        <f t="shared" si="222"/>
        <v>555</v>
      </c>
      <c r="Q3550" s="8">
        <f t="shared" si="223"/>
        <v>495</v>
      </c>
      <c r="R3550" s="2" t="s">
        <v>50</v>
      </c>
      <c r="S3550" s="9">
        <f>VLOOKUP(P3550,$T$2:U3547,2,1)</f>
        <v>0.02</v>
      </c>
    </row>
    <row r="3551" spans="1:19" x14ac:dyDescent="0.25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e">
        <f>VLOOKUP(F3551,'Customer Info'!A3543:I4042,2,0)</f>
        <v>#N/A</v>
      </c>
      <c r="H3551" s="6" t="e">
        <f>VLOOKUP(F3551,'Customer Info'!A3543:I4042,3,0)</f>
        <v>#N/A</v>
      </c>
      <c r="I3551" s="6" t="e">
        <f>VLOOKUP(F3551,'Customer Info'!A3543:I4042,5,0)</f>
        <v>#N/A</v>
      </c>
      <c r="J3551" s="2">
        <v>1734</v>
      </c>
      <c r="K3551" s="2">
        <v>1702</v>
      </c>
      <c r="L3551" s="2">
        <v>3</v>
      </c>
      <c r="M3551" s="7">
        <f t="shared" si="220"/>
        <v>5106</v>
      </c>
      <c r="N3551" s="7">
        <f t="shared" si="221"/>
        <v>5202</v>
      </c>
      <c r="O3551" s="2">
        <v>20</v>
      </c>
      <c r="P3551" s="8">
        <f t="shared" si="222"/>
        <v>5222</v>
      </c>
      <c r="Q3551" s="8">
        <f t="shared" si="223"/>
        <v>5182</v>
      </c>
      <c r="R3551" s="2" t="s">
        <v>50</v>
      </c>
      <c r="S3551" s="9">
        <f>VLOOKUP(P3551,$T$2:U3548,2,1)</f>
        <v>0.05</v>
      </c>
    </row>
    <row r="3552" spans="1:19" x14ac:dyDescent="0.25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e">
        <f>VLOOKUP(F3552,'Customer Info'!A3544:I4043,2,0)</f>
        <v>#N/A</v>
      </c>
      <c r="H3552" s="6" t="e">
        <f>VLOOKUP(F3552,'Customer Info'!A3544:I4043,3,0)</f>
        <v>#N/A</v>
      </c>
      <c r="I3552" s="6" t="e">
        <f>VLOOKUP(F3552,'Customer Info'!A3544:I4043,5,0)</f>
        <v>#N/A</v>
      </c>
      <c r="J3552" s="2">
        <v>664</v>
      </c>
      <c r="K3552" s="2">
        <v>576</v>
      </c>
      <c r="L3552" s="2">
        <v>1</v>
      </c>
      <c r="M3552" s="7">
        <f t="shared" si="220"/>
        <v>576</v>
      </c>
      <c r="N3552" s="7">
        <f t="shared" si="221"/>
        <v>664</v>
      </c>
      <c r="O3552" s="2">
        <v>35</v>
      </c>
      <c r="P3552" s="8">
        <f t="shared" si="222"/>
        <v>699</v>
      </c>
      <c r="Q3552" s="8">
        <f t="shared" si="223"/>
        <v>629</v>
      </c>
      <c r="R3552" s="2" t="s">
        <v>50</v>
      </c>
      <c r="S3552" s="9">
        <f>VLOOKUP(P3552,$T$2:U3549,2,1)</f>
        <v>0.02</v>
      </c>
    </row>
    <row r="3553" spans="1:19" x14ac:dyDescent="0.25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e">
        <f>VLOOKUP(F3553,'Customer Info'!A3545:I4044,2,0)</f>
        <v>#N/A</v>
      </c>
      <c r="H3553" s="6" t="e">
        <f>VLOOKUP(F3553,'Customer Info'!A3545:I4044,3,0)</f>
        <v>#N/A</v>
      </c>
      <c r="I3553" s="6" t="e">
        <f>VLOOKUP(F3553,'Customer Info'!A3545:I4044,5,0)</f>
        <v>#N/A</v>
      </c>
      <c r="J3553" s="2">
        <v>138</v>
      </c>
      <c r="K3553" s="2">
        <v>128</v>
      </c>
      <c r="L3553" s="2">
        <v>3</v>
      </c>
      <c r="M3553" s="7">
        <f t="shared" si="220"/>
        <v>384</v>
      </c>
      <c r="N3553" s="7">
        <f t="shared" si="221"/>
        <v>414</v>
      </c>
      <c r="O3553" s="2">
        <v>30</v>
      </c>
      <c r="P3553" s="8">
        <f t="shared" si="222"/>
        <v>444</v>
      </c>
      <c r="Q3553" s="8">
        <f t="shared" si="223"/>
        <v>384</v>
      </c>
      <c r="R3553" s="2" t="s">
        <v>50</v>
      </c>
      <c r="S3553" s="9">
        <f>VLOOKUP(P3553,$T$2:U3550,2,1)</f>
        <v>0.02</v>
      </c>
    </row>
    <row r="3554" spans="1:19" x14ac:dyDescent="0.25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e">
        <f>VLOOKUP(F3554,'Customer Info'!A3546:I4045,2,0)</f>
        <v>#N/A</v>
      </c>
      <c r="H3554" s="6" t="e">
        <f>VLOOKUP(F3554,'Customer Info'!A3546:I4045,3,0)</f>
        <v>#N/A</v>
      </c>
      <c r="I3554" s="6" t="e">
        <f>VLOOKUP(F3554,'Customer Info'!A3546:I4045,5,0)</f>
        <v>#N/A</v>
      </c>
      <c r="J3554" s="2">
        <v>6951</v>
      </c>
      <c r="K3554" s="2">
        <v>6620</v>
      </c>
      <c r="L3554" s="2">
        <v>2</v>
      </c>
      <c r="M3554" s="7">
        <f t="shared" si="220"/>
        <v>13240</v>
      </c>
      <c r="N3554" s="7">
        <f t="shared" si="221"/>
        <v>13902</v>
      </c>
      <c r="O3554" s="2">
        <v>30</v>
      </c>
      <c r="P3554" s="8">
        <f t="shared" si="222"/>
        <v>13932</v>
      </c>
      <c r="Q3554" s="8">
        <f t="shared" si="223"/>
        <v>13872</v>
      </c>
      <c r="R3554" s="2" t="s">
        <v>28</v>
      </c>
      <c r="S3554" s="9">
        <f>VLOOKUP(P3554,$T$2:U3551,2,1)</f>
        <v>0.05</v>
      </c>
    </row>
    <row r="3555" spans="1:19" x14ac:dyDescent="0.25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e">
        <f>VLOOKUP(F3555,'Customer Info'!A3547:I4046,2,0)</f>
        <v>#N/A</v>
      </c>
      <c r="H3555" s="6" t="e">
        <f>VLOOKUP(F3555,'Customer Info'!A3547:I4046,3,0)</f>
        <v>#N/A</v>
      </c>
      <c r="I3555" s="6" t="e">
        <f>VLOOKUP(F3555,'Customer Info'!A3547:I4046,5,0)</f>
        <v>#N/A</v>
      </c>
      <c r="J3555" s="2">
        <v>220</v>
      </c>
      <c r="K3555" s="2">
        <v>206</v>
      </c>
      <c r="L3555" s="2">
        <v>6</v>
      </c>
      <c r="M3555" s="7">
        <f t="shared" si="220"/>
        <v>1236</v>
      </c>
      <c r="N3555" s="7">
        <f t="shared" si="221"/>
        <v>1320</v>
      </c>
      <c r="O3555" s="2">
        <v>69</v>
      </c>
      <c r="P3555" s="8">
        <f t="shared" si="222"/>
        <v>1389</v>
      </c>
      <c r="Q3555" s="8">
        <f t="shared" si="223"/>
        <v>1251</v>
      </c>
      <c r="R3555" s="2" t="s">
        <v>56</v>
      </c>
      <c r="S3555" s="9">
        <f>VLOOKUP(P3555,$T$2:U3552,2,1)</f>
        <v>0.02</v>
      </c>
    </row>
    <row r="3556" spans="1:19" x14ac:dyDescent="0.25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e">
        <f>VLOOKUP(F3556,'Customer Info'!A3548:I4047,2,0)</f>
        <v>#N/A</v>
      </c>
      <c r="H3556" s="6" t="e">
        <f>VLOOKUP(F3556,'Customer Info'!A3548:I4047,3,0)</f>
        <v>#N/A</v>
      </c>
      <c r="I3556" s="6" t="e">
        <f>VLOOKUP(F3556,'Customer Info'!A3548:I4047,5,0)</f>
        <v>#N/A</v>
      </c>
      <c r="J3556" s="2">
        <v>474</v>
      </c>
      <c r="K3556" s="2">
        <v>443</v>
      </c>
      <c r="L3556" s="2">
        <v>1</v>
      </c>
      <c r="M3556" s="7">
        <f t="shared" si="220"/>
        <v>443</v>
      </c>
      <c r="N3556" s="7">
        <f t="shared" si="221"/>
        <v>474</v>
      </c>
      <c r="O3556" s="2">
        <v>71</v>
      </c>
      <c r="P3556" s="8">
        <f t="shared" si="222"/>
        <v>545</v>
      </c>
      <c r="Q3556" s="8">
        <f t="shared" si="223"/>
        <v>403</v>
      </c>
      <c r="R3556" s="2" t="s">
        <v>28</v>
      </c>
      <c r="S3556" s="9">
        <f>VLOOKUP(P3556,$T$2:U3553,2,1)</f>
        <v>0.02</v>
      </c>
    </row>
    <row r="3557" spans="1:19" x14ac:dyDescent="0.25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e">
        <f>VLOOKUP(F3557,'Customer Info'!A3549:I4048,2,0)</f>
        <v>#N/A</v>
      </c>
      <c r="H3557" s="6" t="e">
        <f>VLOOKUP(F3557,'Customer Info'!A3549:I4048,3,0)</f>
        <v>#N/A</v>
      </c>
      <c r="I3557" s="6" t="e">
        <f>VLOOKUP(F3557,'Customer Info'!A3549:I4048,5,0)</f>
        <v>#N/A</v>
      </c>
      <c r="J3557" s="2">
        <v>1587</v>
      </c>
      <c r="K3557" s="2">
        <v>1428</v>
      </c>
      <c r="L3557" s="2">
        <v>2</v>
      </c>
      <c r="M3557" s="7">
        <f t="shared" si="220"/>
        <v>2856</v>
      </c>
      <c r="N3557" s="7">
        <f t="shared" si="221"/>
        <v>3174</v>
      </c>
      <c r="O3557" s="2">
        <v>58</v>
      </c>
      <c r="P3557" s="8">
        <f t="shared" si="222"/>
        <v>3232</v>
      </c>
      <c r="Q3557" s="8">
        <f t="shared" si="223"/>
        <v>3116</v>
      </c>
      <c r="R3557" s="2" t="s">
        <v>26</v>
      </c>
      <c r="S3557" s="9">
        <f>VLOOKUP(P3557,$T$2:U3554,2,1)</f>
        <v>0.02</v>
      </c>
    </row>
    <row r="3558" spans="1:19" x14ac:dyDescent="0.25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e">
        <f>VLOOKUP(F3558,'Customer Info'!A3550:I4049,2,0)</f>
        <v>#N/A</v>
      </c>
      <c r="H3558" s="6" t="e">
        <f>VLOOKUP(F3558,'Customer Info'!A3550:I4049,3,0)</f>
        <v>#N/A</v>
      </c>
      <c r="I3558" s="6" t="e">
        <f>VLOOKUP(F3558,'Customer Info'!A3550:I4049,5,0)</f>
        <v>#N/A</v>
      </c>
      <c r="J3558" s="2">
        <v>7136</v>
      </c>
      <c r="K3558" s="2">
        <v>6676</v>
      </c>
      <c r="L3558" s="2">
        <v>4</v>
      </c>
      <c r="M3558" s="7">
        <f t="shared" si="220"/>
        <v>26704</v>
      </c>
      <c r="N3558" s="7">
        <f t="shared" si="221"/>
        <v>28544</v>
      </c>
      <c r="O3558" s="2">
        <v>73</v>
      </c>
      <c r="P3558" s="8">
        <f t="shared" si="222"/>
        <v>28617</v>
      </c>
      <c r="Q3558" s="8">
        <f t="shared" si="223"/>
        <v>28471</v>
      </c>
      <c r="R3558" s="2" t="s">
        <v>50</v>
      </c>
      <c r="S3558" s="9">
        <f>VLOOKUP(P3558,$T$2:U3555,2,1)</f>
        <v>7.0000000000000007E-2</v>
      </c>
    </row>
    <row r="3559" spans="1:19" x14ac:dyDescent="0.25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e">
        <f>VLOOKUP(F3559,'Customer Info'!A3551:I4050,2,0)</f>
        <v>#N/A</v>
      </c>
      <c r="H3559" s="6" t="e">
        <f>VLOOKUP(F3559,'Customer Info'!A3551:I4050,3,0)</f>
        <v>#N/A</v>
      </c>
      <c r="I3559" s="6" t="e">
        <f>VLOOKUP(F3559,'Customer Info'!A3551:I4050,5,0)</f>
        <v>#N/A</v>
      </c>
      <c r="J3559" s="2">
        <v>2200</v>
      </c>
      <c r="K3559" s="2">
        <v>2020</v>
      </c>
      <c r="L3559" s="2">
        <v>4</v>
      </c>
      <c r="M3559" s="7">
        <f t="shared" si="220"/>
        <v>8080</v>
      </c>
      <c r="N3559" s="7">
        <f t="shared" si="221"/>
        <v>8800</v>
      </c>
      <c r="O3559" s="2">
        <v>75</v>
      </c>
      <c r="P3559" s="8">
        <f t="shared" si="222"/>
        <v>8875</v>
      </c>
      <c r="Q3559" s="8">
        <f t="shared" si="223"/>
        <v>8725</v>
      </c>
      <c r="R3559" s="2" t="s">
        <v>50</v>
      </c>
      <c r="S3559" s="9">
        <f>VLOOKUP(P3559,$T$2:U3556,2,1)</f>
        <v>0.05</v>
      </c>
    </row>
    <row r="3560" spans="1:19" x14ac:dyDescent="0.25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e">
        <f>VLOOKUP(F3560,'Customer Info'!A3552:I4051,2,0)</f>
        <v>#N/A</v>
      </c>
      <c r="H3560" s="6" t="e">
        <f>VLOOKUP(F3560,'Customer Info'!A3552:I4051,3,0)</f>
        <v>#N/A</v>
      </c>
      <c r="I3560" s="6" t="e">
        <f>VLOOKUP(F3560,'Customer Info'!A3552:I4051,5,0)</f>
        <v>#N/A</v>
      </c>
      <c r="J3560" s="2">
        <v>144</v>
      </c>
      <c r="K3560" s="2">
        <v>132</v>
      </c>
      <c r="L3560" s="2">
        <v>12</v>
      </c>
      <c r="M3560" s="7">
        <f t="shared" si="220"/>
        <v>1584</v>
      </c>
      <c r="N3560" s="7">
        <f t="shared" si="221"/>
        <v>1728</v>
      </c>
      <c r="O3560" s="2">
        <v>30</v>
      </c>
      <c r="P3560" s="8">
        <f t="shared" si="222"/>
        <v>1758</v>
      </c>
      <c r="Q3560" s="8">
        <f t="shared" si="223"/>
        <v>1698</v>
      </c>
      <c r="R3560" s="2" t="s">
        <v>26</v>
      </c>
      <c r="S3560" s="9">
        <f>VLOOKUP(P3560,$T$2:U3557,2,1)</f>
        <v>0.02</v>
      </c>
    </row>
    <row r="3561" spans="1:19" x14ac:dyDescent="0.25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e">
        <f>VLOOKUP(F3561,'Customer Info'!A3553:I4052,2,0)</f>
        <v>#N/A</v>
      </c>
      <c r="H3561" s="6" t="e">
        <f>VLOOKUP(F3561,'Customer Info'!A3553:I4052,3,0)</f>
        <v>#N/A</v>
      </c>
      <c r="I3561" s="6" t="e">
        <f>VLOOKUP(F3561,'Customer Info'!A3553:I4052,5,0)</f>
        <v>#N/A</v>
      </c>
      <c r="J3561" s="2">
        <v>1399</v>
      </c>
      <c r="K3561" s="2">
        <v>1333</v>
      </c>
      <c r="L3561" s="2">
        <v>5</v>
      </c>
      <c r="M3561" s="7">
        <f t="shared" si="220"/>
        <v>6665</v>
      </c>
      <c r="N3561" s="7">
        <f t="shared" si="221"/>
        <v>6995</v>
      </c>
      <c r="O3561" s="2">
        <v>58</v>
      </c>
      <c r="P3561" s="8">
        <f t="shared" si="222"/>
        <v>7053</v>
      </c>
      <c r="Q3561" s="8">
        <f t="shared" si="223"/>
        <v>6937</v>
      </c>
      <c r="R3561" s="2" t="s">
        <v>28</v>
      </c>
      <c r="S3561" s="9">
        <f>VLOOKUP(P3561,$T$2:U3558,2,1)</f>
        <v>0.05</v>
      </c>
    </row>
    <row r="3562" spans="1:19" x14ac:dyDescent="0.25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e">
        <f>VLOOKUP(F3562,'Customer Info'!A3554:I4053,2,0)</f>
        <v>#N/A</v>
      </c>
      <c r="H3562" s="6" t="e">
        <f>VLOOKUP(F3562,'Customer Info'!A3554:I4053,3,0)</f>
        <v>#N/A</v>
      </c>
      <c r="I3562" s="6" t="e">
        <f>VLOOKUP(F3562,'Customer Info'!A3554:I4053,5,0)</f>
        <v>#N/A</v>
      </c>
      <c r="J3562" s="2">
        <v>90</v>
      </c>
      <c r="K3562" s="2">
        <v>81</v>
      </c>
      <c r="L3562" s="2">
        <v>5</v>
      </c>
      <c r="M3562" s="7">
        <f t="shared" si="220"/>
        <v>405</v>
      </c>
      <c r="N3562" s="7">
        <f t="shared" si="221"/>
        <v>450</v>
      </c>
      <c r="O3562" s="2">
        <v>10</v>
      </c>
      <c r="P3562" s="8">
        <f t="shared" si="222"/>
        <v>460</v>
      </c>
      <c r="Q3562" s="8">
        <f t="shared" si="223"/>
        <v>440</v>
      </c>
      <c r="R3562" s="2" t="s">
        <v>28</v>
      </c>
      <c r="S3562" s="9">
        <f>VLOOKUP(P3562,$T$2:U3559,2,1)</f>
        <v>0.02</v>
      </c>
    </row>
    <row r="3563" spans="1:19" x14ac:dyDescent="0.25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e">
        <f>VLOOKUP(F3563,'Customer Info'!A3555:I4054,2,0)</f>
        <v>#N/A</v>
      </c>
      <c r="H3563" s="6" t="e">
        <f>VLOOKUP(F3563,'Customer Info'!A3555:I4054,3,0)</f>
        <v>#N/A</v>
      </c>
      <c r="I3563" s="6" t="e">
        <f>VLOOKUP(F3563,'Customer Info'!A3555:I4054,5,0)</f>
        <v>#N/A</v>
      </c>
      <c r="J3563" s="2">
        <v>531</v>
      </c>
      <c r="K3563" s="2">
        <v>487</v>
      </c>
      <c r="L3563" s="2">
        <v>3</v>
      </c>
      <c r="M3563" s="7">
        <f t="shared" si="220"/>
        <v>1461</v>
      </c>
      <c r="N3563" s="7">
        <f t="shared" si="221"/>
        <v>1593</v>
      </c>
      <c r="O3563" s="2">
        <v>25</v>
      </c>
      <c r="P3563" s="8">
        <f t="shared" si="222"/>
        <v>1618</v>
      </c>
      <c r="Q3563" s="8">
        <f t="shared" si="223"/>
        <v>1568</v>
      </c>
      <c r="R3563" s="2" t="s">
        <v>28</v>
      </c>
      <c r="S3563" s="9">
        <f>VLOOKUP(P3563,$T$2:U3560,2,1)</f>
        <v>0.02</v>
      </c>
    </row>
    <row r="3564" spans="1:19" x14ac:dyDescent="0.25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e">
        <f>VLOOKUP(F3564,'Customer Info'!A3556:I4055,2,0)</f>
        <v>#N/A</v>
      </c>
      <c r="H3564" s="6" t="e">
        <f>VLOOKUP(F3564,'Customer Info'!A3556:I4055,3,0)</f>
        <v>#N/A</v>
      </c>
      <c r="I3564" s="6" t="e">
        <f>VLOOKUP(F3564,'Customer Info'!A3556:I4055,5,0)</f>
        <v>#N/A</v>
      </c>
      <c r="J3564" s="2">
        <v>138</v>
      </c>
      <c r="K3564" s="2">
        <v>128</v>
      </c>
      <c r="L3564" s="2">
        <v>6</v>
      </c>
      <c r="M3564" s="7">
        <f t="shared" si="220"/>
        <v>768</v>
      </c>
      <c r="N3564" s="7">
        <f t="shared" si="221"/>
        <v>828</v>
      </c>
      <c r="O3564" s="2">
        <v>30</v>
      </c>
      <c r="P3564" s="8">
        <f t="shared" si="222"/>
        <v>858</v>
      </c>
      <c r="Q3564" s="8">
        <f t="shared" si="223"/>
        <v>798</v>
      </c>
      <c r="R3564" s="2" t="s">
        <v>28</v>
      </c>
      <c r="S3564" s="9">
        <f>VLOOKUP(P3564,$T$2:U3561,2,1)</f>
        <v>0.02</v>
      </c>
    </row>
    <row r="3565" spans="1:19" x14ac:dyDescent="0.25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e">
        <f>VLOOKUP(F3565,'Customer Info'!A3557:I4056,2,0)</f>
        <v>#N/A</v>
      </c>
      <c r="H3565" s="6" t="e">
        <f>VLOOKUP(F3565,'Customer Info'!A3557:I4056,3,0)</f>
        <v>#N/A</v>
      </c>
      <c r="I3565" s="6" t="e">
        <f>VLOOKUP(F3565,'Customer Info'!A3557:I4056,5,0)</f>
        <v>#N/A</v>
      </c>
      <c r="J3565" s="2">
        <v>3289</v>
      </c>
      <c r="K3565" s="2">
        <v>3105</v>
      </c>
      <c r="L3565" s="2">
        <v>13</v>
      </c>
      <c r="M3565" s="7">
        <f t="shared" si="220"/>
        <v>40365</v>
      </c>
      <c r="N3565" s="7">
        <f t="shared" si="221"/>
        <v>42757</v>
      </c>
      <c r="O3565" s="2">
        <v>54</v>
      </c>
      <c r="P3565" s="8">
        <f t="shared" si="222"/>
        <v>42811</v>
      </c>
      <c r="Q3565" s="8">
        <f t="shared" si="223"/>
        <v>42703</v>
      </c>
      <c r="R3565" s="2" t="s">
        <v>28</v>
      </c>
      <c r="S3565" s="9">
        <f>VLOOKUP(P3565,$T$2:U3562,2,1)</f>
        <v>7.0000000000000007E-2</v>
      </c>
    </row>
    <row r="3566" spans="1:19" x14ac:dyDescent="0.25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e">
        <f>VLOOKUP(F3566,'Customer Info'!A3558:I4057,2,0)</f>
        <v>#N/A</v>
      </c>
      <c r="H3566" s="6" t="e">
        <f>VLOOKUP(F3566,'Customer Info'!A3558:I4057,3,0)</f>
        <v>#N/A</v>
      </c>
      <c r="I3566" s="6" t="e">
        <f>VLOOKUP(F3566,'Customer Info'!A3558:I4057,5,0)</f>
        <v>#N/A</v>
      </c>
      <c r="J3566" s="2">
        <v>973</v>
      </c>
      <c r="K3566" s="2">
        <v>910</v>
      </c>
      <c r="L3566" s="2">
        <v>1</v>
      </c>
      <c r="M3566" s="7">
        <f t="shared" si="220"/>
        <v>910</v>
      </c>
      <c r="N3566" s="7">
        <f t="shared" si="221"/>
        <v>973</v>
      </c>
      <c r="O3566" s="2">
        <v>78</v>
      </c>
      <c r="P3566" s="8">
        <f t="shared" si="222"/>
        <v>1051</v>
      </c>
      <c r="Q3566" s="8">
        <f t="shared" si="223"/>
        <v>895</v>
      </c>
      <c r="R3566" s="2" t="s">
        <v>28</v>
      </c>
      <c r="S3566" s="9">
        <f>VLOOKUP(P3566,$T$2:U3563,2,1)</f>
        <v>0.02</v>
      </c>
    </row>
    <row r="3567" spans="1:19" x14ac:dyDescent="0.25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e">
        <f>VLOOKUP(F3567,'Customer Info'!A3559:I4058,2,0)</f>
        <v>#N/A</v>
      </c>
      <c r="H3567" s="6" t="e">
        <f>VLOOKUP(F3567,'Customer Info'!A3559:I4058,3,0)</f>
        <v>#N/A</v>
      </c>
      <c r="I3567" s="6" t="e">
        <f>VLOOKUP(F3567,'Customer Info'!A3559:I4058,5,0)</f>
        <v>#N/A</v>
      </c>
      <c r="J3567" s="2">
        <v>81</v>
      </c>
      <c r="K3567" s="2">
        <v>77</v>
      </c>
      <c r="L3567" s="2">
        <v>2</v>
      </c>
      <c r="M3567" s="7">
        <f t="shared" si="220"/>
        <v>154</v>
      </c>
      <c r="N3567" s="7">
        <f t="shared" si="221"/>
        <v>162</v>
      </c>
      <c r="O3567" s="2">
        <v>10</v>
      </c>
      <c r="P3567" s="8">
        <f t="shared" si="222"/>
        <v>172</v>
      </c>
      <c r="Q3567" s="8">
        <f t="shared" si="223"/>
        <v>152</v>
      </c>
      <c r="R3567" s="2" t="s">
        <v>50</v>
      </c>
      <c r="S3567" s="9">
        <f>VLOOKUP(P3567,$T$2:U3564,2,1)</f>
        <v>0.02</v>
      </c>
    </row>
    <row r="3568" spans="1:19" x14ac:dyDescent="0.25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e">
        <f>VLOOKUP(F3568,'Customer Info'!A3560:I4059,2,0)</f>
        <v>#N/A</v>
      </c>
      <c r="H3568" s="6" t="e">
        <f>VLOOKUP(F3568,'Customer Info'!A3560:I4059,3,0)</f>
        <v>#N/A</v>
      </c>
      <c r="I3568" s="6" t="e">
        <f>VLOOKUP(F3568,'Customer Info'!A3560:I4059,5,0)</f>
        <v>#N/A</v>
      </c>
      <c r="J3568" s="2">
        <v>7691</v>
      </c>
      <c r="K3568" s="2">
        <v>7255</v>
      </c>
      <c r="L3568" s="2">
        <v>2</v>
      </c>
      <c r="M3568" s="7">
        <f t="shared" si="220"/>
        <v>14510</v>
      </c>
      <c r="N3568" s="7">
        <f t="shared" si="221"/>
        <v>15382</v>
      </c>
      <c r="O3568" s="2">
        <v>21</v>
      </c>
      <c r="P3568" s="8">
        <f t="shared" si="222"/>
        <v>15403</v>
      </c>
      <c r="Q3568" s="8">
        <f t="shared" si="223"/>
        <v>15361</v>
      </c>
      <c r="R3568" s="2" t="s">
        <v>28</v>
      </c>
      <c r="S3568" s="9">
        <f>VLOOKUP(P3568,$T$2:U3565,2,1)</f>
        <v>0.05</v>
      </c>
    </row>
    <row r="3569" spans="1:19" x14ac:dyDescent="0.25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e">
        <f>VLOOKUP(F3569,'Customer Info'!A3561:I4060,2,0)</f>
        <v>#N/A</v>
      </c>
      <c r="H3569" s="6" t="e">
        <f>VLOOKUP(F3569,'Customer Info'!A3561:I4060,3,0)</f>
        <v>#N/A</v>
      </c>
      <c r="I3569" s="6" t="e">
        <f>VLOOKUP(F3569,'Customer Info'!A3561:I4060,5,0)</f>
        <v>#N/A</v>
      </c>
      <c r="J3569" s="2">
        <v>526</v>
      </c>
      <c r="K3569" s="2">
        <v>487</v>
      </c>
      <c r="L3569" s="2">
        <v>5</v>
      </c>
      <c r="M3569" s="7">
        <f t="shared" si="220"/>
        <v>2435</v>
      </c>
      <c r="N3569" s="7">
        <f t="shared" si="221"/>
        <v>2630</v>
      </c>
      <c r="O3569" s="2">
        <v>43</v>
      </c>
      <c r="P3569" s="8">
        <f t="shared" si="222"/>
        <v>2673</v>
      </c>
      <c r="Q3569" s="8">
        <f t="shared" si="223"/>
        <v>2587</v>
      </c>
      <c r="R3569" s="2" t="s">
        <v>28</v>
      </c>
      <c r="S3569" s="9">
        <f>VLOOKUP(P3569,$T$2:U3566,2,1)</f>
        <v>0.02</v>
      </c>
    </row>
    <row r="3570" spans="1:19" x14ac:dyDescent="0.25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e">
        <f>VLOOKUP(F3570,'Customer Info'!A3562:I4061,2,0)</f>
        <v>#N/A</v>
      </c>
      <c r="H3570" s="6" t="e">
        <f>VLOOKUP(F3570,'Customer Info'!A3562:I4061,3,0)</f>
        <v>#N/A</v>
      </c>
      <c r="I3570" s="6" t="e">
        <f>VLOOKUP(F3570,'Customer Info'!A3562:I4061,5,0)</f>
        <v>#N/A</v>
      </c>
      <c r="J3570" s="2">
        <v>285</v>
      </c>
      <c r="K3570" s="2">
        <v>259</v>
      </c>
      <c r="L3570" s="2">
        <v>2</v>
      </c>
      <c r="M3570" s="7">
        <f t="shared" si="220"/>
        <v>518</v>
      </c>
      <c r="N3570" s="7">
        <f t="shared" si="221"/>
        <v>570</v>
      </c>
      <c r="O3570" s="2">
        <v>59</v>
      </c>
      <c r="P3570" s="8">
        <f t="shared" si="222"/>
        <v>629</v>
      </c>
      <c r="Q3570" s="8">
        <f t="shared" si="223"/>
        <v>511</v>
      </c>
      <c r="R3570" s="2" t="s">
        <v>50</v>
      </c>
      <c r="S3570" s="9">
        <f>VLOOKUP(P3570,$T$2:U3567,2,1)</f>
        <v>0.02</v>
      </c>
    </row>
    <row r="3571" spans="1:19" x14ac:dyDescent="0.25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e">
        <f>VLOOKUP(F3571,'Customer Info'!A3563:I4062,2,0)</f>
        <v>#N/A</v>
      </c>
      <c r="H3571" s="6" t="e">
        <f>VLOOKUP(F3571,'Customer Info'!A3563:I4062,3,0)</f>
        <v>#N/A</v>
      </c>
      <c r="I3571" s="6" t="e">
        <f>VLOOKUP(F3571,'Customer Info'!A3563:I4062,5,0)</f>
        <v>#N/A</v>
      </c>
      <c r="J3571" s="2">
        <v>8686</v>
      </c>
      <c r="K3571" s="2">
        <v>8035</v>
      </c>
      <c r="L3571" s="2">
        <v>3</v>
      </c>
      <c r="M3571" s="7">
        <f t="shared" si="220"/>
        <v>24105</v>
      </c>
      <c r="N3571" s="7">
        <f t="shared" si="221"/>
        <v>26058</v>
      </c>
      <c r="O3571" s="2">
        <v>76</v>
      </c>
      <c r="P3571" s="8">
        <f t="shared" si="222"/>
        <v>26134</v>
      </c>
      <c r="Q3571" s="8">
        <f t="shared" si="223"/>
        <v>25982</v>
      </c>
      <c r="R3571" s="2" t="s">
        <v>28</v>
      </c>
      <c r="S3571" s="9">
        <f>VLOOKUP(P3571,$T$2:U3568,2,1)</f>
        <v>7.0000000000000007E-2</v>
      </c>
    </row>
    <row r="3572" spans="1:19" x14ac:dyDescent="0.25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e">
        <f>VLOOKUP(F3572,'Customer Info'!A3564:I4063,2,0)</f>
        <v>#N/A</v>
      </c>
      <c r="H3572" s="6" t="e">
        <f>VLOOKUP(F3572,'Customer Info'!A3564:I4063,3,0)</f>
        <v>#N/A</v>
      </c>
      <c r="I3572" s="6" t="e">
        <f>VLOOKUP(F3572,'Customer Info'!A3564:I4063,5,0)</f>
        <v>#N/A</v>
      </c>
      <c r="J3572" s="2">
        <v>7141</v>
      </c>
      <c r="K3572" s="2">
        <v>6541</v>
      </c>
      <c r="L3572" s="2">
        <v>1</v>
      </c>
      <c r="M3572" s="7">
        <f t="shared" si="220"/>
        <v>6541</v>
      </c>
      <c r="N3572" s="7">
        <f t="shared" si="221"/>
        <v>7141</v>
      </c>
      <c r="O3572" s="2">
        <v>39</v>
      </c>
      <c r="P3572" s="8">
        <f t="shared" si="222"/>
        <v>7180</v>
      </c>
      <c r="Q3572" s="8">
        <f t="shared" si="223"/>
        <v>7102</v>
      </c>
      <c r="R3572" s="2" t="s">
        <v>28</v>
      </c>
      <c r="S3572" s="9">
        <f>VLOOKUP(P3572,$T$2:U3569,2,1)</f>
        <v>0.05</v>
      </c>
    </row>
    <row r="3573" spans="1:19" x14ac:dyDescent="0.25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e">
        <f>VLOOKUP(F3573,'Customer Info'!A3565:I4064,2,0)</f>
        <v>#N/A</v>
      </c>
      <c r="H3573" s="6" t="e">
        <f>VLOOKUP(F3573,'Customer Info'!A3565:I4064,3,0)</f>
        <v>#N/A</v>
      </c>
      <c r="I3573" s="6" t="e">
        <f>VLOOKUP(F3573,'Customer Info'!A3565:I4064,5,0)</f>
        <v>#N/A</v>
      </c>
      <c r="J3573" s="2">
        <v>4846</v>
      </c>
      <c r="K3573" s="2">
        <v>4492</v>
      </c>
      <c r="L3573" s="2">
        <v>2</v>
      </c>
      <c r="M3573" s="7">
        <f t="shared" si="220"/>
        <v>8984</v>
      </c>
      <c r="N3573" s="7">
        <f t="shared" si="221"/>
        <v>9692</v>
      </c>
      <c r="O3573" s="2">
        <v>64</v>
      </c>
      <c r="P3573" s="8">
        <f t="shared" si="222"/>
        <v>9756</v>
      </c>
      <c r="Q3573" s="8">
        <f t="shared" si="223"/>
        <v>9628</v>
      </c>
      <c r="R3573" s="2" t="s">
        <v>28</v>
      </c>
      <c r="S3573" s="9">
        <f>VLOOKUP(P3573,$T$2:U3570,2,1)</f>
        <v>0.05</v>
      </c>
    </row>
    <row r="3574" spans="1:19" x14ac:dyDescent="0.25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e">
        <f>VLOOKUP(F3574,'Customer Info'!A3566:I4065,2,0)</f>
        <v>#N/A</v>
      </c>
      <c r="H3574" s="6" t="e">
        <f>VLOOKUP(F3574,'Customer Info'!A3566:I4065,3,0)</f>
        <v>#N/A</v>
      </c>
      <c r="I3574" s="6" t="e">
        <f>VLOOKUP(F3574,'Customer Info'!A3566:I4065,5,0)</f>
        <v>#N/A</v>
      </c>
      <c r="J3574" s="2">
        <v>142</v>
      </c>
      <c r="K3574" s="2">
        <v>129</v>
      </c>
      <c r="L3574" s="2">
        <v>2</v>
      </c>
      <c r="M3574" s="7">
        <f t="shared" si="220"/>
        <v>258</v>
      </c>
      <c r="N3574" s="7">
        <f t="shared" si="221"/>
        <v>284</v>
      </c>
      <c r="O3574" s="2">
        <v>30</v>
      </c>
      <c r="P3574" s="8">
        <f t="shared" si="222"/>
        <v>314</v>
      </c>
      <c r="Q3574" s="8">
        <f t="shared" si="223"/>
        <v>254</v>
      </c>
      <c r="R3574" s="2" t="s">
        <v>50</v>
      </c>
      <c r="S3574" s="9">
        <f>VLOOKUP(P3574,$T$2:U3571,2,1)</f>
        <v>0.02</v>
      </c>
    </row>
    <row r="3575" spans="1:19" x14ac:dyDescent="0.25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e">
        <f>VLOOKUP(F3575,'Customer Info'!A3567:I4066,2,0)</f>
        <v>#N/A</v>
      </c>
      <c r="H3575" s="6" t="e">
        <f>VLOOKUP(F3575,'Customer Info'!A3567:I4066,3,0)</f>
        <v>#N/A</v>
      </c>
      <c r="I3575" s="6" t="e">
        <f>VLOOKUP(F3575,'Customer Info'!A3567:I4066,5,0)</f>
        <v>#N/A</v>
      </c>
      <c r="J3575" s="2">
        <v>1808</v>
      </c>
      <c r="K3575" s="2">
        <v>1740</v>
      </c>
      <c r="L3575" s="2">
        <v>1</v>
      </c>
      <c r="M3575" s="7">
        <f t="shared" si="220"/>
        <v>1740</v>
      </c>
      <c r="N3575" s="7">
        <f t="shared" si="221"/>
        <v>1808</v>
      </c>
      <c r="O3575" s="2">
        <v>29</v>
      </c>
      <c r="P3575" s="8">
        <f t="shared" si="222"/>
        <v>1837</v>
      </c>
      <c r="Q3575" s="8">
        <f t="shared" si="223"/>
        <v>1779</v>
      </c>
      <c r="R3575" s="2" t="s">
        <v>28</v>
      </c>
      <c r="S3575" s="9">
        <f>VLOOKUP(P3575,$T$2:U3572,2,1)</f>
        <v>0.02</v>
      </c>
    </row>
    <row r="3576" spans="1:19" x14ac:dyDescent="0.25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e">
        <f>VLOOKUP(F3576,'Customer Info'!A3568:I4067,2,0)</f>
        <v>#N/A</v>
      </c>
      <c r="H3576" s="6" t="e">
        <f>VLOOKUP(F3576,'Customer Info'!A3568:I4067,3,0)</f>
        <v>#N/A</v>
      </c>
      <c r="I3576" s="6" t="e">
        <f>VLOOKUP(F3576,'Customer Info'!A3568:I4067,5,0)</f>
        <v>#N/A</v>
      </c>
      <c r="J3576" s="2">
        <v>2951</v>
      </c>
      <c r="K3576" s="2">
        <v>2786</v>
      </c>
      <c r="L3576" s="2">
        <v>3</v>
      </c>
      <c r="M3576" s="7">
        <f t="shared" si="220"/>
        <v>8358</v>
      </c>
      <c r="N3576" s="7">
        <f t="shared" si="221"/>
        <v>8853</v>
      </c>
      <c r="O3576" s="2">
        <v>82</v>
      </c>
      <c r="P3576" s="8">
        <f t="shared" si="222"/>
        <v>8935</v>
      </c>
      <c r="Q3576" s="8">
        <f t="shared" si="223"/>
        <v>8771</v>
      </c>
      <c r="R3576" s="2" t="s">
        <v>28</v>
      </c>
      <c r="S3576" s="9">
        <f>VLOOKUP(P3576,$T$2:U3573,2,1)</f>
        <v>0.05</v>
      </c>
    </row>
    <row r="3577" spans="1:19" x14ac:dyDescent="0.25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e">
        <f>VLOOKUP(F3577,'Customer Info'!A3569:I4068,2,0)</f>
        <v>#N/A</v>
      </c>
      <c r="H3577" s="6" t="e">
        <f>VLOOKUP(F3577,'Customer Info'!A3569:I4068,3,0)</f>
        <v>#N/A</v>
      </c>
      <c r="I3577" s="6" t="e">
        <f>VLOOKUP(F3577,'Customer Info'!A3569:I4068,5,0)</f>
        <v>#N/A</v>
      </c>
      <c r="J3577" s="2">
        <v>288</v>
      </c>
      <c r="K3577" s="2">
        <v>264</v>
      </c>
      <c r="L3577" s="2">
        <v>1</v>
      </c>
      <c r="M3577" s="7">
        <f t="shared" si="220"/>
        <v>264</v>
      </c>
      <c r="N3577" s="7">
        <f t="shared" si="221"/>
        <v>288</v>
      </c>
      <c r="O3577" s="2">
        <v>54</v>
      </c>
      <c r="P3577" s="8">
        <f t="shared" si="222"/>
        <v>342</v>
      </c>
      <c r="Q3577" s="8">
        <f t="shared" si="223"/>
        <v>234</v>
      </c>
      <c r="R3577" s="2" t="s">
        <v>28</v>
      </c>
      <c r="S3577" s="9">
        <f>VLOOKUP(P3577,$T$2:U3574,2,1)</f>
        <v>0.02</v>
      </c>
    </row>
    <row r="3578" spans="1:19" x14ac:dyDescent="0.25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e">
        <f>VLOOKUP(F3578,'Customer Info'!A3570:I4069,2,0)</f>
        <v>#N/A</v>
      </c>
      <c r="H3578" s="6" t="e">
        <f>VLOOKUP(F3578,'Customer Info'!A3570:I4069,3,0)</f>
        <v>#N/A</v>
      </c>
      <c r="I3578" s="6" t="e">
        <f>VLOOKUP(F3578,'Customer Info'!A3570:I4069,5,0)</f>
        <v>#N/A</v>
      </c>
      <c r="J3578" s="2">
        <v>144</v>
      </c>
      <c r="K3578" s="2">
        <v>132</v>
      </c>
      <c r="L3578" s="2">
        <v>4</v>
      </c>
      <c r="M3578" s="7">
        <f t="shared" si="220"/>
        <v>528</v>
      </c>
      <c r="N3578" s="7">
        <f t="shared" si="221"/>
        <v>576</v>
      </c>
      <c r="O3578" s="2">
        <v>30</v>
      </c>
      <c r="P3578" s="8">
        <f t="shared" si="222"/>
        <v>606</v>
      </c>
      <c r="Q3578" s="8">
        <f t="shared" si="223"/>
        <v>546</v>
      </c>
      <c r="R3578" s="2" t="s">
        <v>50</v>
      </c>
      <c r="S3578" s="9">
        <f>VLOOKUP(P3578,$T$2:U3575,2,1)</f>
        <v>0.02</v>
      </c>
    </row>
    <row r="3579" spans="1:19" x14ac:dyDescent="0.25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e">
        <f>VLOOKUP(F3579,'Customer Info'!A3571:I4070,2,0)</f>
        <v>#N/A</v>
      </c>
      <c r="H3579" s="6" t="e">
        <f>VLOOKUP(F3579,'Customer Info'!A3571:I4070,3,0)</f>
        <v>#N/A</v>
      </c>
      <c r="I3579" s="6" t="e">
        <f>VLOOKUP(F3579,'Customer Info'!A3571:I4070,5,0)</f>
        <v>#N/A</v>
      </c>
      <c r="J3579" s="2">
        <v>6354</v>
      </c>
      <c r="K3579" s="2">
        <v>5769</v>
      </c>
      <c r="L3579" s="2">
        <v>3</v>
      </c>
      <c r="M3579" s="7">
        <f t="shared" si="220"/>
        <v>17307</v>
      </c>
      <c r="N3579" s="7">
        <f t="shared" si="221"/>
        <v>19062</v>
      </c>
      <c r="O3579" s="2">
        <v>49</v>
      </c>
      <c r="P3579" s="8">
        <f t="shared" si="222"/>
        <v>19111</v>
      </c>
      <c r="Q3579" s="8">
        <f t="shared" si="223"/>
        <v>19013</v>
      </c>
      <c r="R3579" s="2" t="s">
        <v>50</v>
      </c>
      <c r="S3579" s="9">
        <f>VLOOKUP(P3579,$T$2:U3576,2,1)</f>
        <v>0.05</v>
      </c>
    </row>
    <row r="3580" spans="1:19" x14ac:dyDescent="0.25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e">
        <f>VLOOKUP(F3580,'Customer Info'!A3572:I4071,2,0)</f>
        <v>#N/A</v>
      </c>
      <c r="H3580" s="6" t="e">
        <f>VLOOKUP(F3580,'Customer Info'!A3572:I4071,3,0)</f>
        <v>#N/A</v>
      </c>
      <c r="I3580" s="6" t="e">
        <f>VLOOKUP(F3580,'Customer Info'!A3572:I4071,5,0)</f>
        <v>#N/A</v>
      </c>
      <c r="J3580" s="2">
        <v>92</v>
      </c>
      <c r="K3580" s="2">
        <v>85</v>
      </c>
      <c r="L3580" s="2">
        <v>2</v>
      </c>
      <c r="M3580" s="7">
        <f t="shared" si="220"/>
        <v>170</v>
      </c>
      <c r="N3580" s="7">
        <f t="shared" si="221"/>
        <v>184</v>
      </c>
      <c r="O3580" s="2">
        <v>10</v>
      </c>
      <c r="P3580" s="8">
        <f t="shared" si="222"/>
        <v>194</v>
      </c>
      <c r="Q3580" s="8">
        <f t="shared" si="223"/>
        <v>174</v>
      </c>
      <c r="R3580" s="2" t="s">
        <v>56</v>
      </c>
      <c r="S3580" s="9">
        <f>VLOOKUP(P3580,$T$2:U3577,2,1)</f>
        <v>0.02</v>
      </c>
    </row>
    <row r="3581" spans="1:19" x14ac:dyDescent="0.25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e">
        <f>VLOOKUP(F3581,'Customer Info'!A3573:I4072,2,0)</f>
        <v>#N/A</v>
      </c>
      <c r="H3581" s="6" t="e">
        <f>VLOOKUP(F3581,'Customer Info'!A3573:I4072,3,0)</f>
        <v>#N/A</v>
      </c>
      <c r="I3581" s="6" t="e">
        <f>VLOOKUP(F3581,'Customer Info'!A3573:I4072,5,0)</f>
        <v>#N/A</v>
      </c>
      <c r="J3581" s="2">
        <v>1186</v>
      </c>
      <c r="K3581" s="2">
        <v>1141</v>
      </c>
      <c r="L3581" s="2">
        <v>3</v>
      </c>
      <c r="M3581" s="7">
        <f t="shared" si="220"/>
        <v>3423</v>
      </c>
      <c r="N3581" s="7">
        <f t="shared" si="221"/>
        <v>3558</v>
      </c>
      <c r="O3581" s="2">
        <v>49</v>
      </c>
      <c r="P3581" s="8">
        <f t="shared" si="222"/>
        <v>3607</v>
      </c>
      <c r="Q3581" s="8">
        <f t="shared" si="223"/>
        <v>3509</v>
      </c>
      <c r="R3581" s="2" t="s">
        <v>28</v>
      </c>
      <c r="S3581" s="9">
        <f>VLOOKUP(P3581,$T$2:U3578,2,1)</f>
        <v>0.02</v>
      </c>
    </row>
    <row r="3582" spans="1:19" x14ac:dyDescent="0.25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e">
        <f>VLOOKUP(F3582,'Customer Info'!A3574:I4073,2,0)</f>
        <v>#N/A</v>
      </c>
      <c r="H3582" s="6" t="e">
        <f>VLOOKUP(F3582,'Customer Info'!A3574:I4073,3,0)</f>
        <v>#N/A</v>
      </c>
      <c r="I3582" s="6" t="e">
        <f>VLOOKUP(F3582,'Customer Info'!A3574:I4073,5,0)</f>
        <v>#N/A</v>
      </c>
      <c r="J3582" s="2">
        <v>7361</v>
      </c>
      <c r="K3582" s="2">
        <v>6887</v>
      </c>
      <c r="L3582" s="2">
        <v>4</v>
      </c>
      <c r="M3582" s="7">
        <f t="shared" si="220"/>
        <v>27548</v>
      </c>
      <c r="N3582" s="7">
        <f t="shared" si="221"/>
        <v>29444</v>
      </c>
      <c r="O3582" s="2">
        <v>28</v>
      </c>
      <c r="P3582" s="8">
        <f t="shared" si="222"/>
        <v>29472</v>
      </c>
      <c r="Q3582" s="8">
        <f t="shared" si="223"/>
        <v>29416</v>
      </c>
      <c r="R3582" s="2" t="s">
        <v>50</v>
      </c>
      <c r="S3582" s="9">
        <f>VLOOKUP(P3582,$T$2:U3579,2,1)</f>
        <v>7.0000000000000007E-2</v>
      </c>
    </row>
    <row r="3583" spans="1:19" x14ac:dyDescent="0.25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e">
        <f>VLOOKUP(F3583,'Customer Info'!A3575:I4074,2,0)</f>
        <v>#N/A</v>
      </c>
      <c r="H3583" s="6" t="e">
        <f>VLOOKUP(F3583,'Customer Info'!A3575:I4074,3,0)</f>
        <v>#N/A</v>
      </c>
      <c r="I3583" s="6" t="e">
        <f>VLOOKUP(F3583,'Customer Info'!A3575:I4074,5,0)</f>
        <v>#N/A</v>
      </c>
      <c r="J3583" s="2">
        <v>58</v>
      </c>
      <c r="K3583" s="2">
        <v>56</v>
      </c>
      <c r="L3583" s="2">
        <v>1</v>
      </c>
      <c r="M3583" s="7">
        <f t="shared" si="220"/>
        <v>56</v>
      </c>
      <c r="N3583" s="7">
        <f t="shared" si="221"/>
        <v>58</v>
      </c>
      <c r="O3583" s="2">
        <v>10</v>
      </c>
      <c r="P3583" s="8">
        <f t="shared" si="222"/>
        <v>68</v>
      </c>
      <c r="Q3583" s="8">
        <f t="shared" si="223"/>
        <v>48</v>
      </c>
      <c r="R3583" s="2" t="s">
        <v>28</v>
      </c>
      <c r="S3583" s="9">
        <f>VLOOKUP(P3583,$T$2:U3580,2,1)</f>
        <v>0.02</v>
      </c>
    </row>
    <row r="3584" spans="1:19" x14ac:dyDescent="0.25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e">
        <f>VLOOKUP(F3584,'Customer Info'!A3576:I4075,2,0)</f>
        <v>#N/A</v>
      </c>
      <c r="H3584" s="6" t="e">
        <f>VLOOKUP(F3584,'Customer Info'!A3576:I4075,3,0)</f>
        <v>#N/A</v>
      </c>
      <c r="I3584" s="6" t="e">
        <f>VLOOKUP(F3584,'Customer Info'!A3576:I4075,5,0)</f>
        <v>#N/A</v>
      </c>
      <c r="J3584" s="2">
        <v>886</v>
      </c>
      <c r="K3584" s="2">
        <v>796</v>
      </c>
      <c r="L3584" s="2">
        <v>9</v>
      </c>
      <c r="M3584" s="7">
        <f t="shared" si="220"/>
        <v>7164</v>
      </c>
      <c r="N3584" s="7">
        <f t="shared" si="221"/>
        <v>7974</v>
      </c>
      <c r="O3584" s="2">
        <v>71</v>
      </c>
      <c r="P3584" s="8">
        <f t="shared" si="222"/>
        <v>8045</v>
      </c>
      <c r="Q3584" s="8">
        <f t="shared" si="223"/>
        <v>7903</v>
      </c>
      <c r="R3584" s="2" t="s">
        <v>28</v>
      </c>
      <c r="S3584" s="9">
        <f>VLOOKUP(P3584,$T$2:U3581,2,1)</f>
        <v>0.05</v>
      </c>
    </row>
    <row r="3585" spans="1:19" x14ac:dyDescent="0.25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e">
        <f>VLOOKUP(F3585,'Customer Info'!A3577:I4076,2,0)</f>
        <v>#N/A</v>
      </c>
      <c r="H3585" s="6" t="e">
        <f>VLOOKUP(F3585,'Customer Info'!A3577:I4076,3,0)</f>
        <v>#N/A</v>
      </c>
      <c r="I3585" s="6" t="e">
        <f>VLOOKUP(F3585,'Customer Info'!A3577:I4076,5,0)</f>
        <v>#N/A</v>
      </c>
      <c r="J3585" s="2">
        <v>851</v>
      </c>
      <c r="K3585" s="2">
        <v>773</v>
      </c>
      <c r="L3585" s="2">
        <v>7</v>
      </c>
      <c r="M3585" s="7">
        <f t="shared" si="220"/>
        <v>5411</v>
      </c>
      <c r="N3585" s="7">
        <f t="shared" si="221"/>
        <v>5957</v>
      </c>
      <c r="O3585" s="2">
        <v>72</v>
      </c>
      <c r="P3585" s="8">
        <f t="shared" si="222"/>
        <v>6029</v>
      </c>
      <c r="Q3585" s="8">
        <f t="shared" si="223"/>
        <v>5885</v>
      </c>
      <c r="R3585" s="2" t="s">
        <v>28</v>
      </c>
      <c r="S3585" s="9">
        <f>VLOOKUP(P3585,$T$2:U3582,2,1)</f>
        <v>0.05</v>
      </c>
    </row>
    <row r="3586" spans="1:19" x14ac:dyDescent="0.25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e">
        <f>VLOOKUP(F3586,'Customer Info'!A3578:I4077,2,0)</f>
        <v>#N/A</v>
      </c>
      <c r="H3586" s="6" t="e">
        <f>VLOOKUP(F3586,'Customer Info'!A3578:I4077,3,0)</f>
        <v>#N/A</v>
      </c>
      <c r="I3586" s="6" t="e">
        <f>VLOOKUP(F3586,'Customer Info'!A3578:I4077,5,0)</f>
        <v>#N/A</v>
      </c>
      <c r="J3586" s="2">
        <v>100</v>
      </c>
      <c r="K3586" s="2">
        <v>95</v>
      </c>
      <c r="L3586" s="2">
        <v>1</v>
      </c>
      <c r="M3586" s="7">
        <f t="shared" si="220"/>
        <v>95</v>
      </c>
      <c r="N3586" s="7">
        <f t="shared" si="221"/>
        <v>100</v>
      </c>
      <c r="O3586" s="2">
        <v>10</v>
      </c>
      <c r="P3586" s="8">
        <f t="shared" si="222"/>
        <v>110</v>
      </c>
      <c r="Q3586" s="8">
        <f t="shared" si="223"/>
        <v>90</v>
      </c>
      <c r="R3586" s="2" t="s">
        <v>28</v>
      </c>
      <c r="S3586" s="9">
        <f>VLOOKUP(P3586,$T$2:U3583,2,1)</f>
        <v>0.02</v>
      </c>
    </row>
    <row r="3587" spans="1:19" x14ac:dyDescent="0.25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e">
        <f>VLOOKUP(F3587,'Customer Info'!A3579:I4078,2,0)</f>
        <v>#N/A</v>
      </c>
      <c r="H3587" s="6" t="e">
        <f>VLOOKUP(F3587,'Customer Info'!A3579:I4078,3,0)</f>
        <v>#N/A</v>
      </c>
      <c r="I3587" s="6" t="e">
        <f>VLOOKUP(F3587,'Customer Info'!A3579:I4078,5,0)</f>
        <v>#N/A</v>
      </c>
      <c r="J3587" s="2">
        <v>1039</v>
      </c>
      <c r="K3587" s="2">
        <v>954</v>
      </c>
      <c r="L3587" s="2">
        <v>1</v>
      </c>
      <c r="M3587" s="7">
        <f t="shared" si="220"/>
        <v>954</v>
      </c>
      <c r="N3587" s="7">
        <f t="shared" si="221"/>
        <v>1039</v>
      </c>
      <c r="O3587" s="2">
        <v>63</v>
      </c>
      <c r="P3587" s="8">
        <f t="shared" si="222"/>
        <v>1102</v>
      </c>
      <c r="Q3587" s="8">
        <f t="shared" si="223"/>
        <v>976</v>
      </c>
      <c r="R3587" s="2" t="s">
        <v>28</v>
      </c>
      <c r="S3587" s="9">
        <f>VLOOKUP(P3587,$T$2:U3584,2,1)</f>
        <v>0.02</v>
      </c>
    </row>
    <row r="3588" spans="1:19" x14ac:dyDescent="0.25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e">
        <f>VLOOKUP(F3588,'Customer Info'!A3580:I4079,2,0)</f>
        <v>#N/A</v>
      </c>
      <c r="H3588" s="6" t="e">
        <f>VLOOKUP(F3588,'Customer Info'!A3580:I4079,3,0)</f>
        <v>#N/A</v>
      </c>
      <c r="I3588" s="6" t="e">
        <f>VLOOKUP(F3588,'Customer Info'!A3580:I4079,5,0)</f>
        <v>#N/A</v>
      </c>
      <c r="J3588" s="2">
        <v>30223</v>
      </c>
      <c r="K3588" s="2">
        <v>27428</v>
      </c>
      <c r="L3588" s="2">
        <v>2</v>
      </c>
      <c r="M3588" s="7">
        <f t="shared" si="220"/>
        <v>54856</v>
      </c>
      <c r="N3588" s="7">
        <f t="shared" si="221"/>
        <v>60446</v>
      </c>
      <c r="O3588" s="2">
        <v>92</v>
      </c>
      <c r="P3588" s="8">
        <f t="shared" si="222"/>
        <v>60538</v>
      </c>
      <c r="Q3588" s="8">
        <f t="shared" si="223"/>
        <v>60354</v>
      </c>
      <c r="R3588" s="2" t="s">
        <v>28</v>
      </c>
      <c r="S3588" s="9">
        <f>VLOOKUP(P3588,$T$2:U3585,2,1)</f>
        <v>0.09</v>
      </c>
    </row>
    <row r="3589" spans="1:19" x14ac:dyDescent="0.25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e">
        <f>VLOOKUP(F3589,'Customer Info'!A3581:I4080,2,0)</f>
        <v>#N/A</v>
      </c>
      <c r="H3589" s="6" t="e">
        <f>VLOOKUP(F3589,'Customer Info'!A3581:I4080,3,0)</f>
        <v>#N/A</v>
      </c>
      <c r="I3589" s="6" t="e">
        <f>VLOOKUP(F3589,'Customer Info'!A3581:I4080,5,0)</f>
        <v>#N/A</v>
      </c>
      <c r="J3589" s="2">
        <v>2273</v>
      </c>
      <c r="K3589" s="2">
        <v>2229</v>
      </c>
      <c r="L3589" s="2">
        <v>1</v>
      </c>
      <c r="M3589" s="7">
        <f t="shared" si="220"/>
        <v>2229</v>
      </c>
      <c r="N3589" s="7">
        <f t="shared" si="221"/>
        <v>2273</v>
      </c>
      <c r="O3589" s="2">
        <v>71</v>
      </c>
      <c r="P3589" s="8">
        <f t="shared" si="222"/>
        <v>2344</v>
      </c>
      <c r="Q3589" s="8">
        <f t="shared" si="223"/>
        <v>2202</v>
      </c>
      <c r="R3589" s="2" t="s">
        <v>26</v>
      </c>
      <c r="S3589" s="9">
        <f>VLOOKUP(P3589,$T$2:U3586,2,1)</f>
        <v>0.02</v>
      </c>
    </row>
    <row r="3590" spans="1:19" x14ac:dyDescent="0.25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e">
        <f>VLOOKUP(F3590,'Customer Info'!A3582:I4081,2,0)</f>
        <v>#N/A</v>
      </c>
      <c r="H3590" s="6" t="e">
        <f>VLOOKUP(F3590,'Customer Info'!A3582:I4081,3,0)</f>
        <v>#N/A</v>
      </c>
      <c r="I3590" s="6" t="e">
        <f>VLOOKUP(F3590,'Customer Info'!A3582:I4081,5,0)</f>
        <v>#N/A</v>
      </c>
      <c r="J3590" s="2">
        <v>1808</v>
      </c>
      <c r="K3590" s="2">
        <v>1740</v>
      </c>
      <c r="L3590" s="2">
        <v>3</v>
      </c>
      <c r="M3590" s="7">
        <f t="shared" si="220"/>
        <v>5220</v>
      </c>
      <c r="N3590" s="7">
        <f t="shared" si="221"/>
        <v>5424</v>
      </c>
      <c r="O3590" s="2">
        <v>35</v>
      </c>
      <c r="P3590" s="8">
        <f t="shared" si="222"/>
        <v>5459</v>
      </c>
      <c r="Q3590" s="8">
        <f t="shared" si="223"/>
        <v>5389</v>
      </c>
      <c r="R3590" s="2" t="s">
        <v>28</v>
      </c>
      <c r="S3590" s="9">
        <f>VLOOKUP(P3590,$T$2:U3587,2,1)</f>
        <v>0.05</v>
      </c>
    </row>
    <row r="3591" spans="1:19" x14ac:dyDescent="0.25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e">
        <f>VLOOKUP(F3591,'Customer Info'!A3583:I4082,2,0)</f>
        <v>#N/A</v>
      </c>
      <c r="H3591" s="6" t="e">
        <f>VLOOKUP(F3591,'Customer Info'!A3583:I4082,3,0)</f>
        <v>#N/A</v>
      </c>
      <c r="I3591" s="6" t="e">
        <f>VLOOKUP(F3591,'Customer Info'!A3583:I4082,5,0)</f>
        <v>#N/A</v>
      </c>
      <c r="J3591" s="2">
        <v>2958</v>
      </c>
      <c r="K3591" s="2">
        <v>2743</v>
      </c>
      <c r="L3591" s="2">
        <v>4</v>
      </c>
      <c r="M3591" s="7">
        <f t="shared" si="220"/>
        <v>10972</v>
      </c>
      <c r="N3591" s="7">
        <f t="shared" si="221"/>
        <v>11832</v>
      </c>
      <c r="O3591" s="2">
        <v>32</v>
      </c>
      <c r="P3591" s="8">
        <f t="shared" si="222"/>
        <v>11864</v>
      </c>
      <c r="Q3591" s="8">
        <f t="shared" si="223"/>
        <v>11800</v>
      </c>
      <c r="R3591" s="2" t="s">
        <v>50</v>
      </c>
      <c r="S3591" s="9">
        <f>VLOOKUP(P3591,$T$2:U3588,2,1)</f>
        <v>0.05</v>
      </c>
    </row>
    <row r="3592" spans="1:19" x14ac:dyDescent="0.25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e">
        <f>VLOOKUP(F3592,'Customer Info'!A3584:I4083,2,0)</f>
        <v>#N/A</v>
      </c>
      <c r="H3592" s="6" t="e">
        <f>VLOOKUP(F3592,'Customer Info'!A3584:I4083,3,0)</f>
        <v>#N/A</v>
      </c>
      <c r="I3592" s="6" t="e">
        <f>VLOOKUP(F3592,'Customer Info'!A3584:I4083,5,0)</f>
        <v>#N/A</v>
      </c>
      <c r="J3592" s="2">
        <v>2706</v>
      </c>
      <c r="K3592" s="2">
        <v>2553</v>
      </c>
      <c r="L3592" s="2">
        <v>2</v>
      </c>
      <c r="M3592" s="7">
        <f t="shared" si="220"/>
        <v>5106</v>
      </c>
      <c r="N3592" s="7">
        <f t="shared" si="221"/>
        <v>5412</v>
      </c>
      <c r="O3592" s="2">
        <v>22</v>
      </c>
      <c r="P3592" s="8">
        <f t="shared" si="222"/>
        <v>5434</v>
      </c>
      <c r="Q3592" s="8">
        <f t="shared" si="223"/>
        <v>5390</v>
      </c>
      <c r="R3592" s="2" t="s">
        <v>50</v>
      </c>
      <c r="S3592" s="9">
        <f>VLOOKUP(P3592,$T$2:U3589,2,1)</f>
        <v>0.05</v>
      </c>
    </row>
    <row r="3593" spans="1:19" x14ac:dyDescent="0.25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e">
        <f>VLOOKUP(F3593,'Customer Info'!A3585:I4084,2,0)</f>
        <v>#N/A</v>
      </c>
      <c r="H3593" s="6" t="e">
        <f>VLOOKUP(F3593,'Customer Info'!A3585:I4084,3,0)</f>
        <v>#N/A</v>
      </c>
      <c r="I3593" s="6" t="e">
        <f>VLOOKUP(F3593,'Customer Info'!A3585:I4084,5,0)</f>
        <v>#N/A</v>
      </c>
      <c r="J3593" s="2">
        <v>1305</v>
      </c>
      <c r="K3593" s="2">
        <v>1197</v>
      </c>
      <c r="L3593" s="2">
        <v>2</v>
      </c>
      <c r="M3593" s="7">
        <f t="shared" si="220"/>
        <v>2394</v>
      </c>
      <c r="N3593" s="7">
        <f t="shared" si="221"/>
        <v>2610</v>
      </c>
      <c r="O3593" s="2">
        <v>76</v>
      </c>
      <c r="P3593" s="8">
        <f t="shared" si="222"/>
        <v>2686</v>
      </c>
      <c r="Q3593" s="8">
        <f t="shared" si="223"/>
        <v>2534</v>
      </c>
      <c r="R3593" s="2" t="s">
        <v>28</v>
      </c>
      <c r="S3593" s="9">
        <f>VLOOKUP(P3593,$T$2:U3590,2,1)</f>
        <v>0.02</v>
      </c>
    </row>
    <row r="3594" spans="1:19" x14ac:dyDescent="0.25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e">
        <f>VLOOKUP(F3594,'Customer Info'!A3586:I4085,2,0)</f>
        <v>#N/A</v>
      </c>
      <c r="H3594" s="6" t="e">
        <f>VLOOKUP(F3594,'Customer Info'!A3586:I4085,3,0)</f>
        <v>#N/A</v>
      </c>
      <c r="I3594" s="6" t="e">
        <f>VLOOKUP(F3594,'Customer Info'!A3586:I4085,5,0)</f>
        <v>#N/A</v>
      </c>
      <c r="J3594" s="2">
        <v>123</v>
      </c>
      <c r="K3594" s="2">
        <v>115</v>
      </c>
      <c r="L3594" s="2">
        <v>2</v>
      </c>
      <c r="M3594" s="7">
        <f t="shared" si="220"/>
        <v>230</v>
      </c>
      <c r="N3594" s="7">
        <f t="shared" si="221"/>
        <v>246</v>
      </c>
      <c r="O3594" s="2">
        <v>30</v>
      </c>
      <c r="P3594" s="8">
        <f t="shared" si="222"/>
        <v>276</v>
      </c>
      <c r="Q3594" s="8">
        <f t="shared" si="223"/>
        <v>216</v>
      </c>
      <c r="R3594" s="2" t="s">
        <v>28</v>
      </c>
      <c r="S3594" s="9">
        <f>VLOOKUP(P3594,$T$2:U3591,2,1)</f>
        <v>0.02</v>
      </c>
    </row>
    <row r="3595" spans="1:19" x14ac:dyDescent="0.25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e">
        <f>VLOOKUP(F3595,'Customer Info'!A3587:I4086,2,0)</f>
        <v>#N/A</v>
      </c>
      <c r="H3595" s="6" t="e">
        <f>VLOOKUP(F3595,'Customer Info'!A3587:I4086,3,0)</f>
        <v>#N/A</v>
      </c>
      <c r="I3595" s="6" t="e">
        <f>VLOOKUP(F3595,'Customer Info'!A3587:I4086,5,0)</f>
        <v>#N/A</v>
      </c>
      <c r="J3595" s="2">
        <v>183</v>
      </c>
      <c r="K3595" s="2">
        <v>168</v>
      </c>
      <c r="L3595" s="2">
        <v>4</v>
      </c>
      <c r="M3595" s="7">
        <f t="shared" ref="M3595:M3658" si="224">K3595*L3595</f>
        <v>672</v>
      </c>
      <c r="N3595" s="7">
        <f t="shared" ref="N3595:N3658" si="225">J3595*L3595</f>
        <v>732</v>
      </c>
      <c r="O3595" s="2">
        <v>30</v>
      </c>
      <c r="P3595" s="8">
        <f t="shared" ref="P3595:P3658" si="226">SUM(N3595,O3595)</f>
        <v>762</v>
      </c>
      <c r="Q3595" s="8">
        <f t="shared" ref="Q3595:Q3658" si="227">N3595-O3595</f>
        <v>702</v>
      </c>
      <c r="R3595" s="2" t="s">
        <v>26</v>
      </c>
      <c r="S3595" s="9">
        <f>VLOOKUP(P3595,$T$2:U3592,2,1)</f>
        <v>0.02</v>
      </c>
    </row>
    <row r="3596" spans="1:19" x14ac:dyDescent="0.25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e">
        <f>VLOOKUP(F3596,'Customer Info'!A3588:I4087,2,0)</f>
        <v>#N/A</v>
      </c>
      <c r="H3596" s="6" t="e">
        <f>VLOOKUP(F3596,'Customer Info'!A3588:I4087,3,0)</f>
        <v>#N/A</v>
      </c>
      <c r="I3596" s="6" t="e">
        <f>VLOOKUP(F3596,'Customer Info'!A3588:I4087,5,0)</f>
        <v>#N/A</v>
      </c>
      <c r="J3596" s="2">
        <v>6481</v>
      </c>
      <c r="K3596" s="2">
        <v>5884</v>
      </c>
      <c r="L3596" s="2">
        <v>6</v>
      </c>
      <c r="M3596" s="7">
        <f t="shared" si="224"/>
        <v>35304</v>
      </c>
      <c r="N3596" s="7">
        <f t="shared" si="225"/>
        <v>38886</v>
      </c>
      <c r="O3596" s="2">
        <v>77</v>
      </c>
      <c r="P3596" s="8">
        <f t="shared" si="226"/>
        <v>38963</v>
      </c>
      <c r="Q3596" s="8">
        <f t="shared" si="227"/>
        <v>38809</v>
      </c>
      <c r="R3596" s="2" t="s">
        <v>28</v>
      </c>
      <c r="S3596" s="9">
        <f>VLOOKUP(P3596,$T$2:U3593,2,1)</f>
        <v>7.0000000000000007E-2</v>
      </c>
    </row>
    <row r="3597" spans="1:19" x14ac:dyDescent="0.25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e">
        <f>VLOOKUP(F3597,'Customer Info'!A3589:I4088,2,0)</f>
        <v>#N/A</v>
      </c>
      <c r="H3597" s="6" t="e">
        <f>VLOOKUP(F3597,'Customer Info'!A3589:I4088,3,0)</f>
        <v>#N/A</v>
      </c>
      <c r="I3597" s="6" t="e">
        <f>VLOOKUP(F3597,'Customer Info'!A3589:I4088,5,0)</f>
        <v>#N/A</v>
      </c>
      <c r="J3597" s="2">
        <v>1441</v>
      </c>
      <c r="K3597" s="2">
        <v>1360</v>
      </c>
      <c r="L3597" s="2">
        <v>2</v>
      </c>
      <c r="M3597" s="7">
        <f t="shared" si="224"/>
        <v>2720</v>
      </c>
      <c r="N3597" s="7">
        <f t="shared" si="225"/>
        <v>2882</v>
      </c>
      <c r="O3597" s="2">
        <v>93</v>
      </c>
      <c r="P3597" s="8">
        <f t="shared" si="226"/>
        <v>2975</v>
      </c>
      <c r="Q3597" s="8">
        <f t="shared" si="227"/>
        <v>2789</v>
      </c>
      <c r="R3597" s="2" t="s">
        <v>50</v>
      </c>
      <c r="S3597" s="9">
        <f>VLOOKUP(P3597,$T$2:U3594,2,1)</f>
        <v>0.02</v>
      </c>
    </row>
    <row r="3598" spans="1:19" x14ac:dyDescent="0.25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e">
        <f>VLOOKUP(F3598,'Customer Info'!A3590:I4089,2,0)</f>
        <v>#N/A</v>
      </c>
      <c r="H3598" s="6" t="e">
        <f>VLOOKUP(F3598,'Customer Info'!A3590:I4089,3,0)</f>
        <v>#N/A</v>
      </c>
      <c r="I3598" s="6" t="e">
        <f>VLOOKUP(F3598,'Customer Info'!A3590:I4089,5,0)</f>
        <v>#N/A</v>
      </c>
      <c r="J3598" s="2">
        <v>393</v>
      </c>
      <c r="K3598" s="2">
        <v>374</v>
      </c>
      <c r="L3598" s="2">
        <v>2</v>
      </c>
      <c r="M3598" s="7">
        <f t="shared" si="224"/>
        <v>748</v>
      </c>
      <c r="N3598" s="7">
        <f t="shared" si="225"/>
        <v>786</v>
      </c>
      <c r="O3598" s="2">
        <v>78</v>
      </c>
      <c r="P3598" s="8">
        <f t="shared" si="226"/>
        <v>864</v>
      </c>
      <c r="Q3598" s="8">
        <f t="shared" si="227"/>
        <v>708</v>
      </c>
      <c r="R3598" s="2" t="s">
        <v>50</v>
      </c>
      <c r="S3598" s="9">
        <f>VLOOKUP(P3598,$T$2:U3595,2,1)</f>
        <v>0.02</v>
      </c>
    </row>
    <row r="3599" spans="1:19" x14ac:dyDescent="0.25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e">
        <f>VLOOKUP(F3599,'Customer Info'!A3591:I4090,2,0)</f>
        <v>#N/A</v>
      </c>
      <c r="H3599" s="6" t="e">
        <f>VLOOKUP(F3599,'Customer Info'!A3591:I4090,3,0)</f>
        <v>#N/A</v>
      </c>
      <c r="I3599" s="6" t="e">
        <f>VLOOKUP(F3599,'Customer Info'!A3591:I4090,5,0)</f>
        <v>#N/A</v>
      </c>
      <c r="J3599" s="2">
        <v>101</v>
      </c>
      <c r="K3599" s="2">
        <v>98</v>
      </c>
      <c r="L3599" s="2">
        <v>4</v>
      </c>
      <c r="M3599" s="7">
        <f t="shared" si="224"/>
        <v>392</v>
      </c>
      <c r="N3599" s="7">
        <f t="shared" si="225"/>
        <v>404</v>
      </c>
      <c r="O3599" s="2">
        <v>10</v>
      </c>
      <c r="P3599" s="8">
        <f t="shared" si="226"/>
        <v>414</v>
      </c>
      <c r="Q3599" s="8">
        <f t="shared" si="227"/>
        <v>394</v>
      </c>
      <c r="R3599" s="2" t="s">
        <v>28</v>
      </c>
      <c r="S3599" s="9">
        <f>VLOOKUP(P3599,$T$2:U3596,2,1)</f>
        <v>0.02</v>
      </c>
    </row>
    <row r="3600" spans="1:19" x14ac:dyDescent="0.25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e">
        <f>VLOOKUP(F3600,'Customer Info'!A3592:I4091,2,0)</f>
        <v>#N/A</v>
      </c>
      <c r="H3600" s="6" t="e">
        <f>VLOOKUP(F3600,'Customer Info'!A3592:I4091,3,0)</f>
        <v>#N/A</v>
      </c>
      <c r="I3600" s="6" t="e">
        <f>VLOOKUP(F3600,'Customer Info'!A3592:I4091,5,0)</f>
        <v>#N/A</v>
      </c>
      <c r="J3600" s="2">
        <v>7922</v>
      </c>
      <c r="K3600" s="2">
        <v>7328</v>
      </c>
      <c r="L3600" s="2">
        <v>1</v>
      </c>
      <c r="M3600" s="7">
        <f t="shared" si="224"/>
        <v>7328</v>
      </c>
      <c r="N3600" s="7">
        <f t="shared" si="225"/>
        <v>7922</v>
      </c>
      <c r="O3600" s="2">
        <v>88</v>
      </c>
      <c r="P3600" s="8">
        <f t="shared" si="226"/>
        <v>8010</v>
      </c>
      <c r="Q3600" s="8">
        <f t="shared" si="227"/>
        <v>7834</v>
      </c>
      <c r="R3600" s="2" t="s">
        <v>50</v>
      </c>
      <c r="S3600" s="9">
        <f>VLOOKUP(P3600,$T$2:U3597,2,1)</f>
        <v>0.05</v>
      </c>
    </row>
    <row r="3601" spans="1:19" x14ac:dyDescent="0.25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e">
        <f>VLOOKUP(F3601,'Customer Info'!A3593:I4092,2,0)</f>
        <v>#N/A</v>
      </c>
      <c r="H3601" s="6" t="e">
        <f>VLOOKUP(F3601,'Customer Info'!A3593:I4092,3,0)</f>
        <v>#N/A</v>
      </c>
      <c r="I3601" s="6" t="e">
        <f>VLOOKUP(F3601,'Customer Info'!A3593:I4092,5,0)</f>
        <v>#N/A</v>
      </c>
      <c r="J3601" s="2">
        <v>4704</v>
      </c>
      <c r="K3601" s="2">
        <v>4361</v>
      </c>
      <c r="L3601" s="2">
        <v>3</v>
      </c>
      <c r="M3601" s="7">
        <f t="shared" si="224"/>
        <v>13083</v>
      </c>
      <c r="N3601" s="7">
        <f t="shared" si="225"/>
        <v>14112</v>
      </c>
      <c r="O3601" s="2">
        <v>63</v>
      </c>
      <c r="P3601" s="8">
        <f t="shared" si="226"/>
        <v>14175</v>
      </c>
      <c r="Q3601" s="8">
        <f t="shared" si="227"/>
        <v>14049</v>
      </c>
      <c r="R3601" s="2" t="s">
        <v>28</v>
      </c>
      <c r="S3601" s="9">
        <f>VLOOKUP(P3601,$T$2:U3598,2,1)</f>
        <v>0.05</v>
      </c>
    </row>
    <row r="3602" spans="1:19" x14ac:dyDescent="0.25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e">
        <f>VLOOKUP(F3602,'Customer Info'!A3594:I4093,2,0)</f>
        <v>#N/A</v>
      </c>
      <c r="H3602" s="6" t="e">
        <f>VLOOKUP(F3602,'Customer Info'!A3594:I4093,3,0)</f>
        <v>#N/A</v>
      </c>
      <c r="I3602" s="6" t="e">
        <f>VLOOKUP(F3602,'Customer Info'!A3594:I4093,5,0)</f>
        <v>#N/A</v>
      </c>
      <c r="J3602" s="2">
        <v>3408</v>
      </c>
      <c r="K3602" s="2">
        <v>3215</v>
      </c>
      <c r="L3602" s="2">
        <v>3</v>
      </c>
      <c r="M3602" s="7">
        <f t="shared" si="224"/>
        <v>9645</v>
      </c>
      <c r="N3602" s="7">
        <f t="shared" si="225"/>
        <v>10224</v>
      </c>
      <c r="O3602" s="2">
        <v>63</v>
      </c>
      <c r="P3602" s="8">
        <f t="shared" si="226"/>
        <v>10287</v>
      </c>
      <c r="Q3602" s="8">
        <f t="shared" si="227"/>
        <v>10161</v>
      </c>
      <c r="R3602" s="2" t="s">
        <v>28</v>
      </c>
      <c r="S3602" s="9">
        <f>VLOOKUP(P3602,$T$2:U3599,2,1)</f>
        <v>0.05</v>
      </c>
    </row>
    <row r="3603" spans="1:19" x14ac:dyDescent="0.25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e">
        <f>VLOOKUP(F3603,'Customer Info'!A3595:I4094,2,0)</f>
        <v>#N/A</v>
      </c>
      <c r="H3603" s="6" t="e">
        <f>VLOOKUP(F3603,'Customer Info'!A3595:I4094,3,0)</f>
        <v>#N/A</v>
      </c>
      <c r="I3603" s="6" t="e">
        <f>VLOOKUP(F3603,'Customer Info'!A3595:I4094,5,0)</f>
        <v>#N/A</v>
      </c>
      <c r="J3603" s="2">
        <v>4246</v>
      </c>
      <c r="K3603" s="2">
        <v>3857</v>
      </c>
      <c r="L3603" s="2">
        <v>3</v>
      </c>
      <c r="M3603" s="7">
        <f t="shared" si="224"/>
        <v>11571</v>
      </c>
      <c r="N3603" s="7">
        <f t="shared" si="225"/>
        <v>12738</v>
      </c>
      <c r="O3603" s="2">
        <v>82</v>
      </c>
      <c r="P3603" s="8">
        <f t="shared" si="226"/>
        <v>12820</v>
      </c>
      <c r="Q3603" s="8">
        <f t="shared" si="227"/>
        <v>12656</v>
      </c>
      <c r="R3603" s="2" t="s">
        <v>50</v>
      </c>
      <c r="S3603" s="9">
        <f>VLOOKUP(P3603,$T$2:U3600,2,1)</f>
        <v>0.05</v>
      </c>
    </row>
    <row r="3604" spans="1:19" x14ac:dyDescent="0.25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e">
        <f>VLOOKUP(F3604,'Customer Info'!A3596:I4095,2,0)</f>
        <v>#N/A</v>
      </c>
      <c r="H3604" s="6" t="e">
        <f>VLOOKUP(F3604,'Customer Info'!A3596:I4095,3,0)</f>
        <v>#N/A</v>
      </c>
      <c r="I3604" s="6" t="e">
        <f>VLOOKUP(F3604,'Customer Info'!A3596:I4095,5,0)</f>
        <v>#N/A</v>
      </c>
      <c r="J3604" s="2">
        <v>2466</v>
      </c>
      <c r="K3604" s="2">
        <v>2327</v>
      </c>
      <c r="L3604" s="2">
        <v>8</v>
      </c>
      <c r="M3604" s="7">
        <f t="shared" si="224"/>
        <v>18616</v>
      </c>
      <c r="N3604" s="7">
        <f t="shared" si="225"/>
        <v>19728</v>
      </c>
      <c r="O3604" s="2">
        <v>25</v>
      </c>
      <c r="P3604" s="8">
        <f t="shared" si="226"/>
        <v>19753</v>
      </c>
      <c r="Q3604" s="8">
        <f t="shared" si="227"/>
        <v>19703</v>
      </c>
      <c r="R3604" s="2" t="s">
        <v>28</v>
      </c>
      <c r="S3604" s="9">
        <f>VLOOKUP(P3604,$T$2:U3601,2,1)</f>
        <v>0.05</v>
      </c>
    </row>
    <row r="3605" spans="1:19" x14ac:dyDescent="0.25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e">
        <f>VLOOKUP(F3605,'Customer Info'!A3597:I4096,2,0)</f>
        <v>#N/A</v>
      </c>
      <c r="H3605" s="6" t="e">
        <f>VLOOKUP(F3605,'Customer Info'!A3597:I4096,3,0)</f>
        <v>#N/A</v>
      </c>
      <c r="I3605" s="6" t="e">
        <f>VLOOKUP(F3605,'Customer Info'!A3597:I4096,5,0)</f>
        <v>#N/A</v>
      </c>
      <c r="J3605" s="2">
        <v>1321</v>
      </c>
      <c r="K3605" s="2">
        <v>1211</v>
      </c>
      <c r="L3605" s="2">
        <v>3</v>
      </c>
      <c r="M3605" s="7">
        <f t="shared" si="224"/>
        <v>3633</v>
      </c>
      <c r="N3605" s="7">
        <f t="shared" si="225"/>
        <v>3963</v>
      </c>
      <c r="O3605" s="2">
        <v>65</v>
      </c>
      <c r="P3605" s="8">
        <f t="shared" si="226"/>
        <v>4028</v>
      </c>
      <c r="Q3605" s="8">
        <f t="shared" si="227"/>
        <v>3898</v>
      </c>
      <c r="R3605" s="2" t="s">
        <v>50</v>
      </c>
      <c r="S3605" s="9">
        <f>VLOOKUP(P3605,$T$2:U3602,2,1)</f>
        <v>0.02</v>
      </c>
    </row>
    <row r="3606" spans="1:19" x14ac:dyDescent="0.25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e">
        <f>VLOOKUP(F3606,'Customer Info'!A3598:I4097,2,0)</f>
        <v>#N/A</v>
      </c>
      <c r="H3606" s="6" t="e">
        <f>VLOOKUP(F3606,'Customer Info'!A3598:I4097,3,0)</f>
        <v>#N/A</v>
      </c>
      <c r="I3606" s="6" t="e">
        <f>VLOOKUP(F3606,'Customer Info'!A3598:I4097,5,0)</f>
        <v>#N/A</v>
      </c>
      <c r="J3606" s="2">
        <v>6717</v>
      </c>
      <c r="K3606" s="2">
        <v>6288</v>
      </c>
      <c r="L3606" s="2">
        <v>4</v>
      </c>
      <c r="M3606" s="7">
        <f t="shared" si="224"/>
        <v>25152</v>
      </c>
      <c r="N3606" s="7">
        <f t="shared" si="225"/>
        <v>26868</v>
      </c>
      <c r="O3606" s="2">
        <v>75</v>
      </c>
      <c r="P3606" s="8">
        <f t="shared" si="226"/>
        <v>26943</v>
      </c>
      <c r="Q3606" s="8">
        <f t="shared" si="227"/>
        <v>26793</v>
      </c>
      <c r="R3606" s="2" t="s">
        <v>50</v>
      </c>
      <c r="S3606" s="9">
        <f>VLOOKUP(P3606,$T$2:U3603,2,1)</f>
        <v>7.0000000000000007E-2</v>
      </c>
    </row>
    <row r="3607" spans="1:19" x14ac:dyDescent="0.25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e">
        <f>VLOOKUP(F3607,'Customer Info'!A3599:I4098,2,0)</f>
        <v>#N/A</v>
      </c>
      <c r="H3607" s="6" t="e">
        <f>VLOOKUP(F3607,'Customer Info'!A3599:I4098,3,0)</f>
        <v>#N/A</v>
      </c>
      <c r="I3607" s="6" t="e">
        <f>VLOOKUP(F3607,'Customer Info'!A3599:I4098,5,0)</f>
        <v>#N/A</v>
      </c>
      <c r="J3607" s="2">
        <v>87</v>
      </c>
      <c r="K3607" s="2">
        <v>80</v>
      </c>
      <c r="L3607" s="2">
        <v>3</v>
      </c>
      <c r="M3607" s="7">
        <f t="shared" si="224"/>
        <v>240</v>
      </c>
      <c r="N3607" s="7">
        <f t="shared" si="225"/>
        <v>261</v>
      </c>
      <c r="O3607" s="2">
        <v>10</v>
      </c>
      <c r="P3607" s="8">
        <f t="shared" si="226"/>
        <v>271</v>
      </c>
      <c r="Q3607" s="8">
        <f t="shared" si="227"/>
        <v>251</v>
      </c>
      <c r="R3607" s="2" t="s">
        <v>26</v>
      </c>
      <c r="S3607" s="9">
        <f>VLOOKUP(P3607,$T$2:U3604,2,1)</f>
        <v>0.02</v>
      </c>
    </row>
    <row r="3608" spans="1:19" x14ac:dyDescent="0.25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e">
        <f>VLOOKUP(F3608,'Customer Info'!A3600:I4099,2,0)</f>
        <v>#N/A</v>
      </c>
      <c r="H3608" s="6" t="e">
        <f>VLOOKUP(F3608,'Customer Info'!A3600:I4099,3,0)</f>
        <v>#N/A</v>
      </c>
      <c r="I3608" s="6" t="e">
        <f>VLOOKUP(F3608,'Customer Info'!A3600:I4099,5,0)</f>
        <v>#N/A</v>
      </c>
      <c r="J3608" s="2">
        <v>7691</v>
      </c>
      <c r="K3608" s="2">
        <v>7255</v>
      </c>
      <c r="L3608" s="2">
        <v>6</v>
      </c>
      <c r="M3608" s="7">
        <f t="shared" si="224"/>
        <v>43530</v>
      </c>
      <c r="N3608" s="7">
        <f t="shared" si="225"/>
        <v>46146</v>
      </c>
      <c r="O3608" s="2">
        <v>50</v>
      </c>
      <c r="P3608" s="8">
        <f t="shared" si="226"/>
        <v>46196</v>
      </c>
      <c r="Q3608" s="8">
        <f t="shared" si="227"/>
        <v>46096</v>
      </c>
      <c r="R3608" s="2" t="s">
        <v>28</v>
      </c>
      <c r="S3608" s="9">
        <f>VLOOKUP(P3608,$T$2:U3605,2,1)</f>
        <v>7.0000000000000007E-2</v>
      </c>
    </row>
    <row r="3609" spans="1:19" x14ac:dyDescent="0.25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e">
        <f>VLOOKUP(F3609,'Customer Info'!A3601:I4100,2,0)</f>
        <v>#N/A</v>
      </c>
      <c r="H3609" s="6" t="e">
        <f>VLOOKUP(F3609,'Customer Info'!A3601:I4100,3,0)</f>
        <v>#N/A</v>
      </c>
      <c r="I3609" s="6" t="e">
        <f>VLOOKUP(F3609,'Customer Info'!A3601:I4100,5,0)</f>
        <v>#N/A</v>
      </c>
      <c r="J3609" s="2">
        <v>1901</v>
      </c>
      <c r="K3609" s="2">
        <v>1810</v>
      </c>
      <c r="L3609" s="2">
        <v>2</v>
      </c>
      <c r="M3609" s="7">
        <f t="shared" si="224"/>
        <v>3620</v>
      </c>
      <c r="N3609" s="7">
        <f t="shared" si="225"/>
        <v>3802</v>
      </c>
      <c r="O3609" s="2">
        <v>88</v>
      </c>
      <c r="P3609" s="8">
        <f t="shared" si="226"/>
        <v>3890</v>
      </c>
      <c r="Q3609" s="8">
        <f t="shared" si="227"/>
        <v>3714</v>
      </c>
      <c r="R3609" s="2" t="s">
        <v>28</v>
      </c>
      <c r="S3609" s="9">
        <f>VLOOKUP(P3609,$T$2:U3606,2,1)</f>
        <v>0.02</v>
      </c>
    </row>
    <row r="3610" spans="1:19" x14ac:dyDescent="0.25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e">
        <f>VLOOKUP(F3610,'Customer Info'!A3602:I4101,2,0)</f>
        <v>#N/A</v>
      </c>
      <c r="H3610" s="6" t="e">
        <f>VLOOKUP(F3610,'Customer Info'!A3602:I4101,3,0)</f>
        <v>#N/A</v>
      </c>
      <c r="I3610" s="6" t="e">
        <f>VLOOKUP(F3610,'Customer Info'!A3602:I4101,5,0)</f>
        <v>#N/A</v>
      </c>
      <c r="J3610" s="2">
        <v>7361</v>
      </c>
      <c r="K3610" s="2">
        <v>6887</v>
      </c>
      <c r="L3610" s="2">
        <v>3</v>
      </c>
      <c r="M3610" s="7">
        <f t="shared" si="224"/>
        <v>20661</v>
      </c>
      <c r="N3610" s="7">
        <f t="shared" si="225"/>
        <v>22083</v>
      </c>
      <c r="O3610" s="2">
        <v>89</v>
      </c>
      <c r="P3610" s="8">
        <f t="shared" si="226"/>
        <v>22172</v>
      </c>
      <c r="Q3610" s="8">
        <f t="shared" si="227"/>
        <v>21994</v>
      </c>
      <c r="R3610" s="2" t="s">
        <v>50</v>
      </c>
      <c r="S3610" s="9">
        <f>VLOOKUP(P3610,$T$2:U3607,2,1)</f>
        <v>0.05</v>
      </c>
    </row>
    <row r="3611" spans="1:19" x14ac:dyDescent="0.25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e">
        <f>VLOOKUP(F3611,'Customer Info'!A3603:I4102,2,0)</f>
        <v>#N/A</v>
      </c>
      <c r="H3611" s="6" t="e">
        <f>VLOOKUP(F3611,'Customer Info'!A3603:I4102,3,0)</f>
        <v>#N/A</v>
      </c>
      <c r="I3611" s="6" t="e">
        <f>VLOOKUP(F3611,'Customer Info'!A3603:I4102,5,0)</f>
        <v>#N/A</v>
      </c>
      <c r="J3611" s="2">
        <v>9306</v>
      </c>
      <c r="K3611" s="2">
        <v>8461</v>
      </c>
      <c r="L3611" s="2">
        <v>7</v>
      </c>
      <c r="M3611" s="7">
        <f t="shared" si="224"/>
        <v>59227</v>
      </c>
      <c r="N3611" s="7">
        <f t="shared" si="225"/>
        <v>65142</v>
      </c>
      <c r="O3611" s="2">
        <v>100</v>
      </c>
      <c r="P3611" s="8">
        <f t="shared" si="226"/>
        <v>65242</v>
      </c>
      <c r="Q3611" s="8">
        <f t="shared" si="227"/>
        <v>65042</v>
      </c>
      <c r="R3611" s="2" t="s">
        <v>50</v>
      </c>
      <c r="S3611" s="9">
        <f>VLOOKUP(P3611,$T$2:U3608,2,1)</f>
        <v>0.09</v>
      </c>
    </row>
    <row r="3612" spans="1:19" x14ac:dyDescent="0.25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e">
        <f>VLOOKUP(F3612,'Customer Info'!A3604:I4103,2,0)</f>
        <v>#N/A</v>
      </c>
      <c r="H3612" s="6" t="e">
        <f>VLOOKUP(F3612,'Customer Info'!A3604:I4103,3,0)</f>
        <v>#N/A</v>
      </c>
      <c r="I3612" s="6" t="e">
        <f>VLOOKUP(F3612,'Customer Info'!A3604:I4103,5,0)</f>
        <v>#N/A</v>
      </c>
      <c r="J3612" s="2">
        <v>1332</v>
      </c>
      <c r="K3612" s="2">
        <v>1209</v>
      </c>
      <c r="L3612" s="2">
        <v>2</v>
      </c>
      <c r="M3612" s="7">
        <f t="shared" si="224"/>
        <v>2418</v>
      </c>
      <c r="N3612" s="7">
        <f t="shared" si="225"/>
        <v>2664</v>
      </c>
      <c r="O3612" s="2">
        <v>71</v>
      </c>
      <c r="P3612" s="8">
        <f t="shared" si="226"/>
        <v>2735</v>
      </c>
      <c r="Q3612" s="8">
        <f t="shared" si="227"/>
        <v>2593</v>
      </c>
      <c r="R3612" s="2" t="s">
        <v>28</v>
      </c>
      <c r="S3612" s="9">
        <f>VLOOKUP(P3612,$T$2:U3609,2,1)</f>
        <v>0.02</v>
      </c>
    </row>
    <row r="3613" spans="1:19" x14ac:dyDescent="0.25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e">
        <f>VLOOKUP(F3613,'Customer Info'!A3605:I4104,2,0)</f>
        <v>#N/A</v>
      </c>
      <c r="H3613" s="6" t="e">
        <f>VLOOKUP(F3613,'Customer Info'!A3605:I4104,3,0)</f>
        <v>#N/A</v>
      </c>
      <c r="I3613" s="6" t="e">
        <f>VLOOKUP(F3613,'Customer Info'!A3605:I4104,5,0)</f>
        <v>#N/A</v>
      </c>
      <c r="J3613" s="2">
        <v>1734</v>
      </c>
      <c r="K3613" s="2">
        <v>1702</v>
      </c>
      <c r="L3613" s="2">
        <v>2</v>
      </c>
      <c r="M3613" s="7">
        <f t="shared" si="224"/>
        <v>3404</v>
      </c>
      <c r="N3613" s="7">
        <f t="shared" si="225"/>
        <v>3468</v>
      </c>
      <c r="O3613" s="2">
        <v>97</v>
      </c>
      <c r="P3613" s="8">
        <f t="shared" si="226"/>
        <v>3565</v>
      </c>
      <c r="Q3613" s="8">
        <f t="shared" si="227"/>
        <v>3371</v>
      </c>
      <c r="R3613" s="2" t="s">
        <v>26</v>
      </c>
      <c r="S3613" s="9">
        <f>VLOOKUP(P3613,$T$2:U3610,2,1)</f>
        <v>0.02</v>
      </c>
    </row>
    <row r="3614" spans="1:19" x14ac:dyDescent="0.25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e">
        <f>VLOOKUP(F3614,'Customer Info'!A3606:I4105,2,0)</f>
        <v>#N/A</v>
      </c>
      <c r="H3614" s="6" t="e">
        <f>VLOOKUP(F3614,'Customer Info'!A3606:I4105,3,0)</f>
        <v>#N/A</v>
      </c>
      <c r="I3614" s="6" t="e">
        <f>VLOOKUP(F3614,'Customer Info'!A3606:I4105,5,0)</f>
        <v>#N/A</v>
      </c>
      <c r="J3614" s="2">
        <v>3054</v>
      </c>
      <c r="K3614" s="2">
        <v>2721</v>
      </c>
      <c r="L3614" s="2">
        <v>1</v>
      </c>
      <c r="M3614" s="7">
        <f t="shared" si="224"/>
        <v>2721</v>
      </c>
      <c r="N3614" s="7">
        <f t="shared" si="225"/>
        <v>3054</v>
      </c>
      <c r="O3614" s="2">
        <v>40</v>
      </c>
      <c r="P3614" s="8">
        <f t="shared" si="226"/>
        <v>3094</v>
      </c>
      <c r="Q3614" s="8">
        <f t="shared" si="227"/>
        <v>3014</v>
      </c>
      <c r="R3614" s="2" t="s">
        <v>26</v>
      </c>
      <c r="S3614" s="9">
        <f>VLOOKUP(P3614,$T$2:U3611,2,1)</f>
        <v>0.02</v>
      </c>
    </row>
    <row r="3615" spans="1:19" x14ac:dyDescent="0.25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e">
        <f>VLOOKUP(F3615,'Customer Info'!A3607:I4106,2,0)</f>
        <v>#N/A</v>
      </c>
      <c r="H3615" s="6" t="e">
        <f>VLOOKUP(F3615,'Customer Info'!A3607:I4106,3,0)</f>
        <v>#N/A</v>
      </c>
      <c r="I3615" s="6" t="e">
        <f>VLOOKUP(F3615,'Customer Info'!A3607:I4106,5,0)</f>
        <v>#N/A</v>
      </c>
      <c r="J3615" s="2">
        <v>4122</v>
      </c>
      <c r="K3615" s="2">
        <v>3781</v>
      </c>
      <c r="L3615" s="2">
        <v>6</v>
      </c>
      <c r="M3615" s="7">
        <f t="shared" si="224"/>
        <v>22686</v>
      </c>
      <c r="N3615" s="7">
        <f t="shared" si="225"/>
        <v>24732</v>
      </c>
      <c r="O3615" s="2">
        <v>34</v>
      </c>
      <c r="P3615" s="8">
        <f t="shared" si="226"/>
        <v>24766</v>
      </c>
      <c r="Q3615" s="8">
        <f t="shared" si="227"/>
        <v>24698</v>
      </c>
      <c r="R3615" s="2" t="s">
        <v>50</v>
      </c>
      <c r="S3615" s="9">
        <f>VLOOKUP(P3615,$T$2:U3612,2,1)</f>
        <v>0.05</v>
      </c>
    </row>
    <row r="3616" spans="1:19" x14ac:dyDescent="0.25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e">
        <f>VLOOKUP(F3616,'Customer Info'!A3608:I4107,2,0)</f>
        <v>#N/A</v>
      </c>
      <c r="H3616" s="6" t="e">
        <f>VLOOKUP(F3616,'Customer Info'!A3608:I4107,3,0)</f>
        <v>#N/A</v>
      </c>
      <c r="I3616" s="6" t="e">
        <f>VLOOKUP(F3616,'Customer Info'!A3608:I4107,5,0)</f>
        <v>#N/A</v>
      </c>
      <c r="J3616" s="2">
        <v>1552</v>
      </c>
      <c r="K3616" s="2">
        <v>1466</v>
      </c>
      <c r="L3616" s="2">
        <v>2</v>
      </c>
      <c r="M3616" s="7">
        <f t="shared" si="224"/>
        <v>2932</v>
      </c>
      <c r="N3616" s="7">
        <f t="shared" si="225"/>
        <v>3104</v>
      </c>
      <c r="O3616" s="2">
        <v>21</v>
      </c>
      <c r="P3616" s="8">
        <f t="shared" si="226"/>
        <v>3125</v>
      </c>
      <c r="Q3616" s="8">
        <f t="shared" si="227"/>
        <v>3083</v>
      </c>
      <c r="R3616" s="2" t="s">
        <v>28</v>
      </c>
      <c r="S3616" s="9">
        <f>VLOOKUP(P3616,$T$2:U3613,2,1)</f>
        <v>0.02</v>
      </c>
    </row>
    <row r="3617" spans="1:19" x14ac:dyDescent="0.25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e">
        <f>VLOOKUP(F3617,'Customer Info'!A3609:I4108,2,0)</f>
        <v>#N/A</v>
      </c>
      <c r="H3617" s="6" t="e">
        <f>VLOOKUP(F3617,'Customer Info'!A3609:I4108,3,0)</f>
        <v>#N/A</v>
      </c>
      <c r="I3617" s="6" t="e">
        <f>VLOOKUP(F3617,'Customer Info'!A3609:I4108,5,0)</f>
        <v>#N/A</v>
      </c>
      <c r="J3617" s="2">
        <v>6012</v>
      </c>
      <c r="K3617" s="2">
        <v>5677</v>
      </c>
      <c r="L3617" s="2">
        <v>3</v>
      </c>
      <c r="M3617" s="7">
        <f t="shared" si="224"/>
        <v>17031</v>
      </c>
      <c r="N3617" s="7">
        <f t="shared" si="225"/>
        <v>18036</v>
      </c>
      <c r="O3617" s="2">
        <v>63</v>
      </c>
      <c r="P3617" s="8">
        <f t="shared" si="226"/>
        <v>18099</v>
      </c>
      <c r="Q3617" s="8">
        <f t="shared" si="227"/>
        <v>17973</v>
      </c>
      <c r="R3617" s="2" t="s">
        <v>50</v>
      </c>
      <c r="S3617" s="9">
        <f>VLOOKUP(P3617,$T$2:U3614,2,1)</f>
        <v>0.05</v>
      </c>
    </row>
    <row r="3618" spans="1:19" x14ac:dyDescent="0.25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e">
        <f>VLOOKUP(F3618,'Customer Info'!A3610:I4109,2,0)</f>
        <v>#N/A</v>
      </c>
      <c r="H3618" s="6" t="e">
        <f>VLOOKUP(F3618,'Customer Info'!A3610:I4109,3,0)</f>
        <v>#N/A</v>
      </c>
      <c r="I3618" s="6" t="e">
        <f>VLOOKUP(F3618,'Customer Info'!A3610:I4109,5,0)</f>
        <v>#N/A</v>
      </c>
      <c r="J3618" s="2">
        <v>167</v>
      </c>
      <c r="K3618" s="2">
        <v>155</v>
      </c>
      <c r="L3618" s="2">
        <v>2</v>
      </c>
      <c r="M3618" s="7">
        <f t="shared" si="224"/>
        <v>310</v>
      </c>
      <c r="N3618" s="7">
        <f t="shared" si="225"/>
        <v>334</v>
      </c>
      <c r="O3618" s="2">
        <v>30</v>
      </c>
      <c r="P3618" s="8">
        <f t="shared" si="226"/>
        <v>364</v>
      </c>
      <c r="Q3618" s="8">
        <f t="shared" si="227"/>
        <v>304</v>
      </c>
      <c r="R3618" s="2" t="s">
        <v>50</v>
      </c>
      <c r="S3618" s="9">
        <f>VLOOKUP(P3618,$T$2:U3615,2,1)</f>
        <v>0.02</v>
      </c>
    </row>
    <row r="3619" spans="1:19" x14ac:dyDescent="0.25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e">
        <f>VLOOKUP(F3619,'Customer Info'!A3611:I4110,2,0)</f>
        <v>#N/A</v>
      </c>
      <c r="H3619" s="6" t="e">
        <f>VLOOKUP(F3619,'Customer Info'!A3611:I4110,3,0)</f>
        <v>#N/A</v>
      </c>
      <c r="I3619" s="6" t="e">
        <f>VLOOKUP(F3619,'Customer Info'!A3611:I4110,5,0)</f>
        <v>#N/A</v>
      </c>
      <c r="J3619" s="2">
        <v>100</v>
      </c>
      <c r="K3619" s="2">
        <v>95</v>
      </c>
      <c r="L3619" s="2">
        <v>2</v>
      </c>
      <c r="M3619" s="7">
        <f t="shared" si="224"/>
        <v>190</v>
      </c>
      <c r="N3619" s="7">
        <f t="shared" si="225"/>
        <v>200</v>
      </c>
      <c r="O3619" s="2">
        <v>10</v>
      </c>
      <c r="P3619" s="8">
        <f t="shared" si="226"/>
        <v>210</v>
      </c>
      <c r="Q3619" s="8">
        <f t="shared" si="227"/>
        <v>190</v>
      </c>
      <c r="R3619" s="2" t="s">
        <v>50</v>
      </c>
      <c r="S3619" s="9">
        <f>VLOOKUP(P3619,$T$2:U3616,2,1)</f>
        <v>0.02</v>
      </c>
    </row>
    <row r="3620" spans="1:19" x14ac:dyDescent="0.25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e">
        <f>VLOOKUP(F3620,'Customer Info'!A3612:I4111,2,0)</f>
        <v>#N/A</v>
      </c>
      <c r="H3620" s="6" t="e">
        <f>VLOOKUP(F3620,'Customer Info'!A3612:I4111,3,0)</f>
        <v>#N/A</v>
      </c>
      <c r="I3620" s="6" t="e">
        <f>VLOOKUP(F3620,'Customer Info'!A3612:I4111,5,0)</f>
        <v>#N/A</v>
      </c>
      <c r="J3620" s="2">
        <v>1887</v>
      </c>
      <c r="K3620" s="2">
        <v>1763</v>
      </c>
      <c r="L3620" s="2">
        <v>3</v>
      </c>
      <c r="M3620" s="7">
        <f t="shared" si="224"/>
        <v>5289</v>
      </c>
      <c r="N3620" s="7">
        <f t="shared" si="225"/>
        <v>5661</v>
      </c>
      <c r="O3620" s="2">
        <v>20</v>
      </c>
      <c r="P3620" s="8">
        <f t="shared" si="226"/>
        <v>5681</v>
      </c>
      <c r="Q3620" s="8">
        <f t="shared" si="227"/>
        <v>5641</v>
      </c>
      <c r="R3620" s="2" t="s">
        <v>28</v>
      </c>
      <c r="S3620" s="9">
        <f>VLOOKUP(P3620,$T$2:U3617,2,1)</f>
        <v>0.05</v>
      </c>
    </row>
    <row r="3621" spans="1:19" x14ac:dyDescent="0.25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e">
        <f>VLOOKUP(F3621,'Customer Info'!A3613:I4112,2,0)</f>
        <v>#N/A</v>
      </c>
      <c r="H3621" s="6" t="e">
        <f>VLOOKUP(F3621,'Customer Info'!A3613:I4112,3,0)</f>
        <v>#N/A</v>
      </c>
      <c r="I3621" s="6" t="e">
        <f>VLOOKUP(F3621,'Customer Info'!A3613:I4112,5,0)</f>
        <v>#N/A</v>
      </c>
      <c r="J3621" s="2">
        <v>1071</v>
      </c>
      <c r="K3621" s="2">
        <v>1010</v>
      </c>
      <c r="L3621" s="2">
        <v>1</v>
      </c>
      <c r="M3621" s="7">
        <f t="shared" si="224"/>
        <v>1010</v>
      </c>
      <c r="N3621" s="7">
        <f t="shared" si="225"/>
        <v>1071</v>
      </c>
      <c r="O3621" s="2">
        <v>99</v>
      </c>
      <c r="P3621" s="8">
        <f t="shared" si="226"/>
        <v>1170</v>
      </c>
      <c r="Q3621" s="8">
        <f t="shared" si="227"/>
        <v>972</v>
      </c>
      <c r="R3621" s="2" t="s">
        <v>26</v>
      </c>
      <c r="S3621" s="9">
        <f>VLOOKUP(P3621,$T$2:U3618,2,1)</f>
        <v>0.02</v>
      </c>
    </row>
    <row r="3622" spans="1:19" x14ac:dyDescent="0.25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e">
        <f>VLOOKUP(F3622,'Customer Info'!A3614:I4113,2,0)</f>
        <v>#N/A</v>
      </c>
      <c r="H3622" s="6" t="e">
        <f>VLOOKUP(F3622,'Customer Info'!A3614:I4113,3,0)</f>
        <v>#N/A</v>
      </c>
      <c r="I3622" s="6" t="e">
        <f>VLOOKUP(F3622,'Customer Info'!A3614:I4113,5,0)</f>
        <v>#N/A</v>
      </c>
      <c r="J3622" s="2">
        <v>6337</v>
      </c>
      <c r="K3622" s="2">
        <v>6215</v>
      </c>
      <c r="L3622" s="2">
        <v>3</v>
      </c>
      <c r="M3622" s="7">
        <f t="shared" si="224"/>
        <v>18645</v>
      </c>
      <c r="N3622" s="7">
        <f t="shared" si="225"/>
        <v>19011</v>
      </c>
      <c r="O3622" s="2">
        <v>52</v>
      </c>
      <c r="P3622" s="8">
        <f t="shared" si="226"/>
        <v>19063</v>
      </c>
      <c r="Q3622" s="8">
        <f t="shared" si="227"/>
        <v>18959</v>
      </c>
      <c r="R3622" s="2" t="s">
        <v>50</v>
      </c>
      <c r="S3622" s="9">
        <f>VLOOKUP(P3622,$T$2:U3619,2,1)</f>
        <v>0.05</v>
      </c>
    </row>
    <row r="3623" spans="1:19" x14ac:dyDescent="0.25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e">
        <f>VLOOKUP(F3623,'Customer Info'!A3615:I4114,2,0)</f>
        <v>#N/A</v>
      </c>
      <c r="H3623" s="6" t="e">
        <f>VLOOKUP(F3623,'Customer Info'!A3615:I4114,3,0)</f>
        <v>#N/A</v>
      </c>
      <c r="I3623" s="6" t="e">
        <f>VLOOKUP(F3623,'Customer Info'!A3615:I4114,5,0)</f>
        <v>#N/A</v>
      </c>
      <c r="J3623" s="2">
        <v>8869</v>
      </c>
      <c r="K3623" s="2">
        <v>7906</v>
      </c>
      <c r="L3623" s="2">
        <v>3</v>
      </c>
      <c r="M3623" s="7">
        <f t="shared" si="224"/>
        <v>23718</v>
      </c>
      <c r="N3623" s="7">
        <f t="shared" si="225"/>
        <v>26607</v>
      </c>
      <c r="O3623" s="2">
        <v>76</v>
      </c>
      <c r="P3623" s="8">
        <f t="shared" si="226"/>
        <v>26683</v>
      </c>
      <c r="Q3623" s="8">
        <f t="shared" si="227"/>
        <v>26531</v>
      </c>
      <c r="R3623" s="2" t="s">
        <v>28</v>
      </c>
      <c r="S3623" s="9">
        <f>VLOOKUP(P3623,$T$2:U3620,2,1)</f>
        <v>7.0000000000000007E-2</v>
      </c>
    </row>
    <row r="3624" spans="1:19" x14ac:dyDescent="0.25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e">
        <f>VLOOKUP(F3624,'Customer Info'!A3616:I4115,2,0)</f>
        <v>#N/A</v>
      </c>
      <c r="H3624" s="6" t="e">
        <f>VLOOKUP(F3624,'Customer Info'!A3616:I4115,3,0)</f>
        <v>#N/A</v>
      </c>
      <c r="I3624" s="6" t="e">
        <f>VLOOKUP(F3624,'Customer Info'!A3616:I4115,5,0)</f>
        <v>#N/A</v>
      </c>
      <c r="J3624" s="2">
        <v>1859</v>
      </c>
      <c r="K3624" s="2">
        <v>1755</v>
      </c>
      <c r="L3624" s="2">
        <v>5</v>
      </c>
      <c r="M3624" s="7">
        <f t="shared" si="224"/>
        <v>8775</v>
      </c>
      <c r="N3624" s="7">
        <f t="shared" si="225"/>
        <v>9295</v>
      </c>
      <c r="O3624" s="2">
        <v>22</v>
      </c>
      <c r="P3624" s="8">
        <f t="shared" si="226"/>
        <v>9317</v>
      </c>
      <c r="Q3624" s="8">
        <f t="shared" si="227"/>
        <v>9273</v>
      </c>
      <c r="R3624" s="2" t="s">
        <v>28</v>
      </c>
      <c r="S3624" s="9">
        <f>VLOOKUP(P3624,$T$2:U3621,2,1)</f>
        <v>0.05</v>
      </c>
    </row>
    <row r="3625" spans="1:19" x14ac:dyDescent="0.25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e">
        <f>VLOOKUP(F3625,'Customer Info'!A3617:I4116,2,0)</f>
        <v>#N/A</v>
      </c>
      <c r="H3625" s="6" t="e">
        <f>VLOOKUP(F3625,'Customer Info'!A3617:I4116,3,0)</f>
        <v>#N/A</v>
      </c>
      <c r="I3625" s="6" t="e">
        <f>VLOOKUP(F3625,'Customer Info'!A3617:I4116,5,0)</f>
        <v>#N/A</v>
      </c>
      <c r="J3625" s="2">
        <v>2627</v>
      </c>
      <c r="K3625" s="2">
        <v>2528</v>
      </c>
      <c r="L3625" s="2">
        <v>4</v>
      </c>
      <c r="M3625" s="7">
        <f t="shared" si="224"/>
        <v>10112</v>
      </c>
      <c r="N3625" s="7">
        <f t="shared" si="225"/>
        <v>10508</v>
      </c>
      <c r="O3625" s="2">
        <v>46</v>
      </c>
      <c r="P3625" s="8">
        <f t="shared" si="226"/>
        <v>10554</v>
      </c>
      <c r="Q3625" s="8">
        <f t="shared" si="227"/>
        <v>10462</v>
      </c>
      <c r="R3625" s="2" t="s">
        <v>28</v>
      </c>
      <c r="S3625" s="9">
        <f>VLOOKUP(P3625,$T$2:U3622,2,1)</f>
        <v>0.05</v>
      </c>
    </row>
    <row r="3626" spans="1:19" x14ac:dyDescent="0.25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e">
        <f>VLOOKUP(F3626,'Customer Info'!A3618:I4117,2,0)</f>
        <v>#N/A</v>
      </c>
      <c r="H3626" s="6" t="e">
        <f>VLOOKUP(F3626,'Customer Info'!A3618:I4117,3,0)</f>
        <v>#N/A</v>
      </c>
      <c r="I3626" s="6" t="e">
        <f>VLOOKUP(F3626,'Customer Info'!A3618:I4117,5,0)</f>
        <v>#N/A</v>
      </c>
      <c r="J3626" s="2">
        <v>6481</v>
      </c>
      <c r="K3626" s="2">
        <v>5884</v>
      </c>
      <c r="L3626" s="2">
        <v>5</v>
      </c>
      <c r="M3626" s="7">
        <f t="shared" si="224"/>
        <v>29420</v>
      </c>
      <c r="N3626" s="7">
        <f t="shared" si="225"/>
        <v>32405</v>
      </c>
      <c r="O3626" s="2">
        <v>66</v>
      </c>
      <c r="P3626" s="8">
        <f t="shared" si="226"/>
        <v>32471</v>
      </c>
      <c r="Q3626" s="8">
        <f t="shared" si="227"/>
        <v>32339</v>
      </c>
      <c r="R3626" s="2" t="s">
        <v>28</v>
      </c>
      <c r="S3626" s="9">
        <f>VLOOKUP(P3626,$T$2:U3623,2,1)</f>
        <v>7.0000000000000007E-2</v>
      </c>
    </row>
    <row r="3627" spans="1:19" x14ac:dyDescent="0.25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e">
        <f>VLOOKUP(F3627,'Customer Info'!A3619:I4118,2,0)</f>
        <v>#N/A</v>
      </c>
      <c r="H3627" s="6" t="e">
        <f>VLOOKUP(F3627,'Customer Info'!A3619:I4118,3,0)</f>
        <v>#N/A</v>
      </c>
      <c r="I3627" s="6" t="e">
        <f>VLOOKUP(F3627,'Customer Info'!A3619:I4118,5,0)</f>
        <v>#N/A</v>
      </c>
      <c r="J3627" s="2">
        <v>8495</v>
      </c>
      <c r="K3627" s="2">
        <v>7647</v>
      </c>
      <c r="L3627" s="2">
        <v>2</v>
      </c>
      <c r="M3627" s="7">
        <f t="shared" si="224"/>
        <v>15294</v>
      </c>
      <c r="N3627" s="7">
        <f t="shared" si="225"/>
        <v>16990</v>
      </c>
      <c r="O3627" s="2">
        <v>23</v>
      </c>
      <c r="P3627" s="8">
        <f t="shared" si="226"/>
        <v>17013</v>
      </c>
      <c r="Q3627" s="8">
        <f t="shared" si="227"/>
        <v>16967</v>
      </c>
      <c r="R3627" s="2" t="s">
        <v>28</v>
      </c>
      <c r="S3627" s="9">
        <f>VLOOKUP(P3627,$T$2:U3624,2,1)</f>
        <v>0.05</v>
      </c>
    </row>
    <row r="3628" spans="1:19" x14ac:dyDescent="0.25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e">
        <f>VLOOKUP(F3628,'Customer Info'!A3620:I4119,2,0)</f>
        <v>#N/A</v>
      </c>
      <c r="H3628" s="6" t="e">
        <f>VLOOKUP(F3628,'Customer Info'!A3620:I4119,3,0)</f>
        <v>#N/A</v>
      </c>
      <c r="I3628" s="6" t="e">
        <f>VLOOKUP(F3628,'Customer Info'!A3620:I4119,5,0)</f>
        <v>#N/A</v>
      </c>
      <c r="J3628" s="2">
        <v>2733</v>
      </c>
      <c r="K3628" s="2">
        <v>2579</v>
      </c>
      <c r="L3628" s="2">
        <v>11</v>
      </c>
      <c r="M3628" s="7">
        <f t="shared" si="224"/>
        <v>28369</v>
      </c>
      <c r="N3628" s="7">
        <f t="shared" si="225"/>
        <v>30063</v>
      </c>
      <c r="O3628" s="2">
        <v>59</v>
      </c>
      <c r="P3628" s="8">
        <f t="shared" si="226"/>
        <v>30122</v>
      </c>
      <c r="Q3628" s="8">
        <f t="shared" si="227"/>
        <v>30004</v>
      </c>
      <c r="R3628" s="2" t="s">
        <v>28</v>
      </c>
      <c r="S3628" s="9">
        <f>VLOOKUP(P3628,$T$2:U3625,2,1)</f>
        <v>7.0000000000000007E-2</v>
      </c>
    </row>
    <row r="3629" spans="1:19" x14ac:dyDescent="0.25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e">
        <f>VLOOKUP(F3629,'Customer Info'!A3621:I4120,2,0)</f>
        <v>#N/A</v>
      </c>
      <c r="H3629" s="6" t="e">
        <f>VLOOKUP(F3629,'Customer Info'!A3621:I4120,3,0)</f>
        <v>#N/A</v>
      </c>
      <c r="I3629" s="6" t="e">
        <f>VLOOKUP(F3629,'Customer Info'!A3621:I4120,5,0)</f>
        <v>#N/A</v>
      </c>
      <c r="J3629" s="2">
        <v>2706</v>
      </c>
      <c r="K3629" s="2">
        <v>2553</v>
      </c>
      <c r="L3629" s="2">
        <v>2</v>
      </c>
      <c r="M3629" s="7">
        <f t="shared" si="224"/>
        <v>5106</v>
      </c>
      <c r="N3629" s="7">
        <f t="shared" si="225"/>
        <v>5412</v>
      </c>
      <c r="O3629" s="2">
        <v>54</v>
      </c>
      <c r="P3629" s="8">
        <f t="shared" si="226"/>
        <v>5466</v>
      </c>
      <c r="Q3629" s="8">
        <f t="shared" si="227"/>
        <v>5358</v>
      </c>
      <c r="R3629" s="2" t="s">
        <v>50</v>
      </c>
      <c r="S3629" s="9">
        <f>VLOOKUP(P3629,$T$2:U3626,2,1)</f>
        <v>0.05</v>
      </c>
    </row>
    <row r="3630" spans="1:19" x14ac:dyDescent="0.25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e">
        <f>VLOOKUP(F3630,'Customer Info'!A3622:I4121,2,0)</f>
        <v>#N/A</v>
      </c>
      <c r="H3630" s="6" t="e">
        <f>VLOOKUP(F3630,'Customer Info'!A3622:I4121,3,0)</f>
        <v>#N/A</v>
      </c>
      <c r="I3630" s="6" t="e">
        <f>VLOOKUP(F3630,'Customer Info'!A3622:I4121,5,0)</f>
        <v>#N/A</v>
      </c>
      <c r="J3630" s="2">
        <v>144</v>
      </c>
      <c r="K3630" s="2">
        <v>132</v>
      </c>
      <c r="L3630" s="2">
        <v>3</v>
      </c>
      <c r="M3630" s="7">
        <f t="shared" si="224"/>
        <v>396</v>
      </c>
      <c r="N3630" s="7">
        <f t="shared" si="225"/>
        <v>432</v>
      </c>
      <c r="O3630" s="2">
        <v>30</v>
      </c>
      <c r="P3630" s="8">
        <f t="shared" si="226"/>
        <v>462</v>
      </c>
      <c r="Q3630" s="8">
        <f t="shared" si="227"/>
        <v>402</v>
      </c>
      <c r="R3630" s="2" t="s">
        <v>50</v>
      </c>
      <c r="S3630" s="9">
        <f>VLOOKUP(P3630,$T$2:U3627,2,1)</f>
        <v>0.02</v>
      </c>
    </row>
    <row r="3631" spans="1:19" x14ac:dyDescent="0.25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e">
        <f>VLOOKUP(F3631,'Customer Info'!A3623:I4122,2,0)</f>
        <v>#N/A</v>
      </c>
      <c r="H3631" s="6" t="e">
        <f>VLOOKUP(F3631,'Customer Info'!A3623:I4122,3,0)</f>
        <v>#N/A</v>
      </c>
      <c r="I3631" s="6" t="e">
        <f>VLOOKUP(F3631,'Customer Info'!A3623:I4122,5,0)</f>
        <v>#N/A</v>
      </c>
      <c r="J3631" s="2">
        <v>175</v>
      </c>
      <c r="K3631" s="2">
        <v>158</v>
      </c>
      <c r="L3631" s="2">
        <v>2</v>
      </c>
      <c r="M3631" s="7">
        <f t="shared" si="224"/>
        <v>316</v>
      </c>
      <c r="N3631" s="7">
        <f t="shared" si="225"/>
        <v>350</v>
      </c>
      <c r="O3631" s="2">
        <v>30</v>
      </c>
      <c r="P3631" s="8">
        <f t="shared" si="226"/>
        <v>380</v>
      </c>
      <c r="Q3631" s="8">
        <f t="shared" si="227"/>
        <v>320</v>
      </c>
      <c r="R3631" s="2" t="s">
        <v>50</v>
      </c>
      <c r="S3631" s="9">
        <f>VLOOKUP(P3631,$T$2:U3628,2,1)</f>
        <v>0.02</v>
      </c>
    </row>
    <row r="3632" spans="1:19" x14ac:dyDescent="0.25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e">
        <f>VLOOKUP(F3632,'Customer Info'!A3624:I4123,2,0)</f>
        <v>#N/A</v>
      </c>
      <c r="H3632" s="6" t="e">
        <f>VLOOKUP(F3632,'Customer Info'!A3624:I4123,3,0)</f>
        <v>#N/A</v>
      </c>
      <c r="I3632" s="6" t="e">
        <f>VLOOKUP(F3632,'Customer Info'!A3624:I4123,5,0)</f>
        <v>#N/A</v>
      </c>
      <c r="J3632" s="2">
        <v>6520</v>
      </c>
      <c r="K3632" s="2">
        <v>5985</v>
      </c>
      <c r="L3632" s="2">
        <v>4</v>
      </c>
      <c r="M3632" s="7">
        <f t="shared" si="224"/>
        <v>23940</v>
      </c>
      <c r="N3632" s="7">
        <f t="shared" si="225"/>
        <v>26080</v>
      </c>
      <c r="O3632" s="2">
        <v>23</v>
      </c>
      <c r="P3632" s="8">
        <f t="shared" si="226"/>
        <v>26103</v>
      </c>
      <c r="Q3632" s="8">
        <f t="shared" si="227"/>
        <v>26057</v>
      </c>
      <c r="R3632" s="2" t="s">
        <v>50</v>
      </c>
      <c r="S3632" s="9">
        <f>VLOOKUP(P3632,$T$2:U3629,2,1)</f>
        <v>7.0000000000000007E-2</v>
      </c>
    </row>
    <row r="3633" spans="1:19" x14ac:dyDescent="0.25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e">
        <f>VLOOKUP(F3633,'Customer Info'!A3625:I4124,2,0)</f>
        <v>#N/A</v>
      </c>
      <c r="H3633" s="6" t="e">
        <f>VLOOKUP(F3633,'Customer Info'!A3625:I4124,3,0)</f>
        <v>#N/A</v>
      </c>
      <c r="I3633" s="6" t="e">
        <f>VLOOKUP(F3633,'Customer Info'!A3625:I4124,5,0)</f>
        <v>#N/A</v>
      </c>
      <c r="J3633" s="2">
        <v>8399</v>
      </c>
      <c r="K3633" s="2">
        <v>8001</v>
      </c>
      <c r="L3633" s="2">
        <v>9</v>
      </c>
      <c r="M3633" s="7">
        <f t="shared" si="224"/>
        <v>72009</v>
      </c>
      <c r="N3633" s="7">
        <f t="shared" si="225"/>
        <v>75591</v>
      </c>
      <c r="O3633" s="2">
        <v>54</v>
      </c>
      <c r="P3633" s="8">
        <f t="shared" si="226"/>
        <v>75645</v>
      </c>
      <c r="Q3633" s="8">
        <f t="shared" si="227"/>
        <v>75537</v>
      </c>
      <c r="R3633" s="2" t="s">
        <v>28</v>
      </c>
      <c r="S3633" s="9">
        <f>VLOOKUP(P3633,$T$2:U3630,2,1)</f>
        <v>0.09</v>
      </c>
    </row>
    <row r="3634" spans="1:19" x14ac:dyDescent="0.25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e">
        <f>VLOOKUP(F3634,'Customer Info'!A3626:I4125,2,0)</f>
        <v>#N/A</v>
      </c>
      <c r="H3634" s="6" t="e">
        <f>VLOOKUP(F3634,'Customer Info'!A3626:I4125,3,0)</f>
        <v>#N/A</v>
      </c>
      <c r="I3634" s="6" t="e">
        <f>VLOOKUP(F3634,'Customer Info'!A3626:I4125,5,0)</f>
        <v>#N/A</v>
      </c>
      <c r="J3634" s="2">
        <v>520</v>
      </c>
      <c r="K3634" s="2">
        <v>477</v>
      </c>
      <c r="L3634" s="2">
        <v>3</v>
      </c>
      <c r="M3634" s="7">
        <f t="shared" si="224"/>
        <v>1431</v>
      </c>
      <c r="N3634" s="7">
        <f t="shared" si="225"/>
        <v>1560</v>
      </c>
      <c r="O3634" s="2">
        <v>54</v>
      </c>
      <c r="P3634" s="8">
        <f t="shared" si="226"/>
        <v>1614</v>
      </c>
      <c r="Q3634" s="8">
        <f t="shared" si="227"/>
        <v>1506</v>
      </c>
      <c r="R3634" s="2" t="s">
        <v>56</v>
      </c>
      <c r="S3634" s="9">
        <f>VLOOKUP(P3634,$T$2:U3631,2,1)</f>
        <v>0.02</v>
      </c>
    </row>
    <row r="3635" spans="1:19" x14ac:dyDescent="0.25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e">
        <f>VLOOKUP(F3635,'Customer Info'!A3627:I4126,2,0)</f>
        <v>#N/A</v>
      </c>
      <c r="H3635" s="6" t="e">
        <f>VLOOKUP(F3635,'Customer Info'!A3627:I4126,3,0)</f>
        <v>#N/A</v>
      </c>
      <c r="I3635" s="6" t="e">
        <f>VLOOKUP(F3635,'Customer Info'!A3627:I4126,5,0)</f>
        <v>#N/A</v>
      </c>
      <c r="J3635" s="2">
        <v>60</v>
      </c>
      <c r="K3635" s="2">
        <v>58</v>
      </c>
      <c r="L3635" s="2">
        <v>3</v>
      </c>
      <c r="M3635" s="7">
        <f t="shared" si="224"/>
        <v>174</v>
      </c>
      <c r="N3635" s="7">
        <f t="shared" si="225"/>
        <v>180</v>
      </c>
      <c r="O3635" s="2">
        <v>10</v>
      </c>
      <c r="P3635" s="8">
        <f t="shared" si="226"/>
        <v>190</v>
      </c>
      <c r="Q3635" s="8">
        <f t="shared" si="227"/>
        <v>170</v>
      </c>
      <c r="R3635" s="2" t="s">
        <v>28</v>
      </c>
      <c r="S3635" s="9">
        <f>VLOOKUP(P3635,$T$2:U3632,2,1)</f>
        <v>0.02</v>
      </c>
    </row>
    <row r="3636" spans="1:19" x14ac:dyDescent="0.25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e">
        <f>VLOOKUP(F3636,'Customer Info'!A3628:I4127,2,0)</f>
        <v>#N/A</v>
      </c>
      <c r="H3636" s="6" t="e">
        <f>VLOOKUP(F3636,'Customer Info'!A3628:I4127,3,0)</f>
        <v>#N/A</v>
      </c>
      <c r="I3636" s="6" t="e">
        <f>VLOOKUP(F3636,'Customer Info'!A3628:I4127,5,0)</f>
        <v>#N/A</v>
      </c>
      <c r="J3636" s="2">
        <v>199</v>
      </c>
      <c r="K3636" s="2">
        <v>176</v>
      </c>
      <c r="L3636" s="2">
        <v>4</v>
      </c>
      <c r="M3636" s="7">
        <f t="shared" si="224"/>
        <v>704</v>
      </c>
      <c r="N3636" s="7">
        <f t="shared" si="225"/>
        <v>796</v>
      </c>
      <c r="O3636" s="2">
        <v>30</v>
      </c>
      <c r="P3636" s="8">
        <f t="shared" si="226"/>
        <v>826</v>
      </c>
      <c r="Q3636" s="8">
        <f t="shared" si="227"/>
        <v>766</v>
      </c>
      <c r="R3636" s="2" t="s">
        <v>50</v>
      </c>
      <c r="S3636" s="9">
        <f>VLOOKUP(P3636,$T$2:U3633,2,1)</f>
        <v>0.02</v>
      </c>
    </row>
    <row r="3637" spans="1:19" x14ac:dyDescent="0.25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e">
        <f>VLOOKUP(F3637,'Customer Info'!A3629:I4128,2,0)</f>
        <v>#N/A</v>
      </c>
      <c r="H3637" s="6" t="e">
        <f>VLOOKUP(F3637,'Customer Info'!A3629:I4128,3,0)</f>
        <v>#N/A</v>
      </c>
      <c r="I3637" s="6" t="e">
        <f>VLOOKUP(F3637,'Customer Info'!A3629:I4128,5,0)</f>
        <v>#N/A</v>
      </c>
      <c r="J3637" s="2">
        <v>8889</v>
      </c>
      <c r="K3637" s="2">
        <v>8469</v>
      </c>
      <c r="L3637" s="2">
        <v>1</v>
      </c>
      <c r="M3637" s="7">
        <f t="shared" si="224"/>
        <v>8469</v>
      </c>
      <c r="N3637" s="7">
        <f t="shared" si="225"/>
        <v>8889</v>
      </c>
      <c r="O3637" s="2">
        <v>80</v>
      </c>
      <c r="P3637" s="8">
        <f t="shared" si="226"/>
        <v>8969</v>
      </c>
      <c r="Q3637" s="8">
        <f t="shared" si="227"/>
        <v>8809</v>
      </c>
      <c r="R3637" s="2" t="s">
        <v>28</v>
      </c>
      <c r="S3637" s="9">
        <f>VLOOKUP(P3637,$T$2:U3634,2,1)</f>
        <v>0.05</v>
      </c>
    </row>
    <row r="3638" spans="1:19" x14ac:dyDescent="0.25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e">
        <f>VLOOKUP(F3638,'Customer Info'!A3630:I4129,2,0)</f>
        <v>#N/A</v>
      </c>
      <c r="H3638" s="6" t="e">
        <f>VLOOKUP(F3638,'Customer Info'!A3630:I4129,3,0)</f>
        <v>#N/A</v>
      </c>
      <c r="I3638" s="6" t="e">
        <f>VLOOKUP(F3638,'Customer Info'!A3630:I4129,5,0)</f>
        <v>#N/A</v>
      </c>
      <c r="J3638" s="2">
        <v>175</v>
      </c>
      <c r="K3638" s="2">
        <v>158</v>
      </c>
      <c r="L3638" s="2">
        <v>3</v>
      </c>
      <c r="M3638" s="7">
        <f t="shared" si="224"/>
        <v>474</v>
      </c>
      <c r="N3638" s="7">
        <f t="shared" si="225"/>
        <v>525</v>
      </c>
      <c r="O3638" s="2">
        <v>30</v>
      </c>
      <c r="P3638" s="8">
        <f t="shared" si="226"/>
        <v>555</v>
      </c>
      <c r="Q3638" s="8">
        <f t="shared" si="227"/>
        <v>495</v>
      </c>
      <c r="R3638" s="2" t="s">
        <v>28</v>
      </c>
      <c r="S3638" s="9">
        <f>VLOOKUP(P3638,$T$2:U3635,2,1)</f>
        <v>0.02</v>
      </c>
    </row>
    <row r="3639" spans="1:19" x14ac:dyDescent="0.25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e">
        <f>VLOOKUP(F3639,'Customer Info'!A3631:I4130,2,0)</f>
        <v>#N/A</v>
      </c>
      <c r="H3639" s="6" t="e">
        <f>VLOOKUP(F3639,'Customer Info'!A3631:I4130,3,0)</f>
        <v>#N/A</v>
      </c>
      <c r="I3639" s="6" t="e">
        <f>VLOOKUP(F3639,'Customer Info'!A3631:I4130,5,0)</f>
        <v>#N/A</v>
      </c>
      <c r="J3639" s="2">
        <v>2088</v>
      </c>
      <c r="K3639" s="2">
        <v>1970</v>
      </c>
      <c r="L3639" s="2">
        <v>4</v>
      </c>
      <c r="M3639" s="7">
        <f t="shared" si="224"/>
        <v>7880</v>
      </c>
      <c r="N3639" s="7">
        <f t="shared" si="225"/>
        <v>8352</v>
      </c>
      <c r="O3639" s="2">
        <v>63</v>
      </c>
      <c r="P3639" s="8">
        <f t="shared" si="226"/>
        <v>8415</v>
      </c>
      <c r="Q3639" s="8">
        <f t="shared" si="227"/>
        <v>8289</v>
      </c>
      <c r="R3639" s="2" t="s">
        <v>50</v>
      </c>
      <c r="S3639" s="9">
        <f>VLOOKUP(P3639,$T$2:U3636,2,1)</f>
        <v>0.05</v>
      </c>
    </row>
    <row r="3640" spans="1:19" x14ac:dyDescent="0.25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e">
        <f>VLOOKUP(F3640,'Customer Info'!A3632:I4131,2,0)</f>
        <v>#N/A</v>
      </c>
      <c r="H3640" s="6" t="e">
        <f>VLOOKUP(F3640,'Customer Info'!A3632:I4131,3,0)</f>
        <v>#N/A</v>
      </c>
      <c r="I3640" s="6" t="e">
        <f>VLOOKUP(F3640,'Customer Info'!A3632:I4131,5,0)</f>
        <v>#N/A</v>
      </c>
      <c r="J3640" s="2">
        <v>4808</v>
      </c>
      <c r="K3640" s="2">
        <v>4453</v>
      </c>
      <c r="L3640" s="2">
        <v>5</v>
      </c>
      <c r="M3640" s="7">
        <f t="shared" si="224"/>
        <v>22265</v>
      </c>
      <c r="N3640" s="7">
        <f t="shared" si="225"/>
        <v>24040</v>
      </c>
      <c r="O3640" s="2">
        <v>58</v>
      </c>
      <c r="P3640" s="8">
        <f t="shared" si="226"/>
        <v>24098</v>
      </c>
      <c r="Q3640" s="8">
        <f t="shared" si="227"/>
        <v>23982</v>
      </c>
      <c r="R3640" s="2" t="s">
        <v>50</v>
      </c>
      <c r="S3640" s="9">
        <f>VLOOKUP(P3640,$T$2:U3637,2,1)</f>
        <v>0.05</v>
      </c>
    </row>
    <row r="3641" spans="1:19" x14ac:dyDescent="0.25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e">
        <f>VLOOKUP(F3641,'Customer Info'!A3633:I4132,2,0)</f>
        <v>#N/A</v>
      </c>
      <c r="H3641" s="6" t="e">
        <f>VLOOKUP(F3641,'Customer Info'!A3633:I4132,3,0)</f>
        <v>#N/A</v>
      </c>
      <c r="I3641" s="6" t="e">
        <f>VLOOKUP(F3641,'Customer Info'!A3633:I4132,5,0)</f>
        <v>#N/A</v>
      </c>
      <c r="J3641" s="2">
        <v>202</v>
      </c>
      <c r="K3641" s="2">
        <v>187</v>
      </c>
      <c r="L3641" s="2">
        <v>2</v>
      </c>
      <c r="M3641" s="7">
        <f t="shared" si="224"/>
        <v>374</v>
      </c>
      <c r="N3641" s="7">
        <f t="shared" si="225"/>
        <v>404</v>
      </c>
      <c r="O3641" s="2">
        <v>30</v>
      </c>
      <c r="P3641" s="8">
        <f t="shared" si="226"/>
        <v>434</v>
      </c>
      <c r="Q3641" s="8">
        <f t="shared" si="227"/>
        <v>374</v>
      </c>
      <c r="R3641" s="2" t="s">
        <v>28</v>
      </c>
      <c r="S3641" s="9">
        <f>VLOOKUP(P3641,$T$2:U3638,2,1)</f>
        <v>0.02</v>
      </c>
    </row>
    <row r="3642" spans="1:19" x14ac:dyDescent="0.25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e">
        <f>VLOOKUP(F3642,'Customer Info'!A3634:I4133,2,0)</f>
        <v>#N/A</v>
      </c>
      <c r="H3642" s="6" t="e">
        <f>VLOOKUP(F3642,'Customer Info'!A3634:I4133,3,0)</f>
        <v>#N/A</v>
      </c>
      <c r="I3642" s="6" t="e">
        <f>VLOOKUP(F3642,'Customer Info'!A3634:I4133,5,0)</f>
        <v>#N/A</v>
      </c>
      <c r="J3642" s="2">
        <v>6635</v>
      </c>
      <c r="K3642" s="2">
        <v>6321</v>
      </c>
      <c r="L3642" s="2">
        <v>6</v>
      </c>
      <c r="M3642" s="7">
        <f t="shared" si="224"/>
        <v>37926</v>
      </c>
      <c r="N3642" s="7">
        <f t="shared" si="225"/>
        <v>39810</v>
      </c>
      <c r="O3642" s="2">
        <v>92</v>
      </c>
      <c r="P3642" s="8">
        <f t="shared" si="226"/>
        <v>39902</v>
      </c>
      <c r="Q3642" s="8">
        <f t="shared" si="227"/>
        <v>39718</v>
      </c>
      <c r="R3642" s="2" t="s">
        <v>28</v>
      </c>
      <c r="S3642" s="9">
        <f>VLOOKUP(P3642,$T$2:U3639,2,1)</f>
        <v>7.0000000000000007E-2</v>
      </c>
    </row>
    <row r="3643" spans="1:19" x14ac:dyDescent="0.25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e">
        <f>VLOOKUP(F3643,'Customer Info'!A3635:I4134,2,0)</f>
        <v>#N/A</v>
      </c>
      <c r="H3643" s="6" t="e">
        <f>VLOOKUP(F3643,'Customer Info'!A3635:I4134,3,0)</f>
        <v>#N/A</v>
      </c>
      <c r="I3643" s="6" t="e">
        <f>VLOOKUP(F3643,'Customer Info'!A3635:I4134,5,0)</f>
        <v>#N/A</v>
      </c>
      <c r="J3643" s="2">
        <v>1372</v>
      </c>
      <c r="K3643" s="2">
        <v>1308</v>
      </c>
      <c r="L3643" s="2">
        <v>1</v>
      </c>
      <c r="M3643" s="7">
        <f t="shared" si="224"/>
        <v>1308</v>
      </c>
      <c r="N3643" s="7">
        <f t="shared" si="225"/>
        <v>1372</v>
      </c>
      <c r="O3643" s="2">
        <v>69</v>
      </c>
      <c r="P3643" s="8">
        <f t="shared" si="226"/>
        <v>1441</v>
      </c>
      <c r="Q3643" s="8">
        <f t="shared" si="227"/>
        <v>1303</v>
      </c>
      <c r="R3643" s="2" t="s">
        <v>50</v>
      </c>
      <c r="S3643" s="9">
        <f>VLOOKUP(P3643,$T$2:U3640,2,1)</f>
        <v>0.02</v>
      </c>
    </row>
    <row r="3644" spans="1:19" x14ac:dyDescent="0.25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e">
        <f>VLOOKUP(F3644,'Customer Info'!A3636:I4135,2,0)</f>
        <v>#N/A</v>
      </c>
      <c r="H3644" s="6" t="e">
        <f>VLOOKUP(F3644,'Customer Info'!A3636:I4135,3,0)</f>
        <v>#N/A</v>
      </c>
      <c r="I3644" s="6" t="e">
        <f>VLOOKUP(F3644,'Customer Info'!A3636:I4135,5,0)</f>
        <v>#N/A</v>
      </c>
      <c r="J3644" s="2">
        <v>3184</v>
      </c>
      <c r="K3644" s="2">
        <v>2947</v>
      </c>
      <c r="L3644" s="2">
        <v>4</v>
      </c>
      <c r="M3644" s="7">
        <f t="shared" si="224"/>
        <v>11788</v>
      </c>
      <c r="N3644" s="7">
        <f t="shared" si="225"/>
        <v>12736</v>
      </c>
      <c r="O3644" s="2">
        <v>67</v>
      </c>
      <c r="P3644" s="8">
        <f t="shared" si="226"/>
        <v>12803</v>
      </c>
      <c r="Q3644" s="8">
        <f t="shared" si="227"/>
        <v>12669</v>
      </c>
      <c r="R3644" s="2" t="s">
        <v>50</v>
      </c>
      <c r="S3644" s="9">
        <f>VLOOKUP(P3644,$T$2:U3641,2,1)</f>
        <v>0.05</v>
      </c>
    </row>
    <row r="3645" spans="1:19" x14ac:dyDescent="0.25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e">
        <f>VLOOKUP(F3645,'Customer Info'!A3637:I4136,2,0)</f>
        <v>#N/A</v>
      </c>
      <c r="H3645" s="6" t="e">
        <f>VLOOKUP(F3645,'Customer Info'!A3637:I4136,3,0)</f>
        <v>#N/A</v>
      </c>
      <c r="I3645" s="6" t="e">
        <f>VLOOKUP(F3645,'Customer Info'!A3637:I4136,5,0)</f>
        <v>#N/A</v>
      </c>
      <c r="J3645" s="2">
        <v>7361</v>
      </c>
      <c r="K3645" s="2">
        <v>6887</v>
      </c>
      <c r="L3645" s="2">
        <v>1</v>
      </c>
      <c r="M3645" s="7">
        <f t="shared" si="224"/>
        <v>6887</v>
      </c>
      <c r="N3645" s="7">
        <f t="shared" si="225"/>
        <v>7361</v>
      </c>
      <c r="O3645" s="2">
        <v>87</v>
      </c>
      <c r="P3645" s="8">
        <f t="shared" si="226"/>
        <v>7448</v>
      </c>
      <c r="Q3645" s="8">
        <f t="shared" si="227"/>
        <v>7274</v>
      </c>
      <c r="R3645" s="2" t="s">
        <v>26</v>
      </c>
      <c r="S3645" s="9">
        <f>VLOOKUP(P3645,$T$2:U3642,2,1)</f>
        <v>0.05</v>
      </c>
    </row>
    <row r="3646" spans="1:19" x14ac:dyDescent="0.25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e">
        <f>VLOOKUP(F3646,'Customer Info'!A3638:I4137,2,0)</f>
        <v>#N/A</v>
      </c>
      <c r="H3646" s="6" t="e">
        <f>VLOOKUP(F3646,'Customer Info'!A3638:I4137,3,0)</f>
        <v>#N/A</v>
      </c>
      <c r="I3646" s="6" t="e">
        <f>VLOOKUP(F3646,'Customer Info'!A3638:I4137,5,0)</f>
        <v>#N/A</v>
      </c>
      <c r="J3646" s="2">
        <v>3354</v>
      </c>
      <c r="K3646" s="2">
        <v>3102</v>
      </c>
      <c r="L3646" s="2">
        <v>1</v>
      </c>
      <c r="M3646" s="7">
        <f t="shared" si="224"/>
        <v>3102</v>
      </c>
      <c r="N3646" s="7">
        <f t="shared" si="225"/>
        <v>3354</v>
      </c>
      <c r="O3646" s="2">
        <v>21</v>
      </c>
      <c r="P3646" s="8">
        <f t="shared" si="226"/>
        <v>3375</v>
      </c>
      <c r="Q3646" s="8">
        <f t="shared" si="227"/>
        <v>3333</v>
      </c>
      <c r="R3646" s="2" t="s">
        <v>28</v>
      </c>
      <c r="S3646" s="9">
        <f>VLOOKUP(P3646,$T$2:U3643,2,1)</f>
        <v>0.02</v>
      </c>
    </row>
    <row r="3647" spans="1:19" x14ac:dyDescent="0.25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e">
        <f>VLOOKUP(F3647,'Customer Info'!A3639:I4138,2,0)</f>
        <v>#N/A</v>
      </c>
      <c r="H3647" s="6" t="e">
        <f>VLOOKUP(F3647,'Customer Info'!A3639:I4138,3,0)</f>
        <v>#N/A</v>
      </c>
      <c r="I3647" s="6" t="e">
        <f>VLOOKUP(F3647,'Customer Info'!A3639:I4138,5,0)</f>
        <v>#N/A</v>
      </c>
      <c r="J3647" s="2">
        <v>1552</v>
      </c>
      <c r="K3647" s="2">
        <v>1466</v>
      </c>
      <c r="L3647" s="2">
        <v>7</v>
      </c>
      <c r="M3647" s="7">
        <f t="shared" si="224"/>
        <v>10262</v>
      </c>
      <c r="N3647" s="7">
        <f t="shared" si="225"/>
        <v>10864</v>
      </c>
      <c r="O3647" s="2">
        <v>84</v>
      </c>
      <c r="P3647" s="8">
        <f t="shared" si="226"/>
        <v>10948</v>
      </c>
      <c r="Q3647" s="8">
        <f t="shared" si="227"/>
        <v>10780</v>
      </c>
      <c r="R3647" s="2" t="s">
        <v>50</v>
      </c>
      <c r="S3647" s="9">
        <f>VLOOKUP(P3647,$T$2:U3644,2,1)</f>
        <v>0.05</v>
      </c>
    </row>
    <row r="3648" spans="1:19" x14ac:dyDescent="0.25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e">
        <f>VLOOKUP(F3648,'Customer Info'!A3640:I4139,2,0)</f>
        <v>#N/A</v>
      </c>
      <c r="H3648" s="6" t="e">
        <f>VLOOKUP(F3648,'Customer Info'!A3640:I4139,3,0)</f>
        <v>#N/A</v>
      </c>
      <c r="I3648" s="6" t="e">
        <f>VLOOKUP(F3648,'Customer Info'!A3640:I4139,5,0)</f>
        <v>#N/A</v>
      </c>
      <c r="J3648" s="2">
        <v>92</v>
      </c>
      <c r="K3648" s="2">
        <v>82</v>
      </c>
      <c r="L3648" s="2">
        <v>3</v>
      </c>
      <c r="M3648" s="7">
        <f t="shared" si="224"/>
        <v>246</v>
      </c>
      <c r="N3648" s="7">
        <f t="shared" si="225"/>
        <v>276</v>
      </c>
      <c r="O3648" s="2">
        <v>10</v>
      </c>
      <c r="P3648" s="8">
        <f t="shared" si="226"/>
        <v>286</v>
      </c>
      <c r="Q3648" s="8">
        <f t="shared" si="227"/>
        <v>266</v>
      </c>
      <c r="R3648" s="2" t="s">
        <v>28</v>
      </c>
      <c r="S3648" s="9">
        <f>VLOOKUP(P3648,$T$2:U3645,2,1)</f>
        <v>0.02</v>
      </c>
    </row>
    <row r="3649" spans="1:19" x14ac:dyDescent="0.25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e">
        <f>VLOOKUP(F3649,'Customer Info'!A3641:I4140,2,0)</f>
        <v>#N/A</v>
      </c>
      <c r="H3649" s="6" t="e">
        <f>VLOOKUP(F3649,'Customer Info'!A3641:I4140,3,0)</f>
        <v>#N/A</v>
      </c>
      <c r="I3649" s="6" t="e">
        <f>VLOOKUP(F3649,'Customer Info'!A3641:I4140,5,0)</f>
        <v>#N/A</v>
      </c>
      <c r="J3649" s="2">
        <v>1774</v>
      </c>
      <c r="K3649" s="2">
        <v>1642</v>
      </c>
      <c r="L3649" s="2">
        <v>4</v>
      </c>
      <c r="M3649" s="7">
        <f t="shared" si="224"/>
        <v>6568</v>
      </c>
      <c r="N3649" s="7">
        <f t="shared" si="225"/>
        <v>7096</v>
      </c>
      <c r="O3649" s="2">
        <v>51</v>
      </c>
      <c r="P3649" s="8">
        <f t="shared" si="226"/>
        <v>7147</v>
      </c>
      <c r="Q3649" s="8">
        <f t="shared" si="227"/>
        <v>7045</v>
      </c>
      <c r="R3649" s="2" t="s">
        <v>50</v>
      </c>
      <c r="S3649" s="9">
        <f>VLOOKUP(P3649,$T$2:U3646,2,1)</f>
        <v>0.05</v>
      </c>
    </row>
    <row r="3650" spans="1:19" x14ac:dyDescent="0.25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e">
        <f>VLOOKUP(F3650,'Customer Info'!A3642:I4141,2,0)</f>
        <v>#N/A</v>
      </c>
      <c r="H3650" s="6" t="e">
        <f>VLOOKUP(F3650,'Customer Info'!A3642:I4141,3,0)</f>
        <v>#N/A</v>
      </c>
      <c r="I3650" s="6" t="e">
        <f>VLOOKUP(F3650,'Customer Info'!A3642:I4141,5,0)</f>
        <v>#N/A</v>
      </c>
      <c r="J3650" s="2">
        <v>914</v>
      </c>
      <c r="K3650" s="2">
        <v>830</v>
      </c>
      <c r="L3650" s="2">
        <v>3</v>
      </c>
      <c r="M3650" s="7">
        <f t="shared" si="224"/>
        <v>2490</v>
      </c>
      <c r="N3650" s="7">
        <f t="shared" si="225"/>
        <v>2742</v>
      </c>
      <c r="O3650" s="2">
        <v>26</v>
      </c>
      <c r="P3650" s="8">
        <f t="shared" si="226"/>
        <v>2768</v>
      </c>
      <c r="Q3650" s="8">
        <f t="shared" si="227"/>
        <v>2716</v>
      </c>
      <c r="R3650" s="2" t="s">
        <v>28</v>
      </c>
      <c r="S3650" s="9">
        <f>VLOOKUP(P3650,$T$2:U3647,2,1)</f>
        <v>0.02</v>
      </c>
    </row>
    <row r="3651" spans="1:19" x14ac:dyDescent="0.25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e">
        <f>VLOOKUP(F3651,'Customer Info'!A3643:I4142,2,0)</f>
        <v>#N/A</v>
      </c>
      <c r="H3651" s="6" t="e">
        <f>VLOOKUP(F3651,'Customer Info'!A3643:I4142,3,0)</f>
        <v>#N/A</v>
      </c>
      <c r="I3651" s="6" t="e">
        <f>VLOOKUP(F3651,'Customer Info'!A3643:I4142,5,0)</f>
        <v>#N/A</v>
      </c>
      <c r="J3651" s="2">
        <v>1798</v>
      </c>
      <c r="K3651" s="2">
        <v>1650</v>
      </c>
      <c r="L3651" s="2">
        <v>4</v>
      </c>
      <c r="M3651" s="7">
        <f t="shared" si="224"/>
        <v>6600</v>
      </c>
      <c r="N3651" s="7">
        <f t="shared" si="225"/>
        <v>7192</v>
      </c>
      <c r="O3651" s="2">
        <v>84</v>
      </c>
      <c r="P3651" s="8">
        <f t="shared" si="226"/>
        <v>7276</v>
      </c>
      <c r="Q3651" s="8">
        <f t="shared" si="227"/>
        <v>7108</v>
      </c>
      <c r="R3651" s="2" t="s">
        <v>28</v>
      </c>
      <c r="S3651" s="9">
        <f>VLOOKUP(P3651,$T$2:U3648,2,1)</f>
        <v>0.05</v>
      </c>
    </row>
    <row r="3652" spans="1:19" x14ac:dyDescent="0.25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e">
        <f>VLOOKUP(F3652,'Customer Info'!A3644:I4143,2,0)</f>
        <v>#N/A</v>
      </c>
      <c r="H3652" s="6" t="e">
        <f>VLOOKUP(F3652,'Customer Info'!A3644:I4143,3,0)</f>
        <v>#N/A</v>
      </c>
      <c r="I3652" s="6" t="e">
        <f>VLOOKUP(F3652,'Customer Info'!A3644:I4143,5,0)</f>
        <v>#N/A</v>
      </c>
      <c r="J3652" s="2">
        <v>2271</v>
      </c>
      <c r="K3652" s="2">
        <v>2144</v>
      </c>
      <c r="L3652" s="2">
        <v>5</v>
      </c>
      <c r="M3652" s="7">
        <f t="shared" si="224"/>
        <v>10720</v>
      </c>
      <c r="N3652" s="7">
        <f t="shared" si="225"/>
        <v>11355</v>
      </c>
      <c r="O3652" s="2">
        <v>46</v>
      </c>
      <c r="P3652" s="8">
        <f t="shared" si="226"/>
        <v>11401</v>
      </c>
      <c r="Q3652" s="8">
        <f t="shared" si="227"/>
        <v>11309</v>
      </c>
      <c r="R3652" s="2" t="s">
        <v>28</v>
      </c>
      <c r="S3652" s="9">
        <f>VLOOKUP(P3652,$T$2:U3649,2,1)</f>
        <v>0.05</v>
      </c>
    </row>
    <row r="3653" spans="1:19" x14ac:dyDescent="0.25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e">
        <f>VLOOKUP(F3653,'Customer Info'!A3645:I4144,2,0)</f>
        <v>#N/A</v>
      </c>
      <c r="H3653" s="6" t="e">
        <f>VLOOKUP(F3653,'Customer Info'!A3645:I4144,3,0)</f>
        <v>#N/A</v>
      </c>
      <c r="I3653" s="6" t="e">
        <f>VLOOKUP(F3653,'Customer Info'!A3645:I4144,5,0)</f>
        <v>#N/A</v>
      </c>
      <c r="J3653" s="2">
        <v>8619</v>
      </c>
      <c r="K3653" s="2">
        <v>7759</v>
      </c>
      <c r="L3653" s="2">
        <v>3</v>
      </c>
      <c r="M3653" s="7">
        <f t="shared" si="224"/>
        <v>23277</v>
      </c>
      <c r="N3653" s="7">
        <f t="shared" si="225"/>
        <v>25857</v>
      </c>
      <c r="O3653" s="2">
        <v>28</v>
      </c>
      <c r="P3653" s="8">
        <f t="shared" si="226"/>
        <v>25885</v>
      </c>
      <c r="Q3653" s="8">
        <f t="shared" si="227"/>
        <v>25829</v>
      </c>
      <c r="R3653" s="2" t="s">
        <v>50</v>
      </c>
      <c r="S3653" s="9">
        <f>VLOOKUP(P3653,$T$2:U3650,2,1)</f>
        <v>7.0000000000000007E-2</v>
      </c>
    </row>
    <row r="3654" spans="1:19" x14ac:dyDescent="0.25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e">
        <f>VLOOKUP(F3654,'Customer Info'!A3646:I4145,2,0)</f>
        <v>#N/A</v>
      </c>
      <c r="H3654" s="6" t="e">
        <f>VLOOKUP(F3654,'Customer Info'!A3646:I4145,3,0)</f>
        <v>#N/A</v>
      </c>
      <c r="I3654" s="6" t="e">
        <f>VLOOKUP(F3654,'Customer Info'!A3646:I4145,5,0)</f>
        <v>#N/A</v>
      </c>
      <c r="J3654" s="2">
        <v>882</v>
      </c>
      <c r="K3654" s="2">
        <v>818</v>
      </c>
      <c r="L3654" s="2">
        <v>3</v>
      </c>
      <c r="M3654" s="7">
        <f t="shared" si="224"/>
        <v>2454</v>
      </c>
      <c r="N3654" s="7">
        <f t="shared" si="225"/>
        <v>2646</v>
      </c>
      <c r="O3654" s="2">
        <v>87</v>
      </c>
      <c r="P3654" s="8">
        <f t="shared" si="226"/>
        <v>2733</v>
      </c>
      <c r="Q3654" s="8">
        <f t="shared" si="227"/>
        <v>2559</v>
      </c>
      <c r="R3654" s="2" t="s">
        <v>28</v>
      </c>
      <c r="S3654" s="9">
        <f>VLOOKUP(P3654,$T$2:U3651,2,1)</f>
        <v>0.02</v>
      </c>
    </row>
    <row r="3655" spans="1:19" x14ac:dyDescent="0.25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e">
        <f>VLOOKUP(F3655,'Customer Info'!A3647:I4146,2,0)</f>
        <v>#N/A</v>
      </c>
      <c r="H3655" s="6" t="e">
        <f>VLOOKUP(F3655,'Customer Info'!A3647:I4146,3,0)</f>
        <v>#N/A</v>
      </c>
      <c r="I3655" s="6" t="e">
        <f>VLOOKUP(F3655,'Customer Info'!A3647:I4146,5,0)</f>
        <v>#N/A</v>
      </c>
      <c r="J3655" s="2">
        <v>63</v>
      </c>
      <c r="K3655" s="2">
        <v>59</v>
      </c>
      <c r="L3655" s="2">
        <v>1</v>
      </c>
      <c r="M3655" s="7">
        <f t="shared" si="224"/>
        <v>59</v>
      </c>
      <c r="N3655" s="7">
        <f t="shared" si="225"/>
        <v>63</v>
      </c>
      <c r="O3655" s="2">
        <v>10</v>
      </c>
      <c r="P3655" s="8">
        <f t="shared" si="226"/>
        <v>73</v>
      </c>
      <c r="Q3655" s="8">
        <f t="shared" si="227"/>
        <v>53</v>
      </c>
      <c r="R3655" s="2" t="s">
        <v>50</v>
      </c>
      <c r="S3655" s="9">
        <f>VLOOKUP(P3655,$T$2:U3652,2,1)</f>
        <v>0.02</v>
      </c>
    </row>
    <row r="3656" spans="1:19" x14ac:dyDescent="0.25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e">
        <f>VLOOKUP(F3656,'Customer Info'!A3648:I4147,2,0)</f>
        <v>#N/A</v>
      </c>
      <c r="H3656" s="6" t="e">
        <f>VLOOKUP(F3656,'Customer Info'!A3648:I4147,3,0)</f>
        <v>#N/A</v>
      </c>
      <c r="I3656" s="6" t="e">
        <f>VLOOKUP(F3656,'Customer Info'!A3648:I4147,5,0)</f>
        <v>#N/A</v>
      </c>
      <c r="J3656" s="2">
        <v>8630</v>
      </c>
      <c r="K3656" s="2">
        <v>8303</v>
      </c>
      <c r="L3656" s="2">
        <v>2</v>
      </c>
      <c r="M3656" s="7">
        <f t="shared" si="224"/>
        <v>16606</v>
      </c>
      <c r="N3656" s="7">
        <f t="shared" si="225"/>
        <v>17260</v>
      </c>
      <c r="O3656" s="2">
        <v>50</v>
      </c>
      <c r="P3656" s="8">
        <f t="shared" si="226"/>
        <v>17310</v>
      </c>
      <c r="Q3656" s="8">
        <f t="shared" si="227"/>
        <v>17210</v>
      </c>
      <c r="R3656" s="2" t="s">
        <v>50</v>
      </c>
      <c r="S3656" s="9">
        <f>VLOOKUP(P3656,$T$2:U3653,2,1)</f>
        <v>0.05</v>
      </c>
    </row>
    <row r="3657" spans="1:19" x14ac:dyDescent="0.25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e">
        <f>VLOOKUP(F3657,'Customer Info'!A3649:I4148,2,0)</f>
        <v>#N/A</v>
      </c>
      <c r="H3657" s="6" t="e">
        <f>VLOOKUP(F3657,'Customer Info'!A3649:I4148,3,0)</f>
        <v>#N/A</v>
      </c>
      <c r="I3657" s="6" t="e">
        <f>VLOOKUP(F3657,'Customer Info'!A3649:I4148,5,0)</f>
        <v>#N/A</v>
      </c>
      <c r="J3657" s="2">
        <v>1887</v>
      </c>
      <c r="K3657" s="2">
        <v>1763</v>
      </c>
      <c r="L3657" s="2">
        <v>2</v>
      </c>
      <c r="M3657" s="7">
        <f t="shared" si="224"/>
        <v>3526</v>
      </c>
      <c r="N3657" s="7">
        <f t="shared" si="225"/>
        <v>3774</v>
      </c>
      <c r="O3657" s="2">
        <v>23</v>
      </c>
      <c r="P3657" s="8">
        <f t="shared" si="226"/>
        <v>3797</v>
      </c>
      <c r="Q3657" s="8">
        <f t="shared" si="227"/>
        <v>3751</v>
      </c>
      <c r="R3657" s="2" t="s">
        <v>50</v>
      </c>
      <c r="S3657" s="9">
        <f>VLOOKUP(P3657,$T$2:U3654,2,1)</f>
        <v>0.02</v>
      </c>
    </row>
    <row r="3658" spans="1:19" x14ac:dyDescent="0.25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e">
        <f>VLOOKUP(F3658,'Customer Info'!A3650:I4149,2,0)</f>
        <v>#N/A</v>
      </c>
      <c r="H3658" s="6" t="e">
        <f>VLOOKUP(F3658,'Customer Info'!A3650:I4149,3,0)</f>
        <v>#N/A</v>
      </c>
      <c r="I3658" s="6" t="e">
        <f>VLOOKUP(F3658,'Customer Info'!A3650:I4149,5,0)</f>
        <v>#N/A</v>
      </c>
      <c r="J3658" s="2">
        <v>6274</v>
      </c>
      <c r="K3658" s="2">
        <v>6093</v>
      </c>
      <c r="L3658" s="2">
        <v>3</v>
      </c>
      <c r="M3658" s="7">
        <f t="shared" si="224"/>
        <v>18279</v>
      </c>
      <c r="N3658" s="7">
        <f t="shared" si="225"/>
        <v>18822</v>
      </c>
      <c r="O3658" s="2">
        <v>44</v>
      </c>
      <c r="P3658" s="8">
        <f t="shared" si="226"/>
        <v>18866</v>
      </c>
      <c r="Q3658" s="8">
        <f t="shared" si="227"/>
        <v>18778</v>
      </c>
      <c r="R3658" s="2" t="s">
        <v>50</v>
      </c>
      <c r="S3658" s="9">
        <f>VLOOKUP(P3658,$T$2:U3655,2,1)</f>
        <v>0.05</v>
      </c>
    </row>
    <row r="3659" spans="1:19" x14ac:dyDescent="0.25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e">
        <f>VLOOKUP(F3659,'Customer Info'!A3651:I4150,2,0)</f>
        <v>#N/A</v>
      </c>
      <c r="H3659" s="6" t="e">
        <f>VLOOKUP(F3659,'Customer Info'!A3651:I4150,3,0)</f>
        <v>#N/A</v>
      </c>
      <c r="I3659" s="6" t="e">
        <f>VLOOKUP(F3659,'Customer Info'!A3651:I4150,5,0)</f>
        <v>#N/A</v>
      </c>
      <c r="J3659" s="2">
        <v>5836</v>
      </c>
      <c r="K3659" s="2">
        <v>5457</v>
      </c>
      <c r="L3659" s="2">
        <v>2</v>
      </c>
      <c r="M3659" s="7">
        <f t="shared" ref="M3659:M3722" si="228">K3659*L3659</f>
        <v>10914</v>
      </c>
      <c r="N3659" s="7">
        <f t="shared" ref="N3659:N3722" si="229">J3659*L3659</f>
        <v>11672</v>
      </c>
      <c r="O3659" s="2">
        <v>29</v>
      </c>
      <c r="P3659" s="8">
        <f t="shared" ref="P3659:P3722" si="230">SUM(N3659,O3659)</f>
        <v>11701</v>
      </c>
      <c r="Q3659" s="8">
        <f t="shared" ref="Q3659:Q3722" si="231">N3659-O3659</f>
        <v>11643</v>
      </c>
      <c r="R3659" s="2" t="s">
        <v>50</v>
      </c>
      <c r="S3659" s="9">
        <f>VLOOKUP(P3659,$T$2:U3656,2,1)</f>
        <v>0.05</v>
      </c>
    </row>
    <row r="3660" spans="1:19" x14ac:dyDescent="0.25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e">
        <f>VLOOKUP(F3660,'Customer Info'!A3652:I4151,2,0)</f>
        <v>#N/A</v>
      </c>
      <c r="H3660" s="6" t="e">
        <f>VLOOKUP(F3660,'Customer Info'!A3652:I4151,3,0)</f>
        <v>#N/A</v>
      </c>
      <c r="I3660" s="6" t="e">
        <f>VLOOKUP(F3660,'Customer Info'!A3652:I4151,5,0)</f>
        <v>#N/A</v>
      </c>
      <c r="J3660" s="2">
        <v>626</v>
      </c>
      <c r="K3660" s="2">
        <v>559</v>
      </c>
      <c r="L3660" s="2">
        <v>2</v>
      </c>
      <c r="M3660" s="7">
        <f t="shared" si="228"/>
        <v>1118</v>
      </c>
      <c r="N3660" s="7">
        <f t="shared" si="229"/>
        <v>1252</v>
      </c>
      <c r="O3660" s="2">
        <v>95</v>
      </c>
      <c r="P3660" s="8">
        <f t="shared" si="230"/>
        <v>1347</v>
      </c>
      <c r="Q3660" s="8">
        <f t="shared" si="231"/>
        <v>1157</v>
      </c>
      <c r="R3660" s="2" t="s">
        <v>50</v>
      </c>
      <c r="S3660" s="9">
        <f>VLOOKUP(P3660,$T$2:U3657,2,1)</f>
        <v>0.02</v>
      </c>
    </row>
    <row r="3661" spans="1:19" x14ac:dyDescent="0.25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e">
        <f>VLOOKUP(F3661,'Customer Info'!A3653:I4152,2,0)</f>
        <v>#N/A</v>
      </c>
      <c r="H3661" s="6" t="e">
        <f>VLOOKUP(F3661,'Customer Info'!A3653:I4152,3,0)</f>
        <v>#N/A</v>
      </c>
      <c r="I3661" s="6" t="e">
        <f>VLOOKUP(F3661,'Customer Info'!A3653:I4152,5,0)</f>
        <v>#N/A</v>
      </c>
      <c r="J3661" s="2">
        <v>8199</v>
      </c>
      <c r="K3661" s="2">
        <v>7523</v>
      </c>
      <c r="L3661" s="2">
        <v>2</v>
      </c>
      <c r="M3661" s="7">
        <f t="shared" si="228"/>
        <v>15046</v>
      </c>
      <c r="N3661" s="7">
        <f t="shared" si="229"/>
        <v>16398</v>
      </c>
      <c r="O3661" s="2">
        <v>89</v>
      </c>
      <c r="P3661" s="8">
        <f t="shared" si="230"/>
        <v>16487</v>
      </c>
      <c r="Q3661" s="8">
        <f t="shared" si="231"/>
        <v>16309</v>
      </c>
      <c r="R3661" s="2" t="s">
        <v>28</v>
      </c>
      <c r="S3661" s="9">
        <f>VLOOKUP(P3661,$T$2:U3658,2,1)</f>
        <v>0.05</v>
      </c>
    </row>
    <row r="3662" spans="1:19" x14ac:dyDescent="0.25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e">
        <f>VLOOKUP(F3662,'Customer Info'!A3654:I4153,2,0)</f>
        <v>#N/A</v>
      </c>
      <c r="H3662" s="6" t="e">
        <f>VLOOKUP(F3662,'Customer Info'!A3654:I4153,3,0)</f>
        <v>#N/A</v>
      </c>
      <c r="I3662" s="6" t="e">
        <f>VLOOKUP(F3662,'Customer Info'!A3654:I4153,5,0)</f>
        <v>#N/A</v>
      </c>
      <c r="J3662" s="2">
        <v>3224</v>
      </c>
      <c r="K3662" s="2">
        <v>2901</v>
      </c>
      <c r="L3662" s="2">
        <v>1</v>
      </c>
      <c r="M3662" s="7">
        <f t="shared" si="228"/>
        <v>2901</v>
      </c>
      <c r="N3662" s="7">
        <f t="shared" si="229"/>
        <v>3224</v>
      </c>
      <c r="O3662" s="2">
        <v>76</v>
      </c>
      <c r="P3662" s="8">
        <f t="shared" si="230"/>
        <v>3300</v>
      </c>
      <c r="Q3662" s="8">
        <f t="shared" si="231"/>
        <v>3148</v>
      </c>
      <c r="R3662" s="2" t="s">
        <v>28</v>
      </c>
      <c r="S3662" s="9">
        <f>VLOOKUP(P3662,$T$2:U3659,2,1)</f>
        <v>0.02</v>
      </c>
    </row>
    <row r="3663" spans="1:19" x14ac:dyDescent="0.25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e">
        <f>VLOOKUP(F3663,'Customer Info'!A3655:I4154,2,0)</f>
        <v>#N/A</v>
      </c>
      <c r="H3663" s="6" t="e">
        <f>VLOOKUP(F3663,'Customer Info'!A3655:I4154,3,0)</f>
        <v>#N/A</v>
      </c>
      <c r="I3663" s="6" t="e">
        <f>VLOOKUP(F3663,'Customer Info'!A3655:I4154,5,0)</f>
        <v>#N/A</v>
      </c>
      <c r="J3663" s="2">
        <v>2747</v>
      </c>
      <c r="K3663" s="2">
        <v>2545</v>
      </c>
      <c r="L3663" s="2">
        <v>4</v>
      </c>
      <c r="M3663" s="7">
        <f t="shared" si="228"/>
        <v>10180</v>
      </c>
      <c r="N3663" s="7">
        <f t="shared" si="229"/>
        <v>10988</v>
      </c>
      <c r="O3663" s="2">
        <v>56</v>
      </c>
      <c r="P3663" s="8">
        <f t="shared" si="230"/>
        <v>11044</v>
      </c>
      <c r="Q3663" s="8">
        <f t="shared" si="231"/>
        <v>10932</v>
      </c>
      <c r="R3663" s="2" t="s">
        <v>28</v>
      </c>
      <c r="S3663" s="9">
        <f>VLOOKUP(P3663,$T$2:U3660,2,1)</f>
        <v>0.05</v>
      </c>
    </row>
    <row r="3664" spans="1:19" x14ac:dyDescent="0.25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e">
        <f>VLOOKUP(F3664,'Customer Info'!A3656:I4155,2,0)</f>
        <v>#N/A</v>
      </c>
      <c r="H3664" s="6" t="e">
        <f>VLOOKUP(F3664,'Customer Info'!A3656:I4155,3,0)</f>
        <v>#N/A</v>
      </c>
      <c r="I3664" s="6" t="e">
        <f>VLOOKUP(F3664,'Customer Info'!A3656:I4155,5,0)</f>
        <v>#N/A</v>
      </c>
      <c r="J3664" s="2">
        <v>4737</v>
      </c>
      <c r="K3664" s="2">
        <v>4473</v>
      </c>
      <c r="L3664" s="2">
        <v>2</v>
      </c>
      <c r="M3664" s="7">
        <f t="shared" si="228"/>
        <v>8946</v>
      </c>
      <c r="N3664" s="7">
        <f t="shared" si="229"/>
        <v>9474</v>
      </c>
      <c r="O3664" s="2">
        <v>65</v>
      </c>
      <c r="P3664" s="8">
        <f t="shared" si="230"/>
        <v>9539</v>
      </c>
      <c r="Q3664" s="8">
        <f t="shared" si="231"/>
        <v>9409</v>
      </c>
      <c r="R3664" s="2" t="s">
        <v>28</v>
      </c>
      <c r="S3664" s="9">
        <f>VLOOKUP(P3664,$T$2:U3661,2,1)</f>
        <v>0.05</v>
      </c>
    </row>
    <row r="3665" spans="1:19" x14ac:dyDescent="0.25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e">
        <f>VLOOKUP(F3665,'Customer Info'!A3657:I4156,2,0)</f>
        <v>#N/A</v>
      </c>
      <c r="H3665" s="6" t="e">
        <f>VLOOKUP(F3665,'Customer Info'!A3657:I4156,3,0)</f>
        <v>#N/A</v>
      </c>
      <c r="I3665" s="6" t="e">
        <f>VLOOKUP(F3665,'Customer Info'!A3657:I4156,5,0)</f>
        <v>#N/A</v>
      </c>
      <c r="J3665" s="2">
        <v>8878</v>
      </c>
      <c r="K3665" s="2">
        <v>7914</v>
      </c>
      <c r="L3665" s="2">
        <v>2</v>
      </c>
      <c r="M3665" s="7">
        <f t="shared" si="228"/>
        <v>15828</v>
      </c>
      <c r="N3665" s="7">
        <f t="shared" si="229"/>
        <v>17756</v>
      </c>
      <c r="O3665" s="2">
        <v>90</v>
      </c>
      <c r="P3665" s="8">
        <f t="shared" si="230"/>
        <v>17846</v>
      </c>
      <c r="Q3665" s="8">
        <f t="shared" si="231"/>
        <v>17666</v>
      </c>
      <c r="R3665" s="2" t="s">
        <v>56</v>
      </c>
      <c r="S3665" s="9">
        <f>VLOOKUP(P3665,$T$2:U3662,2,1)</f>
        <v>0.05</v>
      </c>
    </row>
    <row r="3666" spans="1:19" x14ac:dyDescent="0.25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e">
        <f>VLOOKUP(F3666,'Customer Info'!A3658:I4157,2,0)</f>
        <v>#N/A</v>
      </c>
      <c r="H3666" s="6" t="e">
        <f>VLOOKUP(F3666,'Customer Info'!A3658:I4157,3,0)</f>
        <v>#N/A</v>
      </c>
      <c r="I3666" s="6" t="e">
        <f>VLOOKUP(F3666,'Customer Info'!A3658:I4157,5,0)</f>
        <v>#N/A</v>
      </c>
      <c r="J3666" s="2">
        <v>1653</v>
      </c>
      <c r="K3666" s="2">
        <v>1560</v>
      </c>
      <c r="L3666" s="2">
        <v>2</v>
      </c>
      <c r="M3666" s="7">
        <f t="shared" si="228"/>
        <v>3120</v>
      </c>
      <c r="N3666" s="7">
        <f t="shared" si="229"/>
        <v>3306</v>
      </c>
      <c r="O3666" s="2">
        <v>67</v>
      </c>
      <c r="P3666" s="8">
        <f t="shared" si="230"/>
        <v>3373</v>
      </c>
      <c r="Q3666" s="8">
        <f t="shared" si="231"/>
        <v>3239</v>
      </c>
      <c r="R3666" s="2" t="s">
        <v>28</v>
      </c>
      <c r="S3666" s="9">
        <f>VLOOKUP(P3666,$T$2:U3663,2,1)</f>
        <v>0.02</v>
      </c>
    </row>
    <row r="3667" spans="1:19" x14ac:dyDescent="0.25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e">
        <f>VLOOKUP(F3667,'Customer Info'!A3659:I4158,2,0)</f>
        <v>#N/A</v>
      </c>
      <c r="H3667" s="6" t="e">
        <f>VLOOKUP(F3667,'Customer Info'!A3659:I4158,3,0)</f>
        <v>#N/A</v>
      </c>
      <c r="I3667" s="6" t="e">
        <f>VLOOKUP(F3667,'Customer Info'!A3659:I4158,5,0)</f>
        <v>#N/A</v>
      </c>
      <c r="J3667" s="2">
        <v>5836</v>
      </c>
      <c r="K3667" s="2">
        <v>5457</v>
      </c>
      <c r="L3667" s="2">
        <v>1</v>
      </c>
      <c r="M3667" s="7">
        <f t="shared" si="228"/>
        <v>5457</v>
      </c>
      <c r="N3667" s="7">
        <f t="shared" si="229"/>
        <v>5836</v>
      </c>
      <c r="O3667" s="2">
        <v>59</v>
      </c>
      <c r="P3667" s="8">
        <f t="shared" si="230"/>
        <v>5895</v>
      </c>
      <c r="Q3667" s="8">
        <f t="shared" si="231"/>
        <v>5777</v>
      </c>
      <c r="R3667" s="2" t="s">
        <v>50</v>
      </c>
      <c r="S3667" s="9">
        <f>VLOOKUP(P3667,$T$2:U3664,2,1)</f>
        <v>0.05</v>
      </c>
    </row>
    <row r="3668" spans="1:19" x14ac:dyDescent="0.25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e">
        <f>VLOOKUP(F3668,'Customer Info'!A3660:I4159,2,0)</f>
        <v>#N/A</v>
      </c>
      <c r="H3668" s="6" t="e">
        <f>VLOOKUP(F3668,'Customer Info'!A3660:I4159,3,0)</f>
        <v>#N/A</v>
      </c>
      <c r="I3668" s="6" t="e">
        <f>VLOOKUP(F3668,'Customer Info'!A3660:I4159,5,0)</f>
        <v>#N/A</v>
      </c>
      <c r="J3668" s="2">
        <v>119</v>
      </c>
      <c r="K3668" s="2">
        <v>112</v>
      </c>
      <c r="L3668" s="2">
        <v>2</v>
      </c>
      <c r="M3668" s="7">
        <f t="shared" si="228"/>
        <v>224</v>
      </c>
      <c r="N3668" s="7">
        <f t="shared" si="229"/>
        <v>238</v>
      </c>
      <c r="O3668" s="2">
        <v>30</v>
      </c>
      <c r="P3668" s="8">
        <f t="shared" si="230"/>
        <v>268</v>
      </c>
      <c r="Q3668" s="8">
        <f t="shared" si="231"/>
        <v>208</v>
      </c>
      <c r="R3668" s="2" t="s">
        <v>28</v>
      </c>
      <c r="S3668" s="9">
        <f>VLOOKUP(P3668,$T$2:U3665,2,1)</f>
        <v>0.02</v>
      </c>
    </row>
    <row r="3669" spans="1:19" x14ac:dyDescent="0.25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e">
        <f>VLOOKUP(F3669,'Customer Info'!A3661:I4160,2,0)</f>
        <v>#N/A</v>
      </c>
      <c r="H3669" s="6" t="e">
        <f>VLOOKUP(F3669,'Customer Info'!A3661:I4160,3,0)</f>
        <v>#N/A</v>
      </c>
      <c r="I3669" s="6" t="e">
        <f>VLOOKUP(F3669,'Customer Info'!A3661:I4160,5,0)</f>
        <v>#N/A</v>
      </c>
      <c r="J3669" s="2">
        <v>1246</v>
      </c>
      <c r="K3669" s="2">
        <v>1164</v>
      </c>
      <c r="L3669" s="2">
        <v>4</v>
      </c>
      <c r="M3669" s="7">
        <f t="shared" si="228"/>
        <v>4656</v>
      </c>
      <c r="N3669" s="7">
        <f t="shared" si="229"/>
        <v>4984</v>
      </c>
      <c r="O3669" s="2">
        <v>76</v>
      </c>
      <c r="P3669" s="8">
        <f t="shared" si="230"/>
        <v>5060</v>
      </c>
      <c r="Q3669" s="8">
        <f t="shared" si="231"/>
        <v>4908</v>
      </c>
      <c r="R3669" s="2" t="s">
        <v>28</v>
      </c>
      <c r="S3669" s="9">
        <f>VLOOKUP(P3669,$T$2:U3666,2,1)</f>
        <v>0.05</v>
      </c>
    </row>
    <row r="3670" spans="1:19" x14ac:dyDescent="0.25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e">
        <f>VLOOKUP(F3670,'Customer Info'!A3662:I4161,2,0)</f>
        <v>#N/A</v>
      </c>
      <c r="H3670" s="6" t="e">
        <f>VLOOKUP(F3670,'Customer Info'!A3662:I4161,3,0)</f>
        <v>#N/A</v>
      </c>
      <c r="I3670" s="6" t="e">
        <f>VLOOKUP(F3670,'Customer Info'!A3662:I4161,5,0)</f>
        <v>#N/A</v>
      </c>
      <c r="J3670" s="2">
        <v>7508</v>
      </c>
      <c r="K3670" s="2">
        <v>6956</v>
      </c>
      <c r="L3670" s="2">
        <v>2</v>
      </c>
      <c r="M3670" s="7">
        <f t="shared" si="228"/>
        <v>13912</v>
      </c>
      <c r="N3670" s="7">
        <f t="shared" si="229"/>
        <v>15016</v>
      </c>
      <c r="O3670" s="2">
        <v>48</v>
      </c>
      <c r="P3670" s="8">
        <f t="shared" si="230"/>
        <v>15064</v>
      </c>
      <c r="Q3670" s="8">
        <f t="shared" si="231"/>
        <v>14968</v>
      </c>
      <c r="R3670" s="2" t="s">
        <v>28</v>
      </c>
      <c r="S3670" s="9">
        <f>VLOOKUP(P3670,$T$2:U3667,2,1)</f>
        <v>0.05</v>
      </c>
    </row>
    <row r="3671" spans="1:19" x14ac:dyDescent="0.25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e">
        <f>VLOOKUP(F3671,'Customer Info'!A3663:I4162,2,0)</f>
        <v>#N/A</v>
      </c>
      <c r="H3671" s="6" t="e">
        <f>VLOOKUP(F3671,'Customer Info'!A3663:I4162,3,0)</f>
        <v>#N/A</v>
      </c>
      <c r="I3671" s="6" t="e">
        <f>VLOOKUP(F3671,'Customer Info'!A3663:I4162,5,0)</f>
        <v>#N/A</v>
      </c>
      <c r="J3671" s="2">
        <v>918</v>
      </c>
      <c r="K3671" s="2">
        <v>859</v>
      </c>
      <c r="L3671" s="2">
        <v>3</v>
      </c>
      <c r="M3671" s="7">
        <f t="shared" si="228"/>
        <v>2577</v>
      </c>
      <c r="N3671" s="7">
        <f t="shared" si="229"/>
        <v>2754</v>
      </c>
      <c r="O3671" s="2">
        <v>86</v>
      </c>
      <c r="P3671" s="8">
        <f t="shared" si="230"/>
        <v>2840</v>
      </c>
      <c r="Q3671" s="8">
        <f t="shared" si="231"/>
        <v>2668</v>
      </c>
      <c r="R3671" s="2" t="s">
        <v>28</v>
      </c>
      <c r="S3671" s="9">
        <f>VLOOKUP(P3671,$T$2:U3668,2,1)</f>
        <v>0.02</v>
      </c>
    </row>
    <row r="3672" spans="1:19" x14ac:dyDescent="0.25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e">
        <f>VLOOKUP(F3672,'Customer Info'!A3664:I4163,2,0)</f>
        <v>#N/A</v>
      </c>
      <c r="H3672" s="6" t="e">
        <f>VLOOKUP(F3672,'Customer Info'!A3664:I4163,3,0)</f>
        <v>#N/A</v>
      </c>
      <c r="I3672" s="6" t="e">
        <f>VLOOKUP(F3672,'Customer Info'!A3664:I4163,5,0)</f>
        <v>#N/A</v>
      </c>
      <c r="J3672" s="2">
        <v>1071</v>
      </c>
      <c r="K3672" s="2">
        <v>1010</v>
      </c>
      <c r="L3672" s="2">
        <v>1</v>
      </c>
      <c r="M3672" s="7">
        <f t="shared" si="228"/>
        <v>1010</v>
      </c>
      <c r="N3672" s="7">
        <f t="shared" si="229"/>
        <v>1071</v>
      </c>
      <c r="O3672" s="2">
        <v>58</v>
      </c>
      <c r="P3672" s="8">
        <f t="shared" si="230"/>
        <v>1129</v>
      </c>
      <c r="Q3672" s="8">
        <f t="shared" si="231"/>
        <v>1013</v>
      </c>
      <c r="R3672" s="2" t="s">
        <v>50</v>
      </c>
      <c r="S3672" s="9">
        <f>VLOOKUP(P3672,$T$2:U3669,2,1)</f>
        <v>0.02</v>
      </c>
    </row>
    <row r="3673" spans="1:19" x14ac:dyDescent="0.25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e">
        <f>VLOOKUP(F3673,'Customer Info'!A3665:I4164,2,0)</f>
        <v>#N/A</v>
      </c>
      <c r="H3673" s="6" t="e">
        <f>VLOOKUP(F3673,'Customer Info'!A3665:I4164,3,0)</f>
        <v>#N/A</v>
      </c>
      <c r="I3673" s="6" t="e">
        <f>VLOOKUP(F3673,'Customer Info'!A3665:I4164,5,0)</f>
        <v>#N/A</v>
      </c>
      <c r="J3673" s="2">
        <v>3176</v>
      </c>
      <c r="K3673" s="2">
        <v>3116</v>
      </c>
      <c r="L3673" s="2">
        <v>1</v>
      </c>
      <c r="M3673" s="7">
        <f t="shared" si="228"/>
        <v>3116</v>
      </c>
      <c r="N3673" s="7">
        <f t="shared" si="229"/>
        <v>3176</v>
      </c>
      <c r="O3673" s="2">
        <v>69</v>
      </c>
      <c r="P3673" s="8">
        <f t="shared" si="230"/>
        <v>3245</v>
      </c>
      <c r="Q3673" s="8">
        <f t="shared" si="231"/>
        <v>3107</v>
      </c>
      <c r="R3673" s="2" t="s">
        <v>50</v>
      </c>
      <c r="S3673" s="9">
        <f>VLOOKUP(P3673,$T$2:U3670,2,1)</f>
        <v>0.02</v>
      </c>
    </row>
    <row r="3674" spans="1:19" x14ac:dyDescent="0.25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e">
        <f>VLOOKUP(F3674,'Customer Info'!A3666:I4165,2,0)</f>
        <v>#N/A</v>
      </c>
      <c r="H3674" s="6" t="e">
        <f>VLOOKUP(F3674,'Customer Info'!A3666:I4165,3,0)</f>
        <v>#N/A</v>
      </c>
      <c r="I3674" s="6" t="e">
        <f>VLOOKUP(F3674,'Customer Info'!A3666:I4165,5,0)</f>
        <v>#N/A</v>
      </c>
      <c r="J3674" s="2">
        <v>3275</v>
      </c>
      <c r="K3674" s="2">
        <v>3090</v>
      </c>
      <c r="L3674" s="2">
        <v>1</v>
      </c>
      <c r="M3674" s="7">
        <f t="shared" si="228"/>
        <v>3090</v>
      </c>
      <c r="N3674" s="7">
        <f t="shared" si="229"/>
        <v>3275</v>
      </c>
      <c r="O3674" s="2">
        <v>22</v>
      </c>
      <c r="P3674" s="8">
        <f t="shared" si="230"/>
        <v>3297</v>
      </c>
      <c r="Q3674" s="8">
        <f t="shared" si="231"/>
        <v>3253</v>
      </c>
      <c r="R3674" s="2" t="s">
        <v>28</v>
      </c>
      <c r="S3674" s="9">
        <f>VLOOKUP(P3674,$T$2:U3671,2,1)</f>
        <v>0.02</v>
      </c>
    </row>
    <row r="3675" spans="1:19" x14ac:dyDescent="0.25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e">
        <f>VLOOKUP(F3675,'Customer Info'!A3667:I4166,2,0)</f>
        <v>#N/A</v>
      </c>
      <c r="H3675" s="6" t="e">
        <f>VLOOKUP(F3675,'Customer Info'!A3667:I4166,3,0)</f>
        <v>#N/A</v>
      </c>
      <c r="I3675" s="6" t="e">
        <f>VLOOKUP(F3675,'Customer Info'!A3667:I4166,5,0)</f>
        <v>#N/A</v>
      </c>
      <c r="J3675" s="2">
        <v>4002</v>
      </c>
      <c r="K3675" s="2">
        <v>3744</v>
      </c>
      <c r="L3675" s="2">
        <v>1</v>
      </c>
      <c r="M3675" s="7">
        <f t="shared" si="228"/>
        <v>3744</v>
      </c>
      <c r="N3675" s="7">
        <f t="shared" si="229"/>
        <v>4002</v>
      </c>
      <c r="O3675" s="2">
        <v>24</v>
      </c>
      <c r="P3675" s="8">
        <f t="shared" si="230"/>
        <v>4026</v>
      </c>
      <c r="Q3675" s="8">
        <f t="shared" si="231"/>
        <v>3978</v>
      </c>
      <c r="R3675" s="2" t="s">
        <v>50</v>
      </c>
      <c r="S3675" s="9">
        <f>VLOOKUP(P3675,$T$2:U3672,2,1)</f>
        <v>0.02</v>
      </c>
    </row>
    <row r="3676" spans="1:19" x14ac:dyDescent="0.25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e">
        <f>VLOOKUP(F3676,'Customer Info'!A3668:I4167,2,0)</f>
        <v>#N/A</v>
      </c>
      <c r="H3676" s="6" t="e">
        <f>VLOOKUP(F3676,'Customer Info'!A3668:I4167,3,0)</f>
        <v>#N/A</v>
      </c>
      <c r="I3676" s="6" t="e">
        <f>VLOOKUP(F3676,'Customer Info'!A3668:I4167,5,0)</f>
        <v>#N/A</v>
      </c>
      <c r="J3676" s="2">
        <v>2829</v>
      </c>
      <c r="K3676" s="2">
        <v>2596</v>
      </c>
      <c r="L3676" s="2">
        <v>1</v>
      </c>
      <c r="M3676" s="7">
        <f t="shared" si="228"/>
        <v>2596</v>
      </c>
      <c r="N3676" s="7">
        <f t="shared" si="229"/>
        <v>2829</v>
      </c>
      <c r="O3676" s="2">
        <v>82</v>
      </c>
      <c r="P3676" s="8">
        <f t="shared" si="230"/>
        <v>2911</v>
      </c>
      <c r="Q3676" s="8">
        <f t="shared" si="231"/>
        <v>2747</v>
      </c>
      <c r="R3676" s="2" t="s">
        <v>50</v>
      </c>
      <c r="S3676" s="9">
        <f>VLOOKUP(P3676,$T$2:U3673,2,1)</f>
        <v>0.02</v>
      </c>
    </row>
    <row r="3677" spans="1:19" x14ac:dyDescent="0.25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e">
        <f>VLOOKUP(F3677,'Customer Info'!A3669:I4168,2,0)</f>
        <v>#N/A</v>
      </c>
      <c r="H3677" s="6" t="e">
        <f>VLOOKUP(F3677,'Customer Info'!A3669:I4168,3,0)</f>
        <v>#N/A</v>
      </c>
      <c r="I3677" s="6" t="e">
        <f>VLOOKUP(F3677,'Customer Info'!A3669:I4168,5,0)</f>
        <v>#N/A</v>
      </c>
      <c r="J3677" s="2">
        <v>2365</v>
      </c>
      <c r="K3677" s="2">
        <v>2232</v>
      </c>
      <c r="L3677" s="2">
        <v>3</v>
      </c>
      <c r="M3677" s="7">
        <f t="shared" si="228"/>
        <v>6696</v>
      </c>
      <c r="N3677" s="7">
        <f t="shared" si="229"/>
        <v>7095</v>
      </c>
      <c r="O3677" s="2">
        <v>26</v>
      </c>
      <c r="P3677" s="8">
        <f t="shared" si="230"/>
        <v>7121</v>
      </c>
      <c r="Q3677" s="8">
        <f t="shared" si="231"/>
        <v>7069</v>
      </c>
      <c r="R3677" s="2" t="s">
        <v>28</v>
      </c>
      <c r="S3677" s="9">
        <f>VLOOKUP(P3677,$T$2:U3674,2,1)</f>
        <v>0.05</v>
      </c>
    </row>
    <row r="3678" spans="1:19" x14ac:dyDescent="0.25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e">
        <f>VLOOKUP(F3678,'Customer Info'!A3670:I4169,2,0)</f>
        <v>#N/A</v>
      </c>
      <c r="H3678" s="6" t="e">
        <f>VLOOKUP(F3678,'Customer Info'!A3670:I4169,3,0)</f>
        <v>#N/A</v>
      </c>
      <c r="I3678" s="6" t="e">
        <f>VLOOKUP(F3678,'Customer Info'!A3670:I4169,5,0)</f>
        <v>#N/A</v>
      </c>
      <c r="J3678" s="2">
        <v>1222</v>
      </c>
      <c r="K3678" s="2">
        <v>1187</v>
      </c>
      <c r="L3678" s="2">
        <v>6</v>
      </c>
      <c r="M3678" s="7">
        <f t="shared" si="228"/>
        <v>7122</v>
      </c>
      <c r="N3678" s="7">
        <f t="shared" si="229"/>
        <v>7332</v>
      </c>
      <c r="O3678" s="2">
        <v>97</v>
      </c>
      <c r="P3678" s="8">
        <f t="shared" si="230"/>
        <v>7429</v>
      </c>
      <c r="Q3678" s="8">
        <f t="shared" si="231"/>
        <v>7235</v>
      </c>
      <c r="R3678" s="2" t="s">
        <v>28</v>
      </c>
      <c r="S3678" s="9">
        <f>VLOOKUP(P3678,$T$2:U3675,2,1)</f>
        <v>0.05</v>
      </c>
    </row>
    <row r="3679" spans="1:19" x14ac:dyDescent="0.25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e">
        <f>VLOOKUP(F3679,'Customer Info'!A3671:I4170,2,0)</f>
        <v>#N/A</v>
      </c>
      <c r="H3679" s="6" t="e">
        <f>VLOOKUP(F3679,'Customer Info'!A3671:I4170,3,0)</f>
        <v>#N/A</v>
      </c>
      <c r="I3679" s="6" t="e">
        <f>VLOOKUP(F3679,'Customer Info'!A3671:I4170,5,0)</f>
        <v>#N/A</v>
      </c>
      <c r="J3679" s="2">
        <v>96</v>
      </c>
      <c r="K3679" s="2">
        <v>87</v>
      </c>
      <c r="L3679" s="2">
        <v>1</v>
      </c>
      <c r="M3679" s="7">
        <f t="shared" si="228"/>
        <v>87</v>
      </c>
      <c r="N3679" s="7">
        <f t="shared" si="229"/>
        <v>96</v>
      </c>
      <c r="O3679" s="2">
        <v>10</v>
      </c>
      <c r="P3679" s="8">
        <f t="shared" si="230"/>
        <v>106</v>
      </c>
      <c r="Q3679" s="8">
        <f t="shared" si="231"/>
        <v>86</v>
      </c>
      <c r="R3679" s="2" t="s">
        <v>28</v>
      </c>
      <c r="S3679" s="9">
        <f>VLOOKUP(P3679,$T$2:U3676,2,1)</f>
        <v>0.02</v>
      </c>
    </row>
    <row r="3680" spans="1:19" x14ac:dyDescent="0.25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e">
        <f>VLOOKUP(F3680,'Customer Info'!A3672:I4171,2,0)</f>
        <v>#N/A</v>
      </c>
      <c r="H3680" s="6" t="e">
        <f>VLOOKUP(F3680,'Customer Info'!A3672:I4171,3,0)</f>
        <v>#N/A</v>
      </c>
      <c r="I3680" s="6" t="e">
        <f>VLOOKUP(F3680,'Customer Info'!A3672:I4171,5,0)</f>
        <v>#N/A</v>
      </c>
      <c r="J3680" s="2">
        <v>279</v>
      </c>
      <c r="K3680" s="2">
        <v>254</v>
      </c>
      <c r="L3680" s="2">
        <v>1</v>
      </c>
      <c r="M3680" s="7">
        <f t="shared" si="228"/>
        <v>254</v>
      </c>
      <c r="N3680" s="7">
        <f t="shared" si="229"/>
        <v>279</v>
      </c>
      <c r="O3680" s="2">
        <v>64</v>
      </c>
      <c r="P3680" s="8">
        <f t="shared" si="230"/>
        <v>343</v>
      </c>
      <c r="Q3680" s="8">
        <f t="shared" si="231"/>
        <v>215</v>
      </c>
      <c r="R3680" s="2" t="s">
        <v>50</v>
      </c>
      <c r="S3680" s="9">
        <f>VLOOKUP(P3680,$T$2:U3677,2,1)</f>
        <v>0.02</v>
      </c>
    </row>
    <row r="3681" spans="1:19" x14ac:dyDescent="0.25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e">
        <f>VLOOKUP(F3681,'Customer Info'!A3673:I4172,2,0)</f>
        <v>#N/A</v>
      </c>
      <c r="H3681" s="6" t="e">
        <f>VLOOKUP(F3681,'Customer Info'!A3673:I4172,3,0)</f>
        <v>#N/A</v>
      </c>
      <c r="I3681" s="6" t="e">
        <f>VLOOKUP(F3681,'Customer Info'!A3673:I4172,5,0)</f>
        <v>#N/A</v>
      </c>
      <c r="J3681" s="2">
        <v>2551</v>
      </c>
      <c r="K3681" s="2">
        <v>2456</v>
      </c>
      <c r="L3681" s="2">
        <v>1</v>
      </c>
      <c r="M3681" s="7">
        <f t="shared" si="228"/>
        <v>2456</v>
      </c>
      <c r="N3681" s="7">
        <f t="shared" si="229"/>
        <v>2551</v>
      </c>
      <c r="O3681" s="2">
        <v>39</v>
      </c>
      <c r="P3681" s="8">
        <f t="shared" si="230"/>
        <v>2590</v>
      </c>
      <c r="Q3681" s="8">
        <f t="shared" si="231"/>
        <v>2512</v>
      </c>
      <c r="R3681" s="2" t="s">
        <v>28</v>
      </c>
      <c r="S3681" s="9">
        <f>VLOOKUP(P3681,$T$2:U3678,2,1)</f>
        <v>0.02</v>
      </c>
    </row>
    <row r="3682" spans="1:19" x14ac:dyDescent="0.25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e">
        <f>VLOOKUP(F3682,'Customer Info'!A3674:I4173,2,0)</f>
        <v>#N/A</v>
      </c>
      <c r="H3682" s="6" t="e">
        <f>VLOOKUP(F3682,'Customer Info'!A3674:I4173,3,0)</f>
        <v>#N/A</v>
      </c>
      <c r="I3682" s="6" t="e">
        <f>VLOOKUP(F3682,'Customer Info'!A3674:I4173,5,0)</f>
        <v>#N/A</v>
      </c>
      <c r="J3682" s="2">
        <v>4798</v>
      </c>
      <c r="K3682" s="2">
        <v>4448</v>
      </c>
      <c r="L3682" s="2">
        <v>3</v>
      </c>
      <c r="M3682" s="7">
        <f t="shared" si="228"/>
        <v>13344</v>
      </c>
      <c r="N3682" s="7">
        <f t="shared" si="229"/>
        <v>14394</v>
      </c>
      <c r="O3682" s="2">
        <v>56</v>
      </c>
      <c r="P3682" s="8">
        <f t="shared" si="230"/>
        <v>14450</v>
      </c>
      <c r="Q3682" s="8">
        <f t="shared" si="231"/>
        <v>14338</v>
      </c>
      <c r="R3682" s="2" t="s">
        <v>28</v>
      </c>
      <c r="S3682" s="9">
        <f>VLOOKUP(P3682,$T$2:U3679,2,1)</f>
        <v>0.05</v>
      </c>
    </row>
    <row r="3683" spans="1:19" x14ac:dyDescent="0.25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e">
        <f>VLOOKUP(F3683,'Customer Info'!A3675:I4174,2,0)</f>
        <v>#N/A</v>
      </c>
      <c r="H3683" s="6" t="e">
        <f>VLOOKUP(F3683,'Customer Info'!A3675:I4174,3,0)</f>
        <v>#N/A</v>
      </c>
      <c r="I3683" s="6" t="e">
        <f>VLOOKUP(F3683,'Customer Info'!A3675:I4174,5,0)</f>
        <v>#N/A</v>
      </c>
      <c r="J3683" s="2">
        <v>1385</v>
      </c>
      <c r="K3683" s="2">
        <v>1295</v>
      </c>
      <c r="L3683" s="2">
        <v>4</v>
      </c>
      <c r="M3683" s="7">
        <f t="shared" si="228"/>
        <v>5180</v>
      </c>
      <c r="N3683" s="7">
        <f t="shared" si="229"/>
        <v>5540</v>
      </c>
      <c r="O3683" s="2">
        <v>62</v>
      </c>
      <c r="P3683" s="8">
        <f t="shared" si="230"/>
        <v>5602</v>
      </c>
      <c r="Q3683" s="8">
        <f t="shared" si="231"/>
        <v>5478</v>
      </c>
      <c r="R3683" s="2" t="s">
        <v>28</v>
      </c>
      <c r="S3683" s="9">
        <f>VLOOKUP(P3683,$T$2:U3680,2,1)</f>
        <v>0.05</v>
      </c>
    </row>
    <row r="3684" spans="1:19" x14ac:dyDescent="0.25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e">
        <f>VLOOKUP(F3684,'Customer Info'!A3676:I4175,2,0)</f>
        <v>#N/A</v>
      </c>
      <c r="H3684" s="6" t="e">
        <f>VLOOKUP(F3684,'Customer Info'!A3676:I4175,3,0)</f>
        <v>#N/A</v>
      </c>
      <c r="I3684" s="6" t="e">
        <f>VLOOKUP(F3684,'Customer Info'!A3676:I4175,5,0)</f>
        <v>#N/A</v>
      </c>
      <c r="J3684" s="2">
        <v>8160</v>
      </c>
      <c r="K3684" s="2">
        <v>7475</v>
      </c>
      <c r="L3684" s="2">
        <v>5</v>
      </c>
      <c r="M3684" s="7">
        <f t="shared" si="228"/>
        <v>37375</v>
      </c>
      <c r="N3684" s="7">
        <f t="shared" si="229"/>
        <v>40800</v>
      </c>
      <c r="O3684" s="2">
        <v>44</v>
      </c>
      <c r="P3684" s="8">
        <f t="shared" si="230"/>
        <v>40844</v>
      </c>
      <c r="Q3684" s="8">
        <f t="shared" si="231"/>
        <v>40756</v>
      </c>
      <c r="R3684" s="2" t="s">
        <v>28</v>
      </c>
      <c r="S3684" s="9">
        <f>VLOOKUP(P3684,$T$2:U3681,2,1)</f>
        <v>7.0000000000000007E-2</v>
      </c>
    </row>
    <row r="3685" spans="1:19" x14ac:dyDescent="0.25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e">
        <f>VLOOKUP(F3685,'Customer Info'!A3677:I4176,2,0)</f>
        <v>#N/A</v>
      </c>
      <c r="H3685" s="6" t="e">
        <f>VLOOKUP(F3685,'Customer Info'!A3677:I4176,3,0)</f>
        <v>#N/A</v>
      </c>
      <c r="I3685" s="6" t="e">
        <f>VLOOKUP(F3685,'Customer Info'!A3677:I4176,5,0)</f>
        <v>#N/A</v>
      </c>
      <c r="J3685" s="2">
        <v>60</v>
      </c>
      <c r="K3685" s="2">
        <v>56</v>
      </c>
      <c r="L3685" s="2">
        <v>2</v>
      </c>
      <c r="M3685" s="7">
        <f t="shared" si="228"/>
        <v>112</v>
      </c>
      <c r="N3685" s="7">
        <f t="shared" si="229"/>
        <v>120</v>
      </c>
      <c r="O3685" s="2">
        <v>10</v>
      </c>
      <c r="P3685" s="8">
        <f t="shared" si="230"/>
        <v>130</v>
      </c>
      <c r="Q3685" s="8">
        <f t="shared" si="231"/>
        <v>110</v>
      </c>
      <c r="R3685" s="2" t="s">
        <v>50</v>
      </c>
      <c r="S3685" s="9">
        <f>VLOOKUP(P3685,$T$2:U3682,2,1)</f>
        <v>0.02</v>
      </c>
    </row>
    <row r="3686" spans="1:19" x14ac:dyDescent="0.25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e">
        <f>VLOOKUP(F3686,'Customer Info'!A3678:I4177,2,0)</f>
        <v>#N/A</v>
      </c>
      <c r="H3686" s="6" t="e">
        <f>VLOOKUP(F3686,'Customer Info'!A3678:I4177,3,0)</f>
        <v>#N/A</v>
      </c>
      <c r="I3686" s="6" t="e">
        <f>VLOOKUP(F3686,'Customer Info'!A3678:I4177,5,0)</f>
        <v>#N/A</v>
      </c>
      <c r="J3686" s="2">
        <v>136</v>
      </c>
      <c r="K3686" s="2">
        <v>130</v>
      </c>
      <c r="L3686" s="2">
        <v>2</v>
      </c>
      <c r="M3686" s="7">
        <f t="shared" si="228"/>
        <v>260</v>
      </c>
      <c r="N3686" s="7">
        <f t="shared" si="229"/>
        <v>272</v>
      </c>
      <c r="O3686" s="2">
        <v>30</v>
      </c>
      <c r="P3686" s="8">
        <f t="shared" si="230"/>
        <v>302</v>
      </c>
      <c r="Q3686" s="8">
        <f t="shared" si="231"/>
        <v>242</v>
      </c>
      <c r="R3686" s="2" t="s">
        <v>28</v>
      </c>
      <c r="S3686" s="9">
        <f>VLOOKUP(P3686,$T$2:U3683,2,1)</f>
        <v>0.02</v>
      </c>
    </row>
    <row r="3687" spans="1:19" x14ac:dyDescent="0.25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e">
        <f>VLOOKUP(F3687,'Customer Info'!A3679:I4178,2,0)</f>
        <v>#N/A</v>
      </c>
      <c r="H3687" s="6" t="e">
        <f>VLOOKUP(F3687,'Customer Info'!A3679:I4178,3,0)</f>
        <v>#N/A</v>
      </c>
      <c r="I3687" s="6" t="e">
        <f>VLOOKUP(F3687,'Customer Info'!A3679:I4178,5,0)</f>
        <v>#N/A</v>
      </c>
      <c r="J3687" s="2">
        <v>6598</v>
      </c>
      <c r="K3687" s="2">
        <v>6346</v>
      </c>
      <c r="L3687" s="2">
        <v>2</v>
      </c>
      <c r="M3687" s="7">
        <f t="shared" si="228"/>
        <v>12692</v>
      </c>
      <c r="N3687" s="7">
        <f t="shared" si="229"/>
        <v>13196</v>
      </c>
      <c r="O3687" s="2">
        <v>65</v>
      </c>
      <c r="P3687" s="8">
        <f t="shared" si="230"/>
        <v>13261</v>
      </c>
      <c r="Q3687" s="8">
        <f t="shared" si="231"/>
        <v>13131</v>
      </c>
      <c r="R3687" s="2" t="s">
        <v>26</v>
      </c>
      <c r="S3687" s="9">
        <f>VLOOKUP(P3687,$T$2:U3684,2,1)</f>
        <v>0.05</v>
      </c>
    </row>
    <row r="3688" spans="1:19" x14ac:dyDescent="0.25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e">
        <f>VLOOKUP(F3688,'Customer Info'!A3680:I4179,2,0)</f>
        <v>#N/A</v>
      </c>
      <c r="H3688" s="6" t="e">
        <f>VLOOKUP(F3688,'Customer Info'!A3680:I4179,3,0)</f>
        <v>#N/A</v>
      </c>
      <c r="I3688" s="6" t="e">
        <f>VLOOKUP(F3688,'Customer Info'!A3680:I4179,5,0)</f>
        <v>#N/A</v>
      </c>
      <c r="J3688" s="2">
        <v>2787</v>
      </c>
      <c r="K3688" s="2">
        <v>2681</v>
      </c>
      <c r="L3688" s="2">
        <v>2</v>
      </c>
      <c r="M3688" s="7">
        <f t="shared" si="228"/>
        <v>5362</v>
      </c>
      <c r="N3688" s="7">
        <f t="shared" si="229"/>
        <v>5574</v>
      </c>
      <c r="O3688" s="2">
        <v>96</v>
      </c>
      <c r="P3688" s="8">
        <f t="shared" si="230"/>
        <v>5670</v>
      </c>
      <c r="Q3688" s="8">
        <f t="shared" si="231"/>
        <v>5478</v>
      </c>
      <c r="R3688" s="2" t="s">
        <v>26</v>
      </c>
      <c r="S3688" s="9">
        <f>VLOOKUP(P3688,$T$2:U3685,2,1)</f>
        <v>0.05</v>
      </c>
    </row>
    <row r="3689" spans="1:19" x14ac:dyDescent="0.25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e">
        <f>VLOOKUP(F3689,'Customer Info'!A3681:I4180,2,0)</f>
        <v>#N/A</v>
      </c>
      <c r="H3689" s="6" t="e">
        <f>VLOOKUP(F3689,'Customer Info'!A3681:I4180,3,0)</f>
        <v>#N/A</v>
      </c>
      <c r="I3689" s="6" t="e">
        <f>VLOOKUP(F3689,'Customer Info'!A3681:I4180,5,0)</f>
        <v>#N/A</v>
      </c>
      <c r="J3689" s="2">
        <v>60</v>
      </c>
      <c r="K3689" s="2">
        <v>55</v>
      </c>
      <c r="L3689" s="2">
        <v>6</v>
      </c>
      <c r="M3689" s="7">
        <f t="shared" si="228"/>
        <v>330</v>
      </c>
      <c r="N3689" s="7">
        <f t="shared" si="229"/>
        <v>360</v>
      </c>
      <c r="O3689" s="2">
        <v>10</v>
      </c>
      <c r="P3689" s="8">
        <f t="shared" si="230"/>
        <v>370</v>
      </c>
      <c r="Q3689" s="8">
        <f t="shared" si="231"/>
        <v>350</v>
      </c>
      <c r="R3689" s="2" t="s">
        <v>28</v>
      </c>
      <c r="S3689" s="9">
        <f>VLOOKUP(P3689,$T$2:U3686,2,1)</f>
        <v>0.02</v>
      </c>
    </row>
    <row r="3690" spans="1:19" x14ac:dyDescent="0.25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e">
        <f>VLOOKUP(F3690,'Customer Info'!A3682:I4181,2,0)</f>
        <v>#N/A</v>
      </c>
      <c r="H3690" s="6" t="e">
        <f>VLOOKUP(F3690,'Customer Info'!A3682:I4181,3,0)</f>
        <v>#N/A</v>
      </c>
      <c r="I3690" s="6" t="e">
        <f>VLOOKUP(F3690,'Customer Info'!A3682:I4181,5,0)</f>
        <v>#N/A</v>
      </c>
      <c r="J3690" s="2">
        <v>1925</v>
      </c>
      <c r="K3690" s="2">
        <v>1834</v>
      </c>
      <c r="L3690" s="2">
        <v>3</v>
      </c>
      <c r="M3690" s="7">
        <f t="shared" si="228"/>
        <v>5502</v>
      </c>
      <c r="N3690" s="7">
        <f t="shared" si="229"/>
        <v>5775</v>
      </c>
      <c r="O3690" s="2">
        <v>83</v>
      </c>
      <c r="P3690" s="8">
        <f t="shared" si="230"/>
        <v>5858</v>
      </c>
      <c r="Q3690" s="8">
        <f t="shared" si="231"/>
        <v>5692</v>
      </c>
      <c r="R3690" s="2" t="s">
        <v>26</v>
      </c>
      <c r="S3690" s="9">
        <f>VLOOKUP(P3690,$T$2:U3687,2,1)</f>
        <v>0.05</v>
      </c>
    </row>
    <row r="3691" spans="1:19" x14ac:dyDescent="0.25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e">
        <f>VLOOKUP(F3691,'Customer Info'!A3683:I4182,2,0)</f>
        <v>#N/A</v>
      </c>
      <c r="H3691" s="6" t="e">
        <f>VLOOKUP(F3691,'Customer Info'!A3683:I4182,3,0)</f>
        <v>#N/A</v>
      </c>
      <c r="I3691" s="6" t="e">
        <f>VLOOKUP(F3691,'Customer Info'!A3683:I4182,5,0)</f>
        <v>#N/A</v>
      </c>
      <c r="J3691" s="2">
        <v>2017</v>
      </c>
      <c r="K3691" s="2">
        <v>1834</v>
      </c>
      <c r="L3691" s="2">
        <v>2</v>
      </c>
      <c r="M3691" s="7">
        <f t="shared" si="228"/>
        <v>3668</v>
      </c>
      <c r="N3691" s="7">
        <f t="shared" si="229"/>
        <v>4034</v>
      </c>
      <c r="O3691" s="2">
        <v>47</v>
      </c>
      <c r="P3691" s="8">
        <f t="shared" si="230"/>
        <v>4081</v>
      </c>
      <c r="Q3691" s="8">
        <f t="shared" si="231"/>
        <v>3987</v>
      </c>
      <c r="R3691" s="2" t="s">
        <v>28</v>
      </c>
      <c r="S3691" s="9">
        <f>VLOOKUP(P3691,$T$2:U3688,2,1)</f>
        <v>0.02</v>
      </c>
    </row>
    <row r="3692" spans="1:19" x14ac:dyDescent="0.25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e">
        <f>VLOOKUP(F3692,'Customer Info'!A3684:I4183,2,0)</f>
        <v>#N/A</v>
      </c>
      <c r="H3692" s="6" t="e">
        <f>VLOOKUP(F3692,'Customer Info'!A3684:I4183,3,0)</f>
        <v>#N/A</v>
      </c>
      <c r="I3692" s="6" t="e">
        <f>VLOOKUP(F3692,'Customer Info'!A3684:I4183,5,0)</f>
        <v>#N/A</v>
      </c>
      <c r="J3692" s="2">
        <v>8773</v>
      </c>
      <c r="K3692" s="2">
        <v>8115</v>
      </c>
      <c r="L3692" s="2">
        <v>4</v>
      </c>
      <c r="M3692" s="7">
        <f t="shared" si="228"/>
        <v>32460</v>
      </c>
      <c r="N3692" s="7">
        <f t="shared" si="229"/>
        <v>35092</v>
      </c>
      <c r="O3692" s="2">
        <v>100</v>
      </c>
      <c r="P3692" s="8">
        <f t="shared" si="230"/>
        <v>35192</v>
      </c>
      <c r="Q3692" s="8">
        <f t="shared" si="231"/>
        <v>34992</v>
      </c>
      <c r="R3692" s="2" t="s">
        <v>50</v>
      </c>
      <c r="S3692" s="9">
        <f>VLOOKUP(P3692,$T$2:U3689,2,1)</f>
        <v>7.0000000000000007E-2</v>
      </c>
    </row>
    <row r="3693" spans="1:19" x14ac:dyDescent="0.25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e">
        <f>VLOOKUP(F3693,'Customer Info'!A3685:I4184,2,0)</f>
        <v>#N/A</v>
      </c>
      <c r="H3693" s="6" t="e">
        <f>VLOOKUP(F3693,'Customer Info'!A3685:I4184,3,0)</f>
        <v>#N/A</v>
      </c>
      <c r="I3693" s="6" t="e">
        <f>VLOOKUP(F3693,'Customer Info'!A3685:I4184,5,0)</f>
        <v>#N/A</v>
      </c>
      <c r="J3693" s="2">
        <v>8026</v>
      </c>
      <c r="K3693" s="2">
        <v>7572</v>
      </c>
      <c r="L3693" s="2">
        <v>2</v>
      </c>
      <c r="M3693" s="7">
        <f t="shared" si="228"/>
        <v>15144</v>
      </c>
      <c r="N3693" s="7">
        <f t="shared" si="229"/>
        <v>16052</v>
      </c>
      <c r="O3693" s="2">
        <v>65</v>
      </c>
      <c r="P3693" s="8">
        <f t="shared" si="230"/>
        <v>16117</v>
      </c>
      <c r="Q3693" s="8">
        <f t="shared" si="231"/>
        <v>15987</v>
      </c>
      <c r="R3693" s="2" t="s">
        <v>50</v>
      </c>
      <c r="S3693" s="9">
        <f>VLOOKUP(P3693,$T$2:U3690,2,1)</f>
        <v>0.05</v>
      </c>
    </row>
    <row r="3694" spans="1:19" x14ac:dyDescent="0.25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e">
        <f>VLOOKUP(F3694,'Customer Info'!A3686:I4185,2,0)</f>
        <v>#N/A</v>
      </c>
      <c r="H3694" s="6" t="e">
        <f>VLOOKUP(F3694,'Customer Info'!A3686:I4185,3,0)</f>
        <v>#N/A</v>
      </c>
      <c r="I3694" s="6" t="e">
        <f>VLOOKUP(F3694,'Customer Info'!A3686:I4185,5,0)</f>
        <v>#N/A</v>
      </c>
      <c r="J3694" s="2">
        <v>3256</v>
      </c>
      <c r="K3694" s="2">
        <v>2959</v>
      </c>
      <c r="L3694" s="2">
        <v>4</v>
      </c>
      <c r="M3694" s="7">
        <f t="shared" si="228"/>
        <v>11836</v>
      </c>
      <c r="N3694" s="7">
        <f t="shared" si="229"/>
        <v>13024</v>
      </c>
      <c r="O3694" s="2">
        <v>70</v>
      </c>
      <c r="P3694" s="8">
        <f t="shared" si="230"/>
        <v>13094</v>
      </c>
      <c r="Q3694" s="8">
        <f t="shared" si="231"/>
        <v>12954</v>
      </c>
      <c r="R3694" s="2" t="s">
        <v>28</v>
      </c>
      <c r="S3694" s="9">
        <f>VLOOKUP(P3694,$T$2:U3691,2,1)</f>
        <v>0.05</v>
      </c>
    </row>
    <row r="3695" spans="1:19" x14ac:dyDescent="0.25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e">
        <f>VLOOKUP(F3695,'Customer Info'!A3687:I4186,2,0)</f>
        <v>#N/A</v>
      </c>
      <c r="H3695" s="6" t="e">
        <f>VLOOKUP(F3695,'Customer Info'!A3687:I4186,3,0)</f>
        <v>#N/A</v>
      </c>
      <c r="I3695" s="6" t="e">
        <f>VLOOKUP(F3695,'Customer Info'!A3687:I4186,5,0)</f>
        <v>#N/A</v>
      </c>
      <c r="J3695" s="2">
        <v>139</v>
      </c>
      <c r="K3695" s="2">
        <v>133</v>
      </c>
      <c r="L3695" s="2">
        <v>6</v>
      </c>
      <c r="M3695" s="7">
        <f t="shared" si="228"/>
        <v>798</v>
      </c>
      <c r="N3695" s="7">
        <f t="shared" si="229"/>
        <v>834</v>
      </c>
      <c r="O3695" s="2">
        <v>30</v>
      </c>
      <c r="P3695" s="8">
        <f t="shared" si="230"/>
        <v>864</v>
      </c>
      <c r="Q3695" s="8">
        <f t="shared" si="231"/>
        <v>804</v>
      </c>
      <c r="R3695" s="2" t="s">
        <v>28</v>
      </c>
      <c r="S3695" s="9">
        <f>VLOOKUP(P3695,$T$2:U3692,2,1)</f>
        <v>0.02</v>
      </c>
    </row>
    <row r="3696" spans="1:19" x14ac:dyDescent="0.25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e">
        <f>VLOOKUP(F3696,'Customer Info'!A3688:I4187,2,0)</f>
        <v>#N/A</v>
      </c>
      <c r="H3696" s="6" t="e">
        <f>VLOOKUP(F3696,'Customer Info'!A3688:I4187,3,0)</f>
        <v>#N/A</v>
      </c>
      <c r="I3696" s="6" t="e">
        <f>VLOOKUP(F3696,'Customer Info'!A3688:I4187,5,0)</f>
        <v>#N/A</v>
      </c>
      <c r="J3696" s="2">
        <v>210</v>
      </c>
      <c r="K3696" s="2">
        <v>191</v>
      </c>
      <c r="L3696" s="2">
        <v>2</v>
      </c>
      <c r="M3696" s="7">
        <f t="shared" si="228"/>
        <v>382</v>
      </c>
      <c r="N3696" s="7">
        <f t="shared" si="229"/>
        <v>420</v>
      </c>
      <c r="O3696" s="2">
        <v>79</v>
      </c>
      <c r="P3696" s="8">
        <f t="shared" si="230"/>
        <v>499</v>
      </c>
      <c r="Q3696" s="8">
        <f t="shared" si="231"/>
        <v>341</v>
      </c>
      <c r="R3696" s="2" t="s">
        <v>50</v>
      </c>
      <c r="S3696" s="9">
        <f>VLOOKUP(P3696,$T$2:U3693,2,1)</f>
        <v>0.02</v>
      </c>
    </row>
    <row r="3697" spans="1:19" x14ac:dyDescent="0.25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e">
        <f>VLOOKUP(F3697,'Customer Info'!A3689:I4188,2,0)</f>
        <v>#N/A</v>
      </c>
      <c r="H3697" s="6" t="e">
        <f>VLOOKUP(F3697,'Customer Info'!A3689:I4188,3,0)</f>
        <v>#N/A</v>
      </c>
      <c r="I3697" s="6" t="e">
        <f>VLOOKUP(F3697,'Customer Info'!A3689:I4188,5,0)</f>
        <v>#N/A</v>
      </c>
      <c r="J3697" s="2">
        <v>1048</v>
      </c>
      <c r="K3697" s="2">
        <v>979</v>
      </c>
      <c r="L3697" s="2">
        <v>1</v>
      </c>
      <c r="M3697" s="7">
        <f t="shared" si="228"/>
        <v>979</v>
      </c>
      <c r="N3697" s="7">
        <f t="shared" si="229"/>
        <v>1048</v>
      </c>
      <c r="O3697" s="2">
        <v>49</v>
      </c>
      <c r="P3697" s="8">
        <f t="shared" si="230"/>
        <v>1097</v>
      </c>
      <c r="Q3697" s="8">
        <f t="shared" si="231"/>
        <v>999</v>
      </c>
      <c r="R3697" s="2" t="s">
        <v>26</v>
      </c>
      <c r="S3697" s="9">
        <f>VLOOKUP(P3697,$T$2:U3694,2,1)</f>
        <v>0.02</v>
      </c>
    </row>
    <row r="3698" spans="1:19" x14ac:dyDescent="0.25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e">
        <f>VLOOKUP(F3698,'Customer Info'!A3690:I4189,2,0)</f>
        <v>#N/A</v>
      </c>
      <c r="H3698" s="6" t="e">
        <f>VLOOKUP(F3698,'Customer Info'!A3690:I4189,3,0)</f>
        <v>#N/A</v>
      </c>
      <c r="I3698" s="6" t="e">
        <f>VLOOKUP(F3698,'Customer Info'!A3690:I4189,5,0)</f>
        <v>#N/A</v>
      </c>
      <c r="J3698" s="2">
        <v>56</v>
      </c>
      <c r="K3698" s="2">
        <v>54</v>
      </c>
      <c r="L3698" s="2">
        <v>4</v>
      </c>
      <c r="M3698" s="7">
        <f t="shared" si="228"/>
        <v>216</v>
      </c>
      <c r="N3698" s="7">
        <f t="shared" si="229"/>
        <v>224</v>
      </c>
      <c r="O3698" s="2">
        <v>10</v>
      </c>
      <c r="P3698" s="8">
        <f t="shared" si="230"/>
        <v>234</v>
      </c>
      <c r="Q3698" s="8">
        <f t="shared" si="231"/>
        <v>214</v>
      </c>
      <c r="R3698" s="2" t="s">
        <v>28</v>
      </c>
      <c r="S3698" s="9">
        <f>VLOOKUP(P3698,$T$2:U3695,2,1)</f>
        <v>0.02</v>
      </c>
    </row>
    <row r="3699" spans="1:19" x14ac:dyDescent="0.25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e">
        <f>VLOOKUP(F3699,'Customer Info'!A3691:I4190,2,0)</f>
        <v>#N/A</v>
      </c>
      <c r="H3699" s="6" t="e">
        <f>VLOOKUP(F3699,'Customer Info'!A3691:I4190,3,0)</f>
        <v>#N/A</v>
      </c>
      <c r="I3699" s="6" t="e">
        <f>VLOOKUP(F3699,'Customer Info'!A3691:I4190,5,0)</f>
        <v>#N/A</v>
      </c>
      <c r="J3699" s="2">
        <v>2747</v>
      </c>
      <c r="K3699" s="2">
        <v>2545</v>
      </c>
      <c r="L3699" s="2">
        <v>3</v>
      </c>
      <c r="M3699" s="7">
        <f t="shared" si="228"/>
        <v>7635</v>
      </c>
      <c r="N3699" s="7">
        <f t="shared" si="229"/>
        <v>8241</v>
      </c>
      <c r="O3699" s="2">
        <v>81</v>
      </c>
      <c r="P3699" s="8">
        <f t="shared" si="230"/>
        <v>8322</v>
      </c>
      <c r="Q3699" s="8">
        <f t="shared" si="231"/>
        <v>8160</v>
      </c>
      <c r="R3699" s="2" t="s">
        <v>26</v>
      </c>
      <c r="S3699" s="9">
        <f>VLOOKUP(P3699,$T$2:U3696,2,1)</f>
        <v>0.05</v>
      </c>
    </row>
    <row r="3700" spans="1:19" x14ac:dyDescent="0.25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e">
        <f>VLOOKUP(F3700,'Customer Info'!A3692:I4191,2,0)</f>
        <v>#N/A</v>
      </c>
      <c r="H3700" s="6" t="e">
        <f>VLOOKUP(F3700,'Customer Info'!A3692:I4191,3,0)</f>
        <v>#N/A</v>
      </c>
      <c r="I3700" s="6" t="e">
        <f>VLOOKUP(F3700,'Customer Info'!A3692:I4191,5,0)</f>
        <v>#N/A</v>
      </c>
      <c r="J3700" s="2">
        <v>4784</v>
      </c>
      <c r="K3700" s="2">
        <v>4518</v>
      </c>
      <c r="L3700" s="2">
        <v>4</v>
      </c>
      <c r="M3700" s="7">
        <f t="shared" si="228"/>
        <v>18072</v>
      </c>
      <c r="N3700" s="7">
        <f t="shared" si="229"/>
        <v>19136</v>
      </c>
      <c r="O3700" s="2">
        <v>85</v>
      </c>
      <c r="P3700" s="8">
        <f t="shared" si="230"/>
        <v>19221</v>
      </c>
      <c r="Q3700" s="8">
        <f t="shared" si="231"/>
        <v>19051</v>
      </c>
      <c r="R3700" s="2" t="s">
        <v>28</v>
      </c>
      <c r="S3700" s="9">
        <f>VLOOKUP(P3700,$T$2:U3697,2,1)</f>
        <v>0.05</v>
      </c>
    </row>
    <row r="3701" spans="1:19" x14ac:dyDescent="0.25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e">
        <f>VLOOKUP(F3701,'Customer Info'!A3693:I4192,2,0)</f>
        <v>#N/A</v>
      </c>
      <c r="H3701" s="6" t="e">
        <f>VLOOKUP(F3701,'Customer Info'!A3693:I4192,3,0)</f>
        <v>#N/A</v>
      </c>
      <c r="I3701" s="6" t="e">
        <f>VLOOKUP(F3701,'Customer Info'!A3693:I4192,5,0)</f>
        <v>#N/A</v>
      </c>
      <c r="J3701" s="2">
        <v>4122</v>
      </c>
      <c r="K3701" s="2">
        <v>3781</v>
      </c>
      <c r="L3701" s="2">
        <v>4</v>
      </c>
      <c r="M3701" s="7">
        <f t="shared" si="228"/>
        <v>15124</v>
      </c>
      <c r="N3701" s="7">
        <f t="shared" si="229"/>
        <v>16488</v>
      </c>
      <c r="O3701" s="2">
        <v>23</v>
      </c>
      <c r="P3701" s="8">
        <f t="shared" si="230"/>
        <v>16511</v>
      </c>
      <c r="Q3701" s="8">
        <f t="shared" si="231"/>
        <v>16465</v>
      </c>
      <c r="R3701" s="2" t="s">
        <v>50</v>
      </c>
      <c r="S3701" s="9">
        <f>VLOOKUP(P3701,$T$2:U3698,2,1)</f>
        <v>0.05</v>
      </c>
    </row>
    <row r="3702" spans="1:19" x14ac:dyDescent="0.25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e">
        <f>VLOOKUP(F3702,'Customer Info'!A3694:I4193,2,0)</f>
        <v>#N/A</v>
      </c>
      <c r="H3702" s="6" t="e">
        <f>VLOOKUP(F3702,'Customer Info'!A3694:I4193,3,0)</f>
        <v>#N/A</v>
      </c>
      <c r="I3702" s="6" t="e">
        <f>VLOOKUP(F3702,'Customer Info'!A3694:I4193,5,0)</f>
        <v>#N/A</v>
      </c>
      <c r="J3702" s="2">
        <v>101</v>
      </c>
      <c r="K3702" s="2">
        <v>98</v>
      </c>
      <c r="L3702" s="2">
        <v>2</v>
      </c>
      <c r="M3702" s="7">
        <f t="shared" si="228"/>
        <v>196</v>
      </c>
      <c r="N3702" s="7">
        <f t="shared" si="229"/>
        <v>202</v>
      </c>
      <c r="O3702" s="2">
        <v>10</v>
      </c>
      <c r="P3702" s="8">
        <f t="shared" si="230"/>
        <v>212</v>
      </c>
      <c r="Q3702" s="8">
        <f t="shared" si="231"/>
        <v>192</v>
      </c>
      <c r="R3702" s="2" t="s">
        <v>50</v>
      </c>
      <c r="S3702" s="9">
        <f>VLOOKUP(P3702,$T$2:U3699,2,1)</f>
        <v>0.02</v>
      </c>
    </row>
    <row r="3703" spans="1:19" x14ac:dyDescent="0.25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e">
        <f>VLOOKUP(F3703,'Customer Info'!A3695:I4194,2,0)</f>
        <v>#N/A</v>
      </c>
      <c r="H3703" s="6" t="e">
        <f>VLOOKUP(F3703,'Customer Info'!A3695:I4194,3,0)</f>
        <v>#N/A</v>
      </c>
      <c r="I3703" s="6" t="e">
        <f>VLOOKUP(F3703,'Customer Info'!A3695:I4194,5,0)</f>
        <v>#N/A</v>
      </c>
      <c r="J3703" s="2">
        <v>1734</v>
      </c>
      <c r="K3703" s="2">
        <v>1702</v>
      </c>
      <c r="L3703" s="2">
        <v>3</v>
      </c>
      <c r="M3703" s="7">
        <f t="shared" si="228"/>
        <v>5106</v>
      </c>
      <c r="N3703" s="7">
        <f t="shared" si="229"/>
        <v>5202</v>
      </c>
      <c r="O3703" s="2">
        <v>39</v>
      </c>
      <c r="P3703" s="8">
        <f t="shared" si="230"/>
        <v>5241</v>
      </c>
      <c r="Q3703" s="8">
        <f t="shared" si="231"/>
        <v>5163</v>
      </c>
      <c r="R3703" s="2" t="s">
        <v>28</v>
      </c>
      <c r="S3703" s="9">
        <f>VLOOKUP(P3703,$T$2:U3700,2,1)</f>
        <v>0.05</v>
      </c>
    </row>
    <row r="3704" spans="1:19" x14ac:dyDescent="0.25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e">
        <f>VLOOKUP(F3704,'Customer Info'!A3696:I4195,2,0)</f>
        <v>#N/A</v>
      </c>
      <c r="H3704" s="6" t="e">
        <f>VLOOKUP(F3704,'Customer Info'!A3696:I4195,3,0)</f>
        <v>#N/A</v>
      </c>
      <c r="I3704" s="6" t="e">
        <f>VLOOKUP(F3704,'Customer Info'!A3696:I4195,5,0)</f>
        <v>#N/A</v>
      </c>
      <c r="J3704" s="2">
        <v>139</v>
      </c>
      <c r="K3704" s="2">
        <v>133</v>
      </c>
      <c r="L3704" s="2">
        <v>3</v>
      </c>
      <c r="M3704" s="7">
        <f t="shared" si="228"/>
        <v>399</v>
      </c>
      <c r="N3704" s="7">
        <f t="shared" si="229"/>
        <v>417</v>
      </c>
      <c r="O3704" s="2">
        <v>30</v>
      </c>
      <c r="P3704" s="8">
        <f t="shared" si="230"/>
        <v>447</v>
      </c>
      <c r="Q3704" s="8">
        <f t="shared" si="231"/>
        <v>387</v>
      </c>
      <c r="R3704" s="2" t="s">
        <v>28</v>
      </c>
      <c r="S3704" s="9">
        <f>VLOOKUP(P3704,$T$2:U3701,2,1)</f>
        <v>0.02</v>
      </c>
    </row>
    <row r="3705" spans="1:19" x14ac:dyDescent="0.25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e">
        <f>VLOOKUP(F3705,'Customer Info'!A3697:I4196,2,0)</f>
        <v>#N/A</v>
      </c>
      <c r="H3705" s="6" t="e">
        <f>VLOOKUP(F3705,'Customer Info'!A3697:I4196,3,0)</f>
        <v>#N/A</v>
      </c>
      <c r="I3705" s="6" t="e">
        <f>VLOOKUP(F3705,'Customer Info'!A3697:I4196,5,0)</f>
        <v>#N/A</v>
      </c>
      <c r="J3705" s="2">
        <v>139</v>
      </c>
      <c r="K3705" s="2">
        <v>133</v>
      </c>
      <c r="L3705" s="2">
        <v>3</v>
      </c>
      <c r="M3705" s="7">
        <f t="shared" si="228"/>
        <v>399</v>
      </c>
      <c r="N3705" s="7">
        <f t="shared" si="229"/>
        <v>417</v>
      </c>
      <c r="O3705" s="2">
        <v>30</v>
      </c>
      <c r="P3705" s="8">
        <f t="shared" si="230"/>
        <v>447</v>
      </c>
      <c r="Q3705" s="8">
        <f t="shared" si="231"/>
        <v>387</v>
      </c>
      <c r="R3705" s="2" t="s">
        <v>28</v>
      </c>
      <c r="S3705" s="9">
        <f>VLOOKUP(P3705,$T$2:U3702,2,1)</f>
        <v>0.02</v>
      </c>
    </row>
    <row r="3706" spans="1:19" x14ac:dyDescent="0.25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e">
        <f>VLOOKUP(F3706,'Customer Info'!A3698:I4197,2,0)</f>
        <v>#N/A</v>
      </c>
      <c r="H3706" s="6" t="e">
        <f>VLOOKUP(F3706,'Customer Info'!A3698:I4197,3,0)</f>
        <v>#N/A</v>
      </c>
      <c r="I3706" s="6" t="e">
        <f>VLOOKUP(F3706,'Customer Info'!A3698:I4197,5,0)</f>
        <v>#N/A</v>
      </c>
      <c r="J3706" s="2">
        <v>3288</v>
      </c>
      <c r="K3706" s="2">
        <v>3041</v>
      </c>
      <c r="L3706" s="2">
        <v>4</v>
      </c>
      <c r="M3706" s="7">
        <f t="shared" si="228"/>
        <v>12164</v>
      </c>
      <c r="N3706" s="7">
        <f t="shared" si="229"/>
        <v>13152</v>
      </c>
      <c r="O3706" s="2">
        <v>51</v>
      </c>
      <c r="P3706" s="8">
        <f t="shared" si="230"/>
        <v>13203</v>
      </c>
      <c r="Q3706" s="8">
        <f t="shared" si="231"/>
        <v>13101</v>
      </c>
      <c r="R3706" s="2" t="s">
        <v>50</v>
      </c>
      <c r="S3706" s="9">
        <f>VLOOKUP(P3706,$T$2:U3703,2,1)</f>
        <v>0.05</v>
      </c>
    </row>
    <row r="3707" spans="1:19" x14ac:dyDescent="0.25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e">
        <f>VLOOKUP(F3707,'Customer Info'!A3699:I4198,2,0)</f>
        <v>#N/A</v>
      </c>
      <c r="H3707" s="6" t="e">
        <f>VLOOKUP(F3707,'Customer Info'!A3699:I4198,3,0)</f>
        <v>#N/A</v>
      </c>
      <c r="I3707" s="6" t="e">
        <f>VLOOKUP(F3707,'Customer Info'!A3699:I4198,5,0)</f>
        <v>#N/A</v>
      </c>
      <c r="J3707" s="2">
        <v>1654</v>
      </c>
      <c r="K3707" s="2">
        <v>1577</v>
      </c>
      <c r="L3707" s="2">
        <v>1</v>
      </c>
      <c r="M3707" s="7">
        <f t="shared" si="228"/>
        <v>1577</v>
      </c>
      <c r="N3707" s="7">
        <f t="shared" si="229"/>
        <v>1654</v>
      </c>
      <c r="O3707" s="2">
        <v>21</v>
      </c>
      <c r="P3707" s="8">
        <f t="shared" si="230"/>
        <v>1675</v>
      </c>
      <c r="Q3707" s="8">
        <f t="shared" si="231"/>
        <v>1633</v>
      </c>
      <c r="R3707" s="2" t="s">
        <v>50</v>
      </c>
      <c r="S3707" s="9">
        <f>VLOOKUP(P3707,$T$2:U3704,2,1)</f>
        <v>0.02</v>
      </c>
    </row>
    <row r="3708" spans="1:19" x14ac:dyDescent="0.25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e">
        <f>VLOOKUP(F3708,'Customer Info'!A3700:I4199,2,0)</f>
        <v>#N/A</v>
      </c>
      <c r="H3708" s="6" t="e">
        <f>VLOOKUP(F3708,'Customer Info'!A3700:I4199,3,0)</f>
        <v>#N/A</v>
      </c>
      <c r="I3708" s="6" t="e">
        <f>VLOOKUP(F3708,'Customer Info'!A3700:I4199,5,0)</f>
        <v>#N/A</v>
      </c>
      <c r="J3708" s="2">
        <v>2790</v>
      </c>
      <c r="K3708" s="2">
        <v>2557</v>
      </c>
      <c r="L3708" s="2">
        <v>3</v>
      </c>
      <c r="M3708" s="7">
        <f t="shared" si="228"/>
        <v>7671</v>
      </c>
      <c r="N3708" s="7">
        <f t="shared" si="229"/>
        <v>8370</v>
      </c>
      <c r="O3708" s="2">
        <v>94</v>
      </c>
      <c r="P3708" s="8">
        <f t="shared" si="230"/>
        <v>8464</v>
      </c>
      <c r="Q3708" s="8">
        <f t="shared" si="231"/>
        <v>8276</v>
      </c>
      <c r="R3708" s="2" t="s">
        <v>28</v>
      </c>
      <c r="S3708" s="9">
        <f>VLOOKUP(P3708,$T$2:U3705,2,1)</f>
        <v>0.05</v>
      </c>
    </row>
    <row r="3709" spans="1:19" x14ac:dyDescent="0.25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e">
        <f>VLOOKUP(F3709,'Customer Info'!A3701:I4200,2,0)</f>
        <v>#N/A</v>
      </c>
      <c r="H3709" s="6" t="e">
        <f>VLOOKUP(F3709,'Customer Info'!A3701:I4200,3,0)</f>
        <v>#N/A</v>
      </c>
      <c r="I3709" s="6" t="e">
        <f>VLOOKUP(F3709,'Customer Info'!A3701:I4200,5,0)</f>
        <v>#N/A</v>
      </c>
      <c r="J3709" s="2">
        <v>2453</v>
      </c>
      <c r="K3709" s="2">
        <v>2336</v>
      </c>
      <c r="L3709" s="2">
        <v>3</v>
      </c>
      <c r="M3709" s="7">
        <f t="shared" si="228"/>
        <v>7008</v>
      </c>
      <c r="N3709" s="7">
        <f t="shared" si="229"/>
        <v>7359</v>
      </c>
      <c r="O3709" s="2">
        <v>47</v>
      </c>
      <c r="P3709" s="8">
        <f t="shared" si="230"/>
        <v>7406</v>
      </c>
      <c r="Q3709" s="8">
        <f t="shared" si="231"/>
        <v>7312</v>
      </c>
      <c r="R3709" s="2" t="s">
        <v>28</v>
      </c>
      <c r="S3709" s="9">
        <f>VLOOKUP(P3709,$T$2:U3706,2,1)</f>
        <v>0.05</v>
      </c>
    </row>
    <row r="3710" spans="1:19" x14ac:dyDescent="0.25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e">
        <f>VLOOKUP(F3710,'Customer Info'!A3702:I4201,2,0)</f>
        <v>#N/A</v>
      </c>
      <c r="H3710" s="6" t="e">
        <f>VLOOKUP(F3710,'Customer Info'!A3702:I4201,3,0)</f>
        <v>#N/A</v>
      </c>
      <c r="I3710" s="6" t="e">
        <f>VLOOKUP(F3710,'Customer Info'!A3702:I4201,5,0)</f>
        <v>#N/A</v>
      </c>
      <c r="J3710" s="2">
        <v>695</v>
      </c>
      <c r="K3710" s="2">
        <v>661</v>
      </c>
      <c r="L3710" s="2">
        <v>6</v>
      </c>
      <c r="M3710" s="7">
        <f t="shared" si="228"/>
        <v>3966</v>
      </c>
      <c r="N3710" s="7">
        <f t="shared" si="229"/>
        <v>4170</v>
      </c>
      <c r="O3710" s="2">
        <v>50</v>
      </c>
      <c r="P3710" s="8">
        <f t="shared" si="230"/>
        <v>4220</v>
      </c>
      <c r="Q3710" s="8">
        <f t="shared" si="231"/>
        <v>4120</v>
      </c>
      <c r="R3710" s="2" t="s">
        <v>28</v>
      </c>
      <c r="S3710" s="9">
        <f>VLOOKUP(P3710,$T$2:U3707,2,1)</f>
        <v>0.02</v>
      </c>
    </row>
    <row r="3711" spans="1:19" x14ac:dyDescent="0.25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e">
        <f>VLOOKUP(F3711,'Customer Info'!A3703:I4202,2,0)</f>
        <v>#N/A</v>
      </c>
      <c r="H3711" s="6" t="e">
        <f>VLOOKUP(F3711,'Customer Info'!A3703:I4202,3,0)</f>
        <v>#N/A</v>
      </c>
      <c r="I3711" s="6" t="e">
        <f>VLOOKUP(F3711,'Customer Info'!A3703:I4202,5,0)</f>
        <v>#N/A</v>
      </c>
      <c r="J3711" s="2">
        <v>3053</v>
      </c>
      <c r="K3711" s="2">
        <v>2937</v>
      </c>
      <c r="L3711" s="2">
        <v>2</v>
      </c>
      <c r="M3711" s="7">
        <f t="shared" si="228"/>
        <v>5874</v>
      </c>
      <c r="N3711" s="7">
        <f t="shared" si="229"/>
        <v>6106</v>
      </c>
      <c r="O3711" s="2">
        <v>29</v>
      </c>
      <c r="P3711" s="8">
        <f t="shared" si="230"/>
        <v>6135</v>
      </c>
      <c r="Q3711" s="8">
        <f t="shared" si="231"/>
        <v>6077</v>
      </c>
      <c r="R3711" s="2" t="s">
        <v>28</v>
      </c>
      <c r="S3711" s="9">
        <f>VLOOKUP(P3711,$T$2:U3708,2,1)</f>
        <v>0.05</v>
      </c>
    </row>
    <row r="3712" spans="1:19" x14ac:dyDescent="0.25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e">
        <f>VLOOKUP(F3712,'Customer Info'!A3704:I4203,2,0)</f>
        <v>#N/A</v>
      </c>
      <c r="H3712" s="6" t="e">
        <f>VLOOKUP(F3712,'Customer Info'!A3704:I4203,3,0)</f>
        <v>#N/A</v>
      </c>
      <c r="I3712" s="6" t="e">
        <f>VLOOKUP(F3712,'Customer Info'!A3704:I4203,5,0)</f>
        <v>#N/A</v>
      </c>
      <c r="J3712" s="2">
        <v>191</v>
      </c>
      <c r="K3712" s="2">
        <v>170</v>
      </c>
      <c r="L3712" s="2">
        <v>2</v>
      </c>
      <c r="M3712" s="7">
        <f t="shared" si="228"/>
        <v>340</v>
      </c>
      <c r="N3712" s="7">
        <f t="shared" si="229"/>
        <v>382</v>
      </c>
      <c r="O3712" s="2">
        <v>30</v>
      </c>
      <c r="P3712" s="8">
        <f t="shared" si="230"/>
        <v>412</v>
      </c>
      <c r="Q3712" s="8">
        <f t="shared" si="231"/>
        <v>352</v>
      </c>
      <c r="R3712" s="2" t="s">
        <v>50</v>
      </c>
      <c r="S3712" s="9">
        <f>VLOOKUP(P3712,$T$2:U3709,2,1)</f>
        <v>0.02</v>
      </c>
    </row>
    <row r="3713" spans="1:19" x14ac:dyDescent="0.25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e">
        <f>VLOOKUP(F3713,'Customer Info'!A3705:I4204,2,0)</f>
        <v>#N/A</v>
      </c>
      <c r="H3713" s="6" t="e">
        <f>VLOOKUP(F3713,'Customer Info'!A3705:I4204,3,0)</f>
        <v>#N/A</v>
      </c>
      <c r="I3713" s="6" t="e">
        <f>VLOOKUP(F3713,'Customer Info'!A3705:I4204,5,0)</f>
        <v>#N/A</v>
      </c>
      <c r="J3713" s="2">
        <v>2205</v>
      </c>
      <c r="K3713" s="2">
        <v>2061</v>
      </c>
      <c r="L3713" s="2">
        <v>6</v>
      </c>
      <c r="M3713" s="7">
        <f t="shared" si="228"/>
        <v>12366</v>
      </c>
      <c r="N3713" s="7">
        <f t="shared" si="229"/>
        <v>13230</v>
      </c>
      <c r="O3713" s="2">
        <v>33</v>
      </c>
      <c r="P3713" s="8">
        <f t="shared" si="230"/>
        <v>13263</v>
      </c>
      <c r="Q3713" s="8">
        <f t="shared" si="231"/>
        <v>13197</v>
      </c>
      <c r="R3713" s="2" t="s">
        <v>50</v>
      </c>
      <c r="S3713" s="9">
        <f>VLOOKUP(P3713,$T$2:U3710,2,1)</f>
        <v>0.05</v>
      </c>
    </row>
    <row r="3714" spans="1:19" x14ac:dyDescent="0.25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e">
        <f>VLOOKUP(F3714,'Customer Info'!A3706:I4205,2,0)</f>
        <v>#N/A</v>
      </c>
      <c r="H3714" s="6" t="e">
        <f>VLOOKUP(F3714,'Customer Info'!A3706:I4205,3,0)</f>
        <v>#N/A</v>
      </c>
      <c r="I3714" s="6" t="e">
        <f>VLOOKUP(F3714,'Customer Info'!A3706:I4205,5,0)</f>
        <v>#N/A</v>
      </c>
      <c r="J3714" s="2">
        <v>1770</v>
      </c>
      <c r="K3714" s="2">
        <v>1592</v>
      </c>
      <c r="L3714" s="2">
        <v>6</v>
      </c>
      <c r="M3714" s="7">
        <f t="shared" si="228"/>
        <v>9552</v>
      </c>
      <c r="N3714" s="7">
        <f t="shared" si="229"/>
        <v>10620</v>
      </c>
      <c r="O3714" s="2">
        <v>68</v>
      </c>
      <c r="P3714" s="8">
        <f t="shared" si="230"/>
        <v>10688</v>
      </c>
      <c r="Q3714" s="8">
        <f t="shared" si="231"/>
        <v>10552</v>
      </c>
      <c r="R3714" s="2" t="s">
        <v>28</v>
      </c>
      <c r="S3714" s="9">
        <f>VLOOKUP(P3714,$T$2:U3711,2,1)</f>
        <v>0.05</v>
      </c>
    </row>
    <row r="3715" spans="1:19" x14ac:dyDescent="0.25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e">
        <f>VLOOKUP(F3715,'Customer Info'!A3707:I4206,2,0)</f>
        <v>#N/A</v>
      </c>
      <c r="H3715" s="6" t="e">
        <f>VLOOKUP(F3715,'Customer Info'!A3707:I4206,3,0)</f>
        <v>#N/A</v>
      </c>
      <c r="I3715" s="6" t="e">
        <f>VLOOKUP(F3715,'Customer Info'!A3707:I4206,5,0)</f>
        <v>#N/A</v>
      </c>
      <c r="J3715" s="2">
        <v>1569</v>
      </c>
      <c r="K3715" s="2">
        <v>1466</v>
      </c>
      <c r="L3715" s="2">
        <v>4</v>
      </c>
      <c r="M3715" s="7">
        <f t="shared" si="228"/>
        <v>5864</v>
      </c>
      <c r="N3715" s="7">
        <f t="shared" si="229"/>
        <v>6276</v>
      </c>
      <c r="O3715" s="2">
        <v>96</v>
      </c>
      <c r="P3715" s="8">
        <f t="shared" si="230"/>
        <v>6372</v>
      </c>
      <c r="Q3715" s="8">
        <f t="shared" si="231"/>
        <v>6180</v>
      </c>
      <c r="R3715" s="2" t="s">
        <v>26</v>
      </c>
      <c r="S3715" s="9">
        <f>VLOOKUP(P3715,$T$2:U3712,2,1)</f>
        <v>0.05</v>
      </c>
    </row>
    <row r="3716" spans="1:19" x14ac:dyDescent="0.25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e">
        <f>VLOOKUP(F3716,'Customer Info'!A3708:I4207,2,0)</f>
        <v>#N/A</v>
      </c>
      <c r="H3716" s="6" t="e">
        <f>VLOOKUP(F3716,'Customer Info'!A3708:I4207,3,0)</f>
        <v>#N/A</v>
      </c>
      <c r="I3716" s="6" t="e">
        <f>VLOOKUP(F3716,'Customer Info'!A3708:I4207,5,0)</f>
        <v>#N/A</v>
      </c>
      <c r="J3716" s="2">
        <v>214</v>
      </c>
      <c r="K3716" s="2">
        <v>200</v>
      </c>
      <c r="L3716" s="2">
        <v>2</v>
      </c>
      <c r="M3716" s="7">
        <f t="shared" si="228"/>
        <v>400</v>
      </c>
      <c r="N3716" s="7">
        <f t="shared" si="229"/>
        <v>428</v>
      </c>
      <c r="O3716" s="2">
        <v>89</v>
      </c>
      <c r="P3716" s="8">
        <f t="shared" si="230"/>
        <v>517</v>
      </c>
      <c r="Q3716" s="8">
        <f t="shared" si="231"/>
        <v>339</v>
      </c>
      <c r="R3716" s="2" t="s">
        <v>28</v>
      </c>
      <c r="S3716" s="9">
        <f>VLOOKUP(P3716,$T$2:U3713,2,1)</f>
        <v>0.02</v>
      </c>
    </row>
    <row r="3717" spans="1:19" x14ac:dyDescent="0.25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e">
        <f>VLOOKUP(F3717,'Customer Info'!A3709:I4208,2,0)</f>
        <v>#N/A</v>
      </c>
      <c r="H3717" s="6" t="e">
        <f>VLOOKUP(F3717,'Customer Info'!A3709:I4208,3,0)</f>
        <v>#N/A</v>
      </c>
      <c r="I3717" s="6" t="e">
        <f>VLOOKUP(F3717,'Customer Info'!A3709:I4208,5,0)</f>
        <v>#N/A</v>
      </c>
      <c r="J3717" s="2">
        <v>5882</v>
      </c>
      <c r="K3717" s="2">
        <v>5713</v>
      </c>
      <c r="L3717" s="2">
        <v>4</v>
      </c>
      <c r="M3717" s="7">
        <f t="shared" si="228"/>
        <v>22852</v>
      </c>
      <c r="N3717" s="7">
        <f t="shared" si="229"/>
        <v>23528</v>
      </c>
      <c r="O3717" s="2">
        <v>66</v>
      </c>
      <c r="P3717" s="8">
        <f t="shared" si="230"/>
        <v>23594</v>
      </c>
      <c r="Q3717" s="8">
        <f t="shared" si="231"/>
        <v>23462</v>
      </c>
      <c r="R3717" s="2" t="s">
        <v>28</v>
      </c>
      <c r="S3717" s="9">
        <f>VLOOKUP(P3717,$T$2:U3714,2,1)</f>
        <v>0.05</v>
      </c>
    </row>
    <row r="3718" spans="1:19" x14ac:dyDescent="0.25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e">
        <f>VLOOKUP(F3718,'Customer Info'!A3710:I4209,2,0)</f>
        <v>#N/A</v>
      </c>
      <c r="H3718" s="6" t="e">
        <f>VLOOKUP(F3718,'Customer Info'!A3710:I4209,3,0)</f>
        <v>#N/A</v>
      </c>
      <c r="I3718" s="6" t="e">
        <f>VLOOKUP(F3718,'Customer Info'!A3710:I4209,5,0)</f>
        <v>#N/A</v>
      </c>
      <c r="J3718" s="2">
        <v>170</v>
      </c>
      <c r="K3718" s="2">
        <v>153</v>
      </c>
      <c r="L3718" s="2">
        <v>1</v>
      </c>
      <c r="M3718" s="7">
        <f t="shared" si="228"/>
        <v>153</v>
      </c>
      <c r="N3718" s="7">
        <f t="shared" si="229"/>
        <v>170</v>
      </c>
      <c r="O3718" s="2">
        <v>30</v>
      </c>
      <c r="P3718" s="8">
        <f t="shared" si="230"/>
        <v>200</v>
      </c>
      <c r="Q3718" s="8">
        <f t="shared" si="231"/>
        <v>140</v>
      </c>
      <c r="R3718" s="2" t="s">
        <v>50</v>
      </c>
      <c r="S3718" s="9">
        <f>VLOOKUP(P3718,$T$2:U3715,2,1)</f>
        <v>0.02</v>
      </c>
    </row>
    <row r="3719" spans="1:19" x14ac:dyDescent="0.25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e">
        <f>VLOOKUP(F3719,'Customer Info'!A3711:I4210,2,0)</f>
        <v>#N/A</v>
      </c>
      <c r="H3719" s="6" t="e">
        <f>VLOOKUP(F3719,'Customer Info'!A3711:I4210,3,0)</f>
        <v>#N/A</v>
      </c>
      <c r="I3719" s="6" t="e">
        <f>VLOOKUP(F3719,'Customer Info'!A3711:I4210,5,0)</f>
        <v>#N/A</v>
      </c>
      <c r="J3719" s="2">
        <v>3041</v>
      </c>
      <c r="K3719" s="2">
        <v>2927</v>
      </c>
      <c r="L3719" s="2">
        <v>2</v>
      </c>
      <c r="M3719" s="7">
        <f t="shared" si="228"/>
        <v>5854</v>
      </c>
      <c r="N3719" s="7">
        <f t="shared" si="229"/>
        <v>6082</v>
      </c>
      <c r="O3719" s="2">
        <v>37</v>
      </c>
      <c r="P3719" s="8">
        <f t="shared" si="230"/>
        <v>6119</v>
      </c>
      <c r="Q3719" s="8">
        <f t="shared" si="231"/>
        <v>6045</v>
      </c>
      <c r="R3719" s="2" t="s">
        <v>50</v>
      </c>
      <c r="S3719" s="9">
        <f>VLOOKUP(P3719,$T$2:U3716,2,1)</f>
        <v>0.05</v>
      </c>
    </row>
    <row r="3720" spans="1:19" x14ac:dyDescent="0.25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e">
        <f>VLOOKUP(F3720,'Customer Info'!A3712:I4211,2,0)</f>
        <v>#N/A</v>
      </c>
      <c r="H3720" s="6" t="e">
        <f>VLOOKUP(F3720,'Customer Info'!A3712:I4211,3,0)</f>
        <v>#N/A</v>
      </c>
      <c r="I3720" s="6" t="e">
        <f>VLOOKUP(F3720,'Customer Info'!A3712:I4211,5,0)</f>
        <v>#N/A</v>
      </c>
      <c r="J3720" s="2">
        <v>6337</v>
      </c>
      <c r="K3720" s="2">
        <v>6215</v>
      </c>
      <c r="L3720" s="2">
        <v>3</v>
      </c>
      <c r="M3720" s="7">
        <f t="shared" si="228"/>
        <v>18645</v>
      </c>
      <c r="N3720" s="7">
        <f t="shared" si="229"/>
        <v>19011</v>
      </c>
      <c r="O3720" s="2">
        <v>66</v>
      </c>
      <c r="P3720" s="8">
        <f t="shared" si="230"/>
        <v>19077</v>
      </c>
      <c r="Q3720" s="8">
        <f t="shared" si="231"/>
        <v>18945</v>
      </c>
      <c r="R3720" s="2" t="s">
        <v>28</v>
      </c>
      <c r="S3720" s="9">
        <f>VLOOKUP(P3720,$T$2:U3717,2,1)</f>
        <v>0.05</v>
      </c>
    </row>
    <row r="3721" spans="1:19" x14ac:dyDescent="0.25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e">
        <f>VLOOKUP(F3721,'Customer Info'!A3713:I4212,2,0)</f>
        <v>#N/A</v>
      </c>
      <c r="H3721" s="6" t="e">
        <f>VLOOKUP(F3721,'Customer Info'!A3713:I4212,3,0)</f>
        <v>#N/A</v>
      </c>
      <c r="I3721" s="6" t="e">
        <f>VLOOKUP(F3721,'Customer Info'!A3713:I4212,5,0)</f>
        <v>#N/A</v>
      </c>
      <c r="J3721" s="2">
        <v>222</v>
      </c>
      <c r="K3721" s="2">
        <v>204</v>
      </c>
      <c r="L3721" s="2">
        <v>3</v>
      </c>
      <c r="M3721" s="7">
        <f t="shared" si="228"/>
        <v>612</v>
      </c>
      <c r="N3721" s="7">
        <f t="shared" si="229"/>
        <v>666</v>
      </c>
      <c r="O3721" s="2">
        <v>78</v>
      </c>
      <c r="P3721" s="8">
        <f t="shared" si="230"/>
        <v>744</v>
      </c>
      <c r="Q3721" s="8">
        <f t="shared" si="231"/>
        <v>588</v>
      </c>
      <c r="R3721" s="2" t="s">
        <v>50</v>
      </c>
      <c r="S3721" s="9">
        <f>VLOOKUP(P3721,$T$2:U3718,2,1)</f>
        <v>0.02</v>
      </c>
    </row>
    <row r="3722" spans="1:19" x14ac:dyDescent="0.25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e">
        <f>VLOOKUP(F3722,'Customer Info'!A3714:I4213,2,0)</f>
        <v>#N/A</v>
      </c>
      <c r="H3722" s="6" t="e">
        <f>VLOOKUP(F3722,'Customer Info'!A3714:I4213,3,0)</f>
        <v>#N/A</v>
      </c>
      <c r="I3722" s="6" t="e">
        <f>VLOOKUP(F3722,'Customer Info'!A3714:I4213,5,0)</f>
        <v>#N/A</v>
      </c>
      <c r="J3722" s="2">
        <v>92</v>
      </c>
      <c r="K3722" s="2">
        <v>85</v>
      </c>
      <c r="L3722" s="2">
        <v>6</v>
      </c>
      <c r="M3722" s="7">
        <f t="shared" si="228"/>
        <v>510</v>
      </c>
      <c r="N3722" s="7">
        <f t="shared" si="229"/>
        <v>552</v>
      </c>
      <c r="O3722" s="2">
        <v>10</v>
      </c>
      <c r="P3722" s="8">
        <f t="shared" si="230"/>
        <v>562</v>
      </c>
      <c r="Q3722" s="8">
        <f t="shared" si="231"/>
        <v>542</v>
      </c>
      <c r="R3722" s="2" t="s">
        <v>28</v>
      </c>
      <c r="S3722" s="9">
        <f>VLOOKUP(P3722,$T$2:U3719,2,1)</f>
        <v>0.02</v>
      </c>
    </row>
    <row r="3723" spans="1:19" x14ac:dyDescent="0.25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e">
        <f>VLOOKUP(F3723,'Customer Info'!A3715:I4214,2,0)</f>
        <v>#N/A</v>
      </c>
      <c r="H3723" s="6" t="e">
        <f>VLOOKUP(F3723,'Customer Info'!A3715:I4214,3,0)</f>
        <v>#N/A</v>
      </c>
      <c r="I3723" s="6" t="e">
        <f>VLOOKUP(F3723,'Customer Info'!A3715:I4214,5,0)</f>
        <v>#N/A</v>
      </c>
      <c r="J3723" s="2">
        <v>167</v>
      </c>
      <c r="K3723" s="2">
        <v>152</v>
      </c>
      <c r="L3723" s="2">
        <v>1</v>
      </c>
      <c r="M3723" s="7">
        <f t="shared" ref="M3723:M3786" si="232">K3723*L3723</f>
        <v>152</v>
      </c>
      <c r="N3723" s="7">
        <f t="shared" ref="N3723:N3786" si="233">J3723*L3723</f>
        <v>167</v>
      </c>
      <c r="O3723" s="2">
        <v>30</v>
      </c>
      <c r="P3723" s="8">
        <f t="shared" ref="P3723:P3786" si="234">SUM(N3723,O3723)</f>
        <v>197</v>
      </c>
      <c r="Q3723" s="8">
        <f t="shared" ref="Q3723:Q3786" si="235">N3723-O3723</f>
        <v>137</v>
      </c>
      <c r="R3723" s="2" t="s">
        <v>28</v>
      </c>
      <c r="S3723" s="9">
        <f>VLOOKUP(P3723,$T$2:U3720,2,1)</f>
        <v>0.02</v>
      </c>
    </row>
    <row r="3724" spans="1:19" x14ac:dyDescent="0.25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e">
        <f>VLOOKUP(F3724,'Customer Info'!A3716:I4215,2,0)</f>
        <v>#N/A</v>
      </c>
      <c r="H3724" s="6" t="e">
        <f>VLOOKUP(F3724,'Customer Info'!A3716:I4215,3,0)</f>
        <v>#N/A</v>
      </c>
      <c r="I3724" s="6" t="e">
        <f>VLOOKUP(F3724,'Customer Info'!A3716:I4215,5,0)</f>
        <v>#N/A</v>
      </c>
      <c r="J3724" s="2">
        <v>140</v>
      </c>
      <c r="K3724" s="2">
        <v>137</v>
      </c>
      <c r="L3724" s="2">
        <v>1</v>
      </c>
      <c r="M3724" s="7">
        <f t="shared" si="232"/>
        <v>137</v>
      </c>
      <c r="N3724" s="7">
        <f t="shared" si="233"/>
        <v>140</v>
      </c>
      <c r="O3724" s="2">
        <v>30</v>
      </c>
      <c r="P3724" s="8">
        <f t="shared" si="234"/>
        <v>170</v>
      </c>
      <c r="Q3724" s="8">
        <f t="shared" si="235"/>
        <v>110</v>
      </c>
      <c r="R3724" s="2" t="s">
        <v>28</v>
      </c>
      <c r="S3724" s="9">
        <f>VLOOKUP(P3724,$T$2:U3721,2,1)</f>
        <v>0.02</v>
      </c>
    </row>
    <row r="3725" spans="1:19" x14ac:dyDescent="0.25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e">
        <f>VLOOKUP(F3725,'Customer Info'!A3717:I4216,2,0)</f>
        <v>#N/A</v>
      </c>
      <c r="H3725" s="6" t="e">
        <f>VLOOKUP(F3725,'Customer Info'!A3717:I4216,3,0)</f>
        <v>#N/A</v>
      </c>
      <c r="I3725" s="6" t="e">
        <f>VLOOKUP(F3725,'Customer Info'!A3717:I4216,5,0)</f>
        <v>#N/A</v>
      </c>
      <c r="J3725" s="2">
        <v>1623</v>
      </c>
      <c r="K3725" s="2">
        <v>1546</v>
      </c>
      <c r="L3725" s="2">
        <v>6</v>
      </c>
      <c r="M3725" s="7">
        <f t="shared" si="232"/>
        <v>9276</v>
      </c>
      <c r="N3725" s="7">
        <f t="shared" si="233"/>
        <v>9738</v>
      </c>
      <c r="O3725" s="2">
        <v>59</v>
      </c>
      <c r="P3725" s="8">
        <f t="shared" si="234"/>
        <v>9797</v>
      </c>
      <c r="Q3725" s="8">
        <f t="shared" si="235"/>
        <v>9679</v>
      </c>
      <c r="R3725" s="2" t="s">
        <v>56</v>
      </c>
      <c r="S3725" s="9">
        <f>VLOOKUP(P3725,$T$2:U3722,2,1)</f>
        <v>0.05</v>
      </c>
    </row>
    <row r="3726" spans="1:19" x14ac:dyDescent="0.25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e">
        <f>VLOOKUP(F3726,'Customer Info'!A3718:I4217,2,0)</f>
        <v>#N/A</v>
      </c>
      <c r="H3726" s="6" t="e">
        <f>VLOOKUP(F3726,'Customer Info'!A3718:I4217,3,0)</f>
        <v>#N/A</v>
      </c>
      <c r="I3726" s="6" t="e">
        <f>VLOOKUP(F3726,'Customer Info'!A3718:I4217,5,0)</f>
        <v>#N/A</v>
      </c>
      <c r="J3726" s="2">
        <v>151</v>
      </c>
      <c r="K3726" s="2">
        <v>139</v>
      </c>
      <c r="L3726" s="2">
        <v>5</v>
      </c>
      <c r="M3726" s="7">
        <f t="shared" si="232"/>
        <v>695</v>
      </c>
      <c r="N3726" s="7">
        <f t="shared" si="233"/>
        <v>755</v>
      </c>
      <c r="O3726" s="2">
        <v>30</v>
      </c>
      <c r="P3726" s="8">
        <f t="shared" si="234"/>
        <v>785</v>
      </c>
      <c r="Q3726" s="8">
        <f t="shared" si="235"/>
        <v>725</v>
      </c>
      <c r="R3726" s="2" t="s">
        <v>50</v>
      </c>
      <c r="S3726" s="9">
        <f>VLOOKUP(P3726,$T$2:U3723,2,1)</f>
        <v>0.02</v>
      </c>
    </row>
    <row r="3727" spans="1:19" x14ac:dyDescent="0.25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e">
        <f>VLOOKUP(F3727,'Customer Info'!A3719:I4218,2,0)</f>
        <v>#N/A</v>
      </c>
      <c r="H3727" s="6" t="e">
        <f>VLOOKUP(F3727,'Customer Info'!A3719:I4218,3,0)</f>
        <v>#N/A</v>
      </c>
      <c r="I3727" s="6" t="e">
        <f>VLOOKUP(F3727,'Customer Info'!A3719:I4218,5,0)</f>
        <v>#N/A</v>
      </c>
      <c r="J3727" s="2">
        <v>129</v>
      </c>
      <c r="K3727" s="2">
        <v>118</v>
      </c>
      <c r="L3727" s="2">
        <v>5</v>
      </c>
      <c r="M3727" s="7">
        <f t="shared" si="232"/>
        <v>590</v>
      </c>
      <c r="N3727" s="7">
        <f t="shared" si="233"/>
        <v>645</v>
      </c>
      <c r="O3727" s="2">
        <v>30</v>
      </c>
      <c r="P3727" s="8">
        <f t="shared" si="234"/>
        <v>675</v>
      </c>
      <c r="Q3727" s="8">
        <f t="shared" si="235"/>
        <v>615</v>
      </c>
      <c r="R3727" s="2" t="s">
        <v>50</v>
      </c>
      <c r="S3727" s="9">
        <f>VLOOKUP(P3727,$T$2:U3724,2,1)</f>
        <v>0.02</v>
      </c>
    </row>
    <row r="3728" spans="1:19" x14ac:dyDescent="0.25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e">
        <f>VLOOKUP(F3728,'Customer Info'!A3720:I4219,2,0)</f>
        <v>#N/A</v>
      </c>
      <c r="H3728" s="6" t="e">
        <f>VLOOKUP(F3728,'Customer Info'!A3720:I4219,3,0)</f>
        <v>#N/A</v>
      </c>
      <c r="I3728" s="6" t="e">
        <f>VLOOKUP(F3728,'Customer Info'!A3720:I4219,5,0)</f>
        <v>#N/A</v>
      </c>
      <c r="J3728" s="2">
        <v>185</v>
      </c>
      <c r="K3728" s="2">
        <v>171</v>
      </c>
      <c r="L3728" s="2">
        <v>2</v>
      </c>
      <c r="M3728" s="7">
        <f t="shared" si="232"/>
        <v>342</v>
      </c>
      <c r="N3728" s="7">
        <f t="shared" si="233"/>
        <v>370</v>
      </c>
      <c r="O3728" s="2">
        <v>30</v>
      </c>
      <c r="P3728" s="8">
        <f t="shared" si="234"/>
        <v>400</v>
      </c>
      <c r="Q3728" s="8">
        <f t="shared" si="235"/>
        <v>340</v>
      </c>
      <c r="R3728" s="2" t="s">
        <v>50</v>
      </c>
      <c r="S3728" s="9">
        <f>VLOOKUP(P3728,$T$2:U3725,2,1)</f>
        <v>0.02</v>
      </c>
    </row>
    <row r="3729" spans="1:19" x14ac:dyDescent="0.25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e">
        <f>VLOOKUP(F3729,'Customer Info'!A3721:I4220,2,0)</f>
        <v>#N/A</v>
      </c>
      <c r="H3729" s="6" t="e">
        <f>VLOOKUP(F3729,'Customer Info'!A3721:I4220,3,0)</f>
        <v>#N/A</v>
      </c>
      <c r="I3729" s="6" t="e">
        <f>VLOOKUP(F3729,'Customer Info'!A3721:I4220,5,0)</f>
        <v>#N/A</v>
      </c>
      <c r="J3729" s="2">
        <v>4798</v>
      </c>
      <c r="K3729" s="2">
        <v>4448</v>
      </c>
      <c r="L3729" s="2">
        <v>1</v>
      </c>
      <c r="M3729" s="7">
        <f t="shared" si="232"/>
        <v>4448</v>
      </c>
      <c r="N3729" s="7">
        <f t="shared" si="233"/>
        <v>4798</v>
      </c>
      <c r="O3729" s="2">
        <v>90</v>
      </c>
      <c r="P3729" s="8">
        <f t="shared" si="234"/>
        <v>4888</v>
      </c>
      <c r="Q3729" s="8">
        <f t="shared" si="235"/>
        <v>4708</v>
      </c>
      <c r="R3729" s="2" t="s">
        <v>50</v>
      </c>
      <c r="S3729" s="9">
        <f>VLOOKUP(P3729,$T$2:U3726,2,1)</f>
        <v>0.02</v>
      </c>
    </row>
    <row r="3730" spans="1:19" x14ac:dyDescent="0.25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e">
        <f>VLOOKUP(F3730,'Customer Info'!A3722:I4221,2,0)</f>
        <v>#N/A</v>
      </c>
      <c r="H3730" s="6" t="e">
        <f>VLOOKUP(F3730,'Customer Info'!A3722:I4221,3,0)</f>
        <v>#N/A</v>
      </c>
      <c r="I3730" s="6" t="e">
        <f>VLOOKUP(F3730,'Customer Info'!A3722:I4221,5,0)</f>
        <v>#N/A</v>
      </c>
      <c r="J3730" s="2">
        <v>3184</v>
      </c>
      <c r="K3730" s="2">
        <v>2947</v>
      </c>
      <c r="L3730" s="2">
        <v>5</v>
      </c>
      <c r="M3730" s="7">
        <f t="shared" si="232"/>
        <v>14735</v>
      </c>
      <c r="N3730" s="7">
        <f t="shared" si="233"/>
        <v>15920</v>
      </c>
      <c r="O3730" s="2">
        <v>87</v>
      </c>
      <c r="P3730" s="8">
        <f t="shared" si="234"/>
        <v>16007</v>
      </c>
      <c r="Q3730" s="8">
        <f t="shared" si="235"/>
        <v>15833</v>
      </c>
      <c r="R3730" s="2" t="s">
        <v>50</v>
      </c>
      <c r="S3730" s="9">
        <f>VLOOKUP(P3730,$T$2:U3727,2,1)</f>
        <v>0.05</v>
      </c>
    </row>
    <row r="3731" spans="1:19" x14ac:dyDescent="0.25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e">
        <f>VLOOKUP(F3731,'Customer Info'!A3723:I4222,2,0)</f>
        <v>#N/A</v>
      </c>
      <c r="H3731" s="6" t="e">
        <f>VLOOKUP(F3731,'Customer Info'!A3723:I4222,3,0)</f>
        <v>#N/A</v>
      </c>
      <c r="I3731" s="6" t="e">
        <f>VLOOKUP(F3731,'Customer Info'!A3723:I4222,5,0)</f>
        <v>#N/A</v>
      </c>
      <c r="J3731" s="2">
        <v>60</v>
      </c>
      <c r="K3731" s="2">
        <v>58</v>
      </c>
      <c r="L3731" s="2">
        <v>7</v>
      </c>
      <c r="M3731" s="7">
        <f t="shared" si="232"/>
        <v>406</v>
      </c>
      <c r="N3731" s="7">
        <f t="shared" si="233"/>
        <v>420</v>
      </c>
      <c r="O3731" s="2">
        <v>10</v>
      </c>
      <c r="P3731" s="8">
        <f t="shared" si="234"/>
        <v>430</v>
      </c>
      <c r="Q3731" s="8">
        <f t="shared" si="235"/>
        <v>410</v>
      </c>
      <c r="R3731" s="2" t="s">
        <v>26</v>
      </c>
      <c r="S3731" s="9">
        <f>VLOOKUP(P3731,$T$2:U3728,2,1)</f>
        <v>0.02</v>
      </c>
    </row>
    <row r="3732" spans="1:19" x14ac:dyDescent="0.25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e">
        <f>VLOOKUP(F3732,'Customer Info'!A3724:I4223,2,0)</f>
        <v>#N/A</v>
      </c>
      <c r="H3732" s="6" t="e">
        <f>VLOOKUP(F3732,'Customer Info'!A3724:I4223,3,0)</f>
        <v>#N/A</v>
      </c>
      <c r="I3732" s="6" t="e">
        <f>VLOOKUP(F3732,'Customer Info'!A3724:I4223,5,0)</f>
        <v>#N/A</v>
      </c>
      <c r="J3732" s="2">
        <v>9214</v>
      </c>
      <c r="K3732" s="2">
        <v>8295</v>
      </c>
      <c r="L3732" s="2">
        <v>3</v>
      </c>
      <c r="M3732" s="7">
        <f t="shared" si="232"/>
        <v>24885</v>
      </c>
      <c r="N3732" s="7">
        <f t="shared" si="233"/>
        <v>27642</v>
      </c>
      <c r="O3732" s="2">
        <v>57</v>
      </c>
      <c r="P3732" s="8">
        <f t="shared" si="234"/>
        <v>27699</v>
      </c>
      <c r="Q3732" s="8">
        <f t="shared" si="235"/>
        <v>27585</v>
      </c>
      <c r="R3732" s="2" t="s">
        <v>28</v>
      </c>
      <c r="S3732" s="9">
        <f>VLOOKUP(P3732,$T$2:U3729,2,1)</f>
        <v>7.0000000000000007E-2</v>
      </c>
    </row>
    <row r="3733" spans="1:19" x14ac:dyDescent="0.25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e">
        <f>VLOOKUP(F3733,'Customer Info'!A3725:I4224,2,0)</f>
        <v>#N/A</v>
      </c>
      <c r="H3733" s="6" t="e">
        <f>VLOOKUP(F3733,'Customer Info'!A3725:I4224,3,0)</f>
        <v>#N/A</v>
      </c>
      <c r="I3733" s="6" t="e">
        <f>VLOOKUP(F3733,'Customer Info'!A3725:I4224,5,0)</f>
        <v>#N/A</v>
      </c>
      <c r="J3733" s="2">
        <v>1169</v>
      </c>
      <c r="K3733" s="2">
        <v>1072</v>
      </c>
      <c r="L3733" s="2">
        <v>1</v>
      </c>
      <c r="M3733" s="7">
        <f t="shared" si="232"/>
        <v>1072</v>
      </c>
      <c r="N3733" s="7">
        <f t="shared" si="233"/>
        <v>1169</v>
      </c>
      <c r="O3733" s="2">
        <v>97</v>
      </c>
      <c r="P3733" s="8">
        <f t="shared" si="234"/>
        <v>1266</v>
      </c>
      <c r="Q3733" s="8">
        <f t="shared" si="235"/>
        <v>1072</v>
      </c>
      <c r="R3733" s="2" t="s">
        <v>56</v>
      </c>
      <c r="S3733" s="9">
        <f>VLOOKUP(P3733,$T$2:U3730,2,1)</f>
        <v>0.02</v>
      </c>
    </row>
    <row r="3734" spans="1:19" x14ac:dyDescent="0.25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e">
        <f>VLOOKUP(F3734,'Customer Info'!A3726:I4225,2,0)</f>
        <v>#N/A</v>
      </c>
      <c r="H3734" s="6" t="e">
        <f>VLOOKUP(F3734,'Customer Info'!A3726:I4225,3,0)</f>
        <v>#N/A</v>
      </c>
      <c r="I3734" s="6" t="e">
        <f>VLOOKUP(F3734,'Customer Info'!A3726:I4225,5,0)</f>
        <v>#N/A</v>
      </c>
      <c r="J3734" s="2">
        <v>7609</v>
      </c>
      <c r="K3734" s="2">
        <v>7248</v>
      </c>
      <c r="L3734" s="2">
        <v>2</v>
      </c>
      <c r="M3734" s="7">
        <f t="shared" si="232"/>
        <v>14496</v>
      </c>
      <c r="N3734" s="7">
        <f t="shared" si="233"/>
        <v>15218</v>
      </c>
      <c r="O3734" s="2">
        <v>84</v>
      </c>
      <c r="P3734" s="8">
        <f t="shared" si="234"/>
        <v>15302</v>
      </c>
      <c r="Q3734" s="8">
        <f t="shared" si="235"/>
        <v>15134</v>
      </c>
      <c r="R3734" s="2" t="s">
        <v>28</v>
      </c>
      <c r="S3734" s="9">
        <f>VLOOKUP(P3734,$T$2:U3731,2,1)</f>
        <v>0.05</v>
      </c>
    </row>
    <row r="3735" spans="1:19" x14ac:dyDescent="0.25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e">
        <f>VLOOKUP(F3735,'Customer Info'!A3727:I4226,2,0)</f>
        <v>#N/A</v>
      </c>
      <c r="H3735" s="6" t="e">
        <f>VLOOKUP(F3735,'Customer Info'!A3727:I4226,3,0)</f>
        <v>#N/A</v>
      </c>
      <c r="I3735" s="6" t="e">
        <f>VLOOKUP(F3735,'Customer Info'!A3727:I4226,5,0)</f>
        <v>#N/A</v>
      </c>
      <c r="J3735" s="2">
        <v>1718</v>
      </c>
      <c r="K3735" s="2">
        <v>1545</v>
      </c>
      <c r="L3735" s="2">
        <v>4</v>
      </c>
      <c r="M3735" s="7">
        <f t="shared" si="232"/>
        <v>6180</v>
      </c>
      <c r="N3735" s="7">
        <f t="shared" si="233"/>
        <v>6872</v>
      </c>
      <c r="O3735" s="2">
        <v>46</v>
      </c>
      <c r="P3735" s="8">
        <f t="shared" si="234"/>
        <v>6918</v>
      </c>
      <c r="Q3735" s="8">
        <f t="shared" si="235"/>
        <v>6826</v>
      </c>
      <c r="R3735" s="2" t="s">
        <v>26</v>
      </c>
      <c r="S3735" s="9">
        <f>VLOOKUP(P3735,$T$2:U3732,2,1)</f>
        <v>0.05</v>
      </c>
    </row>
    <row r="3736" spans="1:19" x14ac:dyDescent="0.25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e">
        <f>VLOOKUP(F3736,'Customer Info'!A3728:I4227,2,0)</f>
        <v>#N/A</v>
      </c>
      <c r="H3736" s="6" t="e">
        <f>VLOOKUP(F3736,'Customer Info'!A3728:I4227,3,0)</f>
        <v>#N/A</v>
      </c>
      <c r="I3736" s="6" t="e">
        <f>VLOOKUP(F3736,'Customer Info'!A3728:I4227,5,0)</f>
        <v>#N/A</v>
      </c>
      <c r="J3736" s="2">
        <v>1686</v>
      </c>
      <c r="K3736" s="2">
        <v>1591</v>
      </c>
      <c r="L3736" s="2">
        <v>3</v>
      </c>
      <c r="M3736" s="7">
        <f t="shared" si="232"/>
        <v>4773</v>
      </c>
      <c r="N3736" s="7">
        <f t="shared" si="233"/>
        <v>5058</v>
      </c>
      <c r="O3736" s="2">
        <v>70</v>
      </c>
      <c r="P3736" s="8">
        <f t="shared" si="234"/>
        <v>5128</v>
      </c>
      <c r="Q3736" s="8">
        <f t="shared" si="235"/>
        <v>4988</v>
      </c>
      <c r="R3736" s="2" t="s">
        <v>28</v>
      </c>
      <c r="S3736" s="9">
        <f>VLOOKUP(P3736,$T$2:U3733,2,1)</f>
        <v>0.05</v>
      </c>
    </row>
    <row r="3737" spans="1:19" x14ac:dyDescent="0.25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e">
        <f>VLOOKUP(F3737,'Customer Info'!A3729:I4228,2,0)</f>
        <v>#N/A</v>
      </c>
      <c r="H3737" s="6" t="e">
        <f>VLOOKUP(F3737,'Customer Info'!A3729:I4228,3,0)</f>
        <v>#N/A</v>
      </c>
      <c r="I3737" s="6" t="e">
        <f>VLOOKUP(F3737,'Customer Info'!A3729:I4228,5,0)</f>
        <v>#N/A</v>
      </c>
      <c r="J3737" s="2">
        <v>1222</v>
      </c>
      <c r="K3737" s="2">
        <v>1187</v>
      </c>
      <c r="L3737" s="2">
        <v>5</v>
      </c>
      <c r="M3737" s="7">
        <f t="shared" si="232"/>
        <v>5935</v>
      </c>
      <c r="N3737" s="7">
        <f t="shared" si="233"/>
        <v>6110</v>
      </c>
      <c r="O3737" s="2">
        <v>47</v>
      </c>
      <c r="P3737" s="8">
        <f t="shared" si="234"/>
        <v>6157</v>
      </c>
      <c r="Q3737" s="8">
        <f t="shared" si="235"/>
        <v>6063</v>
      </c>
      <c r="R3737" s="2" t="s">
        <v>50</v>
      </c>
      <c r="S3737" s="9">
        <f>VLOOKUP(P3737,$T$2:U3734,2,1)</f>
        <v>0.05</v>
      </c>
    </row>
    <row r="3738" spans="1:19" x14ac:dyDescent="0.25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e">
        <f>VLOOKUP(F3738,'Customer Info'!A3730:I4229,2,0)</f>
        <v>#N/A</v>
      </c>
      <c r="H3738" s="6" t="e">
        <f>VLOOKUP(F3738,'Customer Info'!A3730:I4229,3,0)</f>
        <v>#N/A</v>
      </c>
      <c r="I3738" s="6" t="e">
        <f>VLOOKUP(F3738,'Customer Info'!A3730:I4229,5,0)</f>
        <v>#N/A</v>
      </c>
      <c r="J3738" s="2">
        <v>2540</v>
      </c>
      <c r="K3738" s="2">
        <v>2397</v>
      </c>
      <c r="L3738" s="2">
        <v>4</v>
      </c>
      <c r="M3738" s="7">
        <f t="shared" si="232"/>
        <v>9588</v>
      </c>
      <c r="N3738" s="7">
        <f t="shared" si="233"/>
        <v>10160</v>
      </c>
      <c r="O3738" s="2">
        <v>57</v>
      </c>
      <c r="P3738" s="8">
        <f t="shared" si="234"/>
        <v>10217</v>
      </c>
      <c r="Q3738" s="8">
        <f t="shared" si="235"/>
        <v>10103</v>
      </c>
      <c r="R3738" s="2" t="s">
        <v>28</v>
      </c>
      <c r="S3738" s="9">
        <f>VLOOKUP(P3738,$T$2:U3735,2,1)</f>
        <v>0.05</v>
      </c>
    </row>
    <row r="3739" spans="1:19" x14ac:dyDescent="0.25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e">
        <f>VLOOKUP(F3739,'Customer Info'!A3731:I4230,2,0)</f>
        <v>#N/A</v>
      </c>
      <c r="H3739" s="6" t="e">
        <f>VLOOKUP(F3739,'Customer Info'!A3731:I4230,3,0)</f>
        <v>#N/A</v>
      </c>
      <c r="I3739" s="6" t="e">
        <f>VLOOKUP(F3739,'Customer Info'!A3731:I4230,5,0)</f>
        <v>#N/A</v>
      </c>
      <c r="J3739" s="2">
        <v>151</v>
      </c>
      <c r="K3739" s="2">
        <v>139</v>
      </c>
      <c r="L3739" s="2">
        <v>4</v>
      </c>
      <c r="M3739" s="7">
        <f t="shared" si="232"/>
        <v>556</v>
      </c>
      <c r="N3739" s="7">
        <f t="shared" si="233"/>
        <v>604</v>
      </c>
      <c r="O3739" s="2">
        <v>30</v>
      </c>
      <c r="P3739" s="8">
        <f t="shared" si="234"/>
        <v>634</v>
      </c>
      <c r="Q3739" s="8">
        <f t="shared" si="235"/>
        <v>574</v>
      </c>
      <c r="R3739" s="2" t="s">
        <v>28</v>
      </c>
      <c r="S3739" s="9">
        <f>VLOOKUP(P3739,$T$2:U3736,2,1)</f>
        <v>0.02</v>
      </c>
    </row>
    <row r="3740" spans="1:19" x14ac:dyDescent="0.25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e">
        <f>VLOOKUP(F3740,'Customer Info'!A3732:I4231,2,0)</f>
        <v>#N/A</v>
      </c>
      <c r="H3740" s="6" t="e">
        <f>VLOOKUP(F3740,'Customer Info'!A3732:I4231,3,0)</f>
        <v>#N/A</v>
      </c>
      <c r="I3740" s="6" t="e">
        <f>VLOOKUP(F3740,'Customer Info'!A3732:I4231,5,0)</f>
        <v>#N/A</v>
      </c>
      <c r="J3740" s="2">
        <v>6400</v>
      </c>
      <c r="K3740" s="2">
        <v>6401</v>
      </c>
      <c r="L3740" s="2">
        <v>2</v>
      </c>
      <c r="M3740" s="7">
        <f t="shared" si="232"/>
        <v>12802</v>
      </c>
      <c r="N3740" s="7">
        <f t="shared" si="233"/>
        <v>12800</v>
      </c>
      <c r="O3740" s="2">
        <v>25</v>
      </c>
      <c r="P3740" s="8">
        <f t="shared" si="234"/>
        <v>12825</v>
      </c>
      <c r="Q3740" s="8">
        <f t="shared" si="235"/>
        <v>12775</v>
      </c>
      <c r="R3740" s="2" t="s">
        <v>28</v>
      </c>
      <c r="S3740" s="9">
        <f>VLOOKUP(P3740,$T$2:U3737,2,1)</f>
        <v>0.05</v>
      </c>
    </row>
    <row r="3741" spans="1:19" x14ac:dyDescent="0.25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e">
        <f>VLOOKUP(F3741,'Customer Info'!A3733:I4232,2,0)</f>
        <v>#N/A</v>
      </c>
      <c r="H3741" s="6" t="e">
        <f>VLOOKUP(F3741,'Customer Info'!A3733:I4232,3,0)</f>
        <v>#N/A</v>
      </c>
      <c r="I3741" s="6" t="e">
        <f>VLOOKUP(F3741,'Customer Info'!A3733:I4232,5,0)</f>
        <v>#N/A</v>
      </c>
      <c r="J3741" s="2">
        <v>68</v>
      </c>
      <c r="K3741" s="2">
        <v>63</v>
      </c>
      <c r="L3741" s="2">
        <v>2</v>
      </c>
      <c r="M3741" s="7">
        <f t="shared" si="232"/>
        <v>126</v>
      </c>
      <c r="N3741" s="7">
        <f t="shared" si="233"/>
        <v>136</v>
      </c>
      <c r="O3741" s="2">
        <v>10</v>
      </c>
      <c r="P3741" s="8">
        <f t="shared" si="234"/>
        <v>146</v>
      </c>
      <c r="Q3741" s="8">
        <f t="shared" si="235"/>
        <v>126</v>
      </c>
      <c r="R3741" s="2" t="s">
        <v>50</v>
      </c>
      <c r="S3741" s="9">
        <f>VLOOKUP(P3741,$T$2:U3738,2,1)</f>
        <v>0.02</v>
      </c>
    </row>
    <row r="3742" spans="1:19" x14ac:dyDescent="0.25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e">
        <f>VLOOKUP(F3742,'Customer Info'!A3734:I4233,2,0)</f>
        <v>#N/A</v>
      </c>
      <c r="H3742" s="6" t="e">
        <f>VLOOKUP(F3742,'Customer Info'!A3734:I4233,3,0)</f>
        <v>#N/A</v>
      </c>
      <c r="I3742" s="6" t="e">
        <f>VLOOKUP(F3742,'Customer Info'!A3734:I4233,5,0)</f>
        <v>#N/A</v>
      </c>
      <c r="J3742" s="2">
        <v>140</v>
      </c>
      <c r="K3742" s="2">
        <v>137</v>
      </c>
      <c r="L3742" s="2">
        <v>4</v>
      </c>
      <c r="M3742" s="7">
        <f t="shared" si="232"/>
        <v>548</v>
      </c>
      <c r="N3742" s="7">
        <f t="shared" si="233"/>
        <v>560</v>
      </c>
      <c r="O3742" s="2">
        <v>30</v>
      </c>
      <c r="P3742" s="8">
        <f t="shared" si="234"/>
        <v>590</v>
      </c>
      <c r="Q3742" s="8">
        <f t="shared" si="235"/>
        <v>530</v>
      </c>
      <c r="R3742" s="2" t="s">
        <v>28</v>
      </c>
      <c r="S3742" s="9">
        <f>VLOOKUP(P3742,$T$2:U3739,2,1)</f>
        <v>0.02</v>
      </c>
    </row>
    <row r="3743" spans="1:19" x14ac:dyDescent="0.25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e">
        <f>VLOOKUP(F3743,'Customer Info'!A3735:I4234,2,0)</f>
        <v>#N/A</v>
      </c>
      <c r="H3743" s="6" t="e">
        <f>VLOOKUP(F3743,'Customer Info'!A3735:I4234,3,0)</f>
        <v>#N/A</v>
      </c>
      <c r="I3743" s="6" t="e">
        <f>VLOOKUP(F3743,'Customer Info'!A3735:I4234,5,0)</f>
        <v>#N/A</v>
      </c>
      <c r="J3743" s="2">
        <v>4577</v>
      </c>
      <c r="K3743" s="2">
        <v>4280</v>
      </c>
      <c r="L3743" s="2">
        <v>1</v>
      </c>
      <c r="M3743" s="7">
        <f t="shared" si="232"/>
        <v>4280</v>
      </c>
      <c r="N3743" s="7">
        <f t="shared" si="233"/>
        <v>4577</v>
      </c>
      <c r="O3743" s="2">
        <v>64</v>
      </c>
      <c r="P3743" s="8">
        <f t="shared" si="234"/>
        <v>4641</v>
      </c>
      <c r="Q3743" s="8">
        <f t="shared" si="235"/>
        <v>4513</v>
      </c>
      <c r="R3743" s="2" t="s">
        <v>50</v>
      </c>
      <c r="S3743" s="9">
        <f>VLOOKUP(P3743,$T$2:U3740,2,1)</f>
        <v>0.02</v>
      </c>
    </row>
    <row r="3744" spans="1:19" x14ac:dyDescent="0.25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e">
        <f>VLOOKUP(F3744,'Customer Info'!A3736:I4235,2,0)</f>
        <v>#N/A</v>
      </c>
      <c r="H3744" s="6" t="e">
        <f>VLOOKUP(F3744,'Customer Info'!A3736:I4235,3,0)</f>
        <v>#N/A</v>
      </c>
      <c r="I3744" s="6" t="e">
        <f>VLOOKUP(F3744,'Customer Info'!A3736:I4235,5,0)</f>
        <v>#N/A</v>
      </c>
      <c r="J3744" s="2">
        <v>69</v>
      </c>
      <c r="K3744" s="2">
        <v>63</v>
      </c>
      <c r="L3744" s="2">
        <v>3</v>
      </c>
      <c r="M3744" s="7">
        <f t="shared" si="232"/>
        <v>189</v>
      </c>
      <c r="N3744" s="7">
        <f t="shared" si="233"/>
        <v>207</v>
      </c>
      <c r="O3744" s="2">
        <v>10</v>
      </c>
      <c r="P3744" s="8">
        <f t="shared" si="234"/>
        <v>217</v>
      </c>
      <c r="Q3744" s="8">
        <f t="shared" si="235"/>
        <v>197</v>
      </c>
      <c r="R3744" s="2" t="s">
        <v>50</v>
      </c>
      <c r="S3744" s="9">
        <f>VLOOKUP(P3744,$T$2:U3741,2,1)</f>
        <v>0.02</v>
      </c>
    </row>
    <row r="3745" spans="1:19" x14ac:dyDescent="0.25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e">
        <f>VLOOKUP(F3745,'Customer Info'!A3737:I4236,2,0)</f>
        <v>#N/A</v>
      </c>
      <c r="H3745" s="6" t="e">
        <f>VLOOKUP(F3745,'Customer Info'!A3737:I4236,3,0)</f>
        <v>#N/A</v>
      </c>
      <c r="I3745" s="6" t="e">
        <f>VLOOKUP(F3745,'Customer Info'!A3737:I4236,5,0)</f>
        <v>#N/A</v>
      </c>
      <c r="J3745" s="2">
        <v>3289</v>
      </c>
      <c r="K3745" s="2">
        <v>3105</v>
      </c>
      <c r="L3745" s="2">
        <v>4</v>
      </c>
      <c r="M3745" s="7">
        <f t="shared" si="232"/>
        <v>12420</v>
      </c>
      <c r="N3745" s="7">
        <f t="shared" si="233"/>
        <v>13156</v>
      </c>
      <c r="O3745" s="2">
        <v>37</v>
      </c>
      <c r="P3745" s="8">
        <f t="shared" si="234"/>
        <v>13193</v>
      </c>
      <c r="Q3745" s="8">
        <f t="shared" si="235"/>
        <v>13119</v>
      </c>
      <c r="R3745" s="2" t="s">
        <v>28</v>
      </c>
      <c r="S3745" s="9">
        <f>VLOOKUP(P3745,$T$2:U3742,2,1)</f>
        <v>0.05</v>
      </c>
    </row>
    <row r="3746" spans="1:19" x14ac:dyDescent="0.25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e">
        <f>VLOOKUP(F3746,'Customer Info'!A3738:I4237,2,0)</f>
        <v>#N/A</v>
      </c>
      <c r="H3746" s="6" t="e">
        <f>VLOOKUP(F3746,'Customer Info'!A3738:I4237,3,0)</f>
        <v>#N/A</v>
      </c>
      <c r="I3746" s="6" t="e">
        <f>VLOOKUP(F3746,'Customer Info'!A3738:I4237,5,0)</f>
        <v>#N/A</v>
      </c>
      <c r="J3746" s="2">
        <v>2747</v>
      </c>
      <c r="K3746" s="2">
        <v>2545</v>
      </c>
      <c r="L3746" s="2">
        <v>2</v>
      </c>
      <c r="M3746" s="7">
        <f t="shared" si="232"/>
        <v>5090</v>
      </c>
      <c r="N3746" s="7">
        <f t="shared" si="233"/>
        <v>5494</v>
      </c>
      <c r="O3746" s="2">
        <v>86</v>
      </c>
      <c r="P3746" s="8">
        <f t="shared" si="234"/>
        <v>5580</v>
      </c>
      <c r="Q3746" s="8">
        <f t="shared" si="235"/>
        <v>5408</v>
      </c>
      <c r="R3746" s="2" t="s">
        <v>28</v>
      </c>
      <c r="S3746" s="9">
        <f>VLOOKUP(P3746,$T$2:U3743,2,1)</f>
        <v>0.05</v>
      </c>
    </row>
    <row r="3747" spans="1:19" x14ac:dyDescent="0.25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e">
        <f>VLOOKUP(F3747,'Customer Info'!A3739:I4238,2,0)</f>
        <v>#N/A</v>
      </c>
      <c r="H3747" s="6" t="e">
        <f>VLOOKUP(F3747,'Customer Info'!A3739:I4238,3,0)</f>
        <v>#N/A</v>
      </c>
      <c r="I3747" s="6" t="e">
        <f>VLOOKUP(F3747,'Customer Info'!A3739:I4238,5,0)</f>
        <v>#N/A</v>
      </c>
      <c r="J3747" s="2">
        <v>1399</v>
      </c>
      <c r="K3747" s="2">
        <v>1333</v>
      </c>
      <c r="L3747" s="2">
        <v>6</v>
      </c>
      <c r="M3747" s="7">
        <f t="shared" si="232"/>
        <v>7998</v>
      </c>
      <c r="N3747" s="7">
        <f t="shared" si="233"/>
        <v>8394</v>
      </c>
      <c r="O3747" s="2">
        <v>21</v>
      </c>
      <c r="P3747" s="8">
        <f t="shared" si="234"/>
        <v>8415</v>
      </c>
      <c r="Q3747" s="8">
        <f t="shared" si="235"/>
        <v>8373</v>
      </c>
      <c r="R3747" s="2" t="s">
        <v>28</v>
      </c>
      <c r="S3747" s="9">
        <f>VLOOKUP(P3747,$T$2:U3744,2,1)</f>
        <v>0.05</v>
      </c>
    </row>
    <row r="3748" spans="1:19" x14ac:dyDescent="0.25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e">
        <f>VLOOKUP(F3748,'Customer Info'!A3740:I4239,2,0)</f>
        <v>#N/A</v>
      </c>
      <c r="H3748" s="6" t="e">
        <f>VLOOKUP(F3748,'Customer Info'!A3740:I4239,3,0)</f>
        <v>#N/A</v>
      </c>
      <c r="I3748" s="6" t="e">
        <f>VLOOKUP(F3748,'Customer Info'!A3740:I4239,5,0)</f>
        <v>#N/A</v>
      </c>
      <c r="J3748" s="2">
        <v>175</v>
      </c>
      <c r="K3748" s="2">
        <v>158</v>
      </c>
      <c r="L3748" s="2">
        <v>1</v>
      </c>
      <c r="M3748" s="7">
        <f t="shared" si="232"/>
        <v>158</v>
      </c>
      <c r="N3748" s="7">
        <f t="shared" si="233"/>
        <v>175</v>
      </c>
      <c r="O3748" s="2">
        <v>30</v>
      </c>
      <c r="P3748" s="8">
        <f t="shared" si="234"/>
        <v>205</v>
      </c>
      <c r="Q3748" s="8">
        <f t="shared" si="235"/>
        <v>145</v>
      </c>
      <c r="R3748" s="2" t="s">
        <v>28</v>
      </c>
      <c r="S3748" s="9">
        <f>VLOOKUP(P3748,$T$2:U3745,2,1)</f>
        <v>0.02</v>
      </c>
    </row>
    <row r="3749" spans="1:19" x14ac:dyDescent="0.25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e">
        <f>VLOOKUP(F3749,'Customer Info'!A3741:I4240,2,0)</f>
        <v>#N/A</v>
      </c>
      <c r="H3749" s="6" t="e">
        <f>VLOOKUP(F3749,'Customer Info'!A3741:I4240,3,0)</f>
        <v>#N/A</v>
      </c>
      <c r="I3749" s="6" t="e">
        <f>VLOOKUP(F3749,'Customer Info'!A3741:I4240,5,0)</f>
        <v>#N/A</v>
      </c>
      <c r="J3749" s="2">
        <v>4846</v>
      </c>
      <c r="K3749" s="2">
        <v>4492</v>
      </c>
      <c r="L3749" s="2">
        <v>2</v>
      </c>
      <c r="M3749" s="7">
        <f t="shared" si="232"/>
        <v>8984</v>
      </c>
      <c r="N3749" s="7">
        <f t="shared" si="233"/>
        <v>9692</v>
      </c>
      <c r="O3749" s="2">
        <v>41</v>
      </c>
      <c r="P3749" s="8">
        <f t="shared" si="234"/>
        <v>9733</v>
      </c>
      <c r="Q3749" s="8">
        <f t="shared" si="235"/>
        <v>9651</v>
      </c>
      <c r="R3749" s="2" t="s">
        <v>28</v>
      </c>
      <c r="S3749" s="9">
        <f>VLOOKUP(P3749,$T$2:U3746,2,1)</f>
        <v>0.05</v>
      </c>
    </row>
    <row r="3750" spans="1:19" x14ac:dyDescent="0.25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e">
        <f>VLOOKUP(F3750,'Customer Info'!A3742:I4241,2,0)</f>
        <v>#N/A</v>
      </c>
      <c r="H3750" s="6" t="e">
        <f>VLOOKUP(F3750,'Customer Info'!A3742:I4241,3,0)</f>
        <v>#N/A</v>
      </c>
      <c r="I3750" s="6" t="e">
        <f>VLOOKUP(F3750,'Customer Info'!A3742:I4241,5,0)</f>
        <v>#N/A</v>
      </c>
      <c r="J3750" s="2">
        <v>6768</v>
      </c>
      <c r="K3750" s="2">
        <v>6512</v>
      </c>
      <c r="L3750" s="2">
        <v>2</v>
      </c>
      <c r="M3750" s="7">
        <f t="shared" si="232"/>
        <v>13024</v>
      </c>
      <c r="N3750" s="7">
        <f t="shared" si="233"/>
        <v>13536</v>
      </c>
      <c r="O3750" s="2">
        <v>28</v>
      </c>
      <c r="P3750" s="8">
        <f t="shared" si="234"/>
        <v>13564</v>
      </c>
      <c r="Q3750" s="8">
        <f t="shared" si="235"/>
        <v>13508</v>
      </c>
      <c r="R3750" s="2" t="s">
        <v>28</v>
      </c>
      <c r="S3750" s="9">
        <f>VLOOKUP(P3750,$T$2:U3747,2,1)</f>
        <v>0.05</v>
      </c>
    </row>
    <row r="3751" spans="1:19" x14ac:dyDescent="0.25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e">
        <f>VLOOKUP(F3751,'Customer Info'!A3743:I4242,2,0)</f>
        <v>#N/A</v>
      </c>
      <c r="H3751" s="6" t="e">
        <f>VLOOKUP(F3751,'Customer Info'!A3743:I4242,3,0)</f>
        <v>#N/A</v>
      </c>
      <c r="I3751" s="6" t="e">
        <f>VLOOKUP(F3751,'Customer Info'!A3743:I4242,5,0)</f>
        <v>#N/A</v>
      </c>
      <c r="J3751" s="2">
        <v>1808</v>
      </c>
      <c r="K3751" s="2">
        <v>1740</v>
      </c>
      <c r="L3751" s="2">
        <v>3</v>
      </c>
      <c r="M3751" s="7">
        <f t="shared" si="232"/>
        <v>5220</v>
      </c>
      <c r="N3751" s="7">
        <f t="shared" si="233"/>
        <v>5424</v>
      </c>
      <c r="O3751" s="2">
        <v>42</v>
      </c>
      <c r="P3751" s="8">
        <f t="shared" si="234"/>
        <v>5466</v>
      </c>
      <c r="Q3751" s="8">
        <f t="shared" si="235"/>
        <v>5382</v>
      </c>
      <c r="R3751" s="2" t="s">
        <v>50</v>
      </c>
      <c r="S3751" s="9">
        <f>VLOOKUP(P3751,$T$2:U3748,2,1)</f>
        <v>0.05</v>
      </c>
    </row>
    <row r="3752" spans="1:19" x14ac:dyDescent="0.25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e">
        <f>VLOOKUP(F3752,'Customer Info'!A3744:I4243,2,0)</f>
        <v>#N/A</v>
      </c>
      <c r="H3752" s="6" t="e">
        <f>VLOOKUP(F3752,'Customer Info'!A3744:I4243,3,0)</f>
        <v>#N/A</v>
      </c>
      <c r="I3752" s="6" t="e">
        <f>VLOOKUP(F3752,'Customer Info'!A3744:I4243,5,0)</f>
        <v>#N/A</v>
      </c>
      <c r="J3752" s="2">
        <v>145</v>
      </c>
      <c r="K3752" s="2">
        <v>130</v>
      </c>
      <c r="L3752" s="2">
        <v>2</v>
      </c>
      <c r="M3752" s="7">
        <f t="shared" si="232"/>
        <v>260</v>
      </c>
      <c r="N3752" s="7">
        <f t="shared" si="233"/>
        <v>290</v>
      </c>
      <c r="O3752" s="2">
        <v>30</v>
      </c>
      <c r="P3752" s="8">
        <f t="shared" si="234"/>
        <v>320</v>
      </c>
      <c r="Q3752" s="8">
        <f t="shared" si="235"/>
        <v>260</v>
      </c>
      <c r="R3752" s="2" t="s">
        <v>28</v>
      </c>
      <c r="S3752" s="9">
        <f>VLOOKUP(P3752,$T$2:U3749,2,1)</f>
        <v>0.02</v>
      </c>
    </row>
    <row r="3753" spans="1:19" x14ac:dyDescent="0.25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e">
        <f>VLOOKUP(F3753,'Customer Info'!A3745:I4244,2,0)</f>
        <v>#N/A</v>
      </c>
      <c r="H3753" s="6" t="e">
        <f>VLOOKUP(F3753,'Customer Info'!A3745:I4244,3,0)</f>
        <v>#N/A</v>
      </c>
      <c r="I3753" s="6" t="e">
        <f>VLOOKUP(F3753,'Customer Info'!A3745:I4244,5,0)</f>
        <v>#N/A</v>
      </c>
      <c r="J3753" s="2">
        <v>6481</v>
      </c>
      <c r="K3753" s="2">
        <v>5884</v>
      </c>
      <c r="L3753" s="2">
        <v>1</v>
      </c>
      <c r="M3753" s="7">
        <f t="shared" si="232"/>
        <v>5884</v>
      </c>
      <c r="N3753" s="7">
        <f t="shared" si="233"/>
        <v>6481</v>
      </c>
      <c r="O3753" s="2">
        <v>38</v>
      </c>
      <c r="P3753" s="8">
        <f t="shared" si="234"/>
        <v>6519</v>
      </c>
      <c r="Q3753" s="8">
        <f t="shared" si="235"/>
        <v>6443</v>
      </c>
      <c r="R3753" s="2" t="s">
        <v>28</v>
      </c>
      <c r="S3753" s="9">
        <f>VLOOKUP(P3753,$T$2:U3750,2,1)</f>
        <v>0.05</v>
      </c>
    </row>
    <row r="3754" spans="1:19" x14ac:dyDescent="0.25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e">
        <f>VLOOKUP(F3754,'Customer Info'!A3746:I4245,2,0)</f>
        <v>#N/A</v>
      </c>
      <c r="H3754" s="6" t="e">
        <f>VLOOKUP(F3754,'Customer Info'!A3746:I4245,3,0)</f>
        <v>#N/A</v>
      </c>
      <c r="I3754" s="6" t="e">
        <f>VLOOKUP(F3754,'Customer Info'!A3746:I4245,5,0)</f>
        <v>#N/A</v>
      </c>
      <c r="J3754" s="2">
        <v>829</v>
      </c>
      <c r="K3754" s="2">
        <v>761</v>
      </c>
      <c r="L3754" s="2">
        <v>1</v>
      </c>
      <c r="M3754" s="7">
        <f t="shared" si="232"/>
        <v>761</v>
      </c>
      <c r="N3754" s="7">
        <f t="shared" si="233"/>
        <v>829</v>
      </c>
      <c r="O3754" s="2">
        <v>87</v>
      </c>
      <c r="P3754" s="8">
        <f t="shared" si="234"/>
        <v>916</v>
      </c>
      <c r="Q3754" s="8">
        <f t="shared" si="235"/>
        <v>742</v>
      </c>
      <c r="R3754" s="2" t="s">
        <v>28</v>
      </c>
      <c r="S3754" s="9">
        <f>VLOOKUP(P3754,$T$2:U3751,2,1)</f>
        <v>0.02</v>
      </c>
    </row>
    <row r="3755" spans="1:19" x14ac:dyDescent="0.25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e">
        <f>VLOOKUP(F3755,'Customer Info'!A3747:I4246,2,0)</f>
        <v>#N/A</v>
      </c>
      <c r="H3755" s="6" t="e">
        <f>VLOOKUP(F3755,'Customer Info'!A3747:I4246,3,0)</f>
        <v>#N/A</v>
      </c>
      <c r="I3755" s="6" t="e">
        <f>VLOOKUP(F3755,'Customer Info'!A3747:I4246,5,0)</f>
        <v>#N/A</v>
      </c>
      <c r="J3755" s="2">
        <v>658</v>
      </c>
      <c r="K3755" s="2">
        <v>615</v>
      </c>
      <c r="L3755" s="2">
        <v>7</v>
      </c>
      <c r="M3755" s="7">
        <f t="shared" si="232"/>
        <v>4305</v>
      </c>
      <c r="N3755" s="7">
        <f t="shared" si="233"/>
        <v>4606</v>
      </c>
      <c r="O3755" s="2">
        <v>36</v>
      </c>
      <c r="P3755" s="8">
        <f t="shared" si="234"/>
        <v>4642</v>
      </c>
      <c r="Q3755" s="8">
        <f t="shared" si="235"/>
        <v>4570</v>
      </c>
      <c r="R3755" s="2" t="s">
        <v>28</v>
      </c>
      <c r="S3755" s="9">
        <f>VLOOKUP(P3755,$T$2:U3752,2,1)</f>
        <v>0.02</v>
      </c>
    </row>
    <row r="3756" spans="1:19" x14ac:dyDescent="0.25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e">
        <f>VLOOKUP(F3756,'Customer Info'!A3748:I4247,2,0)</f>
        <v>#N/A</v>
      </c>
      <c r="H3756" s="6" t="e">
        <f>VLOOKUP(F3756,'Customer Info'!A3748:I4247,3,0)</f>
        <v>#N/A</v>
      </c>
      <c r="I3756" s="6" t="e">
        <f>VLOOKUP(F3756,'Customer Info'!A3748:I4247,5,0)</f>
        <v>#N/A</v>
      </c>
      <c r="J3756" s="2">
        <v>2829</v>
      </c>
      <c r="K3756" s="2">
        <v>2596</v>
      </c>
      <c r="L3756" s="2">
        <v>1</v>
      </c>
      <c r="M3756" s="7">
        <f t="shared" si="232"/>
        <v>2596</v>
      </c>
      <c r="N3756" s="7">
        <f t="shared" si="233"/>
        <v>2829</v>
      </c>
      <c r="O3756" s="2">
        <v>76</v>
      </c>
      <c r="P3756" s="8">
        <f t="shared" si="234"/>
        <v>2905</v>
      </c>
      <c r="Q3756" s="8">
        <f t="shared" si="235"/>
        <v>2753</v>
      </c>
      <c r="R3756" s="2" t="s">
        <v>28</v>
      </c>
      <c r="S3756" s="9">
        <f>VLOOKUP(P3756,$T$2:U3753,2,1)</f>
        <v>0.02</v>
      </c>
    </row>
    <row r="3757" spans="1:19" x14ac:dyDescent="0.25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e">
        <f>VLOOKUP(F3757,'Customer Info'!A3749:I4248,2,0)</f>
        <v>#N/A</v>
      </c>
      <c r="H3757" s="6" t="e">
        <f>VLOOKUP(F3757,'Customer Info'!A3749:I4248,3,0)</f>
        <v>#N/A</v>
      </c>
      <c r="I3757" s="6" t="e">
        <f>VLOOKUP(F3757,'Customer Info'!A3749:I4248,5,0)</f>
        <v>#N/A</v>
      </c>
      <c r="J3757" s="2">
        <v>6520</v>
      </c>
      <c r="K3757" s="2">
        <v>5985</v>
      </c>
      <c r="L3757" s="2">
        <v>3</v>
      </c>
      <c r="M3757" s="7">
        <f t="shared" si="232"/>
        <v>17955</v>
      </c>
      <c r="N3757" s="7">
        <f t="shared" si="233"/>
        <v>19560</v>
      </c>
      <c r="O3757" s="2">
        <v>62</v>
      </c>
      <c r="P3757" s="8">
        <f t="shared" si="234"/>
        <v>19622</v>
      </c>
      <c r="Q3757" s="8">
        <f t="shared" si="235"/>
        <v>19498</v>
      </c>
      <c r="R3757" s="2" t="s">
        <v>50</v>
      </c>
      <c r="S3757" s="9">
        <f>VLOOKUP(P3757,$T$2:U3754,2,1)</f>
        <v>0.05</v>
      </c>
    </row>
    <row r="3758" spans="1:19" x14ac:dyDescent="0.25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e">
        <f>VLOOKUP(F3758,'Customer Info'!A3750:I4249,2,0)</f>
        <v>#N/A</v>
      </c>
      <c r="H3758" s="6" t="e">
        <f>VLOOKUP(F3758,'Customer Info'!A3750:I4249,3,0)</f>
        <v>#N/A</v>
      </c>
      <c r="I3758" s="6" t="e">
        <f>VLOOKUP(F3758,'Customer Info'!A3750:I4249,5,0)</f>
        <v>#N/A</v>
      </c>
      <c r="J3758" s="2">
        <v>2706</v>
      </c>
      <c r="K3758" s="2">
        <v>2553</v>
      </c>
      <c r="L3758" s="2">
        <v>4</v>
      </c>
      <c r="M3758" s="7">
        <f t="shared" si="232"/>
        <v>10212</v>
      </c>
      <c r="N3758" s="7">
        <f t="shared" si="233"/>
        <v>10824</v>
      </c>
      <c r="O3758" s="2">
        <v>30</v>
      </c>
      <c r="P3758" s="8">
        <f t="shared" si="234"/>
        <v>10854</v>
      </c>
      <c r="Q3758" s="8">
        <f t="shared" si="235"/>
        <v>10794</v>
      </c>
      <c r="R3758" s="2" t="s">
        <v>28</v>
      </c>
      <c r="S3758" s="9">
        <f>VLOOKUP(P3758,$T$2:U3755,2,1)</f>
        <v>0.05</v>
      </c>
    </row>
    <row r="3759" spans="1:19" x14ac:dyDescent="0.25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e">
        <f>VLOOKUP(F3759,'Customer Info'!A3751:I4250,2,0)</f>
        <v>#N/A</v>
      </c>
      <c r="H3759" s="6" t="e">
        <f>VLOOKUP(F3759,'Customer Info'!A3751:I4250,3,0)</f>
        <v>#N/A</v>
      </c>
      <c r="I3759" s="6" t="e">
        <f>VLOOKUP(F3759,'Customer Info'!A3751:I4250,5,0)</f>
        <v>#N/A</v>
      </c>
      <c r="J3759" s="2">
        <v>1498</v>
      </c>
      <c r="K3759" s="2">
        <v>1335</v>
      </c>
      <c r="L3759" s="2">
        <v>2</v>
      </c>
      <c r="M3759" s="7">
        <f t="shared" si="232"/>
        <v>2670</v>
      </c>
      <c r="N3759" s="7">
        <f t="shared" si="233"/>
        <v>2996</v>
      </c>
      <c r="O3759" s="2">
        <v>29</v>
      </c>
      <c r="P3759" s="8">
        <f t="shared" si="234"/>
        <v>3025</v>
      </c>
      <c r="Q3759" s="8">
        <f t="shared" si="235"/>
        <v>2967</v>
      </c>
      <c r="R3759" s="2" t="s">
        <v>28</v>
      </c>
      <c r="S3759" s="9">
        <f>VLOOKUP(P3759,$T$2:U3756,2,1)</f>
        <v>0.02</v>
      </c>
    </row>
    <row r="3760" spans="1:19" x14ac:dyDescent="0.25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e">
        <f>VLOOKUP(F3760,'Customer Info'!A3752:I4251,2,0)</f>
        <v>#N/A</v>
      </c>
      <c r="H3760" s="6" t="e">
        <f>VLOOKUP(F3760,'Customer Info'!A3752:I4251,3,0)</f>
        <v>#N/A</v>
      </c>
      <c r="I3760" s="6" t="e">
        <f>VLOOKUP(F3760,'Customer Info'!A3752:I4251,5,0)</f>
        <v>#N/A</v>
      </c>
      <c r="J3760" s="2">
        <v>968</v>
      </c>
      <c r="K3760" s="2">
        <v>913</v>
      </c>
      <c r="L3760" s="2">
        <v>1</v>
      </c>
      <c r="M3760" s="7">
        <f t="shared" si="232"/>
        <v>913</v>
      </c>
      <c r="N3760" s="7">
        <f t="shared" si="233"/>
        <v>968</v>
      </c>
      <c r="O3760" s="2">
        <v>67</v>
      </c>
      <c r="P3760" s="8">
        <f t="shared" si="234"/>
        <v>1035</v>
      </c>
      <c r="Q3760" s="8">
        <f t="shared" si="235"/>
        <v>901</v>
      </c>
      <c r="R3760" s="2" t="s">
        <v>50</v>
      </c>
      <c r="S3760" s="9">
        <f>VLOOKUP(P3760,$T$2:U3757,2,1)</f>
        <v>0.02</v>
      </c>
    </row>
    <row r="3761" spans="1:19" x14ac:dyDescent="0.25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e">
        <f>VLOOKUP(F3761,'Customer Info'!A3753:I4252,2,0)</f>
        <v>#N/A</v>
      </c>
      <c r="H3761" s="6" t="e">
        <f>VLOOKUP(F3761,'Customer Info'!A3753:I4252,3,0)</f>
        <v>#N/A</v>
      </c>
      <c r="I3761" s="6" t="e">
        <f>VLOOKUP(F3761,'Customer Info'!A3753:I4252,5,0)</f>
        <v>#N/A</v>
      </c>
      <c r="J3761" s="2">
        <v>1058</v>
      </c>
      <c r="K3761" s="2">
        <v>989</v>
      </c>
      <c r="L3761" s="2">
        <v>2</v>
      </c>
      <c r="M3761" s="7">
        <f t="shared" si="232"/>
        <v>1978</v>
      </c>
      <c r="N3761" s="7">
        <f t="shared" si="233"/>
        <v>2116</v>
      </c>
      <c r="O3761" s="2">
        <v>94</v>
      </c>
      <c r="P3761" s="8">
        <f t="shared" si="234"/>
        <v>2210</v>
      </c>
      <c r="Q3761" s="8">
        <f t="shared" si="235"/>
        <v>2022</v>
      </c>
      <c r="R3761" s="2" t="s">
        <v>26</v>
      </c>
      <c r="S3761" s="9">
        <f>VLOOKUP(P3761,$T$2:U3758,2,1)</f>
        <v>0.02</v>
      </c>
    </row>
    <row r="3762" spans="1:19" x14ac:dyDescent="0.25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e">
        <f>VLOOKUP(F3762,'Customer Info'!A3754:I4253,2,0)</f>
        <v>#N/A</v>
      </c>
      <c r="H3762" s="6" t="e">
        <f>VLOOKUP(F3762,'Customer Info'!A3754:I4253,3,0)</f>
        <v>#N/A</v>
      </c>
      <c r="I3762" s="6" t="e">
        <f>VLOOKUP(F3762,'Customer Info'!A3754:I4253,5,0)</f>
        <v>#N/A</v>
      </c>
      <c r="J3762" s="2">
        <v>2907</v>
      </c>
      <c r="K3762" s="2">
        <v>2667</v>
      </c>
      <c r="L3762" s="2">
        <v>1</v>
      </c>
      <c r="M3762" s="7">
        <f t="shared" si="232"/>
        <v>2667</v>
      </c>
      <c r="N3762" s="7">
        <f t="shared" si="233"/>
        <v>2907</v>
      </c>
      <c r="O3762" s="2">
        <v>61</v>
      </c>
      <c r="P3762" s="8">
        <f t="shared" si="234"/>
        <v>2968</v>
      </c>
      <c r="Q3762" s="8">
        <f t="shared" si="235"/>
        <v>2846</v>
      </c>
      <c r="R3762" s="2" t="s">
        <v>28</v>
      </c>
      <c r="S3762" s="9">
        <f>VLOOKUP(P3762,$T$2:U3759,2,1)</f>
        <v>0.02</v>
      </c>
    </row>
    <row r="3763" spans="1:19" x14ac:dyDescent="0.25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e">
        <f>VLOOKUP(F3763,'Customer Info'!A3755:I4254,2,0)</f>
        <v>#N/A</v>
      </c>
      <c r="H3763" s="6" t="e">
        <f>VLOOKUP(F3763,'Customer Info'!A3755:I4254,3,0)</f>
        <v>#N/A</v>
      </c>
      <c r="I3763" s="6" t="e">
        <f>VLOOKUP(F3763,'Customer Info'!A3755:I4254,5,0)</f>
        <v>#N/A</v>
      </c>
      <c r="J3763" s="2">
        <v>2271</v>
      </c>
      <c r="K3763" s="2">
        <v>2144</v>
      </c>
      <c r="L3763" s="2">
        <v>4</v>
      </c>
      <c r="M3763" s="7">
        <f t="shared" si="232"/>
        <v>8576</v>
      </c>
      <c r="N3763" s="7">
        <f t="shared" si="233"/>
        <v>9084</v>
      </c>
      <c r="O3763" s="2">
        <v>26</v>
      </c>
      <c r="P3763" s="8">
        <f t="shared" si="234"/>
        <v>9110</v>
      </c>
      <c r="Q3763" s="8">
        <f t="shared" si="235"/>
        <v>9058</v>
      </c>
      <c r="R3763" s="2" t="s">
        <v>50</v>
      </c>
      <c r="S3763" s="9">
        <f>VLOOKUP(P3763,$T$2:U3760,2,1)</f>
        <v>0.05</v>
      </c>
    </row>
    <row r="3764" spans="1:19" x14ac:dyDescent="0.25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e">
        <f>VLOOKUP(F3764,'Customer Info'!A3756:I4255,2,0)</f>
        <v>#N/A</v>
      </c>
      <c r="H3764" s="6" t="e">
        <f>VLOOKUP(F3764,'Customer Info'!A3756:I4255,3,0)</f>
        <v>#N/A</v>
      </c>
      <c r="I3764" s="6" t="e">
        <f>VLOOKUP(F3764,'Customer Info'!A3756:I4255,5,0)</f>
        <v>#N/A</v>
      </c>
      <c r="J3764" s="2">
        <v>187</v>
      </c>
      <c r="K3764" s="2">
        <v>176</v>
      </c>
      <c r="L3764" s="2">
        <v>3</v>
      </c>
      <c r="M3764" s="7">
        <f t="shared" si="232"/>
        <v>528</v>
      </c>
      <c r="N3764" s="7">
        <f t="shared" si="233"/>
        <v>561</v>
      </c>
      <c r="O3764" s="2">
        <v>30</v>
      </c>
      <c r="P3764" s="8">
        <f t="shared" si="234"/>
        <v>591</v>
      </c>
      <c r="Q3764" s="8">
        <f t="shared" si="235"/>
        <v>531</v>
      </c>
      <c r="R3764" s="2" t="s">
        <v>50</v>
      </c>
      <c r="S3764" s="9">
        <f>VLOOKUP(P3764,$T$2:U3761,2,1)</f>
        <v>0.02</v>
      </c>
    </row>
    <row r="3765" spans="1:19" x14ac:dyDescent="0.25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e">
        <f>VLOOKUP(F3765,'Customer Info'!A3757:I4256,2,0)</f>
        <v>#N/A</v>
      </c>
      <c r="H3765" s="6" t="e">
        <f>VLOOKUP(F3765,'Customer Info'!A3757:I4256,3,0)</f>
        <v>#N/A</v>
      </c>
      <c r="I3765" s="6" t="e">
        <f>VLOOKUP(F3765,'Customer Info'!A3757:I4256,5,0)</f>
        <v>#N/A</v>
      </c>
      <c r="J3765" s="2">
        <v>1372</v>
      </c>
      <c r="K3765" s="2">
        <v>1308</v>
      </c>
      <c r="L3765" s="2">
        <v>3</v>
      </c>
      <c r="M3765" s="7">
        <f t="shared" si="232"/>
        <v>3924</v>
      </c>
      <c r="N3765" s="7">
        <f t="shared" si="233"/>
        <v>4116</v>
      </c>
      <c r="O3765" s="2">
        <v>59</v>
      </c>
      <c r="P3765" s="8">
        <f t="shared" si="234"/>
        <v>4175</v>
      </c>
      <c r="Q3765" s="8">
        <f t="shared" si="235"/>
        <v>4057</v>
      </c>
      <c r="R3765" s="2" t="s">
        <v>56</v>
      </c>
      <c r="S3765" s="9">
        <f>VLOOKUP(P3765,$T$2:U3762,2,1)</f>
        <v>0.02</v>
      </c>
    </row>
    <row r="3766" spans="1:19" x14ac:dyDescent="0.25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e">
        <f>VLOOKUP(F3766,'Customer Info'!A3758:I4257,2,0)</f>
        <v>#N/A</v>
      </c>
      <c r="H3766" s="6" t="e">
        <f>VLOOKUP(F3766,'Customer Info'!A3758:I4257,3,0)</f>
        <v>#N/A</v>
      </c>
      <c r="I3766" s="6" t="e">
        <f>VLOOKUP(F3766,'Customer Info'!A3758:I4257,5,0)</f>
        <v>#N/A</v>
      </c>
      <c r="J3766" s="2">
        <v>2222</v>
      </c>
      <c r="K3766" s="2">
        <v>2081</v>
      </c>
      <c r="L3766" s="2">
        <v>3</v>
      </c>
      <c r="M3766" s="7">
        <f t="shared" si="232"/>
        <v>6243</v>
      </c>
      <c r="N3766" s="7">
        <f t="shared" si="233"/>
        <v>6666</v>
      </c>
      <c r="O3766" s="2">
        <v>51</v>
      </c>
      <c r="P3766" s="8">
        <f t="shared" si="234"/>
        <v>6717</v>
      </c>
      <c r="Q3766" s="8">
        <f t="shared" si="235"/>
        <v>6615</v>
      </c>
      <c r="R3766" s="2" t="s">
        <v>26</v>
      </c>
      <c r="S3766" s="9">
        <f>VLOOKUP(P3766,$T$2:U3763,2,1)</f>
        <v>0.05</v>
      </c>
    </row>
    <row r="3767" spans="1:19" x14ac:dyDescent="0.25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e">
        <f>VLOOKUP(F3767,'Customer Info'!A3759:I4258,2,0)</f>
        <v>#N/A</v>
      </c>
      <c r="H3767" s="6" t="e">
        <f>VLOOKUP(F3767,'Customer Info'!A3759:I4258,3,0)</f>
        <v>#N/A</v>
      </c>
      <c r="I3767" s="6" t="e">
        <f>VLOOKUP(F3767,'Customer Info'!A3759:I4258,5,0)</f>
        <v>#N/A</v>
      </c>
      <c r="J3767" s="2">
        <v>148</v>
      </c>
      <c r="K3767" s="2">
        <v>136</v>
      </c>
      <c r="L3767" s="2">
        <v>7</v>
      </c>
      <c r="M3767" s="7">
        <f t="shared" si="232"/>
        <v>952</v>
      </c>
      <c r="N3767" s="7">
        <f t="shared" si="233"/>
        <v>1036</v>
      </c>
      <c r="O3767" s="2">
        <v>30</v>
      </c>
      <c r="P3767" s="8">
        <f t="shared" si="234"/>
        <v>1066</v>
      </c>
      <c r="Q3767" s="8">
        <f t="shared" si="235"/>
        <v>1006</v>
      </c>
      <c r="R3767" s="2" t="s">
        <v>50</v>
      </c>
      <c r="S3767" s="9">
        <f>VLOOKUP(P3767,$T$2:U3764,2,1)</f>
        <v>0.02</v>
      </c>
    </row>
    <row r="3768" spans="1:19" x14ac:dyDescent="0.25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e">
        <f>VLOOKUP(F3768,'Customer Info'!A3760:I4259,2,0)</f>
        <v>#N/A</v>
      </c>
      <c r="H3768" s="6" t="e">
        <f>VLOOKUP(F3768,'Customer Info'!A3760:I4259,3,0)</f>
        <v>#N/A</v>
      </c>
      <c r="I3768" s="6" t="e">
        <f>VLOOKUP(F3768,'Customer Info'!A3760:I4259,5,0)</f>
        <v>#N/A</v>
      </c>
      <c r="J3768" s="2">
        <v>2205</v>
      </c>
      <c r="K3768" s="2">
        <v>2061</v>
      </c>
      <c r="L3768" s="2">
        <v>2</v>
      </c>
      <c r="M3768" s="7">
        <f t="shared" si="232"/>
        <v>4122</v>
      </c>
      <c r="N3768" s="7">
        <f t="shared" si="233"/>
        <v>4410</v>
      </c>
      <c r="O3768" s="2">
        <v>34</v>
      </c>
      <c r="P3768" s="8">
        <f t="shared" si="234"/>
        <v>4444</v>
      </c>
      <c r="Q3768" s="8">
        <f t="shared" si="235"/>
        <v>4376</v>
      </c>
      <c r="R3768" s="2" t="s">
        <v>28</v>
      </c>
      <c r="S3768" s="9">
        <f>VLOOKUP(P3768,$T$2:U3765,2,1)</f>
        <v>0.02</v>
      </c>
    </row>
    <row r="3769" spans="1:19" x14ac:dyDescent="0.25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e">
        <f>VLOOKUP(F3769,'Customer Info'!A3761:I4260,2,0)</f>
        <v>#N/A</v>
      </c>
      <c r="H3769" s="6" t="e">
        <f>VLOOKUP(F3769,'Customer Info'!A3761:I4260,3,0)</f>
        <v>#N/A</v>
      </c>
      <c r="I3769" s="6" t="e">
        <f>VLOOKUP(F3769,'Customer Info'!A3761:I4260,5,0)</f>
        <v>#N/A</v>
      </c>
      <c r="J3769" s="2">
        <v>1060</v>
      </c>
      <c r="K3769" s="2">
        <v>964</v>
      </c>
      <c r="L3769" s="2">
        <v>1</v>
      </c>
      <c r="M3769" s="7">
        <f t="shared" si="232"/>
        <v>964</v>
      </c>
      <c r="N3769" s="7">
        <f t="shared" si="233"/>
        <v>1060</v>
      </c>
      <c r="O3769" s="2">
        <v>83</v>
      </c>
      <c r="P3769" s="8">
        <f t="shared" si="234"/>
        <v>1143</v>
      </c>
      <c r="Q3769" s="8">
        <f t="shared" si="235"/>
        <v>977</v>
      </c>
      <c r="R3769" s="2" t="s">
        <v>28</v>
      </c>
      <c r="S3769" s="9">
        <f>VLOOKUP(P3769,$T$2:U3766,2,1)</f>
        <v>0.02</v>
      </c>
    </row>
    <row r="3770" spans="1:19" x14ac:dyDescent="0.25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e">
        <f>VLOOKUP(F3770,'Customer Info'!A3762:I4261,2,0)</f>
        <v>#N/A</v>
      </c>
      <c r="H3770" s="6" t="e">
        <f>VLOOKUP(F3770,'Customer Info'!A3762:I4261,3,0)</f>
        <v>#N/A</v>
      </c>
      <c r="I3770" s="6" t="e">
        <f>VLOOKUP(F3770,'Customer Info'!A3762:I4261,5,0)</f>
        <v>#N/A</v>
      </c>
      <c r="J3770" s="2">
        <v>63</v>
      </c>
      <c r="K3770" s="2">
        <v>58</v>
      </c>
      <c r="L3770" s="2">
        <v>1</v>
      </c>
      <c r="M3770" s="7">
        <f t="shared" si="232"/>
        <v>58</v>
      </c>
      <c r="N3770" s="7">
        <f t="shared" si="233"/>
        <v>63</v>
      </c>
      <c r="O3770" s="2">
        <v>10</v>
      </c>
      <c r="P3770" s="8">
        <f t="shared" si="234"/>
        <v>73</v>
      </c>
      <c r="Q3770" s="8">
        <f t="shared" si="235"/>
        <v>53</v>
      </c>
      <c r="R3770" s="2" t="s">
        <v>26</v>
      </c>
      <c r="S3770" s="9">
        <f>VLOOKUP(P3770,$T$2:U3767,2,1)</f>
        <v>0.02</v>
      </c>
    </row>
    <row r="3771" spans="1:19" x14ac:dyDescent="0.25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e">
        <f>VLOOKUP(F3771,'Customer Info'!A3763:I4262,2,0)</f>
        <v>#N/A</v>
      </c>
      <c r="H3771" s="6" t="e">
        <f>VLOOKUP(F3771,'Customer Info'!A3763:I4262,3,0)</f>
        <v>#N/A</v>
      </c>
      <c r="I3771" s="6" t="e">
        <f>VLOOKUP(F3771,'Customer Info'!A3763:I4262,5,0)</f>
        <v>#N/A</v>
      </c>
      <c r="J3771" s="2">
        <v>1845</v>
      </c>
      <c r="K3771" s="2">
        <v>1742</v>
      </c>
      <c r="L3771" s="2">
        <v>1</v>
      </c>
      <c r="M3771" s="7">
        <f t="shared" si="232"/>
        <v>1742</v>
      </c>
      <c r="N3771" s="7">
        <f t="shared" si="233"/>
        <v>1845</v>
      </c>
      <c r="O3771" s="2">
        <v>60</v>
      </c>
      <c r="P3771" s="8">
        <f t="shared" si="234"/>
        <v>1905</v>
      </c>
      <c r="Q3771" s="8">
        <f t="shared" si="235"/>
        <v>1785</v>
      </c>
      <c r="R3771" s="2" t="s">
        <v>26</v>
      </c>
      <c r="S3771" s="9">
        <f>VLOOKUP(P3771,$T$2:U3768,2,1)</f>
        <v>0.02</v>
      </c>
    </row>
    <row r="3772" spans="1:19" x14ac:dyDescent="0.25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e">
        <f>VLOOKUP(F3772,'Customer Info'!A3764:I4263,2,0)</f>
        <v>#N/A</v>
      </c>
      <c r="H3772" s="6" t="e">
        <f>VLOOKUP(F3772,'Customer Info'!A3764:I4263,3,0)</f>
        <v>#N/A</v>
      </c>
      <c r="I3772" s="6" t="e">
        <f>VLOOKUP(F3772,'Customer Info'!A3764:I4263,5,0)</f>
        <v>#N/A</v>
      </c>
      <c r="J3772" s="2">
        <v>1318</v>
      </c>
      <c r="K3772" s="2">
        <v>1209</v>
      </c>
      <c r="L3772" s="2">
        <v>2</v>
      </c>
      <c r="M3772" s="7">
        <f t="shared" si="232"/>
        <v>2418</v>
      </c>
      <c r="N3772" s="7">
        <f t="shared" si="233"/>
        <v>2636</v>
      </c>
      <c r="O3772" s="2">
        <v>88</v>
      </c>
      <c r="P3772" s="8">
        <f t="shared" si="234"/>
        <v>2724</v>
      </c>
      <c r="Q3772" s="8">
        <f t="shared" si="235"/>
        <v>2548</v>
      </c>
      <c r="R3772" s="2" t="s">
        <v>28</v>
      </c>
      <c r="S3772" s="9">
        <f>VLOOKUP(P3772,$T$2:U3769,2,1)</f>
        <v>0.02</v>
      </c>
    </row>
    <row r="3773" spans="1:19" x14ac:dyDescent="0.25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e">
        <f>VLOOKUP(F3773,'Customer Info'!A3765:I4264,2,0)</f>
        <v>#N/A</v>
      </c>
      <c r="H3773" s="6" t="e">
        <f>VLOOKUP(F3773,'Customer Info'!A3765:I4264,3,0)</f>
        <v>#N/A</v>
      </c>
      <c r="I3773" s="6" t="e">
        <f>VLOOKUP(F3773,'Customer Info'!A3765:I4264,5,0)</f>
        <v>#N/A</v>
      </c>
      <c r="J3773" s="2">
        <v>60</v>
      </c>
      <c r="K3773" s="2">
        <v>56</v>
      </c>
      <c r="L3773" s="2">
        <v>5</v>
      </c>
      <c r="M3773" s="7">
        <f t="shared" si="232"/>
        <v>280</v>
      </c>
      <c r="N3773" s="7">
        <f t="shared" si="233"/>
        <v>300</v>
      </c>
      <c r="O3773" s="2">
        <v>10</v>
      </c>
      <c r="P3773" s="8">
        <f t="shared" si="234"/>
        <v>310</v>
      </c>
      <c r="Q3773" s="8">
        <f t="shared" si="235"/>
        <v>290</v>
      </c>
      <c r="R3773" s="2" t="s">
        <v>50</v>
      </c>
      <c r="S3773" s="9">
        <f>VLOOKUP(P3773,$T$2:U3770,2,1)</f>
        <v>0.02</v>
      </c>
    </row>
    <row r="3774" spans="1:19" x14ac:dyDescent="0.25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e">
        <f>VLOOKUP(F3774,'Customer Info'!A3766:I4265,2,0)</f>
        <v>#N/A</v>
      </c>
      <c r="H3774" s="6" t="e">
        <f>VLOOKUP(F3774,'Customer Info'!A3766:I4265,3,0)</f>
        <v>#N/A</v>
      </c>
      <c r="I3774" s="6" t="e">
        <f>VLOOKUP(F3774,'Customer Info'!A3766:I4265,5,0)</f>
        <v>#N/A</v>
      </c>
      <c r="J3774" s="2">
        <v>793</v>
      </c>
      <c r="K3774" s="2">
        <v>755</v>
      </c>
      <c r="L3774" s="2">
        <v>10</v>
      </c>
      <c r="M3774" s="7">
        <f t="shared" si="232"/>
        <v>7550</v>
      </c>
      <c r="N3774" s="7">
        <f t="shared" si="233"/>
        <v>7930</v>
      </c>
      <c r="O3774" s="2">
        <v>47</v>
      </c>
      <c r="P3774" s="8">
        <f t="shared" si="234"/>
        <v>7977</v>
      </c>
      <c r="Q3774" s="8">
        <f t="shared" si="235"/>
        <v>7883</v>
      </c>
      <c r="R3774" s="2" t="s">
        <v>26</v>
      </c>
      <c r="S3774" s="9">
        <f>VLOOKUP(P3774,$T$2:U3771,2,1)</f>
        <v>0.05</v>
      </c>
    </row>
    <row r="3775" spans="1:19" x14ac:dyDescent="0.25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e">
        <f>VLOOKUP(F3775,'Customer Info'!A3767:I4266,2,0)</f>
        <v>#N/A</v>
      </c>
      <c r="H3775" s="6" t="e">
        <f>VLOOKUP(F3775,'Customer Info'!A3767:I4266,3,0)</f>
        <v>#N/A</v>
      </c>
      <c r="I3775" s="6" t="e">
        <f>VLOOKUP(F3775,'Customer Info'!A3767:I4266,5,0)</f>
        <v>#N/A</v>
      </c>
      <c r="J3775" s="2">
        <v>29378</v>
      </c>
      <c r="K3775" s="2">
        <v>26912</v>
      </c>
      <c r="L3775" s="2">
        <v>5</v>
      </c>
      <c r="M3775" s="7">
        <f t="shared" si="232"/>
        <v>134560</v>
      </c>
      <c r="N3775" s="7">
        <f t="shared" si="233"/>
        <v>146890</v>
      </c>
      <c r="O3775" s="2">
        <v>34</v>
      </c>
      <c r="P3775" s="8">
        <f t="shared" si="234"/>
        <v>146924</v>
      </c>
      <c r="Q3775" s="8">
        <f t="shared" si="235"/>
        <v>146856</v>
      </c>
      <c r="R3775" s="2" t="s">
        <v>28</v>
      </c>
      <c r="S3775" s="9">
        <f>VLOOKUP(P3775,$T$2:U3772,2,1)</f>
        <v>0.12</v>
      </c>
    </row>
    <row r="3776" spans="1:19" x14ac:dyDescent="0.25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e">
        <f>VLOOKUP(F3776,'Customer Info'!A3768:I4267,2,0)</f>
        <v>#N/A</v>
      </c>
      <c r="H3776" s="6" t="e">
        <f>VLOOKUP(F3776,'Customer Info'!A3768:I4267,3,0)</f>
        <v>#N/A</v>
      </c>
      <c r="I3776" s="6" t="e">
        <f>VLOOKUP(F3776,'Customer Info'!A3768:I4267,5,0)</f>
        <v>#N/A</v>
      </c>
      <c r="J3776" s="2">
        <v>1181</v>
      </c>
      <c r="K3776" s="2">
        <v>1136</v>
      </c>
      <c r="L3776" s="2">
        <v>1</v>
      </c>
      <c r="M3776" s="7">
        <f t="shared" si="232"/>
        <v>1136</v>
      </c>
      <c r="N3776" s="7">
        <f t="shared" si="233"/>
        <v>1181</v>
      </c>
      <c r="O3776" s="2">
        <v>26</v>
      </c>
      <c r="P3776" s="8">
        <f t="shared" si="234"/>
        <v>1207</v>
      </c>
      <c r="Q3776" s="8">
        <f t="shared" si="235"/>
        <v>1155</v>
      </c>
      <c r="R3776" s="2" t="s">
        <v>50</v>
      </c>
      <c r="S3776" s="9">
        <f>VLOOKUP(P3776,$T$2:U3773,2,1)</f>
        <v>0.02</v>
      </c>
    </row>
    <row r="3777" spans="1:19" x14ac:dyDescent="0.25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e">
        <f>VLOOKUP(F3777,'Customer Info'!A3769:I4268,2,0)</f>
        <v>#N/A</v>
      </c>
      <c r="H3777" s="6" t="e">
        <f>VLOOKUP(F3777,'Customer Info'!A3769:I4268,3,0)</f>
        <v>#N/A</v>
      </c>
      <c r="I3777" s="6" t="e">
        <f>VLOOKUP(F3777,'Customer Info'!A3769:I4268,5,0)</f>
        <v>#N/A</v>
      </c>
      <c r="J3777" s="2">
        <v>1186</v>
      </c>
      <c r="K3777" s="2">
        <v>1141</v>
      </c>
      <c r="L3777" s="2">
        <v>1</v>
      </c>
      <c r="M3777" s="7">
        <f t="shared" si="232"/>
        <v>1141</v>
      </c>
      <c r="N3777" s="7">
        <f t="shared" si="233"/>
        <v>1186</v>
      </c>
      <c r="O3777" s="2">
        <v>87</v>
      </c>
      <c r="P3777" s="8">
        <f t="shared" si="234"/>
        <v>1273</v>
      </c>
      <c r="Q3777" s="8">
        <f t="shared" si="235"/>
        <v>1099</v>
      </c>
      <c r="R3777" s="2" t="s">
        <v>28</v>
      </c>
      <c r="S3777" s="9">
        <f>VLOOKUP(P3777,$T$2:U3774,2,1)</f>
        <v>0.02</v>
      </c>
    </row>
    <row r="3778" spans="1:19" x14ac:dyDescent="0.25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e">
        <f>VLOOKUP(F3778,'Customer Info'!A3770:I4269,2,0)</f>
        <v>#N/A</v>
      </c>
      <c r="H3778" s="6" t="e">
        <f>VLOOKUP(F3778,'Customer Info'!A3770:I4269,3,0)</f>
        <v>#N/A</v>
      </c>
      <c r="I3778" s="6" t="e">
        <f>VLOOKUP(F3778,'Customer Info'!A3770:I4269,5,0)</f>
        <v>#N/A</v>
      </c>
      <c r="J3778" s="2">
        <v>511</v>
      </c>
      <c r="K3778" s="2">
        <v>477</v>
      </c>
      <c r="L3778" s="2">
        <v>1</v>
      </c>
      <c r="M3778" s="7">
        <f t="shared" si="232"/>
        <v>477</v>
      </c>
      <c r="N3778" s="7">
        <f t="shared" si="233"/>
        <v>511</v>
      </c>
      <c r="O3778" s="2">
        <v>22</v>
      </c>
      <c r="P3778" s="8">
        <f t="shared" si="234"/>
        <v>533</v>
      </c>
      <c r="Q3778" s="8">
        <f t="shared" si="235"/>
        <v>489</v>
      </c>
      <c r="R3778" s="2" t="s">
        <v>28</v>
      </c>
      <c r="S3778" s="9">
        <f>VLOOKUP(P3778,$T$2:U3775,2,1)</f>
        <v>0.02</v>
      </c>
    </row>
    <row r="3779" spans="1:19" x14ac:dyDescent="0.25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e">
        <f>VLOOKUP(F3779,'Customer Info'!A3771:I4270,2,0)</f>
        <v>#N/A</v>
      </c>
      <c r="H3779" s="6" t="e">
        <f>VLOOKUP(F3779,'Customer Info'!A3771:I4270,3,0)</f>
        <v>#N/A</v>
      </c>
      <c r="I3779" s="6" t="e">
        <f>VLOOKUP(F3779,'Customer Info'!A3771:I4270,5,0)</f>
        <v>#N/A</v>
      </c>
      <c r="J3779" s="2">
        <v>2466</v>
      </c>
      <c r="K3779" s="2">
        <v>2350</v>
      </c>
      <c r="L3779" s="2">
        <v>3</v>
      </c>
      <c r="M3779" s="7">
        <f t="shared" si="232"/>
        <v>7050</v>
      </c>
      <c r="N3779" s="7">
        <f t="shared" si="233"/>
        <v>7398</v>
      </c>
      <c r="O3779" s="2">
        <v>53</v>
      </c>
      <c r="P3779" s="8">
        <f t="shared" si="234"/>
        <v>7451</v>
      </c>
      <c r="Q3779" s="8">
        <f t="shared" si="235"/>
        <v>7345</v>
      </c>
      <c r="R3779" s="2" t="s">
        <v>28</v>
      </c>
      <c r="S3779" s="9">
        <f>VLOOKUP(P3779,$T$2:U3776,2,1)</f>
        <v>0.05</v>
      </c>
    </row>
    <row r="3780" spans="1:19" x14ac:dyDescent="0.25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e">
        <f>VLOOKUP(F3780,'Customer Info'!A3772:I4271,2,0)</f>
        <v>#N/A</v>
      </c>
      <c r="H3780" s="6" t="e">
        <f>VLOOKUP(F3780,'Customer Info'!A3772:I4271,3,0)</f>
        <v>#N/A</v>
      </c>
      <c r="I3780" s="6" t="e">
        <f>VLOOKUP(F3780,'Customer Info'!A3772:I4271,5,0)</f>
        <v>#N/A</v>
      </c>
      <c r="J3780" s="2">
        <v>1283</v>
      </c>
      <c r="K3780" s="2">
        <v>1187</v>
      </c>
      <c r="L3780" s="2">
        <v>2</v>
      </c>
      <c r="M3780" s="7">
        <f t="shared" si="232"/>
        <v>2374</v>
      </c>
      <c r="N3780" s="7">
        <f t="shared" si="233"/>
        <v>2566</v>
      </c>
      <c r="O3780" s="2">
        <v>43</v>
      </c>
      <c r="P3780" s="8">
        <f t="shared" si="234"/>
        <v>2609</v>
      </c>
      <c r="Q3780" s="8">
        <f t="shared" si="235"/>
        <v>2523</v>
      </c>
      <c r="R3780" s="2" t="s">
        <v>26</v>
      </c>
      <c r="S3780" s="9">
        <f>VLOOKUP(P3780,$T$2:U3777,2,1)</f>
        <v>0.02</v>
      </c>
    </row>
    <row r="3781" spans="1:19" x14ac:dyDescent="0.25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e">
        <f>VLOOKUP(F3781,'Customer Info'!A3773:I4272,2,0)</f>
        <v>#N/A</v>
      </c>
      <c r="H3781" s="6" t="e">
        <f>VLOOKUP(F3781,'Customer Info'!A3773:I4272,3,0)</f>
        <v>#N/A</v>
      </c>
      <c r="I3781" s="6" t="e">
        <f>VLOOKUP(F3781,'Customer Info'!A3773:I4272,5,0)</f>
        <v>#N/A</v>
      </c>
      <c r="J3781" s="2">
        <v>199</v>
      </c>
      <c r="K3781" s="2">
        <v>176</v>
      </c>
      <c r="L3781" s="2">
        <v>3</v>
      </c>
      <c r="M3781" s="7">
        <f t="shared" si="232"/>
        <v>528</v>
      </c>
      <c r="N3781" s="7">
        <f t="shared" si="233"/>
        <v>597</v>
      </c>
      <c r="O3781" s="2">
        <v>30</v>
      </c>
      <c r="P3781" s="8">
        <f t="shared" si="234"/>
        <v>627</v>
      </c>
      <c r="Q3781" s="8">
        <f t="shared" si="235"/>
        <v>567</v>
      </c>
      <c r="R3781" s="2" t="s">
        <v>28</v>
      </c>
      <c r="S3781" s="9">
        <f>VLOOKUP(P3781,$T$2:U3778,2,1)</f>
        <v>0.02</v>
      </c>
    </row>
    <row r="3782" spans="1:19" x14ac:dyDescent="0.25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e">
        <f>VLOOKUP(F3782,'Customer Info'!A3774:I4273,2,0)</f>
        <v>#N/A</v>
      </c>
      <c r="H3782" s="6" t="e">
        <f>VLOOKUP(F3782,'Customer Info'!A3774:I4273,3,0)</f>
        <v>#N/A</v>
      </c>
      <c r="I3782" s="6" t="e">
        <f>VLOOKUP(F3782,'Customer Info'!A3774:I4273,5,0)</f>
        <v>#N/A</v>
      </c>
      <c r="J3782" s="2">
        <v>5906</v>
      </c>
      <c r="K3782" s="2">
        <v>5266</v>
      </c>
      <c r="L3782" s="2">
        <v>6</v>
      </c>
      <c r="M3782" s="7">
        <f t="shared" si="232"/>
        <v>31596</v>
      </c>
      <c r="N3782" s="7">
        <f t="shared" si="233"/>
        <v>35436</v>
      </c>
      <c r="O3782" s="2">
        <v>22</v>
      </c>
      <c r="P3782" s="8">
        <f t="shared" si="234"/>
        <v>35458</v>
      </c>
      <c r="Q3782" s="8">
        <f t="shared" si="235"/>
        <v>35414</v>
      </c>
      <c r="R3782" s="2" t="s">
        <v>28</v>
      </c>
      <c r="S3782" s="9">
        <f>VLOOKUP(P3782,$T$2:U3779,2,1)</f>
        <v>7.0000000000000007E-2</v>
      </c>
    </row>
    <row r="3783" spans="1:19" x14ac:dyDescent="0.25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e">
        <f>VLOOKUP(F3783,'Customer Info'!A3775:I4274,2,0)</f>
        <v>#N/A</v>
      </c>
      <c r="H3783" s="6" t="e">
        <f>VLOOKUP(F3783,'Customer Info'!A3775:I4274,3,0)</f>
        <v>#N/A</v>
      </c>
      <c r="I3783" s="6" t="e">
        <f>VLOOKUP(F3783,'Customer Info'!A3775:I4274,5,0)</f>
        <v>#N/A</v>
      </c>
      <c r="J3783" s="2">
        <v>1453</v>
      </c>
      <c r="K3783" s="2">
        <v>1411</v>
      </c>
      <c r="L3783" s="2">
        <v>1</v>
      </c>
      <c r="M3783" s="7">
        <f t="shared" si="232"/>
        <v>1411</v>
      </c>
      <c r="N3783" s="7">
        <f t="shared" si="233"/>
        <v>1453</v>
      </c>
      <c r="O3783" s="2">
        <v>76</v>
      </c>
      <c r="P3783" s="8">
        <f t="shared" si="234"/>
        <v>1529</v>
      </c>
      <c r="Q3783" s="8">
        <f t="shared" si="235"/>
        <v>1377</v>
      </c>
      <c r="R3783" s="2" t="s">
        <v>50</v>
      </c>
      <c r="S3783" s="9">
        <f>VLOOKUP(P3783,$T$2:U3780,2,1)</f>
        <v>0.02</v>
      </c>
    </row>
    <row r="3784" spans="1:19" x14ac:dyDescent="0.25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e">
        <f>VLOOKUP(F3784,'Customer Info'!A3776:I4275,2,0)</f>
        <v>#N/A</v>
      </c>
      <c r="H3784" s="6" t="e">
        <f>VLOOKUP(F3784,'Customer Info'!A3776:I4275,3,0)</f>
        <v>#N/A</v>
      </c>
      <c r="I3784" s="6" t="e">
        <f>VLOOKUP(F3784,'Customer Info'!A3776:I4275,5,0)</f>
        <v>#N/A</v>
      </c>
      <c r="J3784" s="2">
        <v>9135</v>
      </c>
      <c r="K3784" s="2">
        <v>8143</v>
      </c>
      <c r="L3784" s="2">
        <v>2</v>
      </c>
      <c r="M3784" s="7">
        <f t="shared" si="232"/>
        <v>16286</v>
      </c>
      <c r="N3784" s="7">
        <f t="shared" si="233"/>
        <v>18270</v>
      </c>
      <c r="O3784" s="2">
        <v>94</v>
      </c>
      <c r="P3784" s="8">
        <f t="shared" si="234"/>
        <v>18364</v>
      </c>
      <c r="Q3784" s="8">
        <f t="shared" si="235"/>
        <v>18176</v>
      </c>
      <c r="R3784" s="2" t="s">
        <v>26</v>
      </c>
      <c r="S3784" s="9">
        <f>VLOOKUP(P3784,$T$2:U3781,2,1)</f>
        <v>0.05</v>
      </c>
    </row>
    <row r="3785" spans="1:19" x14ac:dyDescent="0.25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e">
        <f>VLOOKUP(F3785,'Customer Info'!A3777:I4276,2,0)</f>
        <v>#N/A</v>
      </c>
      <c r="H3785" s="6" t="e">
        <f>VLOOKUP(F3785,'Customer Info'!A3777:I4276,3,0)</f>
        <v>#N/A</v>
      </c>
      <c r="I3785" s="6" t="e">
        <f>VLOOKUP(F3785,'Customer Info'!A3777:I4276,5,0)</f>
        <v>#N/A</v>
      </c>
      <c r="J3785" s="2">
        <v>9306</v>
      </c>
      <c r="K3785" s="2">
        <v>8461</v>
      </c>
      <c r="L3785" s="2">
        <v>3</v>
      </c>
      <c r="M3785" s="7">
        <f t="shared" si="232"/>
        <v>25383</v>
      </c>
      <c r="N3785" s="7">
        <f t="shared" si="233"/>
        <v>27918</v>
      </c>
      <c r="O3785" s="2">
        <v>51</v>
      </c>
      <c r="P3785" s="8">
        <f t="shared" si="234"/>
        <v>27969</v>
      </c>
      <c r="Q3785" s="8">
        <f t="shared" si="235"/>
        <v>27867</v>
      </c>
      <c r="R3785" s="2" t="s">
        <v>28</v>
      </c>
      <c r="S3785" s="9">
        <f>VLOOKUP(P3785,$T$2:U3782,2,1)</f>
        <v>7.0000000000000007E-2</v>
      </c>
    </row>
    <row r="3786" spans="1:19" x14ac:dyDescent="0.25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e">
        <f>VLOOKUP(F3786,'Customer Info'!A3778:I4277,2,0)</f>
        <v>#N/A</v>
      </c>
      <c r="H3786" s="6" t="e">
        <f>VLOOKUP(F3786,'Customer Info'!A3778:I4277,3,0)</f>
        <v>#N/A</v>
      </c>
      <c r="I3786" s="6" t="e">
        <f>VLOOKUP(F3786,'Customer Info'!A3778:I4277,5,0)</f>
        <v>#N/A</v>
      </c>
      <c r="J3786" s="2">
        <v>1882</v>
      </c>
      <c r="K3786" s="2">
        <v>1792</v>
      </c>
      <c r="L3786" s="2">
        <v>2</v>
      </c>
      <c r="M3786" s="7">
        <f t="shared" si="232"/>
        <v>3584</v>
      </c>
      <c r="N3786" s="7">
        <f t="shared" si="233"/>
        <v>3764</v>
      </c>
      <c r="O3786" s="2">
        <v>78</v>
      </c>
      <c r="P3786" s="8">
        <f t="shared" si="234"/>
        <v>3842</v>
      </c>
      <c r="Q3786" s="8">
        <f t="shared" si="235"/>
        <v>3686</v>
      </c>
      <c r="R3786" s="2" t="s">
        <v>50</v>
      </c>
      <c r="S3786" s="9">
        <f>VLOOKUP(P3786,$T$2:U3783,2,1)</f>
        <v>0.02</v>
      </c>
    </row>
    <row r="3787" spans="1:19" x14ac:dyDescent="0.25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e">
        <f>VLOOKUP(F3787,'Customer Info'!A3779:I4278,2,0)</f>
        <v>#N/A</v>
      </c>
      <c r="H3787" s="6" t="e">
        <f>VLOOKUP(F3787,'Customer Info'!A3779:I4278,3,0)</f>
        <v>#N/A</v>
      </c>
      <c r="I3787" s="6" t="e">
        <f>VLOOKUP(F3787,'Customer Info'!A3779:I4278,5,0)</f>
        <v>#N/A</v>
      </c>
      <c r="J3787" s="2">
        <v>2958</v>
      </c>
      <c r="K3787" s="2">
        <v>2743</v>
      </c>
      <c r="L3787" s="2">
        <v>2</v>
      </c>
      <c r="M3787" s="7">
        <f t="shared" ref="M3787:M3850" si="236">K3787*L3787</f>
        <v>5486</v>
      </c>
      <c r="N3787" s="7">
        <f t="shared" ref="N3787:N3850" si="237">J3787*L3787</f>
        <v>5916</v>
      </c>
      <c r="O3787" s="2">
        <v>47</v>
      </c>
      <c r="P3787" s="8">
        <f t="shared" ref="P3787:P3850" si="238">SUM(N3787,O3787)</f>
        <v>5963</v>
      </c>
      <c r="Q3787" s="8">
        <f t="shared" ref="Q3787:Q3850" si="239">N3787-O3787</f>
        <v>5869</v>
      </c>
      <c r="R3787" s="2" t="s">
        <v>50</v>
      </c>
      <c r="S3787" s="9">
        <f>VLOOKUP(P3787,$T$2:U3784,2,1)</f>
        <v>0.05</v>
      </c>
    </row>
    <row r="3788" spans="1:19" x14ac:dyDescent="0.25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e">
        <f>VLOOKUP(F3788,'Customer Info'!A3780:I4279,2,0)</f>
        <v>#N/A</v>
      </c>
      <c r="H3788" s="6" t="e">
        <f>VLOOKUP(F3788,'Customer Info'!A3780:I4279,3,0)</f>
        <v>#N/A</v>
      </c>
      <c r="I3788" s="6" t="e">
        <f>VLOOKUP(F3788,'Customer Info'!A3780:I4279,5,0)</f>
        <v>#N/A</v>
      </c>
      <c r="J3788" s="2">
        <v>8889</v>
      </c>
      <c r="K3788" s="2">
        <v>8469</v>
      </c>
      <c r="L3788" s="2">
        <v>4</v>
      </c>
      <c r="M3788" s="7">
        <f t="shared" si="236"/>
        <v>33876</v>
      </c>
      <c r="N3788" s="7">
        <f t="shared" si="237"/>
        <v>35556</v>
      </c>
      <c r="O3788" s="2">
        <v>93</v>
      </c>
      <c r="P3788" s="8">
        <f t="shared" si="238"/>
        <v>35649</v>
      </c>
      <c r="Q3788" s="8">
        <f t="shared" si="239"/>
        <v>35463</v>
      </c>
      <c r="R3788" s="2" t="s">
        <v>28</v>
      </c>
      <c r="S3788" s="9">
        <f>VLOOKUP(P3788,$T$2:U3785,2,1)</f>
        <v>7.0000000000000007E-2</v>
      </c>
    </row>
    <row r="3789" spans="1:19" x14ac:dyDescent="0.25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e">
        <f>VLOOKUP(F3789,'Customer Info'!A3781:I4280,2,0)</f>
        <v>#N/A</v>
      </c>
      <c r="H3789" s="6" t="e">
        <f>VLOOKUP(F3789,'Customer Info'!A3781:I4280,3,0)</f>
        <v>#N/A</v>
      </c>
      <c r="I3789" s="6" t="e">
        <f>VLOOKUP(F3789,'Customer Info'!A3781:I4280,5,0)</f>
        <v>#N/A</v>
      </c>
      <c r="J3789" s="2">
        <v>1576</v>
      </c>
      <c r="K3789" s="2">
        <v>1531</v>
      </c>
      <c r="L3789" s="2">
        <v>2</v>
      </c>
      <c r="M3789" s="7">
        <f t="shared" si="236"/>
        <v>3062</v>
      </c>
      <c r="N3789" s="7">
        <f t="shared" si="237"/>
        <v>3152</v>
      </c>
      <c r="O3789" s="2">
        <v>22</v>
      </c>
      <c r="P3789" s="8">
        <f t="shared" si="238"/>
        <v>3174</v>
      </c>
      <c r="Q3789" s="8">
        <f t="shared" si="239"/>
        <v>3130</v>
      </c>
      <c r="R3789" s="2" t="s">
        <v>28</v>
      </c>
      <c r="S3789" s="9">
        <f>VLOOKUP(P3789,$T$2:U3786,2,1)</f>
        <v>0.02</v>
      </c>
    </row>
    <row r="3790" spans="1:19" x14ac:dyDescent="0.25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e">
        <f>VLOOKUP(F3790,'Customer Info'!A3782:I4281,2,0)</f>
        <v>#N/A</v>
      </c>
      <c r="H3790" s="6" t="e">
        <f>VLOOKUP(F3790,'Customer Info'!A3782:I4281,3,0)</f>
        <v>#N/A</v>
      </c>
      <c r="I3790" s="6" t="e">
        <f>VLOOKUP(F3790,'Customer Info'!A3782:I4281,5,0)</f>
        <v>#N/A</v>
      </c>
      <c r="J3790" s="2">
        <v>169</v>
      </c>
      <c r="K3790" s="2">
        <v>154</v>
      </c>
      <c r="L3790" s="2">
        <v>2</v>
      </c>
      <c r="M3790" s="7">
        <f t="shared" si="236"/>
        <v>308</v>
      </c>
      <c r="N3790" s="7">
        <f t="shared" si="237"/>
        <v>338</v>
      </c>
      <c r="O3790" s="2">
        <v>30</v>
      </c>
      <c r="P3790" s="8">
        <f t="shared" si="238"/>
        <v>368</v>
      </c>
      <c r="Q3790" s="8">
        <f t="shared" si="239"/>
        <v>308</v>
      </c>
      <c r="R3790" s="2" t="s">
        <v>28</v>
      </c>
      <c r="S3790" s="9">
        <f>VLOOKUP(P3790,$T$2:U3787,2,1)</f>
        <v>0.02</v>
      </c>
    </row>
    <row r="3791" spans="1:19" x14ac:dyDescent="0.25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e">
        <f>VLOOKUP(F3791,'Customer Info'!A3783:I4282,2,0)</f>
        <v>#N/A</v>
      </c>
      <c r="H3791" s="6" t="e">
        <f>VLOOKUP(F3791,'Customer Info'!A3783:I4282,3,0)</f>
        <v>#N/A</v>
      </c>
      <c r="I3791" s="6" t="e">
        <f>VLOOKUP(F3791,'Customer Info'!A3783:I4282,5,0)</f>
        <v>#N/A</v>
      </c>
      <c r="J3791" s="2">
        <v>127</v>
      </c>
      <c r="K3791" s="2">
        <v>116</v>
      </c>
      <c r="L3791" s="2">
        <v>3</v>
      </c>
      <c r="M3791" s="7">
        <f t="shared" si="236"/>
        <v>348</v>
      </c>
      <c r="N3791" s="7">
        <f t="shared" si="237"/>
        <v>381</v>
      </c>
      <c r="O3791" s="2">
        <v>30</v>
      </c>
      <c r="P3791" s="8">
        <f t="shared" si="238"/>
        <v>411</v>
      </c>
      <c r="Q3791" s="8">
        <f t="shared" si="239"/>
        <v>351</v>
      </c>
      <c r="R3791" s="2" t="s">
        <v>28</v>
      </c>
      <c r="S3791" s="9">
        <f>VLOOKUP(P3791,$T$2:U3788,2,1)</f>
        <v>0.02</v>
      </c>
    </row>
    <row r="3792" spans="1:19" x14ac:dyDescent="0.25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e">
        <f>VLOOKUP(F3792,'Customer Info'!A3784:I4283,2,0)</f>
        <v>#N/A</v>
      </c>
      <c r="H3792" s="6" t="e">
        <f>VLOOKUP(F3792,'Customer Info'!A3784:I4283,3,0)</f>
        <v>#N/A</v>
      </c>
      <c r="I3792" s="6" t="e">
        <f>VLOOKUP(F3792,'Customer Info'!A3784:I4283,5,0)</f>
        <v>#N/A</v>
      </c>
      <c r="J3792" s="2">
        <v>3184</v>
      </c>
      <c r="K3792" s="2">
        <v>2947</v>
      </c>
      <c r="L3792" s="2">
        <v>4</v>
      </c>
      <c r="M3792" s="7">
        <f t="shared" si="236"/>
        <v>11788</v>
      </c>
      <c r="N3792" s="7">
        <f t="shared" si="237"/>
        <v>12736</v>
      </c>
      <c r="O3792" s="2">
        <v>63</v>
      </c>
      <c r="P3792" s="8">
        <f t="shared" si="238"/>
        <v>12799</v>
      </c>
      <c r="Q3792" s="8">
        <f t="shared" si="239"/>
        <v>12673</v>
      </c>
      <c r="R3792" s="2" t="s">
        <v>56</v>
      </c>
      <c r="S3792" s="9">
        <f>VLOOKUP(P3792,$T$2:U3789,2,1)</f>
        <v>0.05</v>
      </c>
    </row>
    <row r="3793" spans="1:19" x14ac:dyDescent="0.25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e">
        <f>VLOOKUP(F3793,'Customer Info'!A3785:I4284,2,0)</f>
        <v>#N/A</v>
      </c>
      <c r="H3793" s="6" t="e">
        <f>VLOOKUP(F3793,'Customer Info'!A3785:I4284,3,0)</f>
        <v>#N/A</v>
      </c>
      <c r="I3793" s="6" t="e">
        <f>VLOOKUP(F3793,'Customer Info'!A3785:I4284,5,0)</f>
        <v>#N/A</v>
      </c>
      <c r="J3793" s="2">
        <v>139</v>
      </c>
      <c r="K3793" s="2">
        <v>133</v>
      </c>
      <c r="L3793" s="2">
        <v>3</v>
      </c>
      <c r="M3793" s="7">
        <f t="shared" si="236"/>
        <v>399</v>
      </c>
      <c r="N3793" s="7">
        <f t="shared" si="237"/>
        <v>417</v>
      </c>
      <c r="O3793" s="2">
        <v>30</v>
      </c>
      <c r="P3793" s="8">
        <f t="shared" si="238"/>
        <v>447</v>
      </c>
      <c r="Q3793" s="8">
        <f t="shared" si="239"/>
        <v>387</v>
      </c>
      <c r="R3793" s="2" t="s">
        <v>28</v>
      </c>
      <c r="S3793" s="9">
        <f>VLOOKUP(P3793,$T$2:U3790,2,1)</f>
        <v>0.02</v>
      </c>
    </row>
    <row r="3794" spans="1:19" x14ac:dyDescent="0.25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e">
        <f>VLOOKUP(F3794,'Customer Info'!A3786:I4285,2,0)</f>
        <v>#N/A</v>
      </c>
      <c r="H3794" s="6" t="e">
        <f>VLOOKUP(F3794,'Customer Info'!A3786:I4285,3,0)</f>
        <v>#N/A</v>
      </c>
      <c r="I3794" s="6" t="e">
        <f>VLOOKUP(F3794,'Customer Info'!A3786:I4285,5,0)</f>
        <v>#N/A</v>
      </c>
      <c r="J3794" s="2">
        <v>39095</v>
      </c>
      <c r="K3794" s="2">
        <v>35516</v>
      </c>
      <c r="L3794" s="2">
        <v>4</v>
      </c>
      <c r="M3794" s="7">
        <f t="shared" si="236"/>
        <v>142064</v>
      </c>
      <c r="N3794" s="7">
        <f t="shared" si="237"/>
        <v>156380</v>
      </c>
      <c r="O3794" s="2">
        <v>98</v>
      </c>
      <c r="P3794" s="8">
        <f t="shared" si="238"/>
        <v>156478</v>
      </c>
      <c r="Q3794" s="8">
        <f t="shared" si="239"/>
        <v>156282</v>
      </c>
      <c r="R3794" s="2" t="s">
        <v>28</v>
      </c>
      <c r="S3794" s="9">
        <f>VLOOKUP(P3794,$T$2:U3791,2,1)</f>
        <v>0.12</v>
      </c>
    </row>
    <row r="3795" spans="1:19" x14ac:dyDescent="0.25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e">
        <f>VLOOKUP(F3795,'Customer Info'!A3787:I4286,2,0)</f>
        <v>#N/A</v>
      </c>
      <c r="H3795" s="6" t="e">
        <f>VLOOKUP(F3795,'Customer Info'!A3787:I4286,3,0)</f>
        <v>#N/A</v>
      </c>
      <c r="I3795" s="6" t="e">
        <f>VLOOKUP(F3795,'Customer Info'!A3787:I4286,5,0)</f>
        <v>#N/A</v>
      </c>
      <c r="J3795" s="2">
        <v>8889</v>
      </c>
      <c r="K3795" s="2">
        <v>8469</v>
      </c>
      <c r="L3795" s="2">
        <v>2</v>
      </c>
      <c r="M3795" s="7">
        <f t="shared" si="236"/>
        <v>16938</v>
      </c>
      <c r="N3795" s="7">
        <f t="shared" si="237"/>
        <v>17778</v>
      </c>
      <c r="O3795" s="2">
        <v>95</v>
      </c>
      <c r="P3795" s="8">
        <f t="shared" si="238"/>
        <v>17873</v>
      </c>
      <c r="Q3795" s="8">
        <f t="shared" si="239"/>
        <v>17683</v>
      </c>
      <c r="R3795" s="2" t="s">
        <v>28</v>
      </c>
      <c r="S3795" s="9">
        <f>VLOOKUP(P3795,$T$2:U3792,2,1)</f>
        <v>0.05</v>
      </c>
    </row>
    <row r="3796" spans="1:19" x14ac:dyDescent="0.25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e">
        <f>VLOOKUP(F3796,'Customer Info'!A3788:I4287,2,0)</f>
        <v>#N/A</v>
      </c>
      <c r="H3796" s="6" t="e">
        <f>VLOOKUP(F3796,'Customer Info'!A3788:I4287,3,0)</f>
        <v>#N/A</v>
      </c>
      <c r="I3796" s="6" t="e">
        <f>VLOOKUP(F3796,'Customer Info'!A3788:I4287,5,0)</f>
        <v>#N/A</v>
      </c>
      <c r="J3796" s="2">
        <v>1518</v>
      </c>
      <c r="K3796" s="2">
        <v>1392</v>
      </c>
      <c r="L3796" s="2">
        <v>5</v>
      </c>
      <c r="M3796" s="7">
        <f t="shared" si="236"/>
        <v>6960</v>
      </c>
      <c r="N3796" s="7">
        <f t="shared" si="237"/>
        <v>7590</v>
      </c>
      <c r="O3796" s="2">
        <v>97</v>
      </c>
      <c r="P3796" s="8">
        <f t="shared" si="238"/>
        <v>7687</v>
      </c>
      <c r="Q3796" s="8">
        <f t="shared" si="239"/>
        <v>7493</v>
      </c>
      <c r="R3796" s="2" t="s">
        <v>28</v>
      </c>
      <c r="S3796" s="9">
        <f>VLOOKUP(P3796,$T$2:U3793,2,1)</f>
        <v>0.05</v>
      </c>
    </row>
    <row r="3797" spans="1:19" x14ac:dyDescent="0.25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e">
        <f>VLOOKUP(F3797,'Customer Info'!A3789:I4288,2,0)</f>
        <v>#N/A</v>
      </c>
      <c r="H3797" s="6" t="e">
        <f>VLOOKUP(F3797,'Customer Info'!A3789:I4288,3,0)</f>
        <v>#N/A</v>
      </c>
      <c r="I3797" s="6" t="e">
        <f>VLOOKUP(F3797,'Customer Info'!A3789:I4288,5,0)</f>
        <v>#N/A</v>
      </c>
      <c r="J3797" s="2">
        <v>81</v>
      </c>
      <c r="K3797" s="2">
        <v>77</v>
      </c>
      <c r="L3797" s="2">
        <v>5</v>
      </c>
      <c r="M3797" s="7">
        <f t="shared" si="236"/>
        <v>385</v>
      </c>
      <c r="N3797" s="7">
        <f t="shared" si="237"/>
        <v>405</v>
      </c>
      <c r="O3797" s="2">
        <v>10</v>
      </c>
      <c r="P3797" s="8">
        <f t="shared" si="238"/>
        <v>415</v>
      </c>
      <c r="Q3797" s="8">
        <f t="shared" si="239"/>
        <v>395</v>
      </c>
      <c r="R3797" s="2" t="s">
        <v>28</v>
      </c>
      <c r="S3797" s="9">
        <f>VLOOKUP(P3797,$T$2:U3794,2,1)</f>
        <v>0.02</v>
      </c>
    </row>
    <row r="3798" spans="1:19" x14ac:dyDescent="0.25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e">
        <f>VLOOKUP(F3798,'Customer Info'!A3790:I4289,2,0)</f>
        <v>#N/A</v>
      </c>
      <c r="H3798" s="6" t="e">
        <f>VLOOKUP(F3798,'Customer Info'!A3790:I4289,3,0)</f>
        <v>#N/A</v>
      </c>
      <c r="I3798" s="6" t="e">
        <f>VLOOKUP(F3798,'Customer Info'!A3790:I4289,5,0)</f>
        <v>#N/A</v>
      </c>
      <c r="J3798" s="2">
        <v>6864</v>
      </c>
      <c r="K3798" s="2">
        <v>6667</v>
      </c>
      <c r="L3798" s="2">
        <v>2</v>
      </c>
      <c r="M3798" s="7">
        <f t="shared" si="236"/>
        <v>13334</v>
      </c>
      <c r="N3798" s="7">
        <f t="shared" si="237"/>
        <v>13728</v>
      </c>
      <c r="O3798" s="2">
        <v>95</v>
      </c>
      <c r="P3798" s="8">
        <f t="shared" si="238"/>
        <v>13823</v>
      </c>
      <c r="Q3798" s="8">
        <f t="shared" si="239"/>
        <v>13633</v>
      </c>
      <c r="R3798" s="2" t="s">
        <v>28</v>
      </c>
      <c r="S3798" s="9">
        <f>VLOOKUP(P3798,$T$2:U3795,2,1)</f>
        <v>0.05</v>
      </c>
    </row>
    <row r="3799" spans="1:19" x14ac:dyDescent="0.25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e">
        <f>VLOOKUP(F3799,'Customer Info'!A3791:I4290,2,0)</f>
        <v>#N/A</v>
      </c>
      <c r="H3799" s="6" t="e">
        <f>VLOOKUP(F3799,'Customer Info'!A3791:I4290,3,0)</f>
        <v>#N/A</v>
      </c>
      <c r="I3799" s="6" t="e">
        <f>VLOOKUP(F3799,'Customer Info'!A3791:I4290,5,0)</f>
        <v>#N/A</v>
      </c>
      <c r="J3799" s="2">
        <v>1332</v>
      </c>
      <c r="K3799" s="2">
        <v>1209</v>
      </c>
      <c r="L3799" s="2">
        <v>5</v>
      </c>
      <c r="M3799" s="7">
        <f t="shared" si="236"/>
        <v>6045</v>
      </c>
      <c r="N3799" s="7">
        <f t="shared" si="237"/>
        <v>6660</v>
      </c>
      <c r="O3799" s="2">
        <v>83</v>
      </c>
      <c r="P3799" s="8">
        <f t="shared" si="238"/>
        <v>6743</v>
      </c>
      <c r="Q3799" s="8">
        <f t="shared" si="239"/>
        <v>6577</v>
      </c>
      <c r="R3799" s="2" t="s">
        <v>26</v>
      </c>
      <c r="S3799" s="9">
        <f>VLOOKUP(P3799,$T$2:U3796,2,1)</f>
        <v>0.05</v>
      </c>
    </row>
    <row r="3800" spans="1:19" x14ac:dyDescent="0.25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e">
        <f>VLOOKUP(F3800,'Customer Info'!A3792:I4291,2,0)</f>
        <v>#N/A</v>
      </c>
      <c r="H3800" s="6" t="e">
        <f>VLOOKUP(F3800,'Customer Info'!A3792:I4291,3,0)</f>
        <v>#N/A</v>
      </c>
      <c r="I3800" s="6" t="e">
        <f>VLOOKUP(F3800,'Customer Info'!A3792:I4291,5,0)</f>
        <v>#N/A</v>
      </c>
      <c r="J3800" s="2">
        <v>1017</v>
      </c>
      <c r="K3800" s="2">
        <v>950</v>
      </c>
      <c r="L3800" s="2">
        <v>2</v>
      </c>
      <c r="M3800" s="7">
        <f t="shared" si="236"/>
        <v>1900</v>
      </c>
      <c r="N3800" s="7">
        <f t="shared" si="237"/>
        <v>2034</v>
      </c>
      <c r="O3800" s="2">
        <v>72</v>
      </c>
      <c r="P3800" s="8">
        <f t="shared" si="238"/>
        <v>2106</v>
      </c>
      <c r="Q3800" s="8">
        <f t="shared" si="239"/>
        <v>1962</v>
      </c>
      <c r="R3800" s="2" t="s">
        <v>28</v>
      </c>
      <c r="S3800" s="9">
        <f>VLOOKUP(P3800,$T$2:U3797,2,1)</f>
        <v>0.02</v>
      </c>
    </row>
    <row r="3801" spans="1:19" x14ac:dyDescent="0.25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e">
        <f>VLOOKUP(F3801,'Customer Info'!A3793:I4292,2,0)</f>
        <v>#N/A</v>
      </c>
      <c r="H3801" s="6" t="e">
        <f>VLOOKUP(F3801,'Customer Info'!A3793:I4292,3,0)</f>
        <v>#N/A</v>
      </c>
      <c r="I3801" s="6" t="e">
        <f>VLOOKUP(F3801,'Customer Info'!A3793:I4292,5,0)</f>
        <v>#N/A</v>
      </c>
      <c r="J3801" s="2">
        <v>511</v>
      </c>
      <c r="K3801" s="2">
        <v>477</v>
      </c>
      <c r="L3801" s="2">
        <v>3</v>
      </c>
      <c r="M3801" s="7">
        <f t="shared" si="236"/>
        <v>1431</v>
      </c>
      <c r="N3801" s="7">
        <f t="shared" si="237"/>
        <v>1533</v>
      </c>
      <c r="O3801" s="2">
        <v>77</v>
      </c>
      <c r="P3801" s="8">
        <f t="shared" si="238"/>
        <v>1610</v>
      </c>
      <c r="Q3801" s="8">
        <f t="shared" si="239"/>
        <v>1456</v>
      </c>
      <c r="R3801" s="2" t="s">
        <v>28</v>
      </c>
      <c r="S3801" s="9">
        <f>VLOOKUP(P3801,$T$2:U3798,2,1)</f>
        <v>0.02</v>
      </c>
    </row>
    <row r="3802" spans="1:19" x14ac:dyDescent="0.25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e">
        <f>VLOOKUP(F3802,'Customer Info'!A3794:I4293,2,0)</f>
        <v>#N/A</v>
      </c>
      <c r="H3802" s="6" t="e">
        <f>VLOOKUP(F3802,'Customer Info'!A3794:I4293,3,0)</f>
        <v>#N/A</v>
      </c>
      <c r="I3802" s="6" t="e">
        <f>VLOOKUP(F3802,'Customer Info'!A3794:I4293,5,0)</f>
        <v>#N/A</v>
      </c>
      <c r="J3802" s="2">
        <v>169</v>
      </c>
      <c r="K3802" s="2">
        <v>154</v>
      </c>
      <c r="L3802" s="2">
        <v>3</v>
      </c>
      <c r="M3802" s="7">
        <f t="shared" si="236"/>
        <v>462</v>
      </c>
      <c r="N3802" s="7">
        <f t="shared" si="237"/>
        <v>507</v>
      </c>
      <c r="O3802" s="2">
        <v>30</v>
      </c>
      <c r="P3802" s="8">
        <f t="shared" si="238"/>
        <v>537</v>
      </c>
      <c r="Q3802" s="8">
        <f t="shared" si="239"/>
        <v>477</v>
      </c>
      <c r="R3802" s="2" t="s">
        <v>28</v>
      </c>
      <c r="S3802" s="9">
        <f>VLOOKUP(P3802,$T$2:U3799,2,1)</f>
        <v>0.02</v>
      </c>
    </row>
    <row r="3803" spans="1:19" x14ac:dyDescent="0.25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e">
        <f>VLOOKUP(F3803,'Customer Info'!A3795:I4294,2,0)</f>
        <v>#N/A</v>
      </c>
      <c r="H3803" s="6" t="e">
        <f>VLOOKUP(F3803,'Customer Info'!A3795:I4294,3,0)</f>
        <v>#N/A</v>
      </c>
      <c r="I3803" s="6" t="e">
        <f>VLOOKUP(F3803,'Customer Info'!A3795:I4294,5,0)</f>
        <v>#N/A</v>
      </c>
      <c r="J3803" s="2">
        <v>445</v>
      </c>
      <c r="K3803" s="2">
        <v>415</v>
      </c>
      <c r="L3803" s="2">
        <v>5</v>
      </c>
      <c r="M3803" s="7">
        <f t="shared" si="236"/>
        <v>2075</v>
      </c>
      <c r="N3803" s="7">
        <f t="shared" si="237"/>
        <v>2225</v>
      </c>
      <c r="O3803" s="2">
        <v>20</v>
      </c>
      <c r="P3803" s="8">
        <f t="shared" si="238"/>
        <v>2245</v>
      </c>
      <c r="Q3803" s="8">
        <f t="shared" si="239"/>
        <v>2205</v>
      </c>
      <c r="R3803" s="2" t="s">
        <v>50</v>
      </c>
      <c r="S3803" s="9">
        <f>VLOOKUP(P3803,$T$2:U3800,2,1)</f>
        <v>0.02</v>
      </c>
    </row>
    <row r="3804" spans="1:19" x14ac:dyDescent="0.25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e">
        <f>VLOOKUP(F3804,'Customer Info'!A3796:I4295,2,0)</f>
        <v>#N/A</v>
      </c>
      <c r="H3804" s="6" t="e">
        <f>VLOOKUP(F3804,'Customer Info'!A3796:I4295,3,0)</f>
        <v>#N/A</v>
      </c>
      <c r="I3804" s="6" t="e">
        <f>VLOOKUP(F3804,'Customer Info'!A3796:I4295,5,0)</f>
        <v>#N/A</v>
      </c>
      <c r="J3804" s="2">
        <v>185</v>
      </c>
      <c r="K3804" s="2">
        <v>171</v>
      </c>
      <c r="L3804" s="2">
        <v>2</v>
      </c>
      <c r="M3804" s="7">
        <f t="shared" si="236"/>
        <v>342</v>
      </c>
      <c r="N3804" s="7">
        <f t="shared" si="237"/>
        <v>370</v>
      </c>
      <c r="O3804" s="2">
        <v>30</v>
      </c>
      <c r="P3804" s="8">
        <f t="shared" si="238"/>
        <v>400</v>
      </c>
      <c r="Q3804" s="8">
        <f t="shared" si="239"/>
        <v>340</v>
      </c>
      <c r="R3804" s="2" t="s">
        <v>50</v>
      </c>
      <c r="S3804" s="9">
        <f>VLOOKUP(P3804,$T$2:U3801,2,1)</f>
        <v>0.02</v>
      </c>
    </row>
    <row r="3805" spans="1:19" x14ac:dyDescent="0.25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e">
        <f>VLOOKUP(F3805,'Customer Info'!A3797:I4296,2,0)</f>
        <v>#N/A</v>
      </c>
      <c r="H3805" s="6" t="e">
        <f>VLOOKUP(F3805,'Customer Info'!A3797:I4296,3,0)</f>
        <v>#N/A</v>
      </c>
      <c r="I3805" s="6" t="e">
        <f>VLOOKUP(F3805,'Customer Info'!A3797:I4296,5,0)</f>
        <v>#N/A</v>
      </c>
      <c r="J3805" s="2">
        <v>809</v>
      </c>
      <c r="K3805" s="2">
        <v>770</v>
      </c>
      <c r="L3805" s="2">
        <v>4</v>
      </c>
      <c r="M3805" s="7">
        <f t="shared" si="236"/>
        <v>3080</v>
      </c>
      <c r="N3805" s="7">
        <f t="shared" si="237"/>
        <v>3236</v>
      </c>
      <c r="O3805" s="2">
        <v>93</v>
      </c>
      <c r="P3805" s="8">
        <f t="shared" si="238"/>
        <v>3329</v>
      </c>
      <c r="Q3805" s="8">
        <f t="shared" si="239"/>
        <v>3143</v>
      </c>
      <c r="R3805" s="2" t="s">
        <v>28</v>
      </c>
      <c r="S3805" s="9">
        <f>VLOOKUP(P3805,$T$2:U3802,2,1)</f>
        <v>0.02</v>
      </c>
    </row>
    <row r="3806" spans="1:19" x14ac:dyDescent="0.25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e">
        <f>VLOOKUP(F3806,'Customer Info'!A3798:I4297,2,0)</f>
        <v>#N/A</v>
      </c>
      <c r="H3806" s="6" t="e">
        <f>VLOOKUP(F3806,'Customer Info'!A3798:I4297,3,0)</f>
        <v>#N/A</v>
      </c>
      <c r="I3806" s="6" t="e">
        <f>VLOOKUP(F3806,'Customer Info'!A3798:I4297,5,0)</f>
        <v>#N/A</v>
      </c>
      <c r="J3806" s="2">
        <v>2250</v>
      </c>
      <c r="K3806" s="2">
        <v>2207</v>
      </c>
      <c r="L3806" s="2">
        <v>2</v>
      </c>
      <c r="M3806" s="7">
        <f t="shared" si="236"/>
        <v>4414</v>
      </c>
      <c r="N3806" s="7">
        <f t="shared" si="237"/>
        <v>4500</v>
      </c>
      <c r="O3806" s="2">
        <v>88</v>
      </c>
      <c r="P3806" s="8">
        <f t="shared" si="238"/>
        <v>4588</v>
      </c>
      <c r="Q3806" s="8">
        <f t="shared" si="239"/>
        <v>4412</v>
      </c>
      <c r="R3806" s="2" t="s">
        <v>28</v>
      </c>
      <c r="S3806" s="9">
        <f>VLOOKUP(P3806,$T$2:U3803,2,1)</f>
        <v>0.02</v>
      </c>
    </row>
    <row r="3807" spans="1:19" x14ac:dyDescent="0.25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e">
        <f>VLOOKUP(F3807,'Customer Info'!A3799:I4298,2,0)</f>
        <v>#N/A</v>
      </c>
      <c r="H3807" s="6" t="e">
        <f>VLOOKUP(F3807,'Customer Info'!A3799:I4298,3,0)</f>
        <v>#N/A</v>
      </c>
      <c r="I3807" s="6" t="e">
        <f>VLOOKUP(F3807,'Customer Info'!A3799:I4298,5,0)</f>
        <v>#N/A</v>
      </c>
      <c r="J3807" s="2">
        <v>932</v>
      </c>
      <c r="K3807" s="2">
        <v>838</v>
      </c>
      <c r="L3807" s="2">
        <v>2</v>
      </c>
      <c r="M3807" s="7">
        <f t="shared" si="236"/>
        <v>1676</v>
      </c>
      <c r="N3807" s="7">
        <f t="shared" si="237"/>
        <v>1864</v>
      </c>
      <c r="O3807" s="2">
        <v>74</v>
      </c>
      <c r="P3807" s="8">
        <f t="shared" si="238"/>
        <v>1938</v>
      </c>
      <c r="Q3807" s="8">
        <f t="shared" si="239"/>
        <v>1790</v>
      </c>
      <c r="R3807" s="2" t="s">
        <v>28</v>
      </c>
      <c r="S3807" s="9">
        <f>VLOOKUP(P3807,$T$2:U3804,2,1)</f>
        <v>0.02</v>
      </c>
    </row>
    <row r="3808" spans="1:19" x14ac:dyDescent="0.25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e">
        <f>VLOOKUP(F3808,'Customer Info'!A3800:I4299,2,0)</f>
        <v>#N/A</v>
      </c>
      <c r="H3808" s="6" t="e">
        <f>VLOOKUP(F3808,'Customer Info'!A3800:I4299,3,0)</f>
        <v>#N/A</v>
      </c>
      <c r="I3808" s="6" t="e">
        <f>VLOOKUP(F3808,'Customer Info'!A3800:I4299,5,0)</f>
        <v>#N/A</v>
      </c>
      <c r="J3808" s="2">
        <v>6585</v>
      </c>
      <c r="K3808" s="2">
        <v>6105</v>
      </c>
      <c r="L3808" s="2">
        <v>1</v>
      </c>
      <c r="M3808" s="7">
        <f t="shared" si="236"/>
        <v>6105</v>
      </c>
      <c r="N3808" s="7">
        <f t="shared" si="237"/>
        <v>6585</v>
      </c>
      <c r="O3808" s="2">
        <v>40</v>
      </c>
      <c r="P3808" s="8">
        <f t="shared" si="238"/>
        <v>6625</v>
      </c>
      <c r="Q3808" s="8">
        <f t="shared" si="239"/>
        <v>6545</v>
      </c>
      <c r="R3808" s="2" t="s">
        <v>28</v>
      </c>
      <c r="S3808" s="9">
        <f>VLOOKUP(P3808,$T$2:U3805,2,1)</f>
        <v>0.05</v>
      </c>
    </row>
    <row r="3809" spans="1:19" x14ac:dyDescent="0.25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e">
        <f>VLOOKUP(F3809,'Customer Info'!A3801:I4300,2,0)</f>
        <v>#N/A</v>
      </c>
      <c r="H3809" s="6" t="e">
        <f>VLOOKUP(F3809,'Customer Info'!A3801:I4300,3,0)</f>
        <v>#N/A</v>
      </c>
      <c r="I3809" s="6" t="e">
        <f>VLOOKUP(F3809,'Customer Info'!A3801:I4300,5,0)</f>
        <v>#N/A</v>
      </c>
      <c r="J3809" s="2">
        <v>1752</v>
      </c>
      <c r="K3809" s="2">
        <v>1576</v>
      </c>
      <c r="L3809" s="2">
        <v>1</v>
      </c>
      <c r="M3809" s="7">
        <f t="shared" si="236"/>
        <v>1576</v>
      </c>
      <c r="N3809" s="7">
        <f t="shared" si="237"/>
        <v>1752</v>
      </c>
      <c r="O3809" s="2">
        <v>71</v>
      </c>
      <c r="P3809" s="8">
        <f t="shared" si="238"/>
        <v>1823</v>
      </c>
      <c r="Q3809" s="8">
        <f t="shared" si="239"/>
        <v>1681</v>
      </c>
      <c r="R3809" s="2" t="s">
        <v>28</v>
      </c>
      <c r="S3809" s="9">
        <f>VLOOKUP(P3809,$T$2:U3806,2,1)</f>
        <v>0.02</v>
      </c>
    </row>
    <row r="3810" spans="1:19" x14ac:dyDescent="0.25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e">
        <f>VLOOKUP(F3810,'Customer Info'!A3802:I4301,2,0)</f>
        <v>#N/A</v>
      </c>
      <c r="H3810" s="6" t="e">
        <f>VLOOKUP(F3810,'Customer Info'!A3802:I4301,3,0)</f>
        <v>#N/A</v>
      </c>
      <c r="I3810" s="6" t="e">
        <f>VLOOKUP(F3810,'Customer Info'!A3802:I4301,5,0)</f>
        <v>#N/A</v>
      </c>
      <c r="J3810" s="2">
        <v>169</v>
      </c>
      <c r="K3810" s="2">
        <v>160</v>
      </c>
      <c r="L3810" s="2">
        <v>2</v>
      </c>
      <c r="M3810" s="7">
        <f t="shared" si="236"/>
        <v>320</v>
      </c>
      <c r="N3810" s="7">
        <f t="shared" si="237"/>
        <v>338</v>
      </c>
      <c r="O3810" s="2">
        <v>30</v>
      </c>
      <c r="P3810" s="8">
        <f t="shared" si="238"/>
        <v>368</v>
      </c>
      <c r="Q3810" s="8">
        <f t="shared" si="239"/>
        <v>308</v>
      </c>
      <c r="R3810" s="2" t="s">
        <v>28</v>
      </c>
      <c r="S3810" s="9">
        <f>VLOOKUP(P3810,$T$2:U3807,2,1)</f>
        <v>0.02</v>
      </c>
    </row>
    <row r="3811" spans="1:19" x14ac:dyDescent="0.25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e">
        <f>VLOOKUP(F3811,'Customer Info'!A3803:I4302,2,0)</f>
        <v>#N/A</v>
      </c>
      <c r="H3811" s="6" t="e">
        <f>VLOOKUP(F3811,'Customer Info'!A3803:I4302,3,0)</f>
        <v>#N/A</v>
      </c>
      <c r="I3811" s="6" t="e">
        <f>VLOOKUP(F3811,'Customer Info'!A3803:I4302,5,0)</f>
        <v>#N/A</v>
      </c>
      <c r="J3811" s="2">
        <v>3289</v>
      </c>
      <c r="K3811" s="2">
        <v>3105</v>
      </c>
      <c r="L3811" s="2">
        <v>14</v>
      </c>
      <c r="M3811" s="7">
        <f t="shared" si="236"/>
        <v>43470</v>
      </c>
      <c r="N3811" s="7">
        <f t="shared" si="237"/>
        <v>46046</v>
      </c>
      <c r="O3811" s="2">
        <v>65</v>
      </c>
      <c r="P3811" s="8">
        <f t="shared" si="238"/>
        <v>46111</v>
      </c>
      <c r="Q3811" s="8">
        <f t="shared" si="239"/>
        <v>45981</v>
      </c>
      <c r="R3811" s="2" t="s">
        <v>28</v>
      </c>
      <c r="S3811" s="9">
        <f>VLOOKUP(P3811,$T$2:U3808,2,1)</f>
        <v>7.0000000000000007E-2</v>
      </c>
    </row>
    <row r="3812" spans="1:19" x14ac:dyDescent="0.25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e">
        <f>VLOOKUP(F3812,'Customer Info'!A3804:I4303,2,0)</f>
        <v>#N/A</v>
      </c>
      <c r="H3812" s="6" t="e">
        <f>VLOOKUP(F3812,'Customer Info'!A3804:I4303,3,0)</f>
        <v>#N/A</v>
      </c>
      <c r="I3812" s="6" t="e">
        <f>VLOOKUP(F3812,'Customer Info'!A3804:I4303,5,0)</f>
        <v>#N/A</v>
      </c>
      <c r="J3812" s="2">
        <v>5051</v>
      </c>
      <c r="K3812" s="2">
        <v>4634</v>
      </c>
      <c r="L3812" s="2">
        <v>5</v>
      </c>
      <c r="M3812" s="7">
        <f t="shared" si="236"/>
        <v>23170</v>
      </c>
      <c r="N3812" s="7">
        <f t="shared" si="237"/>
        <v>25255</v>
      </c>
      <c r="O3812" s="2">
        <v>45</v>
      </c>
      <c r="P3812" s="8">
        <f t="shared" si="238"/>
        <v>25300</v>
      </c>
      <c r="Q3812" s="8">
        <f t="shared" si="239"/>
        <v>25210</v>
      </c>
      <c r="R3812" s="2" t="s">
        <v>56</v>
      </c>
      <c r="S3812" s="9">
        <f>VLOOKUP(P3812,$T$2:U3809,2,1)</f>
        <v>7.0000000000000007E-2</v>
      </c>
    </row>
    <row r="3813" spans="1:19" x14ac:dyDescent="0.25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e">
        <f>VLOOKUP(F3813,'Customer Info'!A3805:I4304,2,0)</f>
        <v>#N/A</v>
      </c>
      <c r="H3813" s="6" t="e">
        <f>VLOOKUP(F3813,'Customer Info'!A3805:I4304,3,0)</f>
        <v>#N/A</v>
      </c>
      <c r="I3813" s="6" t="e">
        <f>VLOOKUP(F3813,'Customer Info'!A3805:I4304,5,0)</f>
        <v>#N/A</v>
      </c>
      <c r="J3813" s="2">
        <v>185</v>
      </c>
      <c r="K3813" s="2">
        <v>171</v>
      </c>
      <c r="L3813" s="2">
        <v>5</v>
      </c>
      <c r="M3813" s="7">
        <f t="shared" si="236"/>
        <v>855</v>
      </c>
      <c r="N3813" s="7">
        <f t="shared" si="237"/>
        <v>925</v>
      </c>
      <c r="O3813" s="2">
        <v>30</v>
      </c>
      <c r="P3813" s="8">
        <f t="shared" si="238"/>
        <v>955</v>
      </c>
      <c r="Q3813" s="8">
        <f t="shared" si="239"/>
        <v>895</v>
      </c>
      <c r="R3813" s="2" t="s">
        <v>50</v>
      </c>
      <c r="S3813" s="9">
        <f>VLOOKUP(P3813,$T$2:U3810,2,1)</f>
        <v>0.02</v>
      </c>
    </row>
    <row r="3814" spans="1:19" x14ac:dyDescent="0.25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e">
        <f>VLOOKUP(F3814,'Customer Info'!A3806:I4305,2,0)</f>
        <v>#N/A</v>
      </c>
      <c r="H3814" s="6" t="e">
        <f>VLOOKUP(F3814,'Customer Info'!A3806:I4305,3,0)</f>
        <v>#N/A</v>
      </c>
      <c r="I3814" s="6" t="e">
        <f>VLOOKUP(F3814,'Customer Info'!A3806:I4305,5,0)</f>
        <v>#N/A</v>
      </c>
      <c r="J3814" s="2">
        <v>2250</v>
      </c>
      <c r="K3814" s="2">
        <v>2207</v>
      </c>
      <c r="L3814" s="2">
        <v>9</v>
      </c>
      <c r="M3814" s="7">
        <f t="shared" si="236"/>
        <v>19863</v>
      </c>
      <c r="N3814" s="7">
        <f t="shared" si="237"/>
        <v>20250</v>
      </c>
      <c r="O3814" s="2">
        <v>77</v>
      </c>
      <c r="P3814" s="8">
        <f t="shared" si="238"/>
        <v>20327</v>
      </c>
      <c r="Q3814" s="8">
        <f t="shared" si="239"/>
        <v>20173</v>
      </c>
      <c r="R3814" s="2" t="s">
        <v>28</v>
      </c>
      <c r="S3814" s="9">
        <f>VLOOKUP(P3814,$T$2:U3811,2,1)</f>
        <v>0.05</v>
      </c>
    </row>
    <row r="3815" spans="1:19" x14ac:dyDescent="0.25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e">
        <f>VLOOKUP(F3815,'Customer Info'!A3807:I4306,2,0)</f>
        <v>#N/A</v>
      </c>
      <c r="H3815" s="6" t="e">
        <f>VLOOKUP(F3815,'Customer Info'!A3807:I4306,3,0)</f>
        <v>#N/A</v>
      </c>
      <c r="I3815" s="6" t="e">
        <f>VLOOKUP(F3815,'Customer Info'!A3807:I4306,5,0)</f>
        <v>#N/A</v>
      </c>
      <c r="J3815" s="2">
        <v>1447</v>
      </c>
      <c r="K3815" s="2">
        <v>1326</v>
      </c>
      <c r="L3815" s="2">
        <v>1</v>
      </c>
      <c r="M3815" s="7">
        <f t="shared" si="236"/>
        <v>1326</v>
      </c>
      <c r="N3815" s="7">
        <f t="shared" si="237"/>
        <v>1447</v>
      </c>
      <c r="O3815" s="2">
        <v>87</v>
      </c>
      <c r="P3815" s="8">
        <f t="shared" si="238"/>
        <v>1534</v>
      </c>
      <c r="Q3815" s="8">
        <f t="shared" si="239"/>
        <v>1360</v>
      </c>
      <c r="R3815" s="2" t="s">
        <v>50</v>
      </c>
      <c r="S3815" s="9">
        <f>VLOOKUP(P3815,$T$2:U3812,2,1)</f>
        <v>0.02</v>
      </c>
    </row>
    <row r="3816" spans="1:19" x14ac:dyDescent="0.25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e">
        <f>VLOOKUP(F3816,'Customer Info'!A3808:I4307,2,0)</f>
        <v>#N/A</v>
      </c>
      <c r="H3816" s="6" t="e">
        <f>VLOOKUP(F3816,'Customer Info'!A3808:I4307,3,0)</f>
        <v>#N/A</v>
      </c>
      <c r="I3816" s="6" t="e">
        <f>VLOOKUP(F3816,'Customer Info'!A3808:I4307,5,0)</f>
        <v>#N/A</v>
      </c>
      <c r="J3816" s="2">
        <v>1364</v>
      </c>
      <c r="K3816" s="2">
        <v>1274</v>
      </c>
      <c r="L3816" s="2">
        <v>1</v>
      </c>
      <c r="M3816" s="7">
        <f t="shared" si="236"/>
        <v>1274</v>
      </c>
      <c r="N3816" s="7">
        <f t="shared" si="237"/>
        <v>1364</v>
      </c>
      <c r="O3816" s="2">
        <v>75</v>
      </c>
      <c r="P3816" s="8">
        <f t="shared" si="238"/>
        <v>1439</v>
      </c>
      <c r="Q3816" s="8">
        <f t="shared" si="239"/>
        <v>1289</v>
      </c>
      <c r="R3816" s="2" t="s">
        <v>28</v>
      </c>
      <c r="S3816" s="9">
        <f>VLOOKUP(P3816,$T$2:U3813,2,1)</f>
        <v>0.02</v>
      </c>
    </row>
    <row r="3817" spans="1:19" x14ac:dyDescent="0.25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e">
        <f>VLOOKUP(F3817,'Customer Info'!A3809:I4308,2,0)</f>
        <v>#N/A</v>
      </c>
      <c r="H3817" s="6" t="e">
        <f>VLOOKUP(F3817,'Customer Info'!A3809:I4308,3,0)</f>
        <v>#N/A</v>
      </c>
      <c r="I3817" s="6" t="e">
        <f>VLOOKUP(F3817,'Customer Info'!A3809:I4308,5,0)</f>
        <v>#N/A</v>
      </c>
      <c r="J3817" s="2">
        <v>3354</v>
      </c>
      <c r="K3817" s="2">
        <v>3102</v>
      </c>
      <c r="L3817" s="2">
        <v>2</v>
      </c>
      <c r="M3817" s="7">
        <f t="shared" si="236"/>
        <v>6204</v>
      </c>
      <c r="N3817" s="7">
        <f t="shared" si="237"/>
        <v>6708</v>
      </c>
      <c r="O3817" s="2">
        <v>29</v>
      </c>
      <c r="P3817" s="8">
        <f t="shared" si="238"/>
        <v>6737</v>
      </c>
      <c r="Q3817" s="8">
        <f t="shared" si="239"/>
        <v>6679</v>
      </c>
      <c r="R3817" s="2" t="s">
        <v>50</v>
      </c>
      <c r="S3817" s="9">
        <f>VLOOKUP(P3817,$T$2:U3814,2,1)</f>
        <v>0.05</v>
      </c>
    </row>
    <row r="3818" spans="1:19" x14ac:dyDescent="0.25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e">
        <f>VLOOKUP(F3818,'Customer Info'!A3810:I4309,2,0)</f>
        <v>#N/A</v>
      </c>
      <c r="H3818" s="6" t="e">
        <f>VLOOKUP(F3818,'Customer Info'!A3810:I4309,3,0)</f>
        <v>#N/A</v>
      </c>
      <c r="I3818" s="6" t="e">
        <f>VLOOKUP(F3818,'Customer Info'!A3810:I4309,5,0)</f>
        <v>#N/A</v>
      </c>
      <c r="J3818" s="2">
        <v>751</v>
      </c>
      <c r="K3818" s="2">
        <v>696</v>
      </c>
      <c r="L3818" s="2">
        <v>3</v>
      </c>
      <c r="M3818" s="7">
        <f t="shared" si="236"/>
        <v>2088</v>
      </c>
      <c r="N3818" s="7">
        <f t="shared" si="237"/>
        <v>2253</v>
      </c>
      <c r="O3818" s="2">
        <v>72</v>
      </c>
      <c r="P3818" s="8">
        <f t="shared" si="238"/>
        <v>2325</v>
      </c>
      <c r="Q3818" s="8">
        <f t="shared" si="239"/>
        <v>2181</v>
      </c>
      <c r="R3818" s="2" t="s">
        <v>50</v>
      </c>
      <c r="S3818" s="9">
        <f>VLOOKUP(P3818,$T$2:U3815,2,1)</f>
        <v>0.02</v>
      </c>
    </row>
    <row r="3819" spans="1:19" x14ac:dyDescent="0.25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e">
        <f>VLOOKUP(F3819,'Customer Info'!A3811:I4310,2,0)</f>
        <v>#N/A</v>
      </c>
      <c r="H3819" s="6" t="e">
        <f>VLOOKUP(F3819,'Customer Info'!A3811:I4310,3,0)</f>
        <v>#N/A</v>
      </c>
      <c r="I3819" s="6" t="e">
        <f>VLOOKUP(F3819,'Customer Info'!A3811:I4310,5,0)</f>
        <v>#N/A</v>
      </c>
      <c r="J3819" s="2">
        <v>1772</v>
      </c>
      <c r="K3819" s="2">
        <v>1656</v>
      </c>
      <c r="L3819" s="2">
        <v>1</v>
      </c>
      <c r="M3819" s="7">
        <f t="shared" si="236"/>
        <v>1656</v>
      </c>
      <c r="N3819" s="7">
        <f t="shared" si="237"/>
        <v>1772</v>
      </c>
      <c r="O3819" s="2">
        <v>38</v>
      </c>
      <c r="P3819" s="8">
        <f t="shared" si="238"/>
        <v>1810</v>
      </c>
      <c r="Q3819" s="8">
        <f t="shared" si="239"/>
        <v>1734</v>
      </c>
      <c r="R3819" s="2" t="s">
        <v>50</v>
      </c>
      <c r="S3819" s="9">
        <f>VLOOKUP(P3819,$T$2:U3816,2,1)</f>
        <v>0.02</v>
      </c>
    </row>
    <row r="3820" spans="1:19" x14ac:dyDescent="0.25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e">
        <f>VLOOKUP(F3820,'Customer Info'!A3812:I4311,2,0)</f>
        <v>#N/A</v>
      </c>
      <c r="H3820" s="6" t="e">
        <f>VLOOKUP(F3820,'Customer Info'!A3812:I4311,3,0)</f>
        <v>#N/A</v>
      </c>
      <c r="I3820" s="6" t="e">
        <f>VLOOKUP(F3820,'Customer Info'!A3812:I4311,5,0)</f>
        <v>#N/A</v>
      </c>
      <c r="J3820" s="2">
        <v>8433</v>
      </c>
      <c r="K3820" s="2">
        <v>7801</v>
      </c>
      <c r="L3820" s="2">
        <v>2</v>
      </c>
      <c r="M3820" s="7">
        <f t="shared" si="236"/>
        <v>15602</v>
      </c>
      <c r="N3820" s="7">
        <f t="shared" si="237"/>
        <v>16866</v>
      </c>
      <c r="O3820" s="2">
        <v>81</v>
      </c>
      <c r="P3820" s="8">
        <f t="shared" si="238"/>
        <v>16947</v>
      </c>
      <c r="Q3820" s="8">
        <f t="shared" si="239"/>
        <v>16785</v>
      </c>
      <c r="R3820" s="2" t="s">
        <v>28</v>
      </c>
      <c r="S3820" s="9">
        <f>VLOOKUP(P3820,$T$2:U3817,2,1)</f>
        <v>0.05</v>
      </c>
    </row>
    <row r="3821" spans="1:19" x14ac:dyDescent="0.25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e">
        <f>VLOOKUP(F3821,'Customer Info'!A3813:I4312,2,0)</f>
        <v>#N/A</v>
      </c>
      <c r="H3821" s="6" t="e">
        <f>VLOOKUP(F3821,'Customer Info'!A3813:I4312,3,0)</f>
        <v>#N/A</v>
      </c>
      <c r="I3821" s="6" t="e">
        <f>VLOOKUP(F3821,'Customer Info'!A3813:I4312,5,0)</f>
        <v>#N/A</v>
      </c>
      <c r="J3821" s="2">
        <v>123</v>
      </c>
      <c r="K3821" s="2">
        <v>115</v>
      </c>
      <c r="L3821" s="2">
        <v>1</v>
      </c>
      <c r="M3821" s="7">
        <f t="shared" si="236"/>
        <v>115</v>
      </c>
      <c r="N3821" s="7">
        <f t="shared" si="237"/>
        <v>123</v>
      </c>
      <c r="O3821" s="2">
        <v>30</v>
      </c>
      <c r="P3821" s="8">
        <f t="shared" si="238"/>
        <v>153</v>
      </c>
      <c r="Q3821" s="8">
        <f t="shared" si="239"/>
        <v>93</v>
      </c>
      <c r="R3821" s="2" t="s">
        <v>50</v>
      </c>
      <c r="S3821" s="9">
        <f>VLOOKUP(P3821,$T$2:U3818,2,1)</f>
        <v>0.02</v>
      </c>
    </row>
    <row r="3822" spans="1:19" x14ac:dyDescent="0.25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e">
        <f>VLOOKUP(F3822,'Customer Info'!A3814:I4313,2,0)</f>
        <v>#N/A</v>
      </c>
      <c r="H3822" s="6" t="e">
        <f>VLOOKUP(F3822,'Customer Info'!A3814:I4313,3,0)</f>
        <v>#N/A</v>
      </c>
      <c r="I3822" s="6" t="e">
        <f>VLOOKUP(F3822,'Customer Info'!A3814:I4313,5,0)</f>
        <v>#N/A</v>
      </c>
      <c r="J3822" s="2">
        <v>8399</v>
      </c>
      <c r="K3822" s="2">
        <v>8001</v>
      </c>
      <c r="L3822" s="2">
        <v>1</v>
      </c>
      <c r="M3822" s="7">
        <f t="shared" si="236"/>
        <v>8001</v>
      </c>
      <c r="N3822" s="7">
        <f t="shared" si="237"/>
        <v>8399</v>
      </c>
      <c r="O3822" s="2">
        <v>32</v>
      </c>
      <c r="P3822" s="8">
        <f t="shared" si="238"/>
        <v>8431</v>
      </c>
      <c r="Q3822" s="8">
        <f t="shared" si="239"/>
        <v>8367</v>
      </c>
      <c r="R3822" s="2" t="s">
        <v>28</v>
      </c>
      <c r="S3822" s="9">
        <f>VLOOKUP(P3822,$T$2:U3819,2,1)</f>
        <v>0.05</v>
      </c>
    </row>
    <row r="3823" spans="1:19" x14ac:dyDescent="0.25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e">
        <f>VLOOKUP(F3823,'Customer Info'!A3815:I4314,2,0)</f>
        <v>#N/A</v>
      </c>
      <c r="H3823" s="6" t="e">
        <f>VLOOKUP(F3823,'Customer Info'!A3815:I4314,3,0)</f>
        <v>#N/A</v>
      </c>
      <c r="I3823" s="6" t="e">
        <f>VLOOKUP(F3823,'Customer Info'!A3815:I4314,5,0)</f>
        <v>#N/A</v>
      </c>
      <c r="J3823" s="2">
        <v>7922</v>
      </c>
      <c r="K3823" s="2">
        <v>7328</v>
      </c>
      <c r="L3823" s="2">
        <v>5</v>
      </c>
      <c r="M3823" s="7">
        <f t="shared" si="236"/>
        <v>36640</v>
      </c>
      <c r="N3823" s="7">
        <f t="shared" si="237"/>
        <v>39610</v>
      </c>
      <c r="O3823" s="2">
        <v>98</v>
      </c>
      <c r="P3823" s="8">
        <f t="shared" si="238"/>
        <v>39708</v>
      </c>
      <c r="Q3823" s="8">
        <f t="shared" si="239"/>
        <v>39512</v>
      </c>
      <c r="R3823" s="2" t="s">
        <v>28</v>
      </c>
      <c r="S3823" s="9">
        <f>VLOOKUP(P3823,$T$2:U3820,2,1)</f>
        <v>7.0000000000000007E-2</v>
      </c>
    </row>
    <row r="3824" spans="1:19" x14ac:dyDescent="0.25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e">
        <f>VLOOKUP(F3824,'Customer Info'!A3816:I4315,2,0)</f>
        <v>#N/A</v>
      </c>
      <c r="H3824" s="6" t="e">
        <f>VLOOKUP(F3824,'Customer Info'!A3816:I4315,3,0)</f>
        <v>#N/A</v>
      </c>
      <c r="I3824" s="6" t="e">
        <f>VLOOKUP(F3824,'Customer Info'!A3816:I4315,5,0)</f>
        <v>#N/A</v>
      </c>
      <c r="J3824" s="2">
        <v>4761</v>
      </c>
      <c r="K3824" s="2">
        <v>4368</v>
      </c>
      <c r="L3824" s="2">
        <v>4</v>
      </c>
      <c r="M3824" s="7">
        <f t="shared" si="236"/>
        <v>17472</v>
      </c>
      <c r="N3824" s="7">
        <f t="shared" si="237"/>
        <v>19044</v>
      </c>
      <c r="O3824" s="2">
        <v>81</v>
      </c>
      <c r="P3824" s="8">
        <f t="shared" si="238"/>
        <v>19125</v>
      </c>
      <c r="Q3824" s="8">
        <f t="shared" si="239"/>
        <v>18963</v>
      </c>
      <c r="R3824" s="2" t="s">
        <v>28</v>
      </c>
      <c r="S3824" s="9">
        <f>VLOOKUP(P3824,$T$2:U3821,2,1)</f>
        <v>0.05</v>
      </c>
    </row>
    <row r="3825" spans="1:19" x14ac:dyDescent="0.25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e">
        <f>VLOOKUP(F3825,'Customer Info'!A3817:I4316,2,0)</f>
        <v>#N/A</v>
      </c>
      <c r="H3825" s="6" t="e">
        <f>VLOOKUP(F3825,'Customer Info'!A3817:I4316,3,0)</f>
        <v>#N/A</v>
      </c>
      <c r="I3825" s="6" t="e">
        <f>VLOOKUP(F3825,'Customer Info'!A3817:I4316,5,0)</f>
        <v>#N/A</v>
      </c>
      <c r="J3825" s="2">
        <v>7691</v>
      </c>
      <c r="K3825" s="2">
        <v>7255</v>
      </c>
      <c r="L3825" s="2">
        <v>7</v>
      </c>
      <c r="M3825" s="7">
        <f t="shared" si="236"/>
        <v>50785</v>
      </c>
      <c r="N3825" s="7">
        <f t="shared" si="237"/>
        <v>53837</v>
      </c>
      <c r="O3825" s="2">
        <v>21</v>
      </c>
      <c r="P3825" s="8">
        <f t="shared" si="238"/>
        <v>53858</v>
      </c>
      <c r="Q3825" s="8">
        <f t="shared" si="239"/>
        <v>53816</v>
      </c>
      <c r="R3825" s="2" t="s">
        <v>26</v>
      </c>
      <c r="S3825" s="9">
        <f>VLOOKUP(P3825,$T$2:U3822,2,1)</f>
        <v>0.09</v>
      </c>
    </row>
    <row r="3826" spans="1:19" x14ac:dyDescent="0.25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e">
        <f>VLOOKUP(F3826,'Customer Info'!A3818:I4317,2,0)</f>
        <v>#N/A</v>
      </c>
      <c r="H3826" s="6" t="e">
        <f>VLOOKUP(F3826,'Customer Info'!A3818:I4317,3,0)</f>
        <v>#N/A</v>
      </c>
      <c r="I3826" s="6" t="e">
        <f>VLOOKUP(F3826,'Customer Info'!A3818:I4317,5,0)</f>
        <v>#N/A</v>
      </c>
      <c r="J3826" s="2">
        <v>139</v>
      </c>
      <c r="K3826" s="2">
        <v>133</v>
      </c>
      <c r="L3826" s="2">
        <v>2</v>
      </c>
      <c r="M3826" s="7">
        <f t="shared" si="236"/>
        <v>266</v>
      </c>
      <c r="N3826" s="7">
        <f t="shared" si="237"/>
        <v>278</v>
      </c>
      <c r="O3826" s="2">
        <v>30</v>
      </c>
      <c r="P3826" s="8">
        <f t="shared" si="238"/>
        <v>308</v>
      </c>
      <c r="Q3826" s="8">
        <f t="shared" si="239"/>
        <v>248</v>
      </c>
      <c r="R3826" s="2" t="s">
        <v>56</v>
      </c>
      <c r="S3826" s="9">
        <f>VLOOKUP(P3826,$T$2:U3823,2,1)</f>
        <v>0.02</v>
      </c>
    </row>
    <row r="3827" spans="1:19" x14ac:dyDescent="0.25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e">
        <f>VLOOKUP(F3827,'Customer Info'!A3819:I4318,2,0)</f>
        <v>#N/A</v>
      </c>
      <c r="H3827" s="6" t="e">
        <f>VLOOKUP(F3827,'Customer Info'!A3819:I4318,3,0)</f>
        <v>#N/A</v>
      </c>
      <c r="I3827" s="6" t="e">
        <f>VLOOKUP(F3827,'Customer Info'!A3819:I4318,5,0)</f>
        <v>#N/A</v>
      </c>
      <c r="J3827" s="2">
        <v>8160</v>
      </c>
      <c r="K3827" s="2">
        <v>7475</v>
      </c>
      <c r="L3827" s="2">
        <v>3</v>
      </c>
      <c r="M3827" s="7">
        <f t="shared" si="236"/>
        <v>22425</v>
      </c>
      <c r="N3827" s="7">
        <f t="shared" si="237"/>
        <v>24480</v>
      </c>
      <c r="O3827" s="2">
        <v>55</v>
      </c>
      <c r="P3827" s="8">
        <f t="shared" si="238"/>
        <v>24535</v>
      </c>
      <c r="Q3827" s="8">
        <f t="shared" si="239"/>
        <v>24425</v>
      </c>
      <c r="R3827" s="2" t="s">
        <v>26</v>
      </c>
      <c r="S3827" s="9">
        <f>VLOOKUP(P3827,$T$2:U3824,2,1)</f>
        <v>0.05</v>
      </c>
    </row>
    <row r="3828" spans="1:19" x14ac:dyDescent="0.25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e">
        <f>VLOOKUP(F3828,'Customer Info'!A3820:I4319,2,0)</f>
        <v>#N/A</v>
      </c>
      <c r="H3828" s="6" t="e">
        <f>VLOOKUP(F3828,'Customer Info'!A3820:I4319,3,0)</f>
        <v>#N/A</v>
      </c>
      <c r="I3828" s="6" t="e">
        <f>VLOOKUP(F3828,'Customer Info'!A3820:I4319,5,0)</f>
        <v>#N/A</v>
      </c>
      <c r="J3828" s="2">
        <v>6864</v>
      </c>
      <c r="K3828" s="2">
        <v>6667</v>
      </c>
      <c r="L3828" s="2">
        <v>6</v>
      </c>
      <c r="M3828" s="7">
        <f t="shared" si="236"/>
        <v>40002</v>
      </c>
      <c r="N3828" s="7">
        <f t="shared" si="237"/>
        <v>41184</v>
      </c>
      <c r="O3828" s="2">
        <v>67</v>
      </c>
      <c r="P3828" s="8">
        <f t="shared" si="238"/>
        <v>41251</v>
      </c>
      <c r="Q3828" s="8">
        <f t="shared" si="239"/>
        <v>41117</v>
      </c>
      <c r="R3828" s="2" t="s">
        <v>28</v>
      </c>
      <c r="S3828" s="9">
        <f>VLOOKUP(P3828,$T$2:U3825,2,1)</f>
        <v>7.0000000000000007E-2</v>
      </c>
    </row>
    <row r="3829" spans="1:19" x14ac:dyDescent="0.25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e">
        <f>VLOOKUP(F3829,'Customer Info'!A3821:I4320,2,0)</f>
        <v>#N/A</v>
      </c>
      <c r="H3829" s="6" t="e">
        <f>VLOOKUP(F3829,'Customer Info'!A3821:I4320,3,0)</f>
        <v>#N/A</v>
      </c>
      <c r="I3829" s="6" t="e">
        <f>VLOOKUP(F3829,'Customer Info'!A3821:I4320,5,0)</f>
        <v>#N/A</v>
      </c>
      <c r="J3829" s="2">
        <v>202</v>
      </c>
      <c r="K3829" s="2">
        <v>187</v>
      </c>
      <c r="L3829" s="2">
        <v>1</v>
      </c>
      <c r="M3829" s="7">
        <f t="shared" si="236"/>
        <v>187</v>
      </c>
      <c r="N3829" s="7">
        <f t="shared" si="237"/>
        <v>202</v>
      </c>
      <c r="O3829" s="2">
        <v>30</v>
      </c>
      <c r="P3829" s="8">
        <f t="shared" si="238"/>
        <v>232</v>
      </c>
      <c r="Q3829" s="8">
        <f t="shared" si="239"/>
        <v>172</v>
      </c>
      <c r="R3829" s="2" t="s">
        <v>50</v>
      </c>
      <c r="S3829" s="9">
        <f>VLOOKUP(P3829,$T$2:U3826,2,1)</f>
        <v>0.02</v>
      </c>
    </row>
    <row r="3830" spans="1:19" x14ac:dyDescent="0.25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e">
        <f>VLOOKUP(F3830,'Customer Info'!A3822:I4321,2,0)</f>
        <v>#N/A</v>
      </c>
      <c r="H3830" s="6" t="e">
        <f>VLOOKUP(F3830,'Customer Info'!A3822:I4321,3,0)</f>
        <v>#N/A</v>
      </c>
      <c r="I3830" s="6" t="e">
        <f>VLOOKUP(F3830,'Customer Info'!A3822:I4321,5,0)</f>
        <v>#N/A</v>
      </c>
      <c r="J3830" s="2">
        <v>1721</v>
      </c>
      <c r="K3830" s="2">
        <v>1640</v>
      </c>
      <c r="L3830" s="2">
        <v>2</v>
      </c>
      <c r="M3830" s="7">
        <f t="shared" si="236"/>
        <v>3280</v>
      </c>
      <c r="N3830" s="7">
        <f t="shared" si="237"/>
        <v>3442</v>
      </c>
      <c r="O3830" s="2">
        <v>28</v>
      </c>
      <c r="P3830" s="8">
        <f t="shared" si="238"/>
        <v>3470</v>
      </c>
      <c r="Q3830" s="8">
        <f t="shared" si="239"/>
        <v>3414</v>
      </c>
      <c r="R3830" s="2" t="s">
        <v>28</v>
      </c>
      <c r="S3830" s="9">
        <f>VLOOKUP(P3830,$T$2:U3827,2,1)</f>
        <v>0.02</v>
      </c>
    </row>
    <row r="3831" spans="1:19" x14ac:dyDescent="0.25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e">
        <f>VLOOKUP(F3831,'Customer Info'!A3823:I4322,2,0)</f>
        <v>#N/A</v>
      </c>
      <c r="H3831" s="6" t="e">
        <f>VLOOKUP(F3831,'Customer Info'!A3823:I4322,3,0)</f>
        <v>#N/A</v>
      </c>
      <c r="I3831" s="6" t="e">
        <f>VLOOKUP(F3831,'Customer Info'!A3823:I4322,5,0)</f>
        <v>#N/A</v>
      </c>
      <c r="J3831" s="2">
        <v>279</v>
      </c>
      <c r="K3831" s="2">
        <v>254</v>
      </c>
      <c r="L3831" s="2">
        <v>3</v>
      </c>
      <c r="M3831" s="7">
        <f t="shared" si="236"/>
        <v>762</v>
      </c>
      <c r="N3831" s="7">
        <f t="shared" si="237"/>
        <v>837</v>
      </c>
      <c r="O3831" s="2">
        <v>25</v>
      </c>
      <c r="P3831" s="8">
        <f t="shared" si="238"/>
        <v>862</v>
      </c>
      <c r="Q3831" s="8">
        <f t="shared" si="239"/>
        <v>812</v>
      </c>
      <c r="R3831" s="2" t="s">
        <v>50</v>
      </c>
      <c r="S3831" s="9">
        <f>VLOOKUP(P3831,$T$2:U3828,2,1)</f>
        <v>0.02</v>
      </c>
    </row>
    <row r="3832" spans="1:19" x14ac:dyDescent="0.25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e">
        <f>VLOOKUP(F3832,'Customer Info'!A3824:I4323,2,0)</f>
        <v>#N/A</v>
      </c>
      <c r="H3832" s="6" t="e">
        <f>VLOOKUP(F3832,'Customer Info'!A3824:I4323,3,0)</f>
        <v>#N/A</v>
      </c>
      <c r="I3832" s="6" t="e">
        <f>VLOOKUP(F3832,'Customer Info'!A3824:I4323,5,0)</f>
        <v>#N/A</v>
      </c>
      <c r="J3832" s="2">
        <v>992</v>
      </c>
      <c r="K3832" s="2">
        <v>928</v>
      </c>
      <c r="L3832" s="2">
        <v>3</v>
      </c>
      <c r="M3832" s="7">
        <f t="shared" si="236"/>
        <v>2784</v>
      </c>
      <c r="N3832" s="7">
        <f t="shared" si="237"/>
        <v>2976</v>
      </c>
      <c r="O3832" s="2">
        <v>28</v>
      </c>
      <c r="P3832" s="8">
        <f t="shared" si="238"/>
        <v>3004</v>
      </c>
      <c r="Q3832" s="8">
        <f t="shared" si="239"/>
        <v>2948</v>
      </c>
      <c r="R3832" s="2" t="s">
        <v>50</v>
      </c>
      <c r="S3832" s="9">
        <f>VLOOKUP(P3832,$T$2:U3829,2,1)</f>
        <v>0.02</v>
      </c>
    </row>
    <row r="3833" spans="1:19" x14ac:dyDescent="0.25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e">
        <f>VLOOKUP(F3833,'Customer Info'!A3825:I4324,2,0)</f>
        <v>#N/A</v>
      </c>
      <c r="H3833" s="6" t="e">
        <f>VLOOKUP(F3833,'Customer Info'!A3825:I4324,3,0)</f>
        <v>#N/A</v>
      </c>
      <c r="I3833" s="6" t="e">
        <f>VLOOKUP(F3833,'Customer Info'!A3825:I4324,5,0)</f>
        <v>#N/A</v>
      </c>
      <c r="J3833" s="2">
        <v>2864</v>
      </c>
      <c r="K3833" s="2">
        <v>2754</v>
      </c>
      <c r="L3833" s="2">
        <v>8</v>
      </c>
      <c r="M3833" s="7">
        <f t="shared" si="236"/>
        <v>22032</v>
      </c>
      <c r="N3833" s="7">
        <f t="shared" si="237"/>
        <v>22912</v>
      </c>
      <c r="O3833" s="2">
        <v>47</v>
      </c>
      <c r="P3833" s="8">
        <f t="shared" si="238"/>
        <v>22959</v>
      </c>
      <c r="Q3833" s="8">
        <f t="shared" si="239"/>
        <v>22865</v>
      </c>
      <c r="R3833" s="2" t="s">
        <v>28</v>
      </c>
      <c r="S3833" s="9">
        <f>VLOOKUP(P3833,$T$2:U3830,2,1)</f>
        <v>0.05</v>
      </c>
    </row>
    <row r="3834" spans="1:19" x14ac:dyDescent="0.25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e">
        <f>VLOOKUP(F3834,'Customer Info'!A3826:I4325,2,0)</f>
        <v>#N/A</v>
      </c>
      <c r="H3834" s="6" t="e">
        <f>VLOOKUP(F3834,'Customer Info'!A3826:I4325,3,0)</f>
        <v>#N/A</v>
      </c>
      <c r="I3834" s="6" t="e">
        <f>VLOOKUP(F3834,'Customer Info'!A3826:I4325,5,0)</f>
        <v>#N/A</v>
      </c>
      <c r="J3834" s="2">
        <v>2333</v>
      </c>
      <c r="K3834" s="2">
        <v>2060</v>
      </c>
      <c r="L3834" s="2">
        <v>4</v>
      </c>
      <c r="M3834" s="7">
        <f t="shared" si="236"/>
        <v>8240</v>
      </c>
      <c r="N3834" s="7">
        <f t="shared" si="237"/>
        <v>9332</v>
      </c>
      <c r="O3834" s="2">
        <v>30</v>
      </c>
      <c r="P3834" s="8">
        <f t="shared" si="238"/>
        <v>9362</v>
      </c>
      <c r="Q3834" s="8">
        <f t="shared" si="239"/>
        <v>9302</v>
      </c>
      <c r="R3834" s="2" t="s">
        <v>26</v>
      </c>
      <c r="S3834" s="9">
        <f>VLOOKUP(P3834,$T$2:U3831,2,1)</f>
        <v>0.05</v>
      </c>
    </row>
    <row r="3835" spans="1:19" x14ac:dyDescent="0.25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e">
        <f>VLOOKUP(F3835,'Customer Info'!A3827:I4326,2,0)</f>
        <v>#N/A</v>
      </c>
      <c r="H3835" s="6" t="e">
        <f>VLOOKUP(F3835,'Customer Info'!A3827:I4326,3,0)</f>
        <v>#N/A</v>
      </c>
      <c r="I3835" s="6" t="e">
        <f>VLOOKUP(F3835,'Customer Info'!A3827:I4326,5,0)</f>
        <v>#N/A</v>
      </c>
      <c r="J3835" s="2">
        <v>1169</v>
      </c>
      <c r="K3835" s="2">
        <v>1103</v>
      </c>
      <c r="L3835" s="2">
        <v>4</v>
      </c>
      <c r="M3835" s="7">
        <f t="shared" si="236"/>
        <v>4412</v>
      </c>
      <c r="N3835" s="7">
        <f t="shared" si="237"/>
        <v>4676</v>
      </c>
      <c r="O3835" s="2">
        <v>71</v>
      </c>
      <c r="P3835" s="8">
        <f t="shared" si="238"/>
        <v>4747</v>
      </c>
      <c r="Q3835" s="8">
        <f t="shared" si="239"/>
        <v>4605</v>
      </c>
      <c r="R3835" s="2" t="s">
        <v>28</v>
      </c>
      <c r="S3835" s="9">
        <f>VLOOKUP(P3835,$T$2:U3832,2,1)</f>
        <v>0.02</v>
      </c>
    </row>
    <row r="3836" spans="1:19" x14ac:dyDescent="0.25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e">
        <f>VLOOKUP(F3836,'Customer Info'!A3828:I4327,2,0)</f>
        <v>#N/A</v>
      </c>
      <c r="H3836" s="6" t="e">
        <f>VLOOKUP(F3836,'Customer Info'!A3828:I4327,3,0)</f>
        <v>#N/A</v>
      </c>
      <c r="I3836" s="6" t="e">
        <f>VLOOKUP(F3836,'Customer Info'!A3828:I4327,5,0)</f>
        <v>#N/A</v>
      </c>
      <c r="J3836" s="2">
        <v>4761</v>
      </c>
      <c r="K3836" s="2">
        <v>4368</v>
      </c>
      <c r="L3836" s="2">
        <v>9</v>
      </c>
      <c r="M3836" s="7">
        <f t="shared" si="236"/>
        <v>39312</v>
      </c>
      <c r="N3836" s="7">
        <f t="shared" si="237"/>
        <v>42849</v>
      </c>
      <c r="O3836" s="2">
        <v>25</v>
      </c>
      <c r="P3836" s="8">
        <f t="shared" si="238"/>
        <v>42874</v>
      </c>
      <c r="Q3836" s="8">
        <f t="shared" si="239"/>
        <v>42824</v>
      </c>
      <c r="R3836" s="2" t="s">
        <v>28</v>
      </c>
      <c r="S3836" s="9">
        <f>VLOOKUP(P3836,$T$2:U3833,2,1)</f>
        <v>7.0000000000000007E-2</v>
      </c>
    </row>
    <row r="3837" spans="1:19" x14ac:dyDescent="0.25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e">
        <f>VLOOKUP(F3837,'Customer Info'!A3829:I4328,2,0)</f>
        <v>#N/A</v>
      </c>
      <c r="H3837" s="6" t="e">
        <f>VLOOKUP(F3837,'Customer Info'!A3829:I4328,3,0)</f>
        <v>#N/A</v>
      </c>
      <c r="I3837" s="6" t="e">
        <f>VLOOKUP(F3837,'Customer Info'!A3829:I4328,5,0)</f>
        <v>#N/A</v>
      </c>
      <c r="J3837" s="2">
        <v>63</v>
      </c>
      <c r="K3837" s="2">
        <v>59</v>
      </c>
      <c r="L3837" s="2">
        <v>1</v>
      </c>
      <c r="M3837" s="7">
        <f t="shared" si="236"/>
        <v>59</v>
      </c>
      <c r="N3837" s="7">
        <f t="shared" si="237"/>
        <v>63</v>
      </c>
      <c r="O3837" s="2">
        <v>10</v>
      </c>
      <c r="P3837" s="8">
        <f t="shared" si="238"/>
        <v>73</v>
      </c>
      <c r="Q3837" s="8">
        <f t="shared" si="239"/>
        <v>53</v>
      </c>
      <c r="R3837" s="2" t="s">
        <v>28</v>
      </c>
      <c r="S3837" s="9">
        <f>VLOOKUP(P3837,$T$2:U3834,2,1)</f>
        <v>0.02</v>
      </c>
    </row>
    <row r="3838" spans="1:19" x14ac:dyDescent="0.25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e">
        <f>VLOOKUP(F3838,'Customer Info'!A3830:I4329,2,0)</f>
        <v>#N/A</v>
      </c>
      <c r="H3838" s="6" t="e">
        <f>VLOOKUP(F3838,'Customer Info'!A3830:I4329,3,0)</f>
        <v>#N/A</v>
      </c>
      <c r="I3838" s="6" t="e">
        <f>VLOOKUP(F3838,'Customer Info'!A3830:I4329,5,0)</f>
        <v>#N/A</v>
      </c>
      <c r="J3838" s="2">
        <v>456</v>
      </c>
      <c r="K3838" s="2">
        <v>430</v>
      </c>
      <c r="L3838" s="2">
        <v>1</v>
      </c>
      <c r="M3838" s="7">
        <f t="shared" si="236"/>
        <v>430</v>
      </c>
      <c r="N3838" s="7">
        <f t="shared" si="237"/>
        <v>456</v>
      </c>
      <c r="O3838" s="2">
        <v>29</v>
      </c>
      <c r="P3838" s="8">
        <f t="shared" si="238"/>
        <v>485</v>
      </c>
      <c r="Q3838" s="8">
        <f t="shared" si="239"/>
        <v>427</v>
      </c>
      <c r="R3838" s="2" t="s">
        <v>28</v>
      </c>
      <c r="S3838" s="9">
        <f>VLOOKUP(P3838,$T$2:U3835,2,1)</f>
        <v>0.02</v>
      </c>
    </row>
    <row r="3839" spans="1:19" x14ac:dyDescent="0.25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e">
        <f>VLOOKUP(F3839,'Customer Info'!A3831:I4330,2,0)</f>
        <v>#N/A</v>
      </c>
      <c r="H3839" s="6" t="e">
        <f>VLOOKUP(F3839,'Customer Info'!A3831:I4330,3,0)</f>
        <v>#N/A</v>
      </c>
      <c r="I3839" s="6" t="e">
        <f>VLOOKUP(F3839,'Customer Info'!A3831:I4330,5,0)</f>
        <v>#N/A</v>
      </c>
      <c r="J3839" s="2">
        <v>97</v>
      </c>
      <c r="K3839" s="2">
        <v>92</v>
      </c>
      <c r="L3839" s="2">
        <v>7</v>
      </c>
      <c r="M3839" s="7">
        <f t="shared" si="236"/>
        <v>644</v>
      </c>
      <c r="N3839" s="7">
        <f t="shared" si="237"/>
        <v>679</v>
      </c>
      <c r="O3839" s="2">
        <v>10</v>
      </c>
      <c r="P3839" s="8">
        <f t="shared" si="238"/>
        <v>689</v>
      </c>
      <c r="Q3839" s="8">
        <f t="shared" si="239"/>
        <v>669</v>
      </c>
      <c r="R3839" s="2" t="s">
        <v>28</v>
      </c>
      <c r="S3839" s="9">
        <f>VLOOKUP(P3839,$T$2:U3836,2,1)</f>
        <v>0.02</v>
      </c>
    </row>
    <row r="3840" spans="1:19" x14ac:dyDescent="0.25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e">
        <f>VLOOKUP(F3840,'Customer Info'!A3832:I4331,2,0)</f>
        <v>#N/A</v>
      </c>
      <c r="H3840" s="6" t="e">
        <f>VLOOKUP(F3840,'Customer Info'!A3832:I4331,3,0)</f>
        <v>#N/A</v>
      </c>
      <c r="I3840" s="6" t="e">
        <f>VLOOKUP(F3840,'Customer Info'!A3832:I4331,5,0)</f>
        <v>#N/A</v>
      </c>
      <c r="J3840" s="2">
        <v>2310</v>
      </c>
      <c r="K3840" s="2">
        <v>2040</v>
      </c>
      <c r="L3840" s="2">
        <v>9</v>
      </c>
      <c r="M3840" s="7">
        <f t="shared" si="236"/>
        <v>18360</v>
      </c>
      <c r="N3840" s="7">
        <f t="shared" si="237"/>
        <v>20790</v>
      </c>
      <c r="O3840" s="2">
        <v>65</v>
      </c>
      <c r="P3840" s="8">
        <f t="shared" si="238"/>
        <v>20855</v>
      </c>
      <c r="Q3840" s="8">
        <f t="shared" si="239"/>
        <v>20725</v>
      </c>
      <c r="R3840" s="2" t="s">
        <v>28</v>
      </c>
      <c r="S3840" s="9">
        <f>VLOOKUP(P3840,$T$2:U3837,2,1)</f>
        <v>0.05</v>
      </c>
    </row>
    <row r="3841" spans="1:19" x14ac:dyDescent="0.25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e">
        <f>VLOOKUP(F3841,'Customer Info'!A3833:I4332,2,0)</f>
        <v>#N/A</v>
      </c>
      <c r="H3841" s="6" t="e">
        <f>VLOOKUP(F3841,'Customer Info'!A3833:I4332,3,0)</f>
        <v>#N/A</v>
      </c>
      <c r="I3841" s="6" t="e">
        <f>VLOOKUP(F3841,'Customer Info'!A3833:I4332,5,0)</f>
        <v>#N/A</v>
      </c>
      <c r="J3841" s="2">
        <v>516</v>
      </c>
      <c r="K3841" s="2">
        <v>473</v>
      </c>
      <c r="L3841" s="2">
        <v>3</v>
      </c>
      <c r="M3841" s="7">
        <f t="shared" si="236"/>
        <v>1419</v>
      </c>
      <c r="N3841" s="7">
        <f t="shared" si="237"/>
        <v>1548</v>
      </c>
      <c r="O3841" s="2">
        <v>89</v>
      </c>
      <c r="P3841" s="8">
        <f t="shared" si="238"/>
        <v>1637</v>
      </c>
      <c r="Q3841" s="8">
        <f t="shared" si="239"/>
        <v>1459</v>
      </c>
      <c r="R3841" s="2" t="s">
        <v>50</v>
      </c>
      <c r="S3841" s="9">
        <f>VLOOKUP(P3841,$T$2:U3838,2,1)</f>
        <v>0.02</v>
      </c>
    </row>
    <row r="3842" spans="1:19" x14ac:dyDescent="0.25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e">
        <f>VLOOKUP(F3842,'Customer Info'!A3834:I4333,2,0)</f>
        <v>#N/A</v>
      </c>
      <c r="H3842" s="6" t="e">
        <f>VLOOKUP(F3842,'Customer Info'!A3834:I4333,3,0)</f>
        <v>#N/A</v>
      </c>
      <c r="I3842" s="6" t="e">
        <f>VLOOKUP(F3842,'Customer Info'!A3834:I4333,5,0)</f>
        <v>#N/A</v>
      </c>
      <c r="J3842" s="2">
        <v>1859</v>
      </c>
      <c r="K3842" s="2">
        <v>1755</v>
      </c>
      <c r="L3842" s="2">
        <v>3</v>
      </c>
      <c r="M3842" s="7">
        <f t="shared" si="236"/>
        <v>5265</v>
      </c>
      <c r="N3842" s="7">
        <f t="shared" si="237"/>
        <v>5577</v>
      </c>
      <c r="O3842" s="2">
        <v>44</v>
      </c>
      <c r="P3842" s="8">
        <f t="shared" si="238"/>
        <v>5621</v>
      </c>
      <c r="Q3842" s="8">
        <f t="shared" si="239"/>
        <v>5533</v>
      </c>
      <c r="R3842" s="2" t="s">
        <v>28</v>
      </c>
      <c r="S3842" s="9">
        <f>VLOOKUP(P3842,$T$2:U3839,2,1)</f>
        <v>0.05</v>
      </c>
    </row>
    <row r="3843" spans="1:19" x14ac:dyDescent="0.25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e">
        <f>VLOOKUP(F3843,'Customer Info'!A3835:I4334,2,0)</f>
        <v>#N/A</v>
      </c>
      <c r="H3843" s="6" t="e">
        <f>VLOOKUP(F3843,'Customer Info'!A3835:I4334,3,0)</f>
        <v>#N/A</v>
      </c>
      <c r="I3843" s="6" t="e">
        <f>VLOOKUP(F3843,'Customer Info'!A3835:I4334,5,0)</f>
        <v>#N/A</v>
      </c>
      <c r="J3843" s="2">
        <v>8199</v>
      </c>
      <c r="K3843" s="2">
        <v>7523</v>
      </c>
      <c r="L3843" s="2">
        <v>3</v>
      </c>
      <c r="M3843" s="7">
        <f t="shared" si="236"/>
        <v>22569</v>
      </c>
      <c r="N3843" s="7">
        <f t="shared" si="237"/>
        <v>24597</v>
      </c>
      <c r="O3843" s="2">
        <v>35</v>
      </c>
      <c r="P3843" s="8">
        <f t="shared" si="238"/>
        <v>24632</v>
      </c>
      <c r="Q3843" s="8">
        <f t="shared" si="239"/>
        <v>24562</v>
      </c>
      <c r="R3843" s="2" t="s">
        <v>50</v>
      </c>
      <c r="S3843" s="9">
        <f>VLOOKUP(P3843,$T$2:U3840,2,1)</f>
        <v>0.05</v>
      </c>
    </row>
    <row r="3844" spans="1:19" x14ac:dyDescent="0.25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e">
        <f>VLOOKUP(F3844,'Customer Info'!A3836:I4335,2,0)</f>
        <v>#N/A</v>
      </c>
      <c r="H3844" s="6" t="e">
        <f>VLOOKUP(F3844,'Customer Info'!A3836:I4335,3,0)</f>
        <v>#N/A</v>
      </c>
      <c r="I3844" s="6" t="e">
        <f>VLOOKUP(F3844,'Customer Info'!A3836:I4335,5,0)</f>
        <v>#N/A</v>
      </c>
      <c r="J3844" s="2">
        <v>1587</v>
      </c>
      <c r="K3844" s="2">
        <v>1428</v>
      </c>
      <c r="L3844" s="2">
        <v>3</v>
      </c>
      <c r="M3844" s="7">
        <f t="shared" si="236"/>
        <v>4284</v>
      </c>
      <c r="N3844" s="7">
        <f t="shared" si="237"/>
        <v>4761</v>
      </c>
      <c r="O3844" s="2">
        <v>26</v>
      </c>
      <c r="P3844" s="8">
        <f t="shared" si="238"/>
        <v>4787</v>
      </c>
      <c r="Q3844" s="8">
        <f t="shared" si="239"/>
        <v>4735</v>
      </c>
      <c r="R3844" s="2" t="s">
        <v>56</v>
      </c>
      <c r="S3844" s="9">
        <f>VLOOKUP(P3844,$T$2:U3841,2,1)</f>
        <v>0.02</v>
      </c>
    </row>
    <row r="3845" spans="1:19" x14ac:dyDescent="0.25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e">
        <f>VLOOKUP(F3845,'Customer Info'!A3837:I4336,2,0)</f>
        <v>#N/A</v>
      </c>
      <c r="H3845" s="6" t="e">
        <f>VLOOKUP(F3845,'Customer Info'!A3837:I4336,3,0)</f>
        <v>#N/A</v>
      </c>
      <c r="I3845" s="6" t="e">
        <f>VLOOKUP(F3845,'Customer Info'!A3837:I4336,5,0)</f>
        <v>#N/A</v>
      </c>
      <c r="J3845" s="2">
        <v>61</v>
      </c>
      <c r="K3845" s="2">
        <v>57</v>
      </c>
      <c r="L3845" s="2">
        <v>1</v>
      </c>
      <c r="M3845" s="7">
        <f t="shared" si="236"/>
        <v>57</v>
      </c>
      <c r="N3845" s="7">
        <f t="shared" si="237"/>
        <v>61</v>
      </c>
      <c r="O3845" s="2">
        <v>10</v>
      </c>
      <c r="P3845" s="8">
        <f t="shared" si="238"/>
        <v>71</v>
      </c>
      <c r="Q3845" s="8">
        <f t="shared" si="239"/>
        <v>51</v>
      </c>
      <c r="R3845" s="2" t="s">
        <v>50</v>
      </c>
      <c r="S3845" s="9">
        <f>VLOOKUP(P3845,$T$2:U3842,2,1)</f>
        <v>0.02</v>
      </c>
    </row>
    <row r="3846" spans="1:19" x14ac:dyDescent="0.25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e">
        <f>VLOOKUP(F3846,'Customer Info'!A3838:I4337,2,0)</f>
        <v>#N/A</v>
      </c>
      <c r="H3846" s="6" t="e">
        <f>VLOOKUP(F3846,'Customer Info'!A3838:I4337,3,0)</f>
        <v>#N/A</v>
      </c>
      <c r="I3846" s="6" t="e">
        <f>VLOOKUP(F3846,'Customer Info'!A3838:I4337,5,0)</f>
        <v>#N/A</v>
      </c>
      <c r="J3846" s="2">
        <v>1169</v>
      </c>
      <c r="K3846" s="2">
        <v>1072</v>
      </c>
      <c r="L3846" s="2">
        <v>1</v>
      </c>
      <c r="M3846" s="7">
        <f t="shared" si="236"/>
        <v>1072</v>
      </c>
      <c r="N3846" s="7">
        <f t="shared" si="237"/>
        <v>1169</v>
      </c>
      <c r="O3846" s="2">
        <v>66</v>
      </c>
      <c r="P3846" s="8">
        <f t="shared" si="238"/>
        <v>1235</v>
      </c>
      <c r="Q3846" s="8">
        <f t="shared" si="239"/>
        <v>1103</v>
      </c>
      <c r="R3846" s="2" t="s">
        <v>50</v>
      </c>
      <c r="S3846" s="9">
        <f>VLOOKUP(P3846,$T$2:U3843,2,1)</f>
        <v>0.02</v>
      </c>
    </row>
    <row r="3847" spans="1:19" x14ac:dyDescent="0.25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e">
        <f>VLOOKUP(F3847,'Customer Info'!A3839:I4338,2,0)</f>
        <v>#N/A</v>
      </c>
      <c r="H3847" s="6" t="e">
        <f>VLOOKUP(F3847,'Customer Info'!A3839:I4338,3,0)</f>
        <v>#N/A</v>
      </c>
      <c r="I3847" s="6" t="e">
        <f>VLOOKUP(F3847,'Customer Info'!A3839:I4338,5,0)</f>
        <v>#N/A</v>
      </c>
      <c r="J3847" s="2">
        <v>679</v>
      </c>
      <c r="K3847" s="2">
        <v>654</v>
      </c>
      <c r="L3847" s="2">
        <v>9</v>
      </c>
      <c r="M3847" s="7">
        <f t="shared" si="236"/>
        <v>5886</v>
      </c>
      <c r="N3847" s="7">
        <f t="shared" si="237"/>
        <v>6111</v>
      </c>
      <c r="O3847" s="2">
        <v>41</v>
      </c>
      <c r="P3847" s="8">
        <f t="shared" si="238"/>
        <v>6152</v>
      </c>
      <c r="Q3847" s="8">
        <f t="shared" si="239"/>
        <v>6070</v>
      </c>
      <c r="R3847" s="2" t="s">
        <v>28</v>
      </c>
      <c r="S3847" s="9">
        <f>VLOOKUP(P3847,$T$2:U3844,2,1)</f>
        <v>0.05</v>
      </c>
    </row>
    <row r="3848" spans="1:19" x14ac:dyDescent="0.25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e">
        <f>VLOOKUP(F3848,'Customer Info'!A3840:I4339,2,0)</f>
        <v>#N/A</v>
      </c>
      <c r="H3848" s="6" t="e">
        <f>VLOOKUP(F3848,'Customer Info'!A3840:I4339,3,0)</f>
        <v>#N/A</v>
      </c>
      <c r="I3848" s="6" t="e">
        <f>VLOOKUP(F3848,'Customer Info'!A3840:I4339,5,0)</f>
        <v>#N/A</v>
      </c>
      <c r="J3848" s="2">
        <v>6027</v>
      </c>
      <c r="K3848" s="2">
        <v>5694</v>
      </c>
      <c r="L3848" s="2">
        <v>14</v>
      </c>
      <c r="M3848" s="7">
        <f t="shared" si="236"/>
        <v>79716</v>
      </c>
      <c r="N3848" s="7">
        <f t="shared" si="237"/>
        <v>84378</v>
      </c>
      <c r="O3848" s="2">
        <v>62</v>
      </c>
      <c r="P3848" s="8">
        <f t="shared" si="238"/>
        <v>84440</v>
      </c>
      <c r="Q3848" s="8">
        <f t="shared" si="239"/>
        <v>84316</v>
      </c>
      <c r="R3848" s="2" t="s">
        <v>28</v>
      </c>
      <c r="S3848" s="9">
        <f>VLOOKUP(P3848,$T$2:U3845,2,1)</f>
        <v>0.09</v>
      </c>
    </row>
    <row r="3849" spans="1:19" x14ac:dyDescent="0.25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e">
        <f>VLOOKUP(F3849,'Customer Info'!A3841:I4340,2,0)</f>
        <v>#N/A</v>
      </c>
      <c r="H3849" s="6" t="e">
        <f>VLOOKUP(F3849,'Customer Info'!A3841:I4340,3,0)</f>
        <v>#N/A</v>
      </c>
      <c r="I3849" s="6" t="e">
        <f>VLOOKUP(F3849,'Customer Info'!A3841:I4340,5,0)</f>
        <v>#N/A</v>
      </c>
      <c r="J3849" s="2">
        <v>135</v>
      </c>
      <c r="K3849" s="2">
        <v>126</v>
      </c>
      <c r="L3849" s="2">
        <v>2</v>
      </c>
      <c r="M3849" s="7">
        <f t="shared" si="236"/>
        <v>252</v>
      </c>
      <c r="N3849" s="7">
        <f t="shared" si="237"/>
        <v>270</v>
      </c>
      <c r="O3849" s="2">
        <v>30</v>
      </c>
      <c r="P3849" s="8">
        <f t="shared" si="238"/>
        <v>300</v>
      </c>
      <c r="Q3849" s="8">
        <f t="shared" si="239"/>
        <v>240</v>
      </c>
      <c r="R3849" s="2" t="s">
        <v>28</v>
      </c>
      <c r="S3849" s="9">
        <f>VLOOKUP(P3849,$T$2:U3846,2,1)</f>
        <v>0.02</v>
      </c>
    </row>
    <row r="3850" spans="1:19" x14ac:dyDescent="0.25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e">
        <f>VLOOKUP(F3850,'Customer Info'!A3842:I4341,2,0)</f>
        <v>#N/A</v>
      </c>
      <c r="H3850" s="6" t="e">
        <f>VLOOKUP(F3850,'Customer Info'!A3842:I4341,3,0)</f>
        <v>#N/A</v>
      </c>
      <c r="I3850" s="6" t="e">
        <f>VLOOKUP(F3850,'Customer Info'!A3842:I4341,5,0)</f>
        <v>#N/A</v>
      </c>
      <c r="J3850" s="2">
        <v>8202</v>
      </c>
      <c r="K3850" s="2">
        <v>7594</v>
      </c>
      <c r="L3850" s="2">
        <v>5</v>
      </c>
      <c r="M3850" s="7">
        <f t="shared" si="236"/>
        <v>37970</v>
      </c>
      <c r="N3850" s="7">
        <f t="shared" si="237"/>
        <v>41010</v>
      </c>
      <c r="O3850" s="2">
        <v>86</v>
      </c>
      <c r="P3850" s="8">
        <f t="shared" si="238"/>
        <v>41096</v>
      </c>
      <c r="Q3850" s="8">
        <f t="shared" si="239"/>
        <v>40924</v>
      </c>
      <c r="R3850" s="2" t="s">
        <v>28</v>
      </c>
      <c r="S3850" s="9">
        <f>VLOOKUP(P3850,$T$2:U3847,2,1)</f>
        <v>7.0000000000000007E-2</v>
      </c>
    </row>
    <row r="3851" spans="1:19" x14ac:dyDescent="0.25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e">
        <f>VLOOKUP(F3851,'Customer Info'!A3843:I4342,2,0)</f>
        <v>#N/A</v>
      </c>
      <c r="H3851" s="6" t="e">
        <f>VLOOKUP(F3851,'Customer Info'!A3843:I4342,3,0)</f>
        <v>#N/A</v>
      </c>
      <c r="I3851" s="6" t="e">
        <f>VLOOKUP(F3851,'Customer Info'!A3843:I4342,5,0)</f>
        <v>#N/A</v>
      </c>
      <c r="J3851" s="2">
        <v>185</v>
      </c>
      <c r="K3851" s="2">
        <v>174</v>
      </c>
      <c r="L3851" s="2">
        <v>1</v>
      </c>
      <c r="M3851" s="7">
        <f t="shared" ref="M3851:M3914" si="240">K3851*L3851</f>
        <v>174</v>
      </c>
      <c r="N3851" s="7">
        <f t="shared" ref="N3851:N3914" si="241">J3851*L3851</f>
        <v>185</v>
      </c>
      <c r="O3851" s="2">
        <v>30</v>
      </c>
      <c r="P3851" s="8">
        <f t="shared" ref="P3851:P3914" si="242">SUM(N3851,O3851)</f>
        <v>215</v>
      </c>
      <c r="Q3851" s="8">
        <f t="shared" ref="Q3851:Q3914" si="243">N3851-O3851</f>
        <v>155</v>
      </c>
      <c r="R3851" s="2" t="s">
        <v>28</v>
      </c>
      <c r="S3851" s="9">
        <f>VLOOKUP(P3851,$T$2:U3848,2,1)</f>
        <v>0.02</v>
      </c>
    </row>
    <row r="3852" spans="1:19" x14ac:dyDescent="0.25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e">
        <f>VLOOKUP(F3852,'Customer Info'!A3844:I4343,2,0)</f>
        <v>#N/A</v>
      </c>
      <c r="H3852" s="6" t="e">
        <f>VLOOKUP(F3852,'Customer Info'!A3844:I4343,3,0)</f>
        <v>#N/A</v>
      </c>
      <c r="I3852" s="6" t="e">
        <f>VLOOKUP(F3852,'Customer Info'!A3844:I4343,5,0)</f>
        <v>#N/A</v>
      </c>
      <c r="J3852" s="2">
        <v>6024</v>
      </c>
      <c r="K3852" s="2">
        <v>5424</v>
      </c>
      <c r="L3852" s="2">
        <v>3</v>
      </c>
      <c r="M3852" s="7">
        <f t="shared" si="240"/>
        <v>16272</v>
      </c>
      <c r="N3852" s="7">
        <f t="shared" si="241"/>
        <v>18072</v>
      </c>
      <c r="O3852" s="2">
        <v>84</v>
      </c>
      <c r="P3852" s="8">
        <f t="shared" si="242"/>
        <v>18156</v>
      </c>
      <c r="Q3852" s="8">
        <f t="shared" si="243"/>
        <v>17988</v>
      </c>
      <c r="R3852" s="2" t="s">
        <v>28</v>
      </c>
      <c r="S3852" s="9">
        <f>VLOOKUP(P3852,$T$2:U3849,2,1)</f>
        <v>0.05</v>
      </c>
    </row>
    <row r="3853" spans="1:19" x14ac:dyDescent="0.25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e">
        <f>VLOOKUP(F3853,'Customer Info'!A3845:I4344,2,0)</f>
        <v>#N/A</v>
      </c>
      <c r="H3853" s="6" t="e">
        <f>VLOOKUP(F3853,'Customer Info'!A3845:I4344,3,0)</f>
        <v>#N/A</v>
      </c>
      <c r="I3853" s="6" t="e">
        <f>VLOOKUP(F3853,'Customer Info'!A3845:I4344,5,0)</f>
        <v>#N/A</v>
      </c>
      <c r="J3853" s="2">
        <v>279</v>
      </c>
      <c r="K3853" s="2">
        <v>254</v>
      </c>
      <c r="L3853" s="2">
        <v>1</v>
      </c>
      <c r="M3853" s="7">
        <f t="shared" si="240"/>
        <v>254</v>
      </c>
      <c r="N3853" s="7">
        <f t="shared" si="241"/>
        <v>279</v>
      </c>
      <c r="O3853" s="2">
        <v>88</v>
      </c>
      <c r="P3853" s="8">
        <f t="shared" si="242"/>
        <v>367</v>
      </c>
      <c r="Q3853" s="8">
        <f t="shared" si="243"/>
        <v>191</v>
      </c>
      <c r="R3853" s="2" t="s">
        <v>50</v>
      </c>
      <c r="S3853" s="9">
        <f>VLOOKUP(P3853,$T$2:U3850,2,1)</f>
        <v>0.02</v>
      </c>
    </row>
    <row r="3854" spans="1:19" x14ac:dyDescent="0.25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e">
        <f>VLOOKUP(F3854,'Customer Info'!A3846:I4345,2,0)</f>
        <v>#N/A</v>
      </c>
      <c r="H3854" s="6" t="e">
        <f>VLOOKUP(F3854,'Customer Info'!A3846:I4345,3,0)</f>
        <v>#N/A</v>
      </c>
      <c r="I3854" s="6" t="e">
        <f>VLOOKUP(F3854,'Customer Info'!A3846:I4345,5,0)</f>
        <v>#N/A</v>
      </c>
      <c r="J3854" s="2">
        <v>4808</v>
      </c>
      <c r="K3854" s="2">
        <v>4453</v>
      </c>
      <c r="L3854" s="2">
        <v>2</v>
      </c>
      <c r="M3854" s="7">
        <f t="shared" si="240"/>
        <v>8906</v>
      </c>
      <c r="N3854" s="7">
        <f t="shared" si="241"/>
        <v>9616</v>
      </c>
      <c r="O3854" s="2">
        <v>66</v>
      </c>
      <c r="P3854" s="8">
        <f t="shared" si="242"/>
        <v>9682</v>
      </c>
      <c r="Q3854" s="8">
        <f t="shared" si="243"/>
        <v>9550</v>
      </c>
      <c r="R3854" s="2" t="s">
        <v>28</v>
      </c>
      <c r="S3854" s="9">
        <f>VLOOKUP(P3854,$T$2:U3851,2,1)</f>
        <v>0.05</v>
      </c>
    </row>
    <row r="3855" spans="1:19" x14ac:dyDescent="0.25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e">
        <f>VLOOKUP(F3855,'Customer Info'!A3847:I4346,2,0)</f>
        <v>#N/A</v>
      </c>
      <c r="H3855" s="6" t="e">
        <f>VLOOKUP(F3855,'Customer Info'!A3847:I4346,3,0)</f>
        <v>#N/A</v>
      </c>
      <c r="I3855" s="6" t="e">
        <f>VLOOKUP(F3855,'Customer Info'!A3847:I4346,5,0)</f>
        <v>#N/A</v>
      </c>
      <c r="J3855" s="2">
        <v>886</v>
      </c>
      <c r="K3855" s="2">
        <v>796</v>
      </c>
      <c r="L3855" s="2">
        <v>2</v>
      </c>
      <c r="M3855" s="7">
        <f t="shared" si="240"/>
        <v>1592</v>
      </c>
      <c r="N3855" s="7">
        <f t="shared" si="241"/>
        <v>1772</v>
      </c>
      <c r="O3855" s="2">
        <v>41</v>
      </c>
      <c r="P3855" s="8">
        <f t="shared" si="242"/>
        <v>1813</v>
      </c>
      <c r="Q3855" s="8">
        <f t="shared" si="243"/>
        <v>1731</v>
      </c>
      <c r="R3855" s="2" t="s">
        <v>50</v>
      </c>
      <c r="S3855" s="9">
        <f>VLOOKUP(P3855,$T$2:U3852,2,1)</f>
        <v>0.02</v>
      </c>
    </row>
    <row r="3856" spans="1:19" x14ac:dyDescent="0.25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e">
        <f>VLOOKUP(F3856,'Customer Info'!A3848:I4347,2,0)</f>
        <v>#N/A</v>
      </c>
      <c r="H3856" s="6" t="e">
        <f>VLOOKUP(F3856,'Customer Info'!A3848:I4347,3,0)</f>
        <v>#N/A</v>
      </c>
      <c r="I3856" s="6" t="e">
        <f>VLOOKUP(F3856,'Customer Info'!A3848:I4347,5,0)</f>
        <v>#N/A</v>
      </c>
      <c r="J3856" s="2">
        <v>8738</v>
      </c>
      <c r="K3856" s="2">
        <v>8162</v>
      </c>
      <c r="L3856" s="2">
        <v>1</v>
      </c>
      <c r="M3856" s="7">
        <f t="shared" si="240"/>
        <v>8162</v>
      </c>
      <c r="N3856" s="7">
        <f t="shared" si="241"/>
        <v>8738</v>
      </c>
      <c r="O3856" s="2">
        <v>63</v>
      </c>
      <c r="P3856" s="8">
        <f t="shared" si="242"/>
        <v>8801</v>
      </c>
      <c r="Q3856" s="8">
        <f t="shared" si="243"/>
        <v>8675</v>
      </c>
      <c r="R3856" s="2" t="s">
        <v>28</v>
      </c>
      <c r="S3856" s="9">
        <f>VLOOKUP(P3856,$T$2:U3853,2,1)</f>
        <v>0.05</v>
      </c>
    </row>
    <row r="3857" spans="1:19" x14ac:dyDescent="0.25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e">
        <f>VLOOKUP(F3857,'Customer Info'!A3849:I4348,2,0)</f>
        <v>#N/A</v>
      </c>
      <c r="H3857" s="6" t="e">
        <f>VLOOKUP(F3857,'Customer Info'!A3849:I4348,3,0)</f>
        <v>#N/A</v>
      </c>
      <c r="I3857" s="6" t="e">
        <f>VLOOKUP(F3857,'Customer Info'!A3849:I4348,5,0)</f>
        <v>#N/A</v>
      </c>
      <c r="J3857" s="2">
        <v>3053</v>
      </c>
      <c r="K3857" s="2">
        <v>2937</v>
      </c>
      <c r="L3857" s="2">
        <v>1</v>
      </c>
      <c r="M3857" s="7">
        <f t="shared" si="240"/>
        <v>2937</v>
      </c>
      <c r="N3857" s="7">
        <f t="shared" si="241"/>
        <v>3053</v>
      </c>
      <c r="O3857" s="2">
        <v>35</v>
      </c>
      <c r="P3857" s="8">
        <f t="shared" si="242"/>
        <v>3088</v>
      </c>
      <c r="Q3857" s="8">
        <f t="shared" si="243"/>
        <v>3018</v>
      </c>
      <c r="R3857" s="2" t="s">
        <v>28</v>
      </c>
      <c r="S3857" s="9">
        <f>VLOOKUP(P3857,$T$2:U3854,2,1)</f>
        <v>0.02</v>
      </c>
    </row>
    <row r="3858" spans="1:19" x14ac:dyDescent="0.25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e">
        <f>VLOOKUP(F3858,'Customer Info'!A3850:I4349,2,0)</f>
        <v>#N/A</v>
      </c>
      <c r="H3858" s="6" t="e">
        <f>VLOOKUP(F3858,'Customer Info'!A3850:I4349,3,0)</f>
        <v>#N/A</v>
      </c>
      <c r="I3858" s="6" t="e">
        <f>VLOOKUP(F3858,'Customer Info'!A3850:I4349,5,0)</f>
        <v>#N/A</v>
      </c>
      <c r="J3858" s="2">
        <v>8967</v>
      </c>
      <c r="K3858" s="2">
        <v>8151</v>
      </c>
      <c r="L3858" s="2">
        <v>3</v>
      </c>
      <c r="M3858" s="7">
        <f t="shared" si="240"/>
        <v>24453</v>
      </c>
      <c r="N3858" s="7">
        <f t="shared" si="241"/>
        <v>26901</v>
      </c>
      <c r="O3858" s="2">
        <v>52</v>
      </c>
      <c r="P3858" s="8">
        <f t="shared" si="242"/>
        <v>26953</v>
      </c>
      <c r="Q3858" s="8">
        <f t="shared" si="243"/>
        <v>26849</v>
      </c>
      <c r="R3858" s="2" t="s">
        <v>50</v>
      </c>
      <c r="S3858" s="9">
        <f>VLOOKUP(P3858,$T$2:U3855,2,1)</f>
        <v>7.0000000000000007E-2</v>
      </c>
    </row>
    <row r="3859" spans="1:19" x14ac:dyDescent="0.25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e">
        <f>VLOOKUP(F3859,'Customer Info'!A3851:I4350,2,0)</f>
        <v>#N/A</v>
      </c>
      <c r="H3859" s="6" t="e">
        <f>VLOOKUP(F3859,'Customer Info'!A3851:I4350,3,0)</f>
        <v>#N/A</v>
      </c>
      <c r="I3859" s="6" t="e">
        <f>VLOOKUP(F3859,'Customer Info'!A3851:I4350,5,0)</f>
        <v>#N/A</v>
      </c>
      <c r="J3859" s="2">
        <v>516</v>
      </c>
      <c r="K3859" s="2">
        <v>473</v>
      </c>
      <c r="L3859" s="2">
        <v>2</v>
      </c>
      <c r="M3859" s="7">
        <f t="shared" si="240"/>
        <v>946</v>
      </c>
      <c r="N3859" s="7">
        <f t="shared" si="241"/>
        <v>1032</v>
      </c>
      <c r="O3859" s="2">
        <v>21</v>
      </c>
      <c r="P3859" s="8">
        <f t="shared" si="242"/>
        <v>1053</v>
      </c>
      <c r="Q3859" s="8">
        <f t="shared" si="243"/>
        <v>1011</v>
      </c>
      <c r="R3859" s="2" t="s">
        <v>28</v>
      </c>
      <c r="S3859" s="9">
        <f>VLOOKUP(P3859,$T$2:U3856,2,1)</f>
        <v>0.02</v>
      </c>
    </row>
    <row r="3860" spans="1:19" x14ac:dyDescent="0.25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e">
        <f>VLOOKUP(F3860,'Customer Info'!A3852:I4351,2,0)</f>
        <v>#N/A</v>
      </c>
      <c r="H3860" s="6" t="e">
        <f>VLOOKUP(F3860,'Customer Info'!A3852:I4351,3,0)</f>
        <v>#N/A</v>
      </c>
      <c r="I3860" s="6" t="e">
        <f>VLOOKUP(F3860,'Customer Info'!A3852:I4351,5,0)</f>
        <v>#N/A</v>
      </c>
      <c r="J3860" s="2">
        <v>7508</v>
      </c>
      <c r="K3860" s="2">
        <v>6956</v>
      </c>
      <c r="L3860" s="2">
        <v>3</v>
      </c>
      <c r="M3860" s="7">
        <f t="shared" si="240"/>
        <v>20868</v>
      </c>
      <c r="N3860" s="7">
        <f t="shared" si="241"/>
        <v>22524</v>
      </c>
      <c r="O3860" s="2">
        <v>76</v>
      </c>
      <c r="P3860" s="8">
        <f t="shared" si="242"/>
        <v>22600</v>
      </c>
      <c r="Q3860" s="8">
        <f t="shared" si="243"/>
        <v>22448</v>
      </c>
      <c r="R3860" s="2" t="s">
        <v>50</v>
      </c>
      <c r="S3860" s="9">
        <f>VLOOKUP(P3860,$T$2:U3857,2,1)</f>
        <v>0.05</v>
      </c>
    </row>
    <row r="3861" spans="1:19" x14ac:dyDescent="0.25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e">
        <f>VLOOKUP(F3861,'Customer Info'!A3853:I4352,2,0)</f>
        <v>#N/A</v>
      </c>
      <c r="H3861" s="6" t="e">
        <f>VLOOKUP(F3861,'Customer Info'!A3853:I4352,3,0)</f>
        <v>#N/A</v>
      </c>
      <c r="I3861" s="6" t="e">
        <f>VLOOKUP(F3861,'Customer Info'!A3853:I4352,5,0)</f>
        <v>#N/A</v>
      </c>
      <c r="J3861" s="2">
        <v>2515</v>
      </c>
      <c r="K3861" s="2">
        <v>2397</v>
      </c>
      <c r="L3861" s="2">
        <v>5</v>
      </c>
      <c r="M3861" s="7">
        <f t="shared" si="240"/>
        <v>11985</v>
      </c>
      <c r="N3861" s="7">
        <f t="shared" si="241"/>
        <v>12575</v>
      </c>
      <c r="O3861" s="2">
        <v>24</v>
      </c>
      <c r="P3861" s="8">
        <f t="shared" si="242"/>
        <v>12599</v>
      </c>
      <c r="Q3861" s="8">
        <f t="shared" si="243"/>
        <v>12551</v>
      </c>
      <c r="R3861" s="2" t="s">
        <v>28</v>
      </c>
      <c r="S3861" s="9">
        <f>VLOOKUP(P3861,$T$2:U3858,2,1)</f>
        <v>0.05</v>
      </c>
    </row>
    <row r="3862" spans="1:19" x14ac:dyDescent="0.25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e">
        <f>VLOOKUP(F3862,'Customer Info'!A3854:I4353,2,0)</f>
        <v>#N/A</v>
      </c>
      <c r="H3862" s="6" t="e">
        <f>VLOOKUP(F3862,'Customer Info'!A3854:I4353,3,0)</f>
        <v>#N/A</v>
      </c>
      <c r="I3862" s="6" t="e">
        <f>VLOOKUP(F3862,'Customer Info'!A3854:I4353,5,0)</f>
        <v>#N/A</v>
      </c>
      <c r="J3862" s="2">
        <v>183</v>
      </c>
      <c r="K3862" s="2">
        <v>168</v>
      </c>
      <c r="L3862" s="2">
        <v>1</v>
      </c>
      <c r="M3862" s="7">
        <f t="shared" si="240"/>
        <v>168</v>
      </c>
      <c r="N3862" s="7">
        <f t="shared" si="241"/>
        <v>183</v>
      </c>
      <c r="O3862" s="2">
        <v>30</v>
      </c>
      <c r="P3862" s="8">
        <f t="shared" si="242"/>
        <v>213</v>
      </c>
      <c r="Q3862" s="8">
        <f t="shared" si="243"/>
        <v>153</v>
      </c>
      <c r="R3862" s="2" t="s">
        <v>56</v>
      </c>
      <c r="S3862" s="9">
        <f>VLOOKUP(P3862,$T$2:U3859,2,1)</f>
        <v>0.02</v>
      </c>
    </row>
    <row r="3863" spans="1:19" x14ac:dyDescent="0.25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e">
        <f>VLOOKUP(F3863,'Customer Info'!A3855:I4354,2,0)</f>
        <v>#N/A</v>
      </c>
      <c r="H3863" s="6" t="e">
        <f>VLOOKUP(F3863,'Customer Info'!A3855:I4354,3,0)</f>
        <v>#N/A</v>
      </c>
      <c r="I3863" s="6" t="e">
        <f>VLOOKUP(F3863,'Customer Info'!A3855:I4354,5,0)</f>
        <v>#N/A</v>
      </c>
      <c r="J3863" s="2">
        <v>69</v>
      </c>
      <c r="K3863" s="2">
        <v>64</v>
      </c>
      <c r="L3863" s="2">
        <v>5</v>
      </c>
      <c r="M3863" s="7">
        <f t="shared" si="240"/>
        <v>320</v>
      </c>
      <c r="N3863" s="7">
        <f t="shared" si="241"/>
        <v>345</v>
      </c>
      <c r="O3863" s="2">
        <v>10</v>
      </c>
      <c r="P3863" s="8">
        <f t="shared" si="242"/>
        <v>355</v>
      </c>
      <c r="Q3863" s="8">
        <f t="shared" si="243"/>
        <v>335</v>
      </c>
      <c r="R3863" s="2" t="s">
        <v>26</v>
      </c>
      <c r="S3863" s="9">
        <f>VLOOKUP(P3863,$T$2:U3860,2,1)</f>
        <v>0.02</v>
      </c>
    </row>
    <row r="3864" spans="1:19" x14ac:dyDescent="0.25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e">
        <f>VLOOKUP(F3864,'Customer Info'!A3856:I4355,2,0)</f>
        <v>#N/A</v>
      </c>
      <c r="H3864" s="6" t="e">
        <f>VLOOKUP(F3864,'Customer Info'!A3856:I4355,3,0)</f>
        <v>#N/A</v>
      </c>
      <c r="I3864" s="6" t="e">
        <f>VLOOKUP(F3864,'Customer Info'!A3856:I4355,5,0)</f>
        <v>#N/A</v>
      </c>
      <c r="J3864" s="2">
        <v>7136</v>
      </c>
      <c r="K3864" s="2">
        <v>6676</v>
      </c>
      <c r="L3864" s="2">
        <v>2</v>
      </c>
      <c r="M3864" s="7">
        <f t="shared" si="240"/>
        <v>13352</v>
      </c>
      <c r="N3864" s="7">
        <f t="shared" si="241"/>
        <v>14272</v>
      </c>
      <c r="O3864" s="2">
        <v>96</v>
      </c>
      <c r="P3864" s="8">
        <f t="shared" si="242"/>
        <v>14368</v>
      </c>
      <c r="Q3864" s="8">
        <f t="shared" si="243"/>
        <v>14176</v>
      </c>
      <c r="R3864" s="2" t="s">
        <v>28</v>
      </c>
      <c r="S3864" s="9">
        <f>VLOOKUP(P3864,$T$2:U3861,2,1)</f>
        <v>0.05</v>
      </c>
    </row>
    <row r="3865" spans="1:19" x14ac:dyDescent="0.25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e">
        <f>VLOOKUP(F3865,'Customer Info'!A3857:I4356,2,0)</f>
        <v>#N/A</v>
      </c>
      <c r="H3865" s="6" t="e">
        <f>VLOOKUP(F3865,'Customer Info'!A3857:I4356,3,0)</f>
        <v>#N/A</v>
      </c>
      <c r="I3865" s="6" t="e">
        <f>VLOOKUP(F3865,'Customer Info'!A3857:I4356,5,0)</f>
        <v>#N/A</v>
      </c>
      <c r="J3865" s="2">
        <v>1834</v>
      </c>
      <c r="K3865" s="2">
        <v>1716</v>
      </c>
      <c r="L3865" s="2">
        <v>3</v>
      </c>
      <c r="M3865" s="7">
        <f t="shared" si="240"/>
        <v>5148</v>
      </c>
      <c r="N3865" s="7">
        <f t="shared" si="241"/>
        <v>5502</v>
      </c>
      <c r="O3865" s="2">
        <v>21</v>
      </c>
      <c r="P3865" s="8">
        <f t="shared" si="242"/>
        <v>5523</v>
      </c>
      <c r="Q3865" s="8">
        <f t="shared" si="243"/>
        <v>5481</v>
      </c>
      <c r="R3865" s="2" t="s">
        <v>50</v>
      </c>
      <c r="S3865" s="9">
        <f>VLOOKUP(P3865,$T$2:U3862,2,1)</f>
        <v>0.05</v>
      </c>
    </row>
    <row r="3866" spans="1:19" x14ac:dyDescent="0.25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e">
        <f>VLOOKUP(F3866,'Customer Info'!A3858:I4357,2,0)</f>
        <v>#N/A</v>
      </c>
      <c r="H3866" s="6" t="e">
        <f>VLOOKUP(F3866,'Customer Info'!A3858:I4357,3,0)</f>
        <v>#N/A</v>
      </c>
      <c r="I3866" s="6" t="e">
        <f>VLOOKUP(F3866,'Customer Info'!A3858:I4357,5,0)</f>
        <v>#N/A</v>
      </c>
      <c r="J3866" s="2">
        <v>1605</v>
      </c>
      <c r="K3866" s="2">
        <v>1530</v>
      </c>
      <c r="L3866" s="2">
        <v>1</v>
      </c>
      <c r="M3866" s="7">
        <f t="shared" si="240"/>
        <v>1530</v>
      </c>
      <c r="N3866" s="7">
        <f t="shared" si="241"/>
        <v>1605</v>
      </c>
      <c r="O3866" s="2">
        <v>62</v>
      </c>
      <c r="P3866" s="8">
        <f t="shared" si="242"/>
        <v>1667</v>
      </c>
      <c r="Q3866" s="8">
        <f t="shared" si="243"/>
        <v>1543</v>
      </c>
      <c r="R3866" s="2" t="s">
        <v>28</v>
      </c>
      <c r="S3866" s="9">
        <f>VLOOKUP(P3866,$T$2:U3863,2,1)</f>
        <v>0.02</v>
      </c>
    </row>
    <row r="3867" spans="1:19" x14ac:dyDescent="0.25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e">
        <f>VLOOKUP(F3867,'Customer Info'!A3859:I4358,2,0)</f>
        <v>#N/A</v>
      </c>
      <c r="H3867" s="6" t="e">
        <f>VLOOKUP(F3867,'Customer Info'!A3859:I4358,3,0)</f>
        <v>#N/A</v>
      </c>
      <c r="I3867" s="6" t="e">
        <f>VLOOKUP(F3867,'Customer Info'!A3859:I4358,5,0)</f>
        <v>#N/A</v>
      </c>
      <c r="J3867" s="2">
        <v>1441</v>
      </c>
      <c r="K3867" s="2">
        <v>1360</v>
      </c>
      <c r="L3867" s="2">
        <v>2</v>
      </c>
      <c r="M3867" s="7">
        <f t="shared" si="240"/>
        <v>2720</v>
      </c>
      <c r="N3867" s="7">
        <f t="shared" si="241"/>
        <v>2882</v>
      </c>
      <c r="O3867" s="2">
        <v>53</v>
      </c>
      <c r="P3867" s="8">
        <f t="shared" si="242"/>
        <v>2935</v>
      </c>
      <c r="Q3867" s="8">
        <f t="shared" si="243"/>
        <v>2829</v>
      </c>
      <c r="R3867" s="2" t="s">
        <v>50</v>
      </c>
      <c r="S3867" s="9">
        <f>VLOOKUP(P3867,$T$2:U3864,2,1)</f>
        <v>0.02</v>
      </c>
    </row>
    <row r="3868" spans="1:19" x14ac:dyDescent="0.25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e">
        <f>VLOOKUP(F3868,'Customer Info'!A3860:I4359,2,0)</f>
        <v>#N/A</v>
      </c>
      <c r="H3868" s="6" t="e">
        <f>VLOOKUP(F3868,'Customer Info'!A3860:I4359,3,0)</f>
        <v>#N/A</v>
      </c>
      <c r="I3868" s="6" t="e">
        <f>VLOOKUP(F3868,'Customer Info'!A3860:I4359,5,0)</f>
        <v>#N/A</v>
      </c>
      <c r="J3868" s="2">
        <v>2228</v>
      </c>
      <c r="K3868" s="2">
        <v>2143</v>
      </c>
      <c r="L3868" s="2">
        <v>4</v>
      </c>
      <c r="M3868" s="7">
        <f t="shared" si="240"/>
        <v>8572</v>
      </c>
      <c r="N3868" s="7">
        <f t="shared" si="241"/>
        <v>8912</v>
      </c>
      <c r="O3868" s="2">
        <v>61</v>
      </c>
      <c r="P3868" s="8">
        <f t="shared" si="242"/>
        <v>8973</v>
      </c>
      <c r="Q3868" s="8">
        <f t="shared" si="243"/>
        <v>8851</v>
      </c>
      <c r="R3868" s="2" t="s">
        <v>50</v>
      </c>
      <c r="S3868" s="9">
        <f>VLOOKUP(P3868,$T$2:U3865,2,1)</f>
        <v>0.05</v>
      </c>
    </row>
    <row r="3869" spans="1:19" x14ac:dyDescent="0.25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e">
        <f>VLOOKUP(F3869,'Customer Info'!A3861:I4360,2,0)</f>
        <v>#N/A</v>
      </c>
      <c r="H3869" s="6" t="e">
        <f>VLOOKUP(F3869,'Customer Info'!A3861:I4360,3,0)</f>
        <v>#N/A</v>
      </c>
      <c r="I3869" s="6" t="e">
        <f>VLOOKUP(F3869,'Customer Info'!A3861:I4360,5,0)</f>
        <v>#N/A</v>
      </c>
      <c r="J3869" s="2">
        <v>8281</v>
      </c>
      <c r="K3869" s="2">
        <v>7673</v>
      </c>
      <c r="L3869" s="2">
        <v>4</v>
      </c>
      <c r="M3869" s="7">
        <f t="shared" si="240"/>
        <v>30692</v>
      </c>
      <c r="N3869" s="7">
        <f t="shared" si="241"/>
        <v>33124</v>
      </c>
      <c r="O3869" s="2">
        <v>48</v>
      </c>
      <c r="P3869" s="8">
        <f t="shared" si="242"/>
        <v>33172</v>
      </c>
      <c r="Q3869" s="8">
        <f t="shared" si="243"/>
        <v>33076</v>
      </c>
      <c r="R3869" s="2" t="s">
        <v>28</v>
      </c>
      <c r="S3869" s="9">
        <f>VLOOKUP(P3869,$T$2:U3866,2,1)</f>
        <v>7.0000000000000007E-2</v>
      </c>
    </row>
    <row r="3870" spans="1:19" x14ac:dyDescent="0.25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e">
        <f>VLOOKUP(F3870,'Customer Info'!A3862:I4361,2,0)</f>
        <v>#N/A</v>
      </c>
      <c r="H3870" s="6" t="e">
        <f>VLOOKUP(F3870,'Customer Info'!A3862:I4361,3,0)</f>
        <v>#N/A</v>
      </c>
      <c r="I3870" s="6" t="e">
        <f>VLOOKUP(F3870,'Customer Info'!A3862:I4361,5,0)</f>
        <v>#N/A</v>
      </c>
      <c r="J3870" s="2">
        <v>61</v>
      </c>
      <c r="K3870" s="2">
        <v>56</v>
      </c>
      <c r="L3870" s="2">
        <v>4</v>
      </c>
      <c r="M3870" s="7">
        <f t="shared" si="240"/>
        <v>224</v>
      </c>
      <c r="N3870" s="7">
        <f t="shared" si="241"/>
        <v>244</v>
      </c>
      <c r="O3870" s="2">
        <v>10</v>
      </c>
      <c r="P3870" s="8">
        <f t="shared" si="242"/>
        <v>254</v>
      </c>
      <c r="Q3870" s="8">
        <f t="shared" si="243"/>
        <v>234</v>
      </c>
      <c r="R3870" s="2" t="s">
        <v>28</v>
      </c>
      <c r="S3870" s="9">
        <f>VLOOKUP(P3870,$T$2:U3867,2,1)</f>
        <v>0.02</v>
      </c>
    </row>
    <row r="3871" spans="1:19" x14ac:dyDescent="0.25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e">
        <f>VLOOKUP(F3871,'Customer Info'!A3863:I4362,2,0)</f>
        <v>#N/A</v>
      </c>
      <c r="H3871" s="6" t="e">
        <f>VLOOKUP(F3871,'Customer Info'!A3863:I4362,3,0)</f>
        <v>#N/A</v>
      </c>
      <c r="I3871" s="6" t="e">
        <f>VLOOKUP(F3871,'Customer Info'!A3863:I4362,5,0)</f>
        <v>#N/A</v>
      </c>
      <c r="J3871" s="2">
        <v>827</v>
      </c>
      <c r="K3871" s="2">
        <v>788</v>
      </c>
      <c r="L3871" s="2">
        <v>3</v>
      </c>
      <c r="M3871" s="7">
        <f t="shared" si="240"/>
        <v>2364</v>
      </c>
      <c r="N3871" s="7">
        <f t="shared" si="241"/>
        <v>2481</v>
      </c>
      <c r="O3871" s="2">
        <v>53</v>
      </c>
      <c r="P3871" s="8">
        <f t="shared" si="242"/>
        <v>2534</v>
      </c>
      <c r="Q3871" s="8">
        <f t="shared" si="243"/>
        <v>2428</v>
      </c>
      <c r="R3871" s="2" t="s">
        <v>50</v>
      </c>
      <c r="S3871" s="9">
        <f>VLOOKUP(P3871,$T$2:U3868,2,1)</f>
        <v>0.02</v>
      </c>
    </row>
    <row r="3872" spans="1:19" x14ac:dyDescent="0.25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e">
        <f>VLOOKUP(F3872,'Customer Info'!A3864:I4363,2,0)</f>
        <v>#N/A</v>
      </c>
      <c r="H3872" s="6" t="e">
        <f>VLOOKUP(F3872,'Customer Info'!A3864:I4363,3,0)</f>
        <v>#N/A</v>
      </c>
      <c r="I3872" s="6" t="e">
        <f>VLOOKUP(F3872,'Customer Info'!A3864:I4363,5,0)</f>
        <v>#N/A</v>
      </c>
      <c r="J3872" s="2">
        <v>765</v>
      </c>
      <c r="K3872" s="2">
        <v>701</v>
      </c>
      <c r="L3872" s="2">
        <v>2</v>
      </c>
      <c r="M3872" s="7">
        <f t="shared" si="240"/>
        <v>1402</v>
      </c>
      <c r="N3872" s="7">
        <f t="shared" si="241"/>
        <v>1530</v>
      </c>
      <c r="O3872" s="2">
        <v>77</v>
      </c>
      <c r="P3872" s="8">
        <f t="shared" si="242"/>
        <v>1607</v>
      </c>
      <c r="Q3872" s="8">
        <f t="shared" si="243"/>
        <v>1453</v>
      </c>
      <c r="R3872" s="2" t="s">
        <v>28</v>
      </c>
      <c r="S3872" s="9">
        <f>VLOOKUP(P3872,$T$2:U3869,2,1)</f>
        <v>0.02</v>
      </c>
    </row>
    <row r="3873" spans="1:19" x14ac:dyDescent="0.25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e">
        <f>VLOOKUP(F3873,'Customer Info'!A3865:I4364,2,0)</f>
        <v>#N/A</v>
      </c>
      <c r="H3873" s="6" t="e">
        <f>VLOOKUP(F3873,'Customer Info'!A3865:I4364,3,0)</f>
        <v>#N/A</v>
      </c>
      <c r="I3873" s="6" t="e">
        <f>VLOOKUP(F3873,'Customer Info'!A3865:I4364,5,0)</f>
        <v>#N/A</v>
      </c>
      <c r="J3873" s="2">
        <v>69</v>
      </c>
      <c r="K3873" s="2">
        <v>64</v>
      </c>
      <c r="L3873" s="2">
        <v>1</v>
      </c>
      <c r="M3873" s="7">
        <f t="shared" si="240"/>
        <v>64</v>
      </c>
      <c r="N3873" s="7">
        <f t="shared" si="241"/>
        <v>69</v>
      </c>
      <c r="O3873" s="2">
        <v>10</v>
      </c>
      <c r="P3873" s="8">
        <f t="shared" si="242"/>
        <v>79</v>
      </c>
      <c r="Q3873" s="8">
        <f t="shared" si="243"/>
        <v>59</v>
      </c>
      <c r="R3873" s="2" t="s">
        <v>50</v>
      </c>
      <c r="S3873" s="9">
        <f>VLOOKUP(P3873,$T$2:U3870,2,1)</f>
        <v>0.02</v>
      </c>
    </row>
    <row r="3874" spans="1:19" x14ac:dyDescent="0.25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e">
        <f>VLOOKUP(F3874,'Customer Info'!A3866:I4365,2,0)</f>
        <v>#N/A</v>
      </c>
      <c r="H3874" s="6" t="e">
        <f>VLOOKUP(F3874,'Customer Info'!A3866:I4365,3,0)</f>
        <v>#N/A</v>
      </c>
      <c r="I3874" s="6" t="e">
        <f>VLOOKUP(F3874,'Customer Info'!A3866:I4365,5,0)</f>
        <v>#N/A</v>
      </c>
      <c r="J3874" s="2">
        <v>4737</v>
      </c>
      <c r="K3874" s="2">
        <v>4473</v>
      </c>
      <c r="L3874" s="2">
        <v>5</v>
      </c>
      <c r="M3874" s="7">
        <f t="shared" si="240"/>
        <v>22365</v>
      </c>
      <c r="N3874" s="7">
        <f t="shared" si="241"/>
        <v>23685</v>
      </c>
      <c r="O3874" s="2">
        <v>31</v>
      </c>
      <c r="P3874" s="8">
        <f t="shared" si="242"/>
        <v>23716</v>
      </c>
      <c r="Q3874" s="8">
        <f t="shared" si="243"/>
        <v>23654</v>
      </c>
      <c r="R3874" s="2" t="s">
        <v>50</v>
      </c>
      <c r="S3874" s="9">
        <f>VLOOKUP(P3874,$T$2:U3871,2,1)</f>
        <v>0.05</v>
      </c>
    </row>
    <row r="3875" spans="1:19" x14ac:dyDescent="0.25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e">
        <f>VLOOKUP(F3875,'Customer Info'!A3867:I4366,2,0)</f>
        <v>#N/A</v>
      </c>
      <c r="H3875" s="6" t="e">
        <f>VLOOKUP(F3875,'Customer Info'!A3867:I4366,3,0)</f>
        <v>#N/A</v>
      </c>
      <c r="I3875" s="6" t="e">
        <f>VLOOKUP(F3875,'Customer Info'!A3867:I4366,5,0)</f>
        <v>#N/A</v>
      </c>
      <c r="J3875" s="2">
        <v>135</v>
      </c>
      <c r="K3875" s="2">
        <v>126</v>
      </c>
      <c r="L3875" s="2">
        <v>6</v>
      </c>
      <c r="M3875" s="7">
        <f t="shared" si="240"/>
        <v>756</v>
      </c>
      <c r="N3875" s="7">
        <f t="shared" si="241"/>
        <v>810</v>
      </c>
      <c r="O3875" s="2">
        <v>30</v>
      </c>
      <c r="P3875" s="8">
        <f t="shared" si="242"/>
        <v>840</v>
      </c>
      <c r="Q3875" s="8">
        <f t="shared" si="243"/>
        <v>780</v>
      </c>
      <c r="R3875" s="2" t="s">
        <v>28</v>
      </c>
      <c r="S3875" s="9">
        <f>VLOOKUP(P3875,$T$2:U3872,2,1)</f>
        <v>0.02</v>
      </c>
    </row>
    <row r="3876" spans="1:19" x14ac:dyDescent="0.25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e">
        <f>VLOOKUP(F3876,'Customer Info'!A3868:I4367,2,0)</f>
        <v>#N/A</v>
      </c>
      <c r="H3876" s="6" t="e">
        <f>VLOOKUP(F3876,'Customer Info'!A3868:I4367,3,0)</f>
        <v>#N/A</v>
      </c>
      <c r="I3876" s="6" t="e">
        <f>VLOOKUP(F3876,'Customer Info'!A3868:I4367,5,0)</f>
        <v>#N/A</v>
      </c>
      <c r="J3876" s="2">
        <v>918</v>
      </c>
      <c r="K3876" s="2">
        <v>859</v>
      </c>
      <c r="L3876" s="2">
        <v>2</v>
      </c>
      <c r="M3876" s="7">
        <f t="shared" si="240"/>
        <v>1718</v>
      </c>
      <c r="N3876" s="7">
        <f t="shared" si="241"/>
        <v>1836</v>
      </c>
      <c r="O3876" s="2">
        <v>76</v>
      </c>
      <c r="P3876" s="8">
        <f t="shared" si="242"/>
        <v>1912</v>
      </c>
      <c r="Q3876" s="8">
        <f t="shared" si="243"/>
        <v>1760</v>
      </c>
      <c r="R3876" s="2" t="s">
        <v>28</v>
      </c>
      <c r="S3876" s="9">
        <f>VLOOKUP(P3876,$T$2:U3873,2,1)</f>
        <v>0.02</v>
      </c>
    </row>
    <row r="3877" spans="1:19" x14ac:dyDescent="0.25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e">
        <f>VLOOKUP(F3877,'Customer Info'!A3869:I4368,2,0)</f>
        <v>#N/A</v>
      </c>
      <c r="H3877" s="6" t="e">
        <f>VLOOKUP(F3877,'Customer Info'!A3869:I4368,3,0)</f>
        <v>#N/A</v>
      </c>
      <c r="I3877" s="6" t="e">
        <f>VLOOKUP(F3877,'Customer Info'!A3869:I4368,5,0)</f>
        <v>#N/A</v>
      </c>
      <c r="J3877" s="2">
        <v>87</v>
      </c>
      <c r="K3877" s="2">
        <v>80</v>
      </c>
      <c r="L3877" s="2">
        <v>2</v>
      </c>
      <c r="M3877" s="7">
        <f t="shared" si="240"/>
        <v>160</v>
      </c>
      <c r="N3877" s="7">
        <f t="shared" si="241"/>
        <v>174</v>
      </c>
      <c r="O3877" s="2">
        <v>10</v>
      </c>
      <c r="P3877" s="8">
        <f t="shared" si="242"/>
        <v>184</v>
      </c>
      <c r="Q3877" s="8">
        <f t="shared" si="243"/>
        <v>164</v>
      </c>
      <c r="R3877" s="2" t="s">
        <v>28</v>
      </c>
      <c r="S3877" s="9">
        <f>VLOOKUP(P3877,$T$2:U3874,2,1)</f>
        <v>0.02</v>
      </c>
    </row>
    <row r="3878" spans="1:19" x14ac:dyDescent="0.25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e">
        <f>VLOOKUP(F3878,'Customer Info'!A3870:I4369,2,0)</f>
        <v>#N/A</v>
      </c>
      <c r="H3878" s="6" t="e">
        <f>VLOOKUP(F3878,'Customer Info'!A3870:I4369,3,0)</f>
        <v>#N/A</v>
      </c>
      <c r="I3878" s="6" t="e">
        <f>VLOOKUP(F3878,'Customer Info'!A3870:I4369,5,0)</f>
        <v>#N/A</v>
      </c>
      <c r="J3878" s="2">
        <v>142</v>
      </c>
      <c r="K3878" s="2">
        <v>134</v>
      </c>
      <c r="L3878" s="2">
        <v>8</v>
      </c>
      <c r="M3878" s="7">
        <f t="shared" si="240"/>
        <v>1072</v>
      </c>
      <c r="N3878" s="7">
        <f t="shared" si="241"/>
        <v>1136</v>
      </c>
      <c r="O3878" s="2">
        <v>30</v>
      </c>
      <c r="P3878" s="8">
        <f t="shared" si="242"/>
        <v>1166</v>
      </c>
      <c r="Q3878" s="8">
        <f t="shared" si="243"/>
        <v>1106</v>
      </c>
      <c r="R3878" s="2" t="s">
        <v>28</v>
      </c>
      <c r="S3878" s="9">
        <f>VLOOKUP(P3878,$T$2:U3875,2,1)</f>
        <v>0.02</v>
      </c>
    </row>
    <row r="3879" spans="1:19" x14ac:dyDescent="0.25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e">
        <f>VLOOKUP(F3879,'Customer Info'!A3871:I4370,2,0)</f>
        <v>#N/A</v>
      </c>
      <c r="H3879" s="6" t="e">
        <f>VLOOKUP(F3879,'Customer Info'!A3871:I4370,3,0)</f>
        <v>#N/A</v>
      </c>
      <c r="I3879" s="6" t="e">
        <f>VLOOKUP(F3879,'Customer Info'!A3871:I4370,5,0)</f>
        <v>#N/A</v>
      </c>
      <c r="J3879" s="2">
        <v>123</v>
      </c>
      <c r="K3879" s="2">
        <v>115</v>
      </c>
      <c r="L3879" s="2">
        <v>2</v>
      </c>
      <c r="M3879" s="7">
        <f t="shared" si="240"/>
        <v>230</v>
      </c>
      <c r="N3879" s="7">
        <f t="shared" si="241"/>
        <v>246</v>
      </c>
      <c r="O3879" s="2">
        <v>30</v>
      </c>
      <c r="P3879" s="8">
        <f t="shared" si="242"/>
        <v>276</v>
      </c>
      <c r="Q3879" s="8">
        <f t="shared" si="243"/>
        <v>216</v>
      </c>
      <c r="R3879" s="2" t="s">
        <v>28</v>
      </c>
      <c r="S3879" s="9">
        <f>VLOOKUP(P3879,$T$2:U3876,2,1)</f>
        <v>0.02</v>
      </c>
    </row>
    <row r="3880" spans="1:19" x14ac:dyDescent="0.25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e">
        <f>VLOOKUP(F3880,'Customer Info'!A3872:I4371,2,0)</f>
        <v>#N/A</v>
      </c>
      <c r="H3880" s="6" t="e">
        <f>VLOOKUP(F3880,'Customer Info'!A3872:I4371,3,0)</f>
        <v>#N/A</v>
      </c>
      <c r="I3880" s="6" t="e">
        <f>VLOOKUP(F3880,'Customer Info'!A3872:I4371,5,0)</f>
        <v>#N/A</v>
      </c>
      <c r="J3880" s="2">
        <v>1125</v>
      </c>
      <c r="K3880" s="2">
        <v>1040</v>
      </c>
      <c r="L3880" s="2">
        <v>3</v>
      </c>
      <c r="M3880" s="7">
        <f t="shared" si="240"/>
        <v>3120</v>
      </c>
      <c r="N3880" s="7">
        <f t="shared" si="241"/>
        <v>3375</v>
      </c>
      <c r="O3880" s="2">
        <v>91</v>
      </c>
      <c r="P3880" s="8">
        <f t="shared" si="242"/>
        <v>3466</v>
      </c>
      <c r="Q3880" s="8">
        <f t="shared" si="243"/>
        <v>3284</v>
      </c>
      <c r="R3880" s="2" t="s">
        <v>28</v>
      </c>
      <c r="S3880" s="9">
        <f>VLOOKUP(P3880,$T$2:U3877,2,1)</f>
        <v>0.02</v>
      </c>
    </row>
    <row r="3881" spans="1:19" x14ac:dyDescent="0.25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e">
        <f>VLOOKUP(F3881,'Customer Info'!A3873:I4372,2,0)</f>
        <v>#N/A</v>
      </c>
      <c r="H3881" s="6" t="e">
        <f>VLOOKUP(F3881,'Customer Info'!A3873:I4372,3,0)</f>
        <v>#N/A</v>
      </c>
      <c r="I3881" s="6" t="e">
        <f>VLOOKUP(F3881,'Customer Info'!A3873:I4372,5,0)</f>
        <v>#N/A</v>
      </c>
      <c r="J3881" s="2">
        <v>456</v>
      </c>
      <c r="K3881" s="2">
        <v>430</v>
      </c>
      <c r="L3881" s="2">
        <v>3</v>
      </c>
      <c r="M3881" s="7">
        <f t="shared" si="240"/>
        <v>1290</v>
      </c>
      <c r="N3881" s="7">
        <f t="shared" si="241"/>
        <v>1368</v>
      </c>
      <c r="O3881" s="2">
        <v>59</v>
      </c>
      <c r="P3881" s="8">
        <f t="shared" si="242"/>
        <v>1427</v>
      </c>
      <c r="Q3881" s="8">
        <f t="shared" si="243"/>
        <v>1309</v>
      </c>
      <c r="R3881" s="2" t="s">
        <v>28</v>
      </c>
      <c r="S3881" s="9">
        <f>VLOOKUP(P3881,$T$2:U3878,2,1)</f>
        <v>0.02</v>
      </c>
    </row>
    <row r="3882" spans="1:19" x14ac:dyDescent="0.25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e">
        <f>VLOOKUP(F3882,'Customer Info'!A3874:I4373,2,0)</f>
        <v>#N/A</v>
      </c>
      <c r="H3882" s="6" t="e">
        <f>VLOOKUP(F3882,'Customer Info'!A3874:I4373,3,0)</f>
        <v>#N/A</v>
      </c>
      <c r="I3882" s="6" t="e">
        <f>VLOOKUP(F3882,'Customer Info'!A3874:I4373,5,0)</f>
        <v>#N/A</v>
      </c>
      <c r="J3882" s="2">
        <v>691</v>
      </c>
      <c r="K3882" s="2">
        <v>646</v>
      </c>
      <c r="L3882" s="2">
        <v>5</v>
      </c>
      <c r="M3882" s="7">
        <f t="shared" si="240"/>
        <v>3230</v>
      </c>
      <c r="N3882" s="7">
        <f t="shared" si="241"/>
        <v>3455</v>
      </c>
      <c r="O3882" s="2">
        <v>33</v>
      </c>
      <c r="P3882" s="8">
        <f t="shared" si="242"/>
        <v>3488</v>
      </c>
      <c r="Q3882" s="8">
        <f t="shared" si="243"/>
        <v>3422</v>
      </c>
      <c r="R3882" s="2" t="s">
        <v>50</v>
      </c>
      <c r="S3882" s="9">
        <f>VLOOKUP(P3882,$T$2:U3879,2,1)</f>
        <v>0.02</v>
      </c>
    </row>
    <row r="3883" spans="1:19" x14ac:dyDescent="0.25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e">
        <f>VLOOKUP(F3883,'Customer Info'!A3875:I4374,2,0)</f>
        <v>#N/A</v>
      </c>
      <c r="H3883" s="6" t="e">
        <f>VLOOKUP(F3883,'Customer Info'!A3875:I4374,3,0)</f>
        <v>#N/A</v>
      </c>
      <c r="I3883" s="6" t="e">
        <f>VLOOKUP(F3883,'Customer Info'!A3875:I4374,5,0)</f>
        <v>#N/A</v>
      </c>
      <c r="J3883" s="2">
        <v>1413</v>
      </c>
      <c r="K3883" s="2">
        <v>1334</v>
      </c>
      <c r="L3883" s="2">
        <v>2</v>
      </c>
      <c r="M3883" s="7">
        <f t="shared" si="240"/>
        <v>2668</v>
      </c>
      <c r="N3883" s="7">
        <f t="shared" si="241"/>
        <v>2826</v>
      </c>
      <c r="O3883" s="2">
        <v>81</v>
      </c>
      <c r="P3883" s="8">
        <f t="shared" si="242"/>
        <v>2907</v>
      </c>
      <c r="Q3883" s="8">
        <f t="shared" si="243"/>
        <v>2745</v>
      </c>
      <c r="R3883" s="2" t="s">
        <v>50</v>
      </c>
      <c r="S3883" s="9">
        <f>VLOOKUP(P3883,$T$2:U3880,2,1)</f>
        <v>0.02</v>
      </c>
    </row>
    <row r="3884" spans="1:19" x14ac:dyDescent="0.25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e">
        <f>VLOOKUP(F3884,'Customer Info'!A3876:I4375,2,0)</f>
        <v>#N/A</v>
      </c>
      <c r="H3884" s="6" t="e">
        <f>VLOOKUP(F3884,'Customer Info'!A3876:I4375,3,0)</f>
        <v>#N/A</v>
      </c>
      <c r="I3884" s="6" t="e">
        <f>VLOOKUP(F3884,'Customer Info'!A3876:I4375,5,0)</f>
        <v>#N/A</v>
      </c>
      <c r="J3884" s="2">
        <v>35350</v>
      </c>
      <c r="K3884" s="2">
        <v>33037</v>
      </c>
      <c r="L3884" s="2">
        <v>3</v>
      </c>
      <c r="M3884" s="7">
        <f t="shared" si="240"/>
        <v>99111</v>
      </c>
      <c r="N3884" s="7">
        <f t="shared" si="241"/>
        <v>106050</v>
      </c>
      <c r="O3884" s="2">
        <v>62</v>
      </c>
      <c r="P3884" s="8">
        <f t="shared" si="242"/>
        <v>106112</v>
      </c>
      <c r="Q3884" s="8">
        <f t="shared" si="243"/>
        <v>105988</v>
      </c>
      <c r="R3884" s="2" t="s">
        <v>50</v>
      </c>
      <c r="S3884" s="9">
        <f>VLOOKUP(P3884,$T$2:U3881,2,1)</f>
        <v>0.12</v>
      </c>
    </row>
    <row r="3885" spans="1:19" x14ac:dyDescent="0.25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e">
        <f>VLOOKUP(F3885,'Customer Info'!A3877:I4376,2,0)</f>
        <v>#N/A</v>
      </c>
      <c r="H3885" s="6" t="e">
        <f>VLOOKUP(F3885,'Customer Info'!A3877:I4376,3,0)</f>
        <v>#N/A</v>
      </c>
      <c r="I3885" s="6" t="e">
        <f>VLOOKUP(F3885,'Customer Info'!A3877:I4376,5,0)</f>
        <v>#N/A</v>
      </c>
      <c r="J3885" s="2">
        <v>1809</v>
      </c>
      <c r="K3885" s="2">
        <v>1691</v>
      </c>
      <c r="L3885" s="2">
        <v>4</v>
      </c>
      <c r="M3885" s="7">
        <f t="shared" si="240"/>
        <v>6764</v>
      </c>
      <c r="N3885" s="7">
        <f t="shared" si="241"/>
        <v>7236</v>
      </c>
      <c r="O3885" s="2">
        <v>65</v>
      </c>
      <c r="P3885" s="8">
        <f t="shared" si="242"/>
        <v>7301</v>
      </c>
      <c r="Q3885" s="8">
        <f t="shared" si="243"/>
        <v>7171</v>
      </c>
      <c r="R3885" s="2" t="s">
        <v>50</v>
      </c>
      <c r="S3885" s="9">
        <f>VLOOKUP(P3885,$T$2:U3882,2,1)</f>
        <v>0.05</v>
      </c>
    </row>
    <row r="3886" spans="1:19" x14ac:dyDescent="0.25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e">
        <f>VLOOKUP(F3886,'Customer Info'!A3878:I4377,2,0)</f>
        <v>#N/A</v>
      </c>
      <c r="H3886" s="6" t="e">
        <f>VLOOKUP(F3886,'Customer Info'!A3878:I4377,3,0)</f>
        <v>#N/A</v>
      </c>
      <c r="I3886" s="6" t="e">
        <f>VLOOKUP(F3886,'Customer Info'!A3878:I4377,5,0)</f>
        <v>#N/A</v>
      </c>
      <c r="J3886" s="2">
        <v>811</v>
      </c>
      <c r="K3886" s="2">
        <v>780</v>
      </c>
      <c r="L3886" s="2">
        <v>2</v>
      </c>
      <c r="M3886" s="7">
        <f t="shared" si="240"/>
        <v>1560</v>
      </c>
      <c r="N3886" s="7">
        <f t="shared" si="241"/>
        <v>1622</v>
      </c>
      <c r="O3886" s="2">
        <v>53</v>
      </c>
      <c r="P3886" s="8">
        <f t="shared" si="242"/>
        <v>1675</v>
      </c>
      <c r="Q3886" s="8">
        <f t="shared" si="243"/>
        <v>1569</v>
      </c>
      <c r="R3886" s="2" t="s">
        <v>56</v>
      </c>
      <c r="S3886" s="9">
        <f>VLOOKUP(P3886,$T$2:U3883,2,1)</f>
        <v>0.02</v>
      </c>
    </row>
    <row r="3887" spans="1:19" x14ac:dyDescent="0.25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e">
        <f>VLOOKUP(F3887,'Customer Info'!A3879:I4378,2,0)</f>
        <v>#N/A</v>
      </c>
      <c r="H3887" s="6" t="e">
        <f>VLOOKUP(F3887,'Customer Info'!A3879:I4378,3,0)</f>
        <v>#N/A</v>
      </c>
      <c r="I3887" s="6" t="e">
        <f>VLOOKUP(F3887,'Customer Info'!A3879:I4378,5,0)</f>
        <v>#N/A</v>
      </c>
      <c r="J3887" s="2">
        <v>417</v>
      </c>
      <c r="K3887" s="2">
        <v>392</v>
      </c>
      <c r="L3887" s="2">
        <v>2</v>
      </c>
      <c r="M3887" s="7">
        <f t="shared" si="240"/>
        <v>784</v>
      </c>
      <c r="N3887" s="7">
        <f t="shared" si="241"/>
        <v>834</v>
      </c>
      <c r="O3887" s="2">
        <v>61</v>
      </c>
      <c r="P3887" s="8">
        <f t="shared" si="242"/>
        <v>895</v>
      </c>
      <c r="Q3887" s="8">
        <f t="shared" si="243"/>
        <v>773</v>
      </c>
      <c r="R3887" s="2" t="s">
        <v>28</v>
      </c>
      <c r="S3887" s="9">
        <f>VLOOKUP(P3887,$T$2:U3884,2,1)</f>
        <v>0.02</v>
      </c>
    </row>
    <row r="3888" spans="1:19" x14ac:dyDescent="0.25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e">
        <f>VLOOKUP(F3888,'Customer Info'!A3880:I4379,2,0)</f>
        <v>#N/A</v>
      </c>
      <c r="H3888" s="6" t="e">
        <f>VLOOKUP(F3888,'Customer Info'!A3880:I4379,3,0)</f>
        <v>#N/A</v>
      </c>
      <c r="I3888" s="6" t="e">
        <f>VLOOKUP(F3888,'Customer Info'!A3880:I4379,5,0)</f>
        <v>#N/A</v>
      </c>
      <c r="J3888" s="2">
        <v>6087</v>
      </c>
      <c r="K3888" s="2">
        <v>5808</v>
      </c>
      <c r="L3888" s="2">
        <v>8</v>
      </c>
      <c r="M3888" s="7">
        <f t="shared" si="240"/>
        <v>46464</v>
      </c>
      <c r="N3888" s="7">
        <f t="shared" si="241"/>
        <v>48696</v>
      </c>
      <c r="O3888" s="2">
        <v>60</v>
      </c>
      <c r="P3888" s="8">
        <f t="shared" si="242"/>
        <v>48756</v>
      </c>
      <c r="Q3888" s="8">
        <f t="shared" si="243"/>
        <v>48636</v>
      </c>
      <c r="R3888" s="2" t="s">
        <v>28</v>
      </c>
      <c r="S3888" s="9">
        <f>VLOOKUP(P3888,$T$2:U3885,2,1)</f>
        <v>7.0000000000000007E-2</v>
      </c>
    </row>
    <row r="3889" spans="1:19" x14ac:dyDescent="0.25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e">
        <f>VLOOKUP(F3889,'Customer Info'!A3881:I4380,2,0)</f>
        <v>#N/A</v>
      </c>
      <c r="H3889" s="6" t="e">
        <f>VLOOKUP(F3889,'Customer Info'!A3881:I4380,3,0)</f>
        <v>#N/A</v>
      </c>
      <c r="I3889" s="6" t="e">
        <f>VLOOKUP(F3889,'Customer Info'!A3881:I4380,5,0)</f>
        <v>#N/A</v>
      </c>
      <c r="J3889" s="2">
        <v>417</v>
      </c>
      <c r="K3889" s="2">
        <v>392</v>
      </c>
      <c r="L3889" s="2">
        <v>2</v>
      </c>
      <c r="M3889" s="7">
        <f t="shared" si="240"/>
        <v>784</v>
      </c>
      <c r="N3889" s="7">
        <f t="shared" si="241"/>
        <v>834</v>
      </c>
      <c r="O3889" s="2">
        <v>25</v>
      </c>
      <c r="P3889" s="8">
        <f t="shared" si="242"/>
        <v>859</v>
      </c>
      <c r="Q3889" s="8">
        <f t="shared" si="243"/>
        <v>809</v>
      </c>
      <c r="R3889" s="2" t="s">
        <v>28</v>
      </c>
      <c r="S3889" s="9">
        <f>VLOOKUP(P3889,$T$2:U3886,2,1)</f>
        <v>0.02</v>
      </c>
    </row>
    <row r="3890" spans="1:19" x14ac:dyDescent="0.25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e">
        <f>VLOOKUP(F3890,'Customer Info'!A3882:I4381,2,0)</f>
        <v>#N/A</v>
      </c>
      <c r="H3890" s="6" t="e">
        <f>VLOOKUP(F3890,'Customer Info'!A3882:I4381,3,0)</f>
        <v>#N/A</v>
      </c>
      <c r="I3890" s="6" t="e">
        <f>VLOOKUP(F3890,'Customer Info'!A3882:I4381,5,0)</f>
        <v>#N/A</v>
      </c>
      <c r="J3890" s="2">
        <v>693</v>
      </c>
      <c r="K3890" s="2">
        <v>667</v>
      </c>
      <c r="L3890" s="2">
        <v>3</v>
      </c>
      <c r="M3890" s="7">
        <f t="shared" si="240"/>
        <v>2001</v>
      </c>
      <c r="N3890" s="7">
        <f t="shared" si="241"/>
        <v>2079</v>
      </c>
      <c r="O3890" s="2">
        <v>52</v>
      </c>
      <c r="P3890" s="8">
        <f t="shared" si="242"/>
        <v>2131</v>
      </c>
      <c r="Q3890" s="8">
        <f t="shared" si="243"/>
        <v>2027</v>
      </c>
      <c r="R3890" s="2" t="s">
        <v>28</v>
      </c>
      <c r="S3890" s="9">
        <f>VLOOKUP(P3890,$T$2:U3887,2,1)</f>
        <v>0.02</v>
      </c>
    </row>
    <row r="3891" spans="1:19" x14ac:dyDescent="0.25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e">
        <f>VLOOKUP(F3891,'Customer Info'!A3883:I4382,2,0)</f>
        <v>#N/A</v>
      </c>
      <c r="H3891" s="6" t="e">
        <f>VLOOKUP(F3891,'Customer Info'!A3883:I4382,3,0)</f>
        <v>#N/A</v>
      </c>
      <c r="I3891" s="6" t="e">
        <f>VLOOKUP(F3891,'Customer Info'!A3883:I4382,5,0)</f>
        <v>#N/A</v>
      </c>
      <c r="J3891" s="2">
        <v>60</v>
      </c>
      <c r="K3891" s="2">
        <v>57</v>
      </c>
      <c r="L3891" s="2">
        <v>3</v>
      </c>
      <c r="M3891" s="7">
        <f t="shared" si="240"/>
        <v>171</v>
      </c>
      <c r="N3891" s="7">
        <f t="shared" si="241"/>
        <v>180</v>
      </c>
      <c r="O3891" s="2">
        <v>10</v>
      </c>
      <c r="P3891" s="8">
        <f t="shared" si="242"/>
        <v>190</v>
      </c>
      <c r="Q3891" s="8">
        <f t="shared" si="243"/>
        <v>170</v>
      </c>
      <c r="R3891" s="2" t="s">
        <v>28</v>
      </c>
      <c r="S3891" s="9">
        <f>VLOOKUP(P3891,$T$2:U3888,2,1)</f>
        <v>0.02</v>
      </c>
    </row>
    <row r="3892" spans="1:19" x14ac:dyDescent="0.25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e">
        <f>VLOOKUP(F3892,'Customer Info'!A3884:I4383,2,0)</f>
        <v>#N/A</v>
      </c>
      <c r="H3892" s="6" t="e">
        <f>VLOOKUP(F3892,'Customer Info'!A3884:I4383,3,0)</f>
        <v>#N/A</v>
      </c>
      <c r="I3892" s="6" t="e">
        <f>VLOOKUP(F3892,'Customer Info'!A3884:I4383,5,0)</f>
        <v>#N/A</v>
      </c>
      <c r="J3892" s="2">
        <v>139</v>
      </c>
      <c r="K3892" s="2">
        <v>133</v>
      </c>
      <c r="L3892" s="2">
        <v>1</v>
      </c>
      <c r="M3892" s="7">
        <f t="shared" si="240"/>
        <v>133</v>
      </c>
      <c r="N3892" s="7">
        <f t="shared" si="241"/>
        <v>139</v>
      </c>
      <c r="O3892" s="2">
        <v>30</v>
      </c>
      <c r="P3892" s="8">
        <f t="shared" si="242"/>
        <v>169</v>
      </c>
      <c r="Q3892" s="8">
        <f t="shared" si="243"/>
        <v>109</v>
      </c>
      <c r="R3892" s="2" t="s">
        <v>28</v>
      </c>
      <c r="S3892" s="9">
        <f>VLOOKUP(P3892,$T$2:U3889,2,1)</f>
        <v>0.02</v>
      </c>
    </row>
    <row r="3893" spans="1:19" x14ac:dyDescent="0.25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e">
        <f>VLOOKUP(F3893,'Customer Info'!A3885:I4384,2,0)</f>
        <v>#N/A</v>
      </c>
      <c r="H3893" s="6" t="e">
        <f>VLOOKUP(F3893,'Customer Info'!A3885:I4384,3,0)</f>
        <v>#N/A</v>
      </c>
      <c r="I3893" s="6" t="e">
        <f>VLOOKUP(F3893,'Customer Info'!A3885:I4384,5,0)</f>
        <v>#N/A</v>
      </c>
      <c r="J3893" s="2">
        <v>123</v>
      </c>
      <c r="K3893" s="2">
        <v>115</v>
      </c>
      <c r="L3893" s="2">
        <v>1</v>
      </c>
      <c r="M3893" s="7">
        <f t="shared" si="240"/>
        <v>115</v>
      </c>
      <c r="N3893" s="7">
        <f t="shared" si="241"/>
        <v>123</v>
      </c>
      <c r="O3893" s="2">
        <v>30</v>
      </c>
      <c r="P3893" s="8">
        <f t="shared" si="242"/>
        <v>153</v>
      </c>
      <c r="Q3893" s="8">
        <f t="shared" si="243"/>
        <v>93</v>
      </c>
      <c r="R3893" s="2" t="s">
        <v>28</v>
      </c>
      <c r="S3893" s="9">
        <f>VLOOKUP(P3893,$T$2:U3890,2,1)</f>
        <v>0.02</v>
      </c>
    </row>
    <row r="3894" spans="1:19" x14ac:dyDescent="0.25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e">
        <f>VLOOKUP(F3894,'Customer Info'!A3886:I4385,2,0)</f>
        <v>#N/A</v>
      </c>
      <c r="H3894" s="6" t="e">
        <f>VLOOKUP(F3894,'Customer Info'!A3886:I4385,3,0)</f>
        <v>#N/A</v>
      </c>
      <c r="I3894" s="6" t="e">
        <f>VLOOKUP(F3894,'Customer Info'!A3886:I4385,5,0)</f>
        <v>#N/A</v>
      </c>
      <c r="J3894" s="2">
        <v>63</v>
      </c>
      <c r="K3894" s="2">
        <v>59</v>
      </c>
      <c r="L3894" s="2">
        <v>2</v>
      </c>
      <c r="M3894" s="7">
        <f t="shared" si="240"/>
        <v>118</v>
      </c>
      <c r="N3894" s="7">
        <f t="shared" si="241"/>
        <v>126</v>
      </c>
      <c r="O3894" s="2">
        <v>10</v>
      </c>
      <c r="P3894" s="8">
        <f t="shared" si="242"/>
        <v>136</v>
      </c>
      <c r="Q3894" s="8">
        <f t="shared" si="243"/>
        <v>116</v>
      </c>
      <c r="R3894" s="2" t="s">
        <v>50</v>
      </c>
      <c r="S3894" s="9">
        <f>VLOOKUP(P3894,$T$2:U3891,2,1)</f>
        <v>0.02</v>
      </c>
    </row>
    <row r="3895" spans="1:19" x14ac:dyDescent="0.25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e">
        <f>VLOOKUP(F3895,'Customer Info'!A3887:I4386,2,0)</f>
        <v>#N/A</v>
      </c>
      <c r="H3895" s="6" t="e">
        <f>VLOOKUP(F3895,'Customer Info'!A3887:I4386,3,0)</f>
        <v>#N/A</v>
      </c>
      <c r="I3895" s="6" t="e">
        <f>VLOOKUP(F3895,'Customer Info'!A3887:I4386,5,0)</f>
        <v>#N/A</v>
      </c>
      <c r="J3895" s="2">
        <v>679</v>
      </c>
      <c r="K3895" s="2">
        <v>654</v>
      </c>
      <c r="L3895" s="2">
        <v>4</v>
      </c>
      <c r="M3895" s="7">
        <f t="shared" si="240"/>
        <v>2616</v>
      </c>
      <c r="N3895" s="7">
        <f t="shared" si="241"/>
        <v>2716</v>
      </c>
      <c r="O3895" s="2">
        <v>41</v>
      </c>
      <c r="P3895" s="8">
        <f t="shared" si="242"/>
        <v>2757</v>
      </c>
      <c r="Q3895" s="8">
        <f t="shared" si="243"/>
        <v>2675</v>
      </c>
      <c r="R3895" s="2" t="s">
        <v>50</v>
      </c>
      <c r="S3895" s="9">
        <f>VLOOKUP(P3895,$T$2:U3892,2,1)</f>
        <v>0.02</v>
      </c>
    </row>
    <row r="3896" spans="1:19" x14ac:dyDescent="0.25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e">
        <f>VLOOKUP(F3896,'Customer Info'!A3888:I4387,2,0)</f>
        <v>#N/A</v>
      </c>
      <c r="H3896" s="6" t="e">
        <f>VLOOKUP(F3896,'Customer Info'!A3888:I4387,3,0)</f>
        <v>#N/A</v>
      </c>
      <c r="I3896" s="6" t="e">
        <f>VLOOKUP(F3896,'Customer Info'!A3888:I4387,5,0)</f>
        <v>#N/A</v>
      </c>
      <c r="J3896" s="2">
        <v>4577</v>
      </c>
      <c r="K3896" s="2">
        <v>4280</v>
      </c>
      <c r="L3896" s="2">
        <v>2</v>
      </c>
      <c r="M3896" s="7">
        <f t="shared" si="240"/>
        <v>8560</v>
      </c>
      <c r="N3896" s="7">
        <f t="shared" si="241"/>
        <v>9154</v>
      </c>
      <c r="O3896" s="2">
        <v>59</v>
      </c>
      <c r="P3896" s="8">
        <f t="shared" si="242"/>
        <v>9213</v>
      </c>
      <c r="Q3896" s="8">
        <f t="shared" si="243"/>
        <v>9095</v>
      </c>
      <c r="R3896" s="2" t="s">
        <v>28</v>
      </c>
      <c r="S3896" s="9">
        <f>VLOOKUP(P3896,$T$2:U3893,2,1)</f>
        <v>0.05</v>
      </c>
    </row>
    <row r="3897" spans="1:19" x14ac:dyDescent="0.25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e">
        <f>VLOOKUP(F3897,'Customer Info'!A3889:I4388,2,0)</f>
        <v>#N/A</v>
      </c>
      <c r="H3897" s="6" t="e">
        <f>VLOOKUP(F3897,'Customer Info'!A3889:I4388,3,0)</f>
        <v>#N/A</v>
      </c>
      <c r="I3897" s="6" t="e">
        <f>VLOOKUP(F3897,'Customer Info'!A3889:I4388,5,0)</f>
        <v>#N/A</v>
      </c>
      <c r="J3897" s="2">
        <v>759</v>
      </c>
      <c r="K3897" s="2">
        <v>703</v>
      </c>
      <c r="L3897" s="2">
        <v>4</v>
      </c>
      <c r="M3897" s="7">
        <f t="shared" si="240"/>
        <v>2812</v>
      </c>
      <c r="N3897" s="7">
        <f t="shared" si="241"/>
        <v>3036</v>
      </c>
      <c r="O3897" s="2">
        <v>78</v>
      </c>
      <c r="P3897" s="8">
        <f t="shared" si="242"/>
        <v>3114</v>
      </c>
      <c r="Q3897" s="8">
        <f t="shared" si="243"/>
        <v>2958</v>
      </c>
      <c r="R3897" s="2" t="s">
        <v>28</v>
      </c>
      <c r="S3897" s="9">
        <f>VLOOKUP(P3897,$T$2:U3894,2,1)</f>
        <v>0.02</v>
      </c>
    </row>
    <row r="3898" spans="1:19" x14ac:dyDescent="0.25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e">
        <f>VLOOKUP(F3898,'Customer Info'!A3890:I4389,2,0)</f>
        <v>#N/A</v>
      </c>
      <c r="H3898" s="6" t="e">
        <f>VLOOKUP(F3898,'Customer Info'!A3890:I4389,3,0)</f>
        <v>#N/A</v>
      </c>
      <c r="I3898" s="6" t="e">
        <f>VLOOKUP(F3898,'Customer Info'!A3890:I4389,5,0)</f>
        <v>#N/A</v>
      </c>
      <c r="J3898" s="2">
        <v>7943</v>
      </c>
      <c r="K3898" s="2">
        <v>7790</v>
      </c>
      <c r="L3898" s="2">
        <v>3</v>
      </c>
      <c r="M3898" s="7">
        <f t="shared" si="240"/>
        <v>23370</v>
      </c>
      <c r="N3898" s="7">
        <f t="shared" si="241"/>
        <v>23829</v>
      </c>
      <c r="O3898" s="2">
        <v>27</v>
      </c>
      <c r="P3898" s="8">
        <f t="shared" si="242"/>
        <v>23856</v>
      </c>
      <c r="Q3898" s="8">
        <f t="shared" si="243"/>
        <v>23802</v>
      </c>
      <c r="R3898" s="2" t="s">
        <v>50</v>
      </c>
      <c r="S3898" s="9">
        <f>VLOOKUP(P3898,$T$2:U3895,2,1)</f>
        <v>0.05</v>
      </c>
    </row>
    <row r="3899" spans="1:19" x14ac:dyDescent="0.25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e">
        <f>VLOOKUP(F3899,'Customer Info'!A3891:I4390,2,0)</f>
        <v>#N/A</v>
      </c>
      <c r="H3899" s="6" t="e">
        <f>VLOOKUP(F3899,'Customer Info'!A3891:I4390,3,0)</f>
        <v>#N/A</v>
      </c>
      <c r="I3899" s="6" t="e">
        <f>VLOOKUP(F3899,'Customer Info'!A3891:I4390,5,0)</f>
        <v>#N/A</v>
      </c>
      <c r="J3899" s="2">
        <v>2466</v>
      </c>
      <c r="K3899" s="2">
        <v>2350</v>
      </c>
      <c r="L3899" s="2">
        <v>3</v>
      </c>
      <c r="M3899" s="7">
        <f t="shared" si="240"/>
        <v>7050</v>
      </c>
      <c r="N3899" s="7">
        <f t="shared" si="241"/>
        <v>7398</v>
      </c>
      <c r="O3899" s="2">
        <v>32</v>
      </c>
      <c r="P3899" s="8">
        <f t="shared" si="242"/>
        <v>7430</v>
      </c>
      <c r="Q3899" s="8">
        <f t="shared" si="243"/>
        <v>7366</v>
      </c>
      <c r="R3899" s="2" t="s">
        <v>26</v>
      </c>
      <c r="S3899" s="9">
        <f>VLOOKUP(P3899,$T$2:U3896,2,1)</f>
        <v>0.05</v>
      </c>
    </row>
    <row r="3900" spans="1:19" x14ac:dyDescent="0.25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e">
        <f>VLOOKUP(F3900,'Customer Info'!A3892:I4391,2,0)</f>
        <v>#N/A</v>
      </c>
      <c r="H3900" s="6" t="e">
        <f>VLOOKUP(F3900,'Customer Info'!A3892:I4391,3,0)</f>
        <v>#N/A</v>
      </c>
      <c r="I3900" s="6" t="e">
        <f>VLOOKUP(F3900,'Customer Info'!A3892:I4391,5,0)</f>
        <v>#N/A</v>
      </c>
      <c r="J3900" s="2">
        <v>63</v>
      </c>
      <c r="K3900" s="2">
        <v>59</v>
      </c>
      <c r="L3900" s="2">
        <v>3</v>
      </c>
      <c r="M3900" s="7">
        <f t="shared" si="240"/>
        <v>177</v>
      </c>
      <c r="N3900" s="7">
        <f t="shared" si="241"/>
        <v>189</v>
      </c>
      <c r="O3900" s="2">
        <v>10</v>
      </c>
      <c r="P3900" s="8">
        <f t="shared" si="242"/>
        <v>199</v>
      </c>
      <c r="Q3900" s="8">
        <f t="shared" si="243"/>
        <v>179</v>
      </c>
      <c r="R3900" s="2" t="s">
        <v>28</v>
      </c>
      <c r="S3900" s="9">
        <f>VLOOKUP(P3900,$T$2:U3897,2,1)</f>
        <v>0.02</v>
      </c>
    </row>
    <row r="3901" spans="1:19" x14ac:dyDescent="0.25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e">
        <f>VLOOKUP(F3901,'Customer Info'!A3893:I4392,2,0)</f>
        <v>#N/A</v>
      </c>
      <c r="H3901" s="6" t="e">
        <f>VLOOKUP(F3901,'Customer Info'!A3893:I4392,3,0)</f>
        <v>#N/A</v>
      </c>
      <c r="I3901" s="6" t="e">
        <f>VLOOKUP(F3901,'Customer Info'!A3893:I4392,5,0)</f>
        <v>#N/A</v>
      </c>
      <c r="J3901" s="2">
        <v>3224</v>
      </c>
      <c r="K3901" s="2">
        <v>2901</v>
      </c>
      <c r="L3901" s="2">
        <v>6</v>
      </c>
      <c r="M3901" s="7">
        <f t="shared" si="240"/>
        <v>17406</v>
      </c>
      <c r="N3901" s="7">
        <f t="shared" si="241"/>
        <v>19344</v>
      </c>
      <c r="O3901" s="2">
        <v>49</v>
      </c>
      <c r="P3901" s="8">
        <f t="shared" si="242"/>
        <v>19393</v>
      </c>
      <c r="Q3901" s="8">
        <f t="shared" si="243"/>
        <v>19295</v>
      </c>
      <c r="R3901" s="2" t="s">
        <v>50</v>
      </c>
      <c r="S3901" s="9">
        <f>VLOOKUP(P3901,$T$2:U3898,2,1)</f>
        <v>0.05</v>
      </c>
    </row>
    <row r="3902" spans="1:19" x14ac:dyDescent="0.25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e">
        <f>VLOOKUP(F3902,'Customer Info'!A3894:I4393,2,0)</f>
        <v>#N/A</v>
      </c>
      <c r="H3902" s="6" t="e">
        <f>VLOOKUP(F3902,'Customer Info'!A3894:I4393,3,0)</f>
        <v>#N/A</v>
      </c>
      <c r="I3902" s="6" t="e">
        <f>VLOOKUP(F3902,'Customer Info'!A3894:I4393,5,0)</f>
        <v>#N/A</v>
      </c>
      <c r="J3902" s="2">
        <v>2244</v>
      </c>
      <c r="K3902" s="2">
        <v>2143</v>
      </c>
      <c r="L3902" s="2">
        <v>3</v>
      </c>
      <c r="M3902" s="7">
        <f t="shared" si="240"/>
        <v>6429</v>
      </c>
      <c r="N3902" s="7">
        <f t="shared" si="241"/>
        <v>6732</v>
      </c>
      <c r="O3902" s="2">
        <v>84</v>
      </c>
      <c r="P3902" s="8">
        <f t="shared" si="242"/>
        <v>6816</v>
      </c>
      <c r="Q3902" s="8">
        <f t="shared" si="243"/>
        <v>6648</v>
      </c>
      <c r="R3902" s="2" t="s">
        <v>50</v>
      </c>
      <c r="S3902" s="9">
        <f>VLOOKUP(P3902,$T$2:U3899,2,1)</f>
        <v>0.05</v>
      </c>
    </row>
    <row r="3903" spans="1:19" x14ac:dyDescent="0.25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e">
        <f>VLOOKUP(F3903,'Customer Info'!A3895:I4394,2,0)</f>
        <v>#N/A</v>
      </c>
      <c r="H3903" s="6" t="e">
        <f>VLOOKUP(F3903,'Customer Info'!A3895:I4394,3,0)</f>
        <v>#N/A</v>
      </c>
      <c r="I3903" s="6" t="e">
        <f>VLOOKUP(F3903,'Customer Info'!A3895:I4394,5,0)</f>
        <v>#N/A</v>
      </c>
      <c r="J3903" s="2">
        <v>8022</v>
      </c>
      <c r="K3903" s="2">
        <v>7868</v>
      </c>
      <c r="L3903" s="2">
        <v>2</v>
      </c>
      <c r="M3903" s="7">
        <f t="shared" si="240"/>
        <v>15736</v>
      </c>
      <c r="N3903" s="7">
        <f t="shared" si="241"/>
        <v>16044</v>
      </c>
      <c r="O3903" s="2">
        <v>36</v>
      </c>
      <c r="P3903" s="8">
        <f t="shared" si="242"/>
        <v>16080</v>
      </c>
      <c r="Q3903" s="8">
        <f t="shared" si="243"/>
        <v>16008</v>
      </c>
      <c r="R3903" s="2" t="s">
        <v>50</v>
      </c>
      <c r="S3903" s="9">
        <f>VLOOKUP(P3903,$T$2:U3900,2,1)</f>
        <v>0.05</v>
      </c>
    </row>
    <row r="3904" spans="1:19" x14ac:dyDescent="0.25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e">
        <f>VLOOKUP(F3904,'Customer Info'!A3896:I4395,2,0)</f>
        <v>#N/A</v>
      </c>
      <c r="H3904" s="6" t="e">
        <f>VLOOKUP(F3904,'Customer Info'!A3896:I4395,3,0)</f>
        <v>#N/A</v>
      </c>
      <c r="I3904" s="6" t="e">
        <f>VLOOKUP(F3904,'Customer Info'!A3896:I4395,5,0)</f>
        <v>#N/A</v>
      </c>
      <c r="J3904" s="2">
        <v>69</v>
      </c>
      <c r="K3904" s="2">
        <v>63</v>
      </c>
      <c r="L3904" s="2">
        <v>2</v>
      </c>
      <c r="M3904" s="7">
        <f t="shared" si="240"/>
        <v>126</v>
      </c>
      <c r="N3904" s="7">
        <f t="shared" si="241"/>
        <v>138</v>
      </c>
      <c r="O3904" s="2">
        <v>10</v>
      </c>
      <c r="P3904" s="8">
        <f t="shared" si="242"/>
        <v>148</v>
      </c>
      <c r="Q3904" s="8">
        <f t="shared" si="243"/>
        <v>128</v>
      </c>
      <c r="R3904" s="2" t="s">
        <v>50</v>
      </c>
      <c r="S3904" s="9">
        <f>VLOOKUP(P3904,$T$2:U3901,2,1)</f>
        <v>0.02</v>
      </c>
    </row>
    <row r="3905" spans="1:19" x14ac:dyDescent="0.25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e">
        <f>VLOOKUP(F3905,'Customer Info'!A3897:I4396,2,0)</f>
        <v>#N/A</v>
      </c>
      <c r="H3905" s="6" t="e">
        <f>VLOOKUP(F3905,'Customer Info'!A3897:I4396,3,0)</f>
        <v>#N/A</v>
      </c>
      <c r="I3905" s="6" t="e">
        <f>VLOOKUP(F3905,'Customer Info'!A3897:I4396,5,0)</f>
        <v>#N/A</v>
      </c>
      <c r="J3905" s="2">
        <v>8752</v>
      </c>
      <c r="K3905" s="2">
        <v>7877</v>
      </c>
      <c r="L3905" s="2">
        <v>4</v>
      </c>
      <c r="M3905" s="7">
        <f t="shared" si="240"/>
        <v>31508</v>
      </c>
      <c r="N3905" s="7">
        <f t="shared" si="241"/>
        <v>35008</v>
      </c>
      <c r="O3905" s="2">
        <v>32</v>
      </c>
      <c r="P3905" s="8">
        <f t="shared" si="242"/>
        <v>35040</v>
      </c>
      <c r="Q3905" s="8">
        <f t="shared" si="243"/>
        <v>34976</v>
      </c>
      <c r="R3905" s="2" t="s">
        <v>26</v>
      </c>
      <c r="S3905" s="9">
        <f>VLOOKUP(P3905,$T$2:U3902,2,1)</f>
        <v>7.0000000000000007E-2</v>
      </c>
    </row>
    <row r="3906" spans="1:19" x14ac:dyDescent="0.25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e">
        <f>VLOOKUP(F3906,'Customer Info'!A3898:I4397,2,0)</f>
        <v>#N/A</v>
      </c>
      <c r="H3906" s="6" t="e">
        <f>VLOOKUP(F3906,'Customer Info'!A3898:I4397,3,0)</f>
        <v>#N/A</v>
      </c>
      <c r="I3906" s="6" t="e">
        <f>VLOOKUP(F3906,'Customer Info'!A3898:I4397,5,0)</f>
        <v>#N/A</v>
      </c>
      <c r="J3906" s="2">
        <v>4577</v>
      </c>
      <c r="K3906" s="2">
        <v>4280</v>
      </c>
      <c r="L3906" s="2">
        <v>2</v>
      </c>
      <c r="M3906" s="7">
        <f t="shared" si="240"/>
        <v>8560</v>
      </c>
      <c r="N3906" s="7">
        <f t="shared" si="241"/>
        <v>9154</v>
      </c>
      <c r="O3906" s="2">
        <v>71</v>
      </c>
      <c r="P3906" s="8">
        <f t="shared" si="242"/>
        <v>9225</v>
      </c>
      <c r="Q3906" s="8">
        <f t="shared" si="243"/>
        <v>9083</v>
      </c>
      <c r="R3906" s="2" t="s">
        <v>50</v>
      </c>
      <c r="S3906" s="9">
        <f>VLOOKUP(P3906,$T$2:U3903,2,1)</f>
        <v>0.05</v>
      </c>
    </row>
    <row r="3907" spans="1:19" x14ac:dyDescent="0.25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e">
        <f>VLOOKUP(F3907,'Customer Info'!A3899:I4398,2,0)</f>
        <v>#N/A</v>
      </c>
      <c r="H3907" s="6" t="e">
        <f>VLOOKUP(F3907,'Customer Info'!A3899:I4398,3,0)</f>
        <v>#N/A</v>
      </c>
      <c r="I3907" s="6" t="e">
        <f>VLOOKUP(F3907,'Customer Info'!A3899:I4398,5,0)</f>
        <v>#N/A</v>
      </c>
      <c r="J3907" s="2">
        <v>1968</v>
      </c>
      <c r="K3907" s="2">
        <v>1821</v>
      </c>
      <c r="L3907" s="2">
        <v>3</v>
      </c>
      <c r="M3907" s="7">
        <f t="shared" si="240"/>
        <v>5463</v>
      </c>
      <c r="N3907" s="7">
        <f t="shared" si="241"/>
        <v>5904</v>
      </c>
      <c r="O3907" s="2">
        <v>27</v>
      </c>
      <c r="P3907" s="8">
        <f t="shared" si="242"/>
        <v>5931</v>
      </c>
      <c r="Q3907" s="8">
        <f t="shared" si="243"/>
        <v>5877</v>
      </c>
      <c r="R3907" s="2" t="s">
        <v>28</v>
      </c>
      <c r="S3907" s="9">
        <f>VLOOKUP(P3907,$T$2:U3904,2,1)</f>
        <v>0.05</v>
      </c>
    </row>
    <row r="3908" spans="1:19" x14ac:dyDescent="0.25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e">
        <f>VLOOKUP(F3908,'Customer Info'!A3900:I4399,2,0)</f>
        <v>#N/A</v>
      </c>
      <c r="H3908" s="6" t="e">
        <f>VLOOKUP(F3908,'Customer Info'!A3900:I4399,3,0)</f>
        <v>#N/A</v>
      </c>
      <c r="I3908" s="6" t="e">
        <f>VLOOKUP(F3908,'Customer Info'!A3900:I4399,5,0)</f>
        <v>#N/A</v>
      </c>
      <c r="J3908" s="2">
        <v>36057</v>
      </c>
      <c r="K3908" s="2">
        <v>34028</v>
      </c>
      <c r="L3908" s="2">
        <v>7</v>
      </c>
      <c r="M3908" s="7">
        <f t="shared" si="240"/>
        <v>238196</v>
      </c>
      <c r="N3908" s="7">
        <f t="shared" si="241"/>
        <v>252399</v>
      </c>
      <c r="O3908" s="2">
        <v>35</v>
      </c>
      <c r="P3908" s="8">
        <f t="shared" si="242"/>
        <v>252434</v>
      </c>
      <c r="Q3908" s="8">
        <f t="shared" si="243"/>
        <v>252364</v>
      </c>
      <c r="R3908" s="2" t="s">
        <v>28</v>
      </c>
      <c r="S3908" s="9">
        <f>VLOOKUP(P3908,$T$2:U3905,2,1)</f>
        <v>0.15</v>
      </c>
    </row>
    <row r="3909" spans="1:19" x14ac:dyDescent="0.25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e">
        <f>VLOOKUP(F3909,'Customer Info'!A3901:I4400,2,0)</f>
        <v>#N/A</v>
      </c>
      <c r="H3909" s="6" t="e">
        <f>VLOOKUP(F3909,'Customer Info'!A3901:I4400,3,0)</f>
        <v>#N/A</v>
      </c>
      <c r="I3909" s="6" t="e">
        <f>VLOOKUP(F3909,'Customer Info'!A3901:I4400,5,0)</f>
        <v>#N/A</v>
      </c>
      <c r="J3909" s="2">
        <v>1283</v>
      </c>
      <c r="K3909" s="2">
        <v>1187</v>
      </c>
      <c r="L3909" s="2">
        <v>2</v>
      </c>
      <c r="M3909" s="7">
        <f t="shared" si="240"/>
        <v>2374</v>
      </c>
      <c r="N3909" s="7">
        <f t="shared" si="241"/>
        <v>2566</v>
      </c>
      <c r="O3909" s="2">
        <v>71</v>
      </c>
      <c r="P3909" s="8">
        <f t="shared" si="242"/>
        <v>2637</v>
      </c>
      <c r="Q3909" s="8">
        <f t="shared" si="243"/>
        <v>2495</v>
      </c>
      <c r="R3909" s="2" t="s">
        <v>28</v>
      </c>
      <c r="S3909" s="9">
        <f>VLOOKUP(P3909,$T$2:U3906,2,1)</f>
        <v>0.02</v>
      </c>
    </row>
    <row r="3910" spans="1:19" x14ac:dyDescent="0.25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e">
        <f>VLOOKUP(F3910,'Customer Info'!A3902:I4401,2,0)</f>
        <v>#N/A</v>
      </c>
      <c r="H3910" s="6" t="e">
        <f>VLOOKUP(F3910,'Customer Info'!A3902:I4401,3,0)</f>
        <v>#N/A</v>
      </c>
      <c r="I3910" s="6" t="e">
        <f>VLOOKUP(F3910,'Customer Info'!A3902:I4401,5,0)</f>
        <v>#N/A</v>
      </c>
      <c r="J3910" s="2">
        <v>1372</v>
      </c>
      <c r="K3910" s="2">
        <v>1308</v>
      </c>
      <c r="L3910" s="2">
        <v>1</v>
      </c>
      <c r="M3910" s="7">
        <f t="shared" si="240"/>
        <v>1308</v>
      </c>
      <c r="N3910" s="7">
        <f t="shared" si="241"/>
        <v>1372</v>
      </c>
      <c r="O3910" s="2">
        <v>95</v>
      </c>
      <c r="P3910" s="8">
        <f t="shared" si="242"/>
        <v>1467</v>
      </c>
      <c r="Q3910" s="8">
        <f t="shared" si="243"/>
        <v>1277</v>
      </c>
      <c r="R3910" s="2" t="s">
        <v>28</v>
      </c>
      <c r="S3910" s="9">
        <f>VLOOKUP(P3910,$T$2:U3907,2,1)</f>
        <v>0.02</v>
      </c>
    </row>
    <row r="3911" spans="1:19" x14ac:dyDescent="0.25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e">
        <f>VLOOKUP(F3911,'Customer Info'!A3903:I4402,2,0)</f>
        <v>#N/A</v>
      </c>
      <c r="H3911" s="6" t="e">
        <f>VLOOKUP(F3911,'Customer Info'!A3903:I4402,3,0)</f>
        <v>#N/A</v>
      </c>
      <c r="I3911" s="6" t="e">
        <f>VLOOKUP(F3911,'Customer Info'!A3903:I4402,5,0)</f>
        <v>#N/A</v>
      </c>
      <c r="J3911" s="2">
        <v>8026</v>
      </c>
      <c r="K3911" s="2">
        <v>7572</v>
      </c>
      <c r="L3911" s="2">
        <v>3</v>
      </c>
      <c r="M3911" s="7">
        <f t="shared" si="240"/>
        <v>22716</v>
      </c>
      <c r="N3911" s="7">
        <f t="shared" si="241"/>
        <v>24078</v>
      </c>
      <c r="O3911" s="2">
        <v>90</v>
      </c>
      <c r="P3911" s="8">
        <f t="shared" si="242"/>
        <v>24168</v>
      </c>
      <c r="Q3911" s="8">
        <f t="shared" si="243"/>
        <v>23988</v>
      </c>
      <c r="R3911" s="2" t="s">
        <v>28</v>
      </c>
      <c r="S3911" s="9">
        <f>VLOOKUP(P3911,$T$2:U3908,2,1)</f>
        <v>0.05</v>
      </c>
    </row>
    <row r="3912" spans="1:19" x14ac:dyDescent="0.25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e">
        <f>VLOOKUP(F3912,'Customer Info'!A3904:I4403,2,0)</f>
        <v>#N/A</v>
      </c>
      <c r="H3912" s="6" t="e">
        <f>VLOOKUP(F3912,'Customer Info'!A3904:I4403,3,0)</f>
        <v>#N/A</v>
      </c>
      <c r="I3912" s="6" t="e">
        <f>VLOOKUP(F3912,'Customer Info'!A3904:I4403,5,0)</f>
        <v>#N/A</v>
      </c>
      <c r="J3912" s="2">
        <v>96</v>
      </c>
      <c r="K3912" s="2">
        <v>87</v>
      </c>
      <c r="L3912" s="2">
        <v>3</v>
      </c>
      <c r="M3912" s="7">
        <f t="shared" si="240"/>
        <v>261</v>
      </c>
      <c r="N3912" s="7">
        <f t="shared" si="241"/>
        <v>288</v>
      </c>
      <c r="O3912" s="2">
        <v>10</v>
      </c>
      <c r="P3912" s="8">
        <f t="shared" si="242"/>
        <v>298</v>
      </c>
      <c r="Q3912" s="8">
        <f t="shared" si="243"/>
        <v>278</v>
      </c>
      <c r="R3912" s="2" t="s">
        <v>28</v>
      </c>
      <c r="S3912" s="9">
        <f>VLOOKUP(P3912,$T$2:U3909,2,1)</f>
        <v>0.02</v>
      </c>
    </row>
    <row r="3913" spans="1:19" x14ac:dyDescent="0.25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e">
        <f>VLOOKUP(F3913,'Customer Info'!A3905:I4404,2,0)</f>
        <v>#N/A</v>
      </c>
      <c r="H3913" s="6" t="e">
        <f>VLOOKUP(F3913,'Customer Info'!A3905:I4404,3,0)</f>
        <v>#N/A</v>
      </c>
      <c r="I3913" s="6" t="e">
        <f>VLOOKUP(F3913,'Customer Info'!A3905:I4404,5,0)</f>
        <v>#N/A</v>
      </c>
      <c r="J3913" s="2">
        <v>1601</v>
      </c>
      <c r="K3913" s="2">
        <v>1510</v>
      </c>
      <c r="L3913" s="2">
        <v>5</v>
      </c>
      <c r="M3913" s="7">
        <f t="shared" si="240"/>
        <v>7550</v>
      </c>
      <c r="N3913" s="7">
        <f t="shared" si="241"/>
        <v>8005</v>
      </c>
      <c r="O3913" s="2">
        <v>80</v>
      </c>
      <c r="P3913" s="8">
        <f t="shared" si="242"/>
        <v>8085</v>
      </c>
      <c r="Q3913" s="8">
        <f t="shared" si="243"/>
        <v>7925</v>
      </c>
      <c r="R3913" s="2" t="s">
        <v>50</v>
      </c>
      <c r="S3913" s="9">
        <f>VLOOKUP(P3913,$T$2:U3910,2,1)</f>
        <v>0.05</v>
      </c>
    </row>
    <row r="3914" spans="1:19" x14ac:dyDescent="0.25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e">
        <f>VLOOKUP(F3914,'Customer Info'!A3906:I4405,2,0)</f>
        <v>#N/A</v>
      </c>
      <c r="H3914" s="6" t="e">
        <f>VLOOKUP(F3914,'Customer Info'!A3906:I4405,3,0)</f>
        <v>#N/A</v>
      </c>
      <c r="I3914" s="6" t="e">
        <f>VLOOKUP(F3914,'Customer Info'!A3906:I4405,5,0)</f>
        <v>#N/A</v>
      </c>
      <c r="J3914" s="2">
        <v>3256</v>
      </c>
      <c r="K3914" s="2">
        <v>3044</v>
      </c>
      <c r="L3914" s="2">
        <v>7</v>
      </c>
      <c r="M3914" s="7">
        <f t="shared" si="240"/>
        <v>21308</v>
      </c>
      <c r="N3914" s="7">
        <f t="shared" si="241"/>
        <v>22792</v>
      </c>
      <c r="O3914" s="2">
        <v>88</v>
      </c>
      <c r="P3914" s="8">
        <f t="shared" si="242"/>
        <v>22880</v>
      </c>
      <c r="Q3914" s="8">
        <f t="shared" si="243"/>
        <v>22704</v>
      </c>
      <c r="R3914" s="2" t="s">
        <v>28</v>
      </c>
      <c r="S3914" s="9">
        <f>VLOOKUP(P3914,$T$2:U3911,2,1)</f>
        <v>0.05</v>
      </c>
    </row>
    <row r="3915" spans="1:19" x14ac:dyDescent="0.25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e">
        <f>VLOOKUP(F3915,'Customer Info'!A3907:I4406,2,0)</f>
        <v>#N/A</v>
      </c>
      <c r="H3915" s="6" t="e">
        <f>VLOOKUP(F3915,'Customer Info'!A3907:I4406,3,0)</f>
        <v>#N/A</v>
      </c>
      <c r="I3915" s="6" t="e">
        <f>VLOOKUP(F3915,'Customer Info'!A3907:I4406,5,0)</f>
        <v>#N/A</v>
      </c>
      <c r="J3915" s="2">
        <v>458</v>
      </c>
      <c r="K3915" s="2">
        <v>419</v>
      </c>
      <c r="L3915" s="2">
        <v>9</v>
      </c>
      <c r="M3915" s="7">
        <f t="shared" ref="M3915:M3978" si="244">K3915*L3915</f>
        <v>3771</v>
      </c>
      <c r="N3915" s="7">
        <f t="shared" ref="N3915:N3978" si="245">J3915*L3915</f>
        <v>4122</v>
      </c>
      <c r="O3915" s="2">
        <v>24</v>
      </c>
      <c r="P3915" s="8">
        <f t="shared" ref="P3915:P3978" si="246">SUM(N3915,O3915)</f>
        <v>4146</v>
      </c>
      <c r="Q3915" s="8">
        <f t="shared" ref="Q3915:Q3978" si="247">N3915-O3915</f>
        <v>4098</v>
      </c>
      <c r="R3915" s="2" t="s">
        <v>50</v>
      </c>
      <c r="S3915" s="9">
        <f>VLOOKUP(P3915,$T$2:U3912,2,1)</f>
        <v>0.02</v>
      </c>
    </row>
    <row r="3916" spans="1:19" x14ac:dyDescent="0.25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e">
        <f>VLOOKUP(F3916,'Customer Info'!A3908:I4407,2,0)</f>
        <v>#N/A</v>
      </c>
      <c r="H3916" s="6" t="e">
        <f>VLOOKUP(F3916,'Customer Info'!A3908:I4407,3,0)</f>
        <v>#N/A</v>
      </c>
      <c r="I3916" s="6" t="e">
        <f>VLOOKUP(F3916,'Customer Info'!A3908:I4407,5,0)</f>
        <v>#N/A</v>
      </c>
      <c r="J3916" s="2">
        <v>5051</v>
      </c>
      <c r="K3916" s="2">
        <v>4634</v>
      </c>
      <c r="L3916" s="2">
        <v>9</v>
      </c>
      <c r="M3916" s="7">
        <f t="shared" si="244"/>
        <v>41706</v>
      </c>
      <c r="N3916" s="7">
        <f t="shared" si="245"/>
        <v>45459</v>
      </c>
      <c r="O3916" s="2">
        <v>88</v>
      </c>
      <c r="P3916" s="8">
        <f t="shared" si="246"/>
        <v>45547</v>
      </c>
      <c r="Q3916" s="8">
        <f t="shared" si="247"/>
        <v>45371</v>
      </c>
      <c r="R3916" s="2" t="s">
        <v>26</v>
      </c>
      <c r="S3916" s="9">
        <f>VLOOKUP(P3916,$T$2:U3913,2,1)</f>
        <v>7.0000000000000007E-2</v>
      </c>
    </row>
    <row r="3917" spans="1:19" x14ac:dyDescent="0.25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e">
        <f>VLOOKUP(F3917,'Customer Info'!A3909:I4408,2,0)</f>
        <v>#N/A</v>
      </c>
      <c r="H3917" s="6" t="e">
        <f>VLOOKUP(F3917,'Customer Info'!A3909:I4408,3,0)</f>
        <v>#N/A</v>
      </c>
      <c r="I3917" s="6" t="e">
        <f>VLOOKUP(F3917,'Customer Info'!A3909:I4408,5,0)</f>
        <v>#N/A</v>
      </c>
      <c r="J3917" s="2">
        <v>2958</v>
      </c>
      <c r="K3917" s="2">
        <v>2743</v>
      </c>
      <c r="L3917" s="2">
        <v>4</v>
      </c>
      <c r="M3917" s="7">
        <f t="shared" si="244"/>
        <v>10972</v>
      </c>
      <c r="N3917" s="7">
        <f t="shared" si="245"/>
        <v>11832</v>
      </c>
      <c r="O3917" s="2">
        <v>22</v>
      </c>
      <c r="P3917" s="8">
        <f t="shared" si="246"/>
        <v>11854</v>
      </c>
      <c r="Q3917" s="8">
        <f t="shared" si="247"/>
        <v>11810</v>
      </c>
      <c r="R3917" s="2" t="s">
        <v>26</v>
      </c>
      <c r="S3917" s="9">
        <f>VLOOKUP(P3917,$T$2:U3914,2,1)</f>
        <v>0.05</v>
      </c>
    </row>
    <row r="3918" spans="1:19" x14ac:dyDescent="0.25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e">
        <f>VLOOKUP(F3918,'Customer Info'!A3910:I4409,2,0)</f>
        <v>#N/A</v>
      </c>
      <c r="H3918" s="6" t="e">
        <f>VLOOKUP(F3918,'Customer Info'!A3910:I4409,3,0)</f>
        <v>#N/A</v>
      </c>
      <c r="I3918" s="6" t="e">
        <f>VLOOKUP(F3918,'Customer Info'!A3910:I4409,5,0)</f>
        <v>#N/A</v>
      </c>
      <c r="J3918" s="2">
        <v>38328</v>
      </c>
      <c r="K3918" s="2">
        <v>35164</v>
      </c>
      <c r="L3918" s="2">
        <v>1</v>
      </c>
      <c r="M3918" s="7">
        <f t="shared" si="244"/>
        <v>35164</v>
      </c>
      <c r="N3918" s="7">
        <f t="shared" si="245"/>
        <v>38328</v>
      </c>
      <c r="O3918" s="2">
        <v>68</v>
      </c>
      <c r="P3918" s="8">
        <f t="shared" si="246"/>
        <v>38396</v>
      </c>
      <c r="Q3918" s="8">
        <f t="shared" si="247"/>
        <v>38260</v>
      </c>
      <c r="R3918" s="2" t="s">
        <v>28</v>
      </c>
      <c r="S3918" s="9">
        <f>VLOOKUP(P3918,$T$2:U3915,2,1)</f>
        <v>7.0000000000000007E-2</v>
      </c>
    </row>
    <row r="3919" spans="1:19" x14ac:dyDescent="0.25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e">
        <f>VLOOKUP(F3919,'Customer Info'!A3911:I4410,2,0)</f>
        <v>#N/A</v>
      </c>
      <c r="H3919" s="6" t="e">
        <f>VLOOKUP(F3919,'Customer Info'!A3911:I4410,3,0)</f>
        <v>#N/A</v>
      </c>
      <c r="I3919" s="6" t="e">
        <f>VLOOKUP(F3919,'Customer Info'!A3911:I4410,5,0)</f>
        <v>#N/A</v>
      </c>
      <c r="J3919" s="2">
        <v>729</v>
      </c>
      <c r="K3919" s="2">
        <v>689</v>
      </c>
      <c r="L3919" s="2">
        <v>3</v>
      </c>
      <c r="M3919" s="7">
        <f t="shared" si="244"/>
        <v>2067</v>
      </c>
      <c r="N3919" s="7">
        <f t="shared" si="245"/>
        <v>2187</v>
      </c>
      <c r="O3919" s="2">
        <v>34</v>
      </c>
      <c r="P3919" s="8">
        <f t="shared" si="246"/>
        <v>2221</v>
      </c>
      <c r="Q3919" s="8">
        <f t="shared" si="247"/>
        <v>2153</v>
      </c>
      <c r="R3919" s="2" t="s">
        <v>26</v>
      </c>
      <c r="S3919" s="9">
        <f>VLOOKUP(P3919,$T$2:U3916,2,1)</f>
        <v>0.02</v>
      </c>
    </row>
    <row r="3920" spans="1:19" x14ac:dyDescent="0.25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e">
        <f>VLOOKUP(F3920,'Customer Info'!A3912:I4411,2,0)</f>
        <v>#N/A</v>
      </c>
      <c r="H3920" s="6" t="e">
        <f>VLOOKUP(F3920,'Customer Info'!A3912:I4411,3,0)</f>
        <v>#N/A</v>
      </c>
      <c r="I3920" s="6" t="e">
        <f>VLOOKUP(F3920,'Customer Info'!A3912:I4411,5,0)</f>
        <v>#N/A</v>
      </c>
      <c r="J3920" s="2">
        <v>8022</v>
      </c>
      <c r="K3920" s="2">
        <v>7868</v>
      </c>
      <c r="L3920" s="2">
        <v>7</v>
      </c>
      <c r="M3920" s="7">
        <f t="shared" si="244"/>
        <v>55076</v>
      </c>
      <c r="N3920" s="7">
        <f t="shared" si="245"/>
        <v>56154</v>
      </c>
      <c r="O3920" s="2">
        <v>66</v>
      </c>
      <c r="P3920" s="8">
        <f t="shared" si="246"/>
        <v>56220</v>
      </c>
      <c r="Q3920" s="8">
        <f t="shared" si="247"/>
        <v>56088</v>
      </c>
      <c r="R3920" s="2" t="s">
        <v>56</v>
      </c>
      <c r="S3920" s="9">
        <f>VLOOKUP(P3920,$T$2:U3917,2,1)</f>
        <v>0.09</v>
      </c>
    </row>
    <row r="3921" spans="1:19" x14ac:dyDescent="0.25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e">
        <f>VLOOKUP(F3921,'Customer Info'!A3913:I4412,2,0)</f>
        <v>#N/A</v>
      </c>
      <c r="H3921" s="6" t="e">
        <f>VLOOKUP(F3921,'Customer Info'!A3913:I4412,3,0)</f>
        <v>#N/A</v>
      </c>
      <c r="I3921" s="6" t="e">
        <f>VLOOKUP(F3921,'Customer Info'!A3913:I4412,5,0)</f>
        <v>#N/A</v>
      </c>
      <c r="J3921" s="2">
        <v>2857</v>
      </c>
      <c r="K3921" s="2">
        <v>2622</v>
      </c>
      <c r="L3921" s="2">
        <v>5</v>
      </c>
      <c r="M3921" s="7">
        <f t="shared" si="244"/>
        <v>13110</v>
      </c>
      <c r="N3921" s="7">
        <f t="shared" si="245"/>
        <v>14285</v>
      </c>
      <c r="O3921" s="2">
        <v>45</v>
      </c>
      <c r="P3921" s="8">
        <f t="shared" si="246"/>
        <v>14330</v>
      </c>
      <c r="Q3921" s="8">
        <f t="shared" si="247"/>
        <v>14240</v>
      </c>
      <c r="R3921" s="2" t="s">
        <v>26</v>
      </c>
      <c r="S3921" s="9">
        <f>VLOOKUP(P3921,$T$2:U3918,2,1)</f>
        <v>0.05</v>
      </c>
    </row>
    <row r="3922" spans="1:19" x14ac:dyDescent="0.25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e">
        <f>VLOOKUP(F3922,'Customer Info'!A3914:I4413,2,0)</f>
        <v>#N/A</v>
      </c>
      <c r="H3922" s="6" t="e">
        <f>VLOOKUP(F3922,'Customer Info'!A3914:I4413,3,0)</f>
        <v>#N/A</v>
      </c>
      <c r="I3922" s="6" t="e">
        <f>VLOOKUP(F3922,'Customer Info'!A3914:I4413,5,0)</f>
        <v>#N/A</v>
      </c>
      <c r="J3922" s="2">
        <v>119</v>
      </c>
      <c r="K3922" s="2">
        <v>112</v>
      </c>
      <c r="L3922" s="2">
        <v>2</v>
      </c>
      <c r="M3922" s="7">
        <f t="shared" si="244"/>
        <v>224</v>
      </c>
      <c r="N3922" s="7">
        <f t="shared" si="245"/>
        <v>238</v>
      </c>
      <c r="O3922" s="2">
        <v>30</v>
      </c>
      <c r="P3922" s="8">
        <f t="shared" si="246"/>
        <v>268</v>
      </c>
      <c r="Q3922" s="8">
        <f t="shared" si="247"/>
        <v>208</v>
      </c>
      <c r="R3922" s="2" t="s">
        <v>50</v>
      </c>
      <c r="S3922" s="9">
        <f>VLOOKUP(P3922,$T$2:U3919,2,1)</f>
        <v>0.02</v>
      </c>
    </row>
    <row r="3923" spans="1:19" x14ac:dyDescent="0.25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e">
        <f>VLOOKUP(F3923,'Customer Info'!A3915:I4414,2,0)</f>
        <v>#N/A</v>
      </c>
      <c r="H3923" s="6" t="e">
        <f>VLOOKUP(F3923,'Customer Info'!A3915:I4414,3,0)</f>
        <v>#N/A</v>
      </c>
      <c r="I3923" s="6" t="e">
        <f>VLOOKUP(F3923,'Customer Info'!A3915:I4414,5,0)</f>
        <v>#N/A</v>
      </c>
      <c r="J3923" s="2">
        <v>131</v>
      </c>
      <c r="K3923" s="2">
        <v>124</v>
      </c>
      <c r="L3923" s="2">
        <v>13</v>
      </c>
      <c r="M3923" s="7">
        <f t="shared" si="244"/>
        <v>1612</v>
      </c>
      <c r="N3923" s="7">
        <f t="shared" si="245"/>
        <v>1703</v>
      </c>
      <c r="O3923" s="2">
        <v>30</v>
      </c>
      <c r="P3923" s="8">
        <f t="shared" si="246"/>
        <v>1733</v>
      </c>
      <c r="Q3923" s="8">
        <f t="shared" si="247"/>
        <v>1673</v>
      </c>
      <c r="R3923" s="2" t="s">
        <v>26</v>
      </c>
      <c r="S3923" s="9">
        <f>VLOOKUP(P3923,$T$2:U3920,2,1)</f>
        <v>0.02</v>
      </c>
    </row>
    <row r="3924" spans="1:19" x14ac:dyDescent="0.25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e">
        <f>VLOOKUP(F3924,'Customer Info'!A3916:I4415,2,0)</f>
        <v>#N/A</v>
      </c>
      <c r="H3924" s="6" t="e">
        <f>VLOOKUP(F3924,'Customer Info'!A3916:I4415,3,0)</f>
        <v>#N/A</v>
      </c>
      <c r="I3924" s="6" t="e">
        <f>VLOOKUP(F3924,'Customer Info'!A3916:I4415,5,0)</f>
        <v>#N/A</v>
      </c>
      <c r="J3924" s="2">
        <v>1686</v>
      </c>
      <c r="K3924" s="2">
        <v>1591</v>
      </c>
      <c r="L3924" s="2">
        <v>3</v>
      </c>
      <c r="M3924" s="7">
        <f t="shared" si="244"/>
        <v>4773</v>
      </c>
      <c r="N3924" s="7">
        <f t="shared" si="245"/>
        <v>5058</v>
      </c>
      <c r="O3924" s="2">
        <v>46</v>
      </c>
      <c r="P3924" s="8">
        <f t="shared" si="246"/>
        <v>5104</v>
      </c>
      <c r="Q3924" s="8">
        <f t="shared" si="247"/>
        <v>5012</v>
      </c>
      <c r="R3924" s="2" t="s">
        <v>28</v>
      </c>
      <c r="S3924" s="9">
        <f>VLOOKUP(P3924,$T$2:U3921,2,1)</f>
        <v>0.05</v>
      </c>
    </row>
    <row r="3925" spans="1:19" x14ac:dyDescent="0.25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e">
        <f>VLOOKUP(F3925,'Customer Info'!A3917:I4416,2,0)</f>
        <v>#N/A</v>
      </c>
      <c r="H3925" s="6" t="e">
        <f>VLOOKUP(F3925,'Customer Info'!A3917:I4416,3,0)</f>
        <v>#N/A</v>
      </c>
      <c r="I3925" s="6" t="e">
        <f>VLOOKUP(F3925,'Customer Info'!A3917:I4416,5,0)</f>
        <v>#N/A</v>
      </c>
      <c r="J3925" s="2">
        <v>6611</v>
      </c>
      <c r="K3925" s="2">
        <v>5943</v>
      </c>
      <c r="L3925" s="2">
        <v>2</v>
      </c>
      <c r="M3925" s="7">
        <f t="shared" si="244"/>
        <v>11886</v>
      </c>
      <c r="N3925" s="7">
        <f t="shared" si="245"/>
        <v>13222</v>
      </c>
      <c r="O3925" s="2">
        <v>64</v>
      </c>
      <c r="P3925" s="8">
        <f t="shared" si="246"/>
        <v>13286</v>
      </c>
      <c r="Q3925" s="8">
        <f t="shared" si="247"/>
        <v>13158</v>
      </c>
      <c r="R3925" s="2" t="s">
        <v>28</v>
      </c>
      <c r="S3925" s="9">
        <f>VLOOKUP(P3925,$T$2:U3922,2,1)</f>
        <v>0.05</v>
      </c>
    </row>
    <row r="3926" spans="1:19" x14ac:dyDescent="0.25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e">
        <f>VLOOKUP(F3926,'Customer Info'!A3918:I4417,2,0)</f>
        <v>#N/A</v>
      </c>
      <c r="H3926" s="6" t="e">
        <f>VLOOKUP(F3926,'Customer Info'!A3918:I4417,3,0)</f>
        <v>#N/A</v>
      </c>
      <c r="I3926" s="6" t="e">
        <f>VLOOKUP(F3926,'Customer Info'!A3918:I4417,5,0)</f>
        <v>#N/A</v>
      </c>
      <c r="J3926" s="2">
        <v>417</v>
      </c>
      <c r="K3926" s="2">
        <v>392</v>
      </c>
      <c r="L3926" s="2">
        <v>6</v>
      </c>
      <c r="M3926" s="7">
        <f t="shared" si="244"/>
        <v>2352</v>
      </c>
      <c r="N3926" s="7">
        <f t="shared" si="245"/>
        <v>2502</v>
      </c>
      <c r="O3926" s="2">
        <v>53</v>
      </c>
      <c r="P3926" s="8">
        <f t="shared" si="246"/>
        <v>2555</v>
      </c>
      <c r="Q3926" s="8">
        <f t="shared" si="247"/>
        <v>2449</v>
      </c>
      <c r="R3926" s="2" t="s">
        <v>28</v>
      </c>
      <c r="S3926" s="9">
        <f>VLOOKUP(P3926,$T$2:U3923,2,1)</f>
        <v>0.02</v>
      </c>
    </row>
    <row r="3927" spans="1:19" x14ac:dyDescent="0.25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e">
        <f>VLOOKUP(F3927,'Customer Info'!A3919:I4418,2,0)</f>
        <v>#N/A</v>
      </c>
      <c r="H3927" s="6" t="e">
        <f>VLOOKUP(F3927,'Customer Info'!A3919:I4418,3,0)</f>
        <v>#N/A</v>
      </c>
      <c r="I3927" s="6" t="e">
        <f>VLOOKUP(F3927,'Customer Info'!A3919:I4418,5,0)</f>
        <v>#N/A</v>
      </c>
      <c r="J3927" s="2">
        <v>896</v>
      </c>
      <c r="K3927" s="2">
        <v>870</v>
      </c>
      <c r="L3927" s="2">
        <v>2</v>
      </c>
      <c r="M3927" s="7">
        <f t="shared" si="244"/>
        <v>1740</v>
      </c>
      <c r="N3927" s="7">
        <f t="shared" si="245"/>
        <v>1792</v>
      </c>
      <c r="O3927" s="2">
        <v>51</v>
      </c>
      <c r="P3927" s="8">
        <f t="shared" si="246"/>
        <v>1843</v>
      </c>
      <c r="Q3927" s="8">
        <f t="shared" si="247"/>
        <v>1741</v>
      </c>
      <c r="R3927" s="2" t="s">
        <v>28</v>
      </c>
      <c r="S3927" s="9">
        <f>VLOOKUP(P3927,$T$2:U3924,2,1)</f>
        <v>0.02</v>
      </c>
    </row>
    <row r="3928" spans="1:19" x14ac:dyDescent="0.25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e">
        <f>VLOOKUP(F3928,'Customer Info'!A3920:I4419,2,0)</f>
        <v>#N/A</v>
      </c>
      <c r="H3928" s="6" t="e">
        <f>VLOOKUP(F3928,'Customer Info'!A3920:I4419,3,0)</f>
        <v>#N/A</v>
      </c>
      <c r="I3928" s="6" t="e">
        <f>VLOOKUP(F3928,'Customer Info'!A3920:I4419,5,0)</f>
        <v>#N/A</v>
      </c>
      <c r="J3928" s="2">
        <v>2243</v>
      </c>
      <c r="K3928" s="2">
        <v>2000</v>
      </c>
      <c r="L3928" s="2">
        <v>2</v>
      </c>
      <c r="M3928" s="7">
        <f t="shared" si="244"/>
        <v>4000</v>
      </c>
      <c r="N3928" s="7">
        <f t="shared" si="245"/>
        <v>4486</v>
      </c>
      <c r="O3928" s="2">
        <v>62</v>
      </c>
      <c r="P3928" s="8">
        <f t="shared" si="246"/>
        <v>4548</v>
      </c>
      <c r="Q3928" s="8">
        <f t="shared" si="247"/>
        <v>4424</v>
      </c>
      <c r="R3928" s="2" t="s">
        <v>28</v>
      </c>
      <c r="S3928" s="9">
        <f>VLOOKUP(P3928,$T$2:U3925,2,1)</f>
        <v>0.02</v>
      </c>
    </row>
    <row r="3929" spans="1:19" x14ac:dyDescent="0.25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e">
        <f>VLOOKUP(F3929,'Customer Info'!A3921:I4420,2,0)</f>
        <v>#N/A</v>
      </c>
      <c r="H3929" s="6" t="e">
        <f>VLOOKUP(F3929,'Customer Info'!A3921:I4420,3,0)</f>
        <v>#N/A</v>
      </c>
      <c r="I3929" s="6" t="e">
        <f>VLOOKUP(F3929,'Customer Info'!A3921:I4420,5,0)</f>
        <v>#N/A</v>
      </c>
      <c r="J3929" s="2">
        <v>69</v>
      </c>
      <c r="K3929" s="2">
        <v>64</v>
      </c>
      <c r="L3929" s="2">
        <v>3</v>
      </c>
      <c r="M3929" s="7">
        <f t="shared" si="244"/>
        <v>192</v>
      </c>
      <c r="N3929" s="7">
        <f t="shared" si="245"/>
        <v>207</v>
      </c>
      <c r="O3929" s="2">
        <v>10</v>
      </c>
      <c r="P3929" s="8">
        <f t="shared" si="246"/>
        <v>217</v>
      </c>
      <c r="Q3929" s="8">
        <f t="shared" si="247"/>
        <v>197</v>
      </c>
      <c r="R3929" s="2" t="s">
        <v>50</v>
      </c>
      <c r="S3929" s="9">
        <f>VLOOKUP(P3929,$T$2:U3926,2,1)</f>
        <v>0.02</v>
      </c>
    </row>
    <row r="3930" spans="1:19" x14ac:dyDescent="0.25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e">
        <f>VLOOKUP(F3930,'Customer Info'!A3922:I4421,2,0)</f>
        <v>#N/A</v>
      </c>
      <c r="H3930" s="6" t="e">
        <f>VLOOKUP(F3930,'Customer Info'!A3922:I4421,3,0)</f>
        <v>#N/A</v>
      </c>
      <c r="I3930" s="6" t="e">
        <f>VLOOKUP(F3930,'Customer Info'!A3922:I4421,5,0)</f>
        <v>#N/A</v>
      </c>
      <c r="J3930" s="2">
        <v>392</v>
      </c>
      <c r="K3930" s="2">
        <v>356</v>
      </c>
      <c r="L3930" s="2">
        <v>3</v>
      </c>
      <c r="M3930" s="7">
        <f t="shared" si="244"/>
        <v>1068</v>
      </c>
      <c r="N3930" s="7">
        <f t="shared" si="245"/>
        <v>1176</v>
      </c>
      <c r="O3930" s="2">
        <v>46</v>
      </c>
      <c r="P3930" s="8">
        <f t="shared" si="246"/>
        <v>1222</v>
      </c>
      <c r="Q3930" s="8">
        <f t="shared" si="247"/>
        <v>1130</v>
      </c>
      <c r="R3930" s="2" t="s">
        <v>28</v>
      </c>
      <c r="S3930" s="9">
        <f>VLOOKUP(P3930,$T$2:U3927,2,1)</f>
        <v>0.02</v>
      </c>
    </row>
    <row r="3931" spans="1:19" x14ac:dyDescent="0.25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e">
        <f>VLOOKUP(F3931,'Customer Info'!A3923:I4422,2,0)</f>
        <v>#N/A</v>
      </c>
      <c r="H3931" s="6" t="e">
        <f>VLOOKUP(F3931,'Customer Info'!A3923:I4422,3,0)</f>
        <v>#N/A</v>
      </c>
      <c r="I3931" s="6" t="e">
        <f>VLOOKUP(F3931,'Customer Info'!A3923:I4422,5,0)</f>
        <v>#N/A</v>
      </c>
      <c r="J3931" s="2">
        <v>4798</v>
      </c>
      <c r="K3931" s="2">
        <v>4448</v>
      </c>
      <c r="L3931" s="2">
        <v>3</v>
      </c>
      <c r="M3931" s="7">
        <f t="shared" si="244"/>
        <v>13344</v>
      </c>
      <c r="N3931" s="7">
        <f t="shared" si="245"/>
        <v>14394</v>
      </c>
      <c r="O3931" s="2">
        <v>89</v>
      </c>
      <c r="P3931" s="8">
        <f t="shared" si="246"/>
        <v>14483</v>
      </c>
      <c r="Q3931" s="8">
        <f t="shared" si="247"/>
        <v>14305</v>
      </c>
      <c r="R3931" s="2" t="s">
        <v>50</v>
      </c>
      <c r="S3931" s="9">
        <f>VLOOKUP(P3931,$T$2:U3928,2,1)</f>
        <v>0.05</v>
      </c>
    </row>
    <row r="3932" spans="1:19" x14ac:dyDescent="0.25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e">
        <f>VLOOKUP(F3932,'Customer Info'!A3924:I4423,2,0)</f>
        <v>#N/A</v>
      </c>
      <c r="H3932" s="6" t="e">
        <f>VLOOKUP(F3932,'Customer Info'!A3924:I4423,3,0)</f>
        <v>#N/A</v>
      </c>
      <c r="I3932" s="6" t="e">
        <f>VLOOKUP(F3932,'Customer Info'!A3924:I4423,5,0)</f>
        <v>#N/A</v>
      </c>
      <c r="J3932" s="2">
        <v>222</v>
      </c>
      <c r="K3932" s="2">
        <v>204</v>
      </c>
      <c r="L3932" s="2">
        <v>4</v>
      </c>
      <c r="M3932" s="7">
        <f t="shared" si="244"/>
        <v>816</v>
      </c>
      <c r="N3932" s="7">
        <f t="shared" si="245"/>
        <v>888</v>
      </c>
      <c r="O3932" s="2">
        <v>54</v>
      </c>
      <c r="P3932" s="8">
        <f t="shared" si="246"/>
        <v>942</v>
      </c>
      <c r="Q3932" s="8">
        <f t="shared" si="247"/>
        <v>834</v>
      </c>
      <c r="R3932" s="2" t="s">
        <v>50</v>
      </c>
      <c r="S3932" s="9">
        <f>VLOOKUP(P3932,$T$2:U3929,2,1)</f>
        <v>0.02</v>
      </c>
    </row>
    <row r="3933" spans="1:19" x14ac:dyDescent="0.25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e">
        <f>VLOOKUP(F3933,'Customer Info'!A3925:I4424,2,0)</f>
        <v>#N/A</v>
      </c>
      <c r="H3933" s="6" t="e">
        <f>VLOOKUP(F3933,'Customer Info'!A3925:I4424,3,0)</f>
        <v>#N/A</v>
      </c>
      <c r="I3933" s="6" t="e">
        <f>VLOOKUP(F3933,'Customer Info'!A3925:I4424,5,0)</f>
        <v>#N/A</v>
      </c>
      <c r="J3933" s="2">
        <v>2526</v>
      </c>
      <c r="K3933" s="2">
        <v>2408</v>
      </c>
      <c r="L3933" s="2">
        <v>2</v>
      </c>
      <c r="M3933" s="7">
        <f t="shared" si="244"/>
        <v>4816</v>
      </c>
      <c r="N3933" s="7">
        <f t="shared" si="245"/>
        <v>5052</v>
      </c>
      <c r="O3933" s="2">
        <v>21</v>
      </c>
      <c r="P3933" s="8">
        <f t="shared" si="246"/>
        <v>5073</v>
      </c>
      <c r="Q3933" s="8">
        <f t="shared" si="247"/>
        <v>5031</v>
      </c>
      <c r="R3933" s="2" t="s">
        <v>50</v>
      </c>
      <c r="S3933" s="9">
        <f>VLOOKUP(P3933,$T$2:U3930,2,1)</f>
        <v>0.05</v>
      </c>
    </row>
    <row r="3934" spans="1:19" x14ac:dyDescent="0.25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e">
        <f>VLOOKUP(F3934,'Customer Info'!A3926:I4425,2,0)</f>
        <v>#N/A</v>
      </c>
      <c r="H3934" s="6" t="e">
        <f>VLOOKUP(F3934,'Customer Info'!A3926:I4425,3,0)</f>
        <v>#N/A</v>
      </c>
      <c r="I3934" s="6" t="e">
        <f>VLOOKUP(F3934,'Customer Info'!A3926:I4425,5,0)</f>
        <v>#N/A</v>
      </c>
      <c r="J3934" s="2">
        <v>92</v>
      </c>
      <c r="K3934" s="2">
        <v>82</v>
      </c>
      <c r="L3934" s="2">
        <v>7</v>
      </c>
      <c r="M3934" s="7">
        <f t="shared" si="244"/>
        <v>574</v>
      </c>
      <c r="N3934" s="7">
        <f t="shared" si="245"/>
        <v>644</v>
      </c>
      <c r="O3934" s="2">
        <v>10</v>
      </c>
      <c r="P3934" s="8">
        <f t="shared" si="246"/>
        <v>654</v>
      </c>
      <c r="Q3934" s="8">
        <f t="shared" si="247"/>
        <v>634</v>
      </c>
      <c r="R3934" s="2" t="s">
        <v>28</v>
      </c>
      <c r="S3934" s="9">
        <f>VLOOKUP(P3934,$T$2:U3931,2,1)</f>
        <v>0.02</v>
      </c>
    </row>
    <row r="3935" spans="1:19" x14ac:dyDescent="0.25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e">
        <f>VLOOKUP(F3935,'Customer Info'!A3927:I4426,2,0)</f>
        <v>#N/A</v>
      </c>
      <c r="H3935" s="6" t="e">
        <f>VLOOKUP(F3935,'Customer Info'!A3927:I4426,3,0)</f>
        <v>#N/A</v>
      </c>
      <c r="I3935" s="6" t="e">
        <f>VLOOKUP(F3935,'Customer Info'!A3927:I4426,5,0)</f>
        <v>#N/A</v>
      </c>
      <c r="J3935" s="2">
        <v>1305</v>
      </c>
      <c r="K3935" s="2">
        <v>1197</v>
      </c>
      <c r="L3935" s="2">
        <v>3</v>
      </c>
      <c r="M3935" s="7">
        <f t="shared" si="244"/>
        <v>3591</v>
      </c>
      <c r="N3935" s="7">
        <f t="shared" si="245"/>
        <v>3915</v>
      </c>
      <c r="O3935" s="2">
        <v>54</v>
      </c>
      <c r="P3935" s="8">
        <f t="shared" si="246"/>
        <v>3969</v>
      </c>
      <c r="Q3935" s="8">
        <f t="shared" si="247"/>
        <v>3861</v>
      </c>
      <c r="R3935" s="2" t="s">
        <v>50</v>
      </c>
      <c r="S3935" s="9">
        <f>VLOOKUP(P3935,$T$2:U3932,2,1)</f>
        <v>0.02</v>
      </c>
    </row>
    <row r="3936" spans="1:19" x14ac:dyDescent="0.25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e">
        <f>VLOOKUP(F3936,'Customer Info'!A3928:I4427,2,0)</f>
        <v>#N/A</v>
      </c>
      <c r="H3936" s="6" t="e">
        <f>VLOOKUP(F3936,'Customer Info'!A3928:I4427,3,0)</f>
        <v>#N/A</v>
      </c>
      <c r="I3936" s="6" t="e">
        <f>VLOOKUP(F3936,'Customer Info'!A3928:I4427,5,0)</f>
        <v>#N/A</v>
      </c>
      <c r="J3936" s="2">
        <v>811</v>
      </c>
      <c r="K3936" s="2">
        <v>780</v>
      </c>
      <c r="L3936" s="2">
        <v>3</v>
      </c>
      <c r="M3936" s="7">
        <f t="shared" si="244"/>
        <v>2340</v>
      </c>
      <c r="N3936" s="7">
        <f t="shared" si="245"/>
        <v>2433</v>
      </c>
      <c r="O3936" s="2">
        <v>98</v>
      </c>
      <c r="P3936" s="8">
        <f t="shared" si="246"/>
        <v>2531</v>
      </c>
      <c r="Q3936" s="8">
        <f t="shared" si="247"/>
        <v>2335</v>
      </c>
      <c r="R3936" s="2" t="s">
        <v>28</v>
      </c>
      <c r="S3936" s="9">
        <f>VLOOKUP(P3936,$T$2:U3933,2,1)</f>
        <v>0.02</v>
      </c>
    </row>
    <row r="3937" spans="1:19" x14ac:dyDescent="0.25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e">
        <f>VLOOKUP(F3937,'Customer Info'!A3929:I4428,2,0)</f>
        <v>#N/A</v>
      </c>
      <c r="H3937" s="6" t="e">
        <f>VLOOKUP(F3937,'Customer Info'!A3929:I4428,3,0)</f>
        <v>#N/A</v>
      </c>
      <c r="I3937" s="6" t="e">
        <f>VLOOKUP(F3937,'Customer Info'!A3929:I4428,5,0)</f>
        <v>#N/A</v>
      </c>
      <c r="J3937" s="2">
        <v>887</v>
      </c>
      <c r="K3937" s="2">
        <v>814</v>
      </c>
      <c r="L3937" s="2">
        <v>1</v>
      </c>
      <c r="M3937" s="7">
        <f t="shared" si="244"/>
        <v>814</v>
      </c>
      <c r="N3937" s="7">
        <f t="shared" si="245"/>
        <v>887</v>
      </c>
      <c r="O3937" s="2">
        <v>92</v>
      </c>
      <c r="P3937" s="8">
        <f t="shared" si="246"/>
        <v>979</v>
      </c>
      <c r="Q3937" s="8">
        <f t="shared" si="247"/>
        <v>795</v>
      </c>
      <c r="R3937" s="2" t="s">
        <v>28</v>
      </c>
      <c r="S3937" s="9">
        <f>VLOOKUP(P3937,$T$2:U3934,2,1)</f>
        <v>0.02</v>
      </c>
    </row>
    <row r="3938" spans="1:19" x14ac:dyDescent="0.25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e">
        <f>VLOOKUP(F3938,'Customer Info'!A3930:I4429,2,0)</f>
        <v>#N/A</v>
      </c>
      <c r="H3938" s="6" t="e">
        <f>VLOOKUP(F3938,'Customer Info'!A3930:I4429,3,0)</f>
        <v>#N/A</v>
      </c>
      <c r="I3938" s="6" t="e">
        <f>VLOOKUP(F3938,'Customer Info'!A3930:I4429,5,0)</f>
        <v>#N/A</v>
      </c>
      <c r="J3938" s="2">
        <v>2778</v>
      </c>
      <c r="K3938" s="2">
        <v>2573</v>
      </c>
      <c r="L3938" s="2">
        <v>2</v>
      </c>
      <c r="M3938" s="7">
        <f t="shared" si="244"/>
        <v>5146</v>
      </c>
      <c r="N3938" s="7">
        <f t="shared" si="245"/>
        <v>5556</v>
      </c>
      <c r="O3938" s="2">
        <v>52</v>
      </c>
      <c r="P3938" s="8">
        <f t="shared" si="246"/>
        <v>5608</v>
      </c>
      <c r="Q3938" s="8">
        <f t="shared" si="247"/>
        <v>5504</v>
      </c>
      <c r="R3938" s="2" t="s">
        <v>50</v>
      </c>
      <c r="S3938" s="9">
        <f>VLOOKUP(P3938,$T$2:U3935,2,1)</f>
        <v>0.05</v>
      </c>
    </row>
    <row r="3939" spans="1:19" x14ac:dyDescent="0.25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e">
        <f>VLOOKUP(F3939,'Customer Info'!A3931:I4430,2,0)</f>
        <v>#N/A</v>
      </c>
      <c r="H3939" s="6" t="e">
        <f>VLOOKUP(F3939,'Customer Info'!A3931:I4430,3,0)</f>
        <v>#N/A</v>
      </c>
      <c r="I3939" s="6" t="e">
        <f>VLOOKUP(F3939,'Customer Info'!A3931:I4430,5,0)</f>
        <v>#N/A</v>
      </c>
      <c r="J3939" s="2">
        <v>1169</v>
      </c>
      <c r="K3939" s="2">
        <v>1103</v>
      </c>
      <c r="L3939" s="2">
        <v>1</v>
      </c>
      <c r="M3939" s="7">
        <f t="shared" si="244"/>
        <v>1103</v>
      </c>
      <c r="N3939" s="7">
        <f t="shared" si="245"/>
        <v>1169</v>
      </c>
      <c r="O3939" s="2">
        <v>87</v>
      </c>
      <c r="P3939" s="8">
        <f t="shared" si="246"/>
        <v>1256</v>
      </c>
      <c r="Q3939" s="8">
        <f t="shared" si="247"/>
        <v>1082</v>
      </c>
      <c r="R3939" s="2" t="s">
        <v>28</v>
      </c>
      <c r="S3939" s="9">
        <f>VLOOKUP(P3939,$T$2:U3936,2,1)</f>
        <v>0.02</v>
      </c>
    </row>
    <row r="3940" spans="1:19" x14ac:dyDescent="0.25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e">
        <f>VLOOKUP(F3940,'Customer Info'!A3932:I4431,2,0)</f>
        <v>#N/A</v>
      </c>
      <c r="H3940" s="6" t="e">
        <f>VLOOKUP(F3940,'Customer Info'!A3932:I4431,3,0)</f>
        <v>#N/A</v>
      </c>
      <c r="I3940" s="6" t="e">
        <f>VLOOKUP(F3940,'Customer Info'!A3932:I4431,5,0)</f>
        <v>#N/A</v>
      </c>
      <c r="J3940" s="2">
        <v>1798</v>
      </c>
      <c r="K3940" s="2">
        <v>1650</v>
      </c>
      <c r="L3940" s="2">
        <v>3</v>
      </c>
      <c r="M3940" s="7">
        <f t="shared" si="244"/>
        <v>4950</v>
      </c>
      <c r="N3940" s="7">
        <f t="shared" si="245"/>
        <v>5394</v>
      </c>
      <c r="O3940" s="2">
        <v>23</v>
      </c>
      <c r="P3940" s="8">
        <f t="shared" si="246"/>
        <v>5417</v>
      </c>
      <c r="Q3940" s="8">
        <f t="shared" si="247"/>
        <v>5371</v>
      </c>
      <c r="R3940" s="2" t="s">
        <v>50</v>
      </c>
      <c r="S3940" s="9">
        <f>VLOOKUP(P3940,$T$2:U3937,2,1)</f>
        <v>0.05</v>
      </c>
    </row>
    <row r="3941" spans="1:19" x14ac:dyDescent="0.25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e">
        <f>VLOOKUP(F3941,'Customer Info'!A3933:I4432,2,0)</f>
        <v>#N/A</v>
      </c>
      <c r="H3941" s="6" t="e">
        <f>VLOOKUP(F3941,'Customer Info'!A3933:I4432,3,0)</f>
        <v>#N/A</v>
      </c>
      <c r="I3941" s="6" t="e">
        <f>VLOOKUP(F3941,'Customer Info'!A3933:I4432,5,0)</f>
        <v>#N/A</v>
      </c>
      <c r="J3941" s="2">
        <v>2981</v>
      </c>
      <c r="K3941" s="2">
        <v>2870</v>
      </c>
      <c r="L3941" s="2">
        <v>7</v>
      </c>
      <c r="M3941" s="7">
        <f t="shared" si="244"/>
        <v>20090</v>
      </c>
      <c r="N3941" s="7">
        <f t="shared" si="245"/>
        <v>20867</v>
      </c>
      <c r="O3941" s="2">
        <v>62</v>
      </c>
      <c r="P3941" s="8">
        <f t="shared" si="246"/>
        <v>20929</v>
      </c>
      <c r="Q3941" s="8">
        <f t="shared" si="247"/>
        <v>20805</v>
      </c>
      <c r="R3941" s="2" t="s">
        <v>28</v>
      </c>
      <c r="S3941" s="9">
        <f>VLOOKUP(P3941,$T$2:U3938,2,1)</f>
        <v>0.05</v>
      </c>
    </row>
    <row r="3942" spans="1:19" x14ac:dyDescent="0.25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e">
        <f>VLOOKUP(F3942,'Customer Info'!A3934:I4433,2,0)</f>
        <v>#N/A</v>
      </c>
      <c r="H3942" s="6" t="e">
        <f>VLOOKUP(F3942,'Customer Info'!A3934:I4433,3,0)</f>
        <v>#N/A</v>
      </c>
      <c r="I3942" s="6" t="e">
        <f>VLOOKUP(F3942,'Customer Info'!A3934:I4433,5,0)</f>
        <v>#N/A</v>
      </c>
      <c r="J3942" s="2">
        <v>7922</v>
      </c>
      <c r="K3942" s="2">
        <v>7328</v>
      </c>
      <c r="L3942" s="2">
        <v>5</v>
      </c>
      <c r="M3942" s="7">
        <f t="shared" si="244"/>
        <v>36640</v>
      </c>
      <c r="N3942" s="7">
        <f t="shared" si="245"/>
        <v>39610</v>
      </c>
      <c r="O3942" s="2">
        <v>26</v>
      </c>
      <c r="P3942" s="8">
        <f t="shared" si="246"/>
        <v>39636</v>
      </c>
      <c r="Q3942" s="8">
        <f t="shared" si="247"/>
        <v>39584</v>
      </c>
      <c r="R3942" s="2" t="s">
        <v>50</v>
      </c>
      <c r="S3942" s="9">
        <f>VLOOKUP(P3942,$T$2:U3939,2,1)</f>
        <v>7.0000000000000007E-2</v>
      </c>
    </row>
    <row r="3943" spans="1:19" x14ac:dyDescent="0.25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e">
        <f>VLOOKUP(F3943,'Customer Info'!A3935:I4434,2,0)</f>
        <v>#N/A</v>
      </c>
      <c r="H3943" s="6" t="e">
        <f>VLOOKUP(F3943,'Customer Info'!A3935:I4434,3,0)</f>
        <v>#N/A</v>
      </c>
      <c r="I3943" s="6" t="e">
        <f>VLOOKUP(F3943,'Customer Info'!A3935:I4434,5,0)</f>
        <v>#N/A</v>
      </c>
      <c r="J3943" s="2">
        <v>202</v>
      </c>
      <c r="K3943" s="2">
        <v>187</v>
      </c>
      <c r="L3943" s="2">
        <v>4</v>
      </c>
      <c r="M3943" s="7">
        <f t="shared" si="244"/>
        <v>748</v>
      </c>
      <c r="N3943" s="7">
        <f t="shared" si="245"/>
        <v>808</v>
      </c>
      <c r="O3943" s="2">
        <v>30</v>
      </c>
      <c r="P3943" s="8">
        <f t="shared" si="246"/>
        <v>838</v>
      </c>
      <c r="Q3943" s="8">
        <f t="shared" si="247"/>
        <v>778</v>
      </c>
      <c r="R3943" s="2" t="s">
        <v>50</v>
      </c>
      <c r="S3943" s="9">
        <f>VLOOKUP(P3943,$T$2:U3940,2,1)</f>
        <v>0.02</v>
      </c>
    </row>
    <row r="3944" spans="1:19" x14ac:dyDescent="0.25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e">
        <f>VLOOKUP(F3944,'Customer Info'!A3936:I4435,2,0)</f>
        <v>#N/A</v>
      </c>
      <c r="H3944" s="6" t="e">
        <f>VLOOKUP(F3944,'Customer Info'!A3936:I4435,3,0)</f>
        <v>#N/A</v>
      </c>
      <c r="I3944" s="6" t="e">
        <f>VLOOKUP(F3944,'Customer Info'!A3936:I4435,5,0)</f>
        <v>#N/A</v>
      </c>
      <c r="J3944" s="2">
        <v>2790</v>
      </c>
      <c r="K3944" s="2">
        <v>2557</v>
      </c>
      <c r="L3944" s="2">
        <v>2</v>
      </c>
      <c r="M3944" s="7">
        <f t="shared" si="244"/>
        <v>5114</v>
      </c>
      <c r="N3944" s="7">
        <f t="shared" si="245"/>
        <v>5580</v>
      </c>
      <c r="O3944" s="2">
        <v>47</v>
      </c>
      <c r="P3944" s="8">
        <f t="shared" si="246"/>
        <v>5627</v>
      </c>
      <c r="Q3944" s="8">
        <f t="shared" si="247"/>
        <v>5533</v>
      </c>
      <c r="R3944" s="2" t="s">
        <v>50</v>
      </c>
      <c r="S3944" s="9">
        <f>VLOOKUP(P3944,$T$2:U3941,2,1)</f>
        <v>0.05</v>
      </c>
    </row>
    <row r="3945" spans="1:19" x14ac:dyDescent="0.25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e">
        <f>VLOOKUP(F3945,'Customer Info'!A3937:I4436,2,0)</f>
        <v>#N/A</v>
      </c>
      <c r="H3945" s="6" t="e">
        <f>VLOOKUP(F3945,'Customer Info'!A3937:I4436,3,0)</f>
        <v>#N/A</v>
      </c>
      <c r="I3945" s="6" t="e">
        <f>VLOOKUP(F3945,'Customer Info'!A3937:I4436,5,0)</f>
        <v>#N/A</v>
      </c>
      <c r="J3945" s="2">
        <v>78</v>
      </c>
      <c r="K3945" s="2">
        <v>74</v>
      </c>
      <c r="L3945" s="2">
        <v>7</v>
      </c>
      <c r="M3945" s="7">
        <f t="shared" si="244"/>
        <v>518</v>
      </c>
      <c r="N3945" s="7">
        <f t="shared" si="245"/>
        <v>546</v>
      </c>
      <c r="O3945" s="2">
        <v>10</v>
      </c>
      <c r="P3945" s="8">
        <f t="shared" si="246"/>
        <v>556</v>
      </c>
      <c r="Q3945" s="8">
        <f t="shared" si="247"/>
        <v>536</v>
      </c>
      <c r="R3945" s="2" t="s">
        <v>28</v>
      </c>
      <c r="S3945" s="9">
        <f>VLOOKUP(P3945,$T$2:U3942,2,1)</f>
        <v>0.02</v>
      </c>
    </row>
    <row r="3946" spans="1:19" x14ac:dyDescent="0.25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e">
        <f>VLOOKUP(F3946,'Customer Info'!A3938:I4437,2,0)</f>
        <v>#N/A</v>
      </c>
      <c r="H3946" s="6" t="e">
        <f>VLOOKUP(F3946,'Customer Info'!A3938:I4437,3,0)</f>
        <v>#N/A</v>
      </c>
      <c r="I3946" s="6" t="e">
        <f>VLOOKUP(F3946,'Customer Info'!A3938:I4437,5,0)</f>
        <v>#N/A</v>
      </c>
      <c r="J3946" s="2">
        <v>404</v>
      </c>
      <c r="K3946" s="2">
        <v>371</v>
      </c>
      <c r="L3946" s="2">
        <v>3</v>
      </c>
      <c r="M3946" s="7">
        <f t="shared" si="244"/>
        <v>1113</v>
      </c>
      <c r="N3946" s="7">
        <f t="shared" si="245"/>
        <v>1212</v>
      </c>
      <c r="O3946" s="2">
        <v>60</v>
      </c>
      <c r="P3946" s="8">
        <f t="shared" si="246"/>
        <v>1272</v>
      </c>
      <c r="Q3946" s="8">
        <f t="shared" si="247"/>
        <v>1152</v>
      </c>
      <c r="R3946" s="2" t="s">
        <v>50</v>
      </c>
      <c r="S3946" s="9">
        <f>VLOOKUP(P3946,$T$2:U3943,2,1)</f>
        <v>0.02</v>
      </c>
    </row>
    <row r="3947" spans="1:19" x14ac:dyDescent="0.25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e">
        <f>VLOOKUP(F3947,'Customer Info'!A3939:I4438,2,0)</f>
        <v>#N/A</v>
      </c>
      <c r="H3947" s="6" t="e">
        <f>VLOOKUP(F3947,'Customer Info'!A3939:I4438,3,0)</f>
        <v>#N/A</v>
      </c>
      <c r="I3947" s="6" t="e">
        <f>VLOOKUP(F3947,'Customer Info'!A3939:I4438,5,0)</f>
        <v>#N/A</v>
      </c>
      <c r="J3947" s="2">
        <v>1359</v>
      </c>
      <c r="K3947" s="2">
        <v>1221</v>
      </c>
      <c r="L3947" s="2">
        <v>6</v>
      </c>
      <c r="M3947" s="7">
        <f t="shared" si="244"/>
        <v>7326</v>
      </c>
      <c r="N3947" s="7">
        <f t="shared" si="245"/>
        <v>8154</v>
      </c>
      <c r="O3947" s="2">
        <v>50</v>
      </c>
      <c r="P3947" s="8">
        <f t="shared" si="246"/>
        <v>8204</v>
      </c>
      <c r="Q3947" s="8">
        <f t="shared" si="247"/>
        <v>8104</v>
      </c>
      <c r="R3947" s="2" t="s">
        <v>50</v>
      </c>
      <c r="S3947" s="9">
        <f>VLOOKUP(P3947,$T$2:U3944,2,1)</f>
        <v>0.05</v>
      </c>
    </row>
    <row r="3948" spans="1:19" x14ac:dyDescent="0.25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e">
        <f>VLOOKUP(F3948,'Customer Info'!A3940:I4439,2,0)</f>
        <v>#N/A</v>
      </c>
      <c r="H3948" s="6" t="e">
        <f>VLOOKUP(F3948,'Customer Info'!A3940:I4439,3,0)</f>
        <v>#N/A</v>
      </c>
      <c r="I3948" s="6" t="e">
        <f>VLOOKUP(F3948,'Customer Info'!A3940:I4439,5,0)</f>
        <v>#N/A</v>
      </c>
      <c r="J3948" s="2">
        <v>1169</v>
      </c>
      <c r="K3948" s="2">
        <v>1103</v>
      </c>
      <c r="L3948" s="2">
        <v>6</v>
      </c>
      <c r="M3948" s="7">
        <f t="shared" si="244"/>
        <v>6618</v>
      </c>
      <c r="N3948" s="7">
        <f t="shared" si="245"/>
        <v>7014</v>
      </c>
      <c r="O3948" s="2">
        <v>51</v>
      </c>
      <c r="P3948" s="8">
        <f t="shared" si="246"/>
        <v>7065</v>
      </c>
      <c r="Q3948" s="8">
        <f t="shared" si="247"/>
        <v>6963</v>
      </c>
      <c r="R3948" s="2" t="s">
        <v>50</v>
      </c>
      <c r="S3948" s="9">
        <f>VLOOKUP(P3948,$T$2:U3945,2,1)</f>
        <v>0.05</v>
      </c>
    </row>
    <row r="3949" spans="1:19" x14ac:dyDescent="0.25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e">
        <f>VLOOKUP(F3949,'Customer Info'!A3941:I4440,2,0)</f>
        <v>#N/A</v>
      </c>
      <c r="H3949" s="6" t="e">
        <f>VLOOKUP(F3949,'Customer Info'!A3941:I4440,3,0)</f>
        <v>#N/A</v>
      </c>
      <c r="I3949" s="6" t="e">
        <f>VLOOKUP(F3949,'Customer Info'!A3941:I4440,5,0)</f>
        <v>#N/A</v>
      </c>
      <c r="J3949" s="2">
        <v>175</v>
      </c>
      <c r="K3949" s="2">
        <v>162</v>
      </c>
      <c r="L3949" s="2">
        <v>3</v>
      </c>
      <c r="M3949" s="7">
        <f t="shared" si="244"/>
        <v>486</v>
      </c>
      <c r="N3949" s="7">
        <f t="shared" si="245"/>
        <v>525</v>
      </c>
      <c r="O3949" s="2">
        <v>30</v>
      </c>
      <c r="P3949" s="8">
        <f t="shared" si="246"/>
        <v>555</v>
      </c>
      <c r="Q3949" s="8">
        <f t="shared" si="247"/>
        <v>495</v>
      </c>
      <c r="R3949" s="2" t="s">
        <v>28</v>
      </c>
      <c r="S3949" s="9">
        <f>VLOOKUP(P3949,$T$2:U3946,2,1)</f>
        <v>0.02</v>
      </c>
    </row>
    <row r="3950" spans="1:19" x14ac:dyDescent="0.25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e">
        <f>VLOOKUP(F3950,'Customer Info'!A3942:I4441,2,0)</f>
        <v>#N/A</v>
      </c>
      <c r="H3950" s="6" t="e">
        <f>VLOOKUP(F3950,'Customer Info'!A3942:I4441,3,0)</f>
        <v>#N/A</v>
      </c>
      <c r="I3950" s="6" t="e">
        <f>VLOOKUP(F3950,'Customer Info'!A3942:I4441,5,0)</f>
        <v>#N/A</v>
      </c>
      <c r="J3950" s="2">
        <v>21566</v>
      </c>
      <c r="K3950" s="2">
        <v>19225</v>
      </c>
      <c r="L3950" s="2">
        <v>3</v>
      </c>
      <c r="M3950" s="7">
        <f t="shared" si="244"/>
        <v>57675</v>
      </c>
      <c r="N3950" s="7">
        <f t="shared" si="245"/>
        <v>64698</v>
      </c>
      <c r="O3950" s="2">
        <v>84</v>
      </c>
      <c r="P3950" s="8">
        <f t="shared" si="246"/>
        <v>64782</v>
      </c>
      <c r="Q3950" s="8">
        <f t="shared" si="247"/>
        <v>64614</v>
      </c>
      <c r="R3950" s="2" t="s">
        <v>28</v>
      </c>
      <c r="S3950" s="9">
        <f>VLOOKUP(P3950,$T$2:U3947,2,1)</f>
        <v>0.09</v>
      </c>
    </row>
    <row r="3951" spans="1:19" x14ac:dyDescent="0.25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e">
        <f>VLOOKUP(F3951,'Customer Info'!A3943:I4442,2,0)</f>
        <v>#N/A</v>
      </c>
      <c r="H3951" s="6" t="e">
        <f>VLOOKUP(F3951,'Customer Info'!A3943:I4442,3,0)</f>
        <v>#N/A</v>
      </c>
      <c r="I3951" s="6" t="e">
        <f>VLOOKUP(F3951,'Customer Info'!A3943:I4442,5,0)</f>
        <v>#N/A</v>
      </c>
      <c r="J3951" s="2">
        <v>6611</v>
      </c>
      <c r="K3951" s="2">
        <v>5943</v>
      </c>
      <c r="L3951" s="2">
        <v>3</v>
      </c>
      <c r="M3951" s="7">
        <f t="shared" si="244"/>
        <v>17829</v>
      </c>
      <c r="N3951" s="7">
        <f t="shared" si="245"/>
        <v>19833</v>
      </c>
      <c r="O3951" s="2">
        <v>63</v>
      </c>
      <c r="P3951" s="8">
        <f t="shared" si="246"/>
        <v>19896</v>
      </c>
      <c r="Q3951" s="8">
        <f t="shared" si="247"/>
        <v>19770</v>
      </c>
      <c r="R3951" s="2" t="s">
        <v>28</v>
      </c>
      <c r="S3951" s="9">
        <f>VLOOKUP(P3951,$T$2:U3948,2,1)</f>
        <v>0.05</v>
      </c>
    </row>
    <row r="3952" spans="1:19" x14ac:dyDescent="0.25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e">
        <f>VLOOKUP(F3952,'Customer Info'!A3944:I4443,2,0)</f>
        <v>#N/A</v>
      </c>
      <c r="H3952" s="6" t="e">
        <f>VLOOKUP(F3952,'Customer Info'!A3944:I4443,3,0)</f>
        <v>#N/A</v>
      </c>
      <c r="I3952" s="6" t="e">
        <f>VLOOKUP(F3952,'Customer Info'!A3944:I4443,5,0)</f>
        <v>#N/A</v>
      </c>
      <c r="J3952" s="2">
        <v>1512</v>
      </c>
      <c r="K3952" s="2">
        <v>1497</v>
      </c>
      <c r="L3952" s="2">
        <v>1</v>
      </c>
      <c r="M3952" s="7">
        <f t="shared" si="244"/>
        <v>1497</v>
      </c>
      <c r="N3952" s="7">
        <f t="shared" si="245"/>
        <v>1512</v>
      </c>
      <c r="O3952" s="2">
        <v>54</v>
      </c>
      <c r="P3952" s="8">
        <f t="shared" si="246"/>
        <v>1566</v>
      </c>
      <c r="Q3952" s="8">
        <f t="shared" si="247"/>
        <v>1458</v>
      </c>
      <c r="R3952" s="2" t="s">
        <v>50</v>
      </c>
      <c r="S3952" s="9">
        <f>VLOOKUP(P3952,$T$2:U3949,2,1)</f>
        <v>0.02</v>
      </c>
    </row>
    <row r="3953" spans="1:19" x14ac:dyDescent="0.25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e">
        <f>VLOOKUP(F3953,'Customer Info'!A3945:I4444,2,0)</f>
        <v>#N/A</v>
      </c>
      <c r="H3953" s="6" t="e">
        <f>VLOOKUP(F3953,'Customer Info'!A3945:I4444,3,0)</f>
        <v>#N/A</v>
      </c>
      <c r="I3953" s="6" t="e">
        <f>VLOOKUP(F3953,'Customer Info'!A3945:I4444,5,0)</f>
        <v>#N/A</v>
      </c>
      <c r="J3953" s="2">
        <v>1358</v>
      </c>
      <c r="K3953" s="2">
        <v>1257</v>
      </c>
      <c r="L3953" s="2">
        <v>1</v>
      </c>
      <c r="M3953" s="7">
        <f t="shared" si="244"/>
        <v>1257</v>
      </c>
      <c r="N3953" s="7">
        <f t="shared" si="245"/>
        <v>1358</v>
      </c>
      <c r="O3953" s="2">
        <v>60</v>
      </c>
      <c r="P3953" s="8">
        <f t="shared" si="246"/>
        <v>1418</v>
      </c>
      <c r="Q3953" s="8">
        <f t="shared" si="247"/>
        <v>1298</v>
      </c>
      <c r="R3953" s="2" t="s">
        <v>50</v>
      </c>
      <c r="S3953" s="9">
        <f>VLOOKUP(P3953,$T$2:U3950,2,1)</f>
        <v>0.02</v>
      </c>
    </row>
    <row r="3954" spans="1:19" x14ac:dyDescent="0.25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e">
        <f>VLOOKUP(F3954,'Customer Info'!A3946:I4445,2,0)</f>
        <v>#N/A</v>
      </c>
      <c r="H3954" s="6" t="e">
        <f>VLOOKUP(F3954,'Customer Info'!A3946:I4445,3,0)</f>
        <v>#N/A</v>
      </c>
      <c r="I3954" s="6" t="e">
        <f>VLOOKUP(F3954,'Customer Info'!A3946:I4445,5,0)</f>
        <v>#N/A</v>
      </c>
      <c r="J3954" s="2">
        <v>4714</v>
      </c>
      <c r="K3954" s="2">
        <v>4323</v>
      </c>
      <c r="L3954" s="2">
        <v>2</v>
      </c>
      <c r="M3954" s="7">
        <f t="shared" si="244"/>
        <v>8646</v>
      </c>
      <c r="N3954" s="7">
        <f t="shared" si="245"/>
        <v>9428</v>
      </c>
      <c r="O3954" s="2">
        <v>40</v>
      </c>
      <c r="P3954" s="8">
        <f t="shared" si="246"/>
        <v>9468</v>
      </c>
      <c r="Q3954" s="8">
        <f t="shared" si="247"/>
        <v>9388</v>
      </c>
      <c r="R3954" s="2" t="s">
        <v>28</v>
      </c>
      <c r="S3954" s="9">
        <f>VLOOKUP(P3954,$T$2:U3951,2,1)</f>
        <v>0.05</v>
      </c>
    </row>
    <row r="3955" spans="1:19" x14ac:dyDescent="0.25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e">
        <f>VLOOKUP(F3955,'Customer Info'!A3947:I4446,2,0)</f>
        <v>#N/A</v>
      </c>
      <c r="H3955" s="6" t="e">
        <f>VLOOKUP(F3955,'Customer Info'!A3947:I4446,3,0)</f>
        <v>#N/A</v>
      </c>
      <c r="I3955" s="6" t="e">
        <f>VLOOKUP(F3955,'Customer Info'!A3947:I4446,5,0)</f>
        <v>#N/A</v>
      </c>
      <c r="J3955" s="2">
        <v>1834</v>
      </c>
      <c r="K3955" s="2">
        <v>1716</v>
      </c>
      <c r="L3955" s="2">
        <v>2</v>
      </c>
      <c r="M3955" s="7">
        <f t="shared" si="244"/>
        <v>3432</v>
      </c>
      <c r="N3955" s="7">
        <f t="shared" si="245"/>
        <v>3668</v>
      </c>
      <c r="O3955" s="2">
        <v>65</v>
      </c>
      <c r="P3955" s="8">
        <f t="shared" si="246"/>
        <v>3733</v>
      </c>
      <c r="Q3955" s="8">
        <f t="shared" si="247"/>
        <v>3603</v>
      </c>
      <c r="R3955" s="2" t="s">
        <v>28</v>
      </c>
      <c r="S3955" s="9">
        <f>VLOOKUP(P3955,$T$2:U3952,2,1)</f>
        <v>0.02</v>
      </c>
    </row>
    <row r="3956" spans="1:19" x14ac:dyDescent="0.25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e">
        <f>VLOOKUP(F3956,'Customer Info'!A3948:I4447,2,0)</f>
        <v>#N/A</v>
      </c>
      <c r="H3956" s="6" t="e">
        <f>VLOOKUP(F3956,'Customer Info'!A3948:I4447,3,0)</f>
        <v>#N/A</v>
      </c>
      <c r="I3956" s="6" t="e">
        <f>VLOOKUP(F3956,'Customer Info'!A3948:I4447,5,0)</f>
        <v>#N/A</v>
      </c>
      <c r="J3956" s="2">
        <v>1060</v>
      </c>
      <c r="K3956" s="2">
        <v>964</v>
      </c>
      <c r="L3956" s="2">
        <v>1</v>
      </c>
      <c r="M3956" s="7">
        <f t="shared" si="244"/>
        <v>964</v>
      </c>
      <c r="N3956" s="7">
        <f t="shared" si="245"/>
        <v>1060</v>
      </c>
      <c r="O3956" s="2">
        <v>65</v>
      </c>
      <c r="P3956" s="8">
        <f t="shared" si="246"/>
        <v>1125</v>
      </c>
      <c r="Q3956" s="8">
        <f t="shared" si="247"/>
        <v>995</v>
      </c>
      <c r="R3956" s="2" t="s">
        <v>26</v>
      </c>
      <c r="S3956" s="9">
        <f>VLOOKUP(P3956,$T$2:U3953,2,1)</f>
        <v>0.02</v>
      </c>
    </row>
    <row r="3957" spans="1:19" x14ac:dyDescent="0.25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e">
        <f>VLOOKUP(F3957,'Customer Info'!A3949:I4448,2,0)</f>
        <v>#N/A</v>
      </c>
      <c r="H3957" s="6" t="e">
        <f>VLOOKUP(F3957,'Customer Info'!A3949:I4448,3,0)</f>
        <v>#N/A</v>
      </c>
      <c r="I3957" s="6" t="e">
        <f>VLOOKUP(F3957,'Customer Info'!A3949:I4448,5,0)</f>
        <v>#N/A</v>
      </c>
      <c r="J3957" s="2">
        <v>1808</v>
      </c>
      <c r="K3957" s="2">
        <v>1740</v>
      </c>
      <c r="L3957" s="2">
        <v>3</v>
      </c>
      <c r="M3957" s="7">
        <f t="shared" si="244"/>
        <v>5220</v>
      </c>
      <c r="N3957" s="7">
        <f t="shared" si="245"/>
        <v>5424</v>
      </c>
      <c r="O3957" s="2">
        <v>99</v>
      </c>
      <c r="P3957" s="8">
        <f t="shared" si="246"/>
        <v>5523</v>
      </c>
      <c r="Q3957" s="8">
        <f t="shared" si="247"/>
        <v>5325</v>
      </c>
      <c r="R3957" s="2" t="s">
        <v>28</v>
      </c>
      <c r="S3957" s="9">
        <f>VLOOKUP(P3957,$T$2:U3954,2,1)</f>
        <v>0.05</v>
      </c>
    </row>
    <row r="3958" spans="1:19" x14ac:dyDescent="0.25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e">
        <f>VLOOKUP(F3958,'Customer Info'!A3950:I4449,2,0)</f>
        <v>#N/A</v>
      </c>
      <c r="H3958" s="6" t="e">
        <f>VLOOKUP(F3958,'Customer Info'!A3950:I4449,3,0)</f>
        <v>#N/A</v>
      </c>
      <c r="I3958" s="6" t="e">
        <f>VLOOKUP(F3958,'Customer Info'!A3950:I4449,5,0)</f>
        <v>#N/A</v>
      </c>
      <c r="J3958" s="2">
        <v>877</v>
      </c>
      <c r="K3958" s="2">
        <v>788</v>
      </c>
      <c r="L3958" s="2">
        <v>4</v>
      </c>
      <c r="M3958" s="7">
        <f t="shared" si="244"/>
        <v>3152</v>
      </c>
      <c r="N3958" s="7">
        <f t="shared" si="245"/>
        <v>3508</v>
      </c>
      <c r="O3958" s="2">
        <v>66</v>
      </c>
      <c r="P3958" s="8">
        <f t="shared" si="246"/>
        <v>3574</v>
      </c>
      <c r="Q3958" s="8">
        <f t="shared" si="247"/>
        <v>3442</v>
      </c>
      <c r="R3958" s="2" t="s">
        <v>50</v>
      </c>
      <c r="S3958" s="9">
        <f>VLOOKUP(P3958,$T$2:U3955,2,1)</f>
        <v>0.02</v>
      </c>
    </row>
    <row r="3959" spans="1:19" x14ac:dyDescent="0.25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e">
        <f>VLOOKUP(F3959,'Customer Info'!A3951:I4450,2,0)</f>
        <v>#N/A</v>
      </c>
      <c r="H3959" s="6" t="e">
        <f>VLOOKUP(F3959,'Customer Info'!A3951:I4450,3,0)</f>
        <v>#N/A</v>
      </c>
      <c r="I3959" s="6" t="e">
        <f>VLOOKUP(F3959,'Customer Info'!A3951:I4450,5,0)</f>
        <v>#N/A</v>
      </c>
      <c r="J3959" s="2">
        <v>2273</v>
      </c>
      <c r="K3959" s="2">
        <v>2229</v>
      </c>
      <c r="L3959" s="2">
        <v>2</v>
      </c>
      <c r="M3959" s="7">
        <f t="shared" si="244"/>
        <v>4458</v>
      </c>
      <c r="N3959" s="7">
        <f t="shared" si="245"/>
        <v>4546</v>
      </c>
      <c r="O3959" s="2">
        <v>86</v>
      </c>
      <c r="P3959" s="8">
        <f t="shared" si="246"/>
        <v>4632</v>
      </c>
      <c r="Q3959" s="8">
        <f t="shared" si="247"/>
        <v>4460</v>
      </c>
      <c r="R3959" s="2" t="s">
        <v>50</v>
      </c>
      <c r="S3959" s="9">
        <f>VLOOKUP(P3959,$T$2:U3956,2,1)</f>
        <v>0.02</v>
      </c>
    </row>
    <row r="3960" spans="1:19" x14ac:dyDescent="0.25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e">
        <f>VLOOKUP(F3960,'Customer Info'!A3952:I4451,2,0)</f>
        <v>#N/A</v>
      </c>
      <c r="H3960" s="6" t="e">
        <f>VLOOKUP(F3960,'Customer Info'!A3952:I4451,3,0)</f>
        <v>#N/A</v>
      </c>
      <c r="I3960" s="6" t="e">
        <f>VLOOKUP(F3960,'Customer Info'!A3952:I4451,5,0)</f>
        <v>#N/A</v>
      </c>
      <c r="J3960" s="2">
        <v>3184</v>
      </c>
      <c r="K3960" s="2">
        <v>2947</v>
      </c>
      <c r="L3960" s="2">
        <v>2</v>
      </c>
      <c r="M3960" s="7">
        <f t="shared" si="244"/>
        <v>5894</v>
      </c>
      <c r="N3960" s="7">
        <f t="shared" si="245"/>
        <v>6368</v>
      </c>
      <c r="O3960" s="2">
        <v>27</v>
      </c>
      <c r="P3960" s="8">
        <f t="shared" si="246"/>
        <v>6395</v>
      </c>
      <c r="Q3960" s="8">
        <f t="shared" si="247"/>
        <v>6341</v>
      </c>
      <c r="R3960" s="2" t="s">
        <v>28</v>
      </c>
      <c r="S3960" s="9">
        <f>VLOOKUP(P3960,$T$2:U3957,2,1)</f>
        <v>0.05</v>
      </c>
    </row>
    <row r="3961" spans="1:19" x14ac:dyDescent="0.25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e">
        <f>VLOOKUP(F3961,'Customer Info'!A3953:I4452,2,0)</f>
        <v>#N/A</v>
      </c>
      <c r="H3961" s="6" t="e">
        <f>VLOOKUP(F3961,'Customer Info'!A3953:I4452,3,0)</f>
        <v>#N/A</v>
      </c>
      <c r="I3961" s="6" t="e">
        <f>VLOOKUP(F3961,'Customer Info'!A3953:I4452,5,0)</f>
        <v>#N/A</v>
      </c>
      <c r="J3961" s="2">
        <v>2958</v>
      </c>
      <c r="K3961" s="2">
        <v>2743</v>
      </c>
      <c r="L3961" s="2">
        <v>2</v>
      </c>
      <c r="M3961" s="7">
        <f t="shared" si="244"/>
        <v>5486</v>
      </c>
      <c r="N3961" s="7">
        <f t="shared" si="245"/>
        <v>5916</v>
      </c>
      <c r="O3961" s="2">
        <v>98</v>
      </c>
      <c r="P3961" s="8">
        <f t="shared" si="246"/>
        <v>6014</v>
      </c>
      <c r="Q3961" s="8">
        <f t="shared" si="247"/>
        <v>5818</v>
      </c>
      <c r="R3961" s="2" t="s">
        <v>50</v>
      </c>
      <c r="S3961" s="9">
        <f>VLOOKUP(P3961,$T$2:U3958,2,1)</f>
        <v>0.05</v>
      </c>
    </row>
    <row r="3962" spans="1:19" x14ac:dyDescent="0.25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e">
        <f>VLOOKUP(F3962,'Customer Info'!A3954:I4453,2,0)</f>
        <v>#N/A</v>
      </c>
      <c r="H3962" s="6" t="e">
        <f>VLOOKUP(F3962,'Customer Info'!A3954:I4453,3,0)</f>
        <v>#N/A</v>
      </c>
      <c r="I3962" s="6" t="e">
        <f>VLOOKUP(F3962,'Customer Info'!A3954:I4453,5,0)</f>
        <v>#N/A</v>
      </c>
      <c r="J3962" s="2">
        <v>465</v>
      </c>
      <c r="K3962" s="2">
        <v>439</v>
      </c>
      <c r="L3962" s="2">
        <v>6</v>
      </c>
      <c r="M3962" s="7">
        <f t="shared" si="244"/>
        <v>2634</v>
      </c>
      <c r="N3962" s="7">
        <f t="shared" si="245"/>
        <v>2790</v>
      </c>
      <c r="O3962" s="2">
        <v>80</v>
      </c>
      <c r="P3962" s="8">
        <f t="shared" si="246"/>
        <v>2870</v>
      </c>
      <c r="Q3962" s="8">
        <f t="shared" si="247"/>
        <v>2710</v>
      </c>
      <c r="R3962" s="2" t="s">
        <v>50</v>
      </c>
      <c r="S3962" s="9">
        <f>VLOOKUP(P3962,$T$2:U3959,2,1)</f>
        <v>0.02</v>
      </c>
    </row>
    <row r="3963" spans="1:19" x14ac:dyDescent="0.25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e">
        <f>VLOOKUP(F3963,'Customer Info'!A3955:I4454,2,0)</f>
        <v>#N/A</v>
      </c>
      <c r="H3963" s="6" t="e">
        <f>VLOOKUP(F3963,'Customer Info'!A3955:I4454,3,0)</f>
        <v>#N/A</v>
      </c>
      <c r="I3963" s="6" t="e">
        <f>VLOOKUP(F3963,'Customer Info'!A3955:I4454,5,0)</f>
        <v>#N/A</v>
      </c>
      <c r="J3963" s="2">
        <v>6664</v>
      </c>
      <c r="K3963" s="2">
        <v>6473</v>
      </c>
      <c r="L3963" s="2">
        <v>1</v>
      </c>
      <c r="M3963" s="7">
        <f t="shared" si="244"/>
        <v>6473</v>
      </c>
      <c r="N3963" s="7">
        <f t="shared" si="245"/>
        <v>6664</v>
      </c>
      <c r="O3963" s="2">
        <v>58</v>
      </c>
      <c r="P3963" s="8">
        <f t="shared" si="246"/>
        <v>6722</v>
      </c>
      <c r="Q3963" s="8">
        <f t="shared" si="247"/>
        <v>6606</v>
      </c>
      <c r="R3963" s="2" t="s">
        <v>56</v>
      </c>
      <c r="S3963" s="9">
        <f>VLOOKUP(P3963,$T$2:U3960,2,1)</f>
        <v>0.05</v>
      </c>
    </row>
    <row r="3964" spans="1:19" x14ac:dyDescent="0.25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e">
        <f>VLOOKUP(F3964,'Customer Info'!A3956:I4455,2,0)</f>
        <v>#N/A</v>
      </c>
      <c r="H3964" s="6" t="e">
        <f>VLOOKUP(F3964,'Customer Info'!A3956:I4455,3,0)</f>
        <v>#N/A</v>
      </c>
      <c r="I3964" s="6" t="e">
        <f>VLOOKUP(F3964,'Customer Info'!A3956:I4455,5,0)</f>
        <v>#N/A</v>
      </c>
      <c r="J3964" s="2">
        <v>167</v>
      </c>
      <c r="K3964" s="2">
        <v>155</v>
      </c>
      <c r="L3964" s="2">
        <v>2</v>
      </c>
      <c r="M3964" s="7">
        <f t="shared" si="244"/>
        <v>310</v>
      </c>
      <c r="N3964" s="7">
        <f t="shared" si="245"/>
        <v>334</v>
      </c>
      <c r="O3964" s="2">
        <v>30</v>
      </c>
      <c r="P3964" s="8">
        <f t="shared" si="246"/>
        <v>364</v>
      </c>
      <c r="Q3964" s="8">
        <f t="shared" si="247"/>
        <v>304</v>
      </c>
      <c r="R3964" s="2" t="s">
        <v>28</v>
      </c>
      <c r="S3964" s="9">
        <f>VLOOKUP(P3964,$T$2:U3961,2,1)</f>
        <v>0.02</v>
      </c>
    </row>
    <row r="3965" spans="1:19" x14ac:dyDescent="0.25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e">
        <f>VLOOKUP(F3965,'Customer Info'!A3957:I4456,2,0)</f>
        <v>#N/A</v>
      </c>
      <c r="H3965" s="6" t="e">
        <f>VLOOKUP(F3965,'Customer Info'!A3957:I4456,3,0)</f>
        <v>#N/A</v>
      </c>
      <c r="I3965" s="6" t="e">
        <f>VLOOKUP(F3965,'Customer Info'!A3957:I4456,5,0)</f>
        <v>#N/A</v>
      </c>
      <c r="J3965" s="2">
        <v>1916</v>
      </c>
      <c r="K3965" s="2">
        <v>1844</v>
      </c>
      <c r="L3965" s="2">
        <v>4</v>
      </c>
      <c r="M3965" s="7">
        <f t="shared" si="244"/>
        <v>7376</v>
      </c>
      <c r="N3965" s="7">
        <f t="shared" si="245"/>
        <v>7664</v>
      </c>
      <c r="O3965" s="2">
        <v>36</v>
      </c>
      <c r="P3965" s="8">
        <f t="shared" si="246"/>
        <v>7700</v>
      </c>
      <c r="Q3965" s="8">
        <f t="shared" si="247"/>
        <v>7628</v>
      </c>
      <c r="R3965" s="2" t="s">
        <v>28</v>
      </c>
      <c r="S3965" s="9">
        <f>VLOOKUP(P3965,$T$2:U3962,2,1)</f>
        <v>0.05</v>
      </c>
    </row>
    <row r="3966" spans="1:19" x14ac:dyDescent="0.25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e">
        <f>VLOOKUP(F3966,'Customer Info'!A3958:I4457,2,0)</f>
        <v>#N/A</v>
      </c>
      <c r="H3966" s="6" t="e">
        <f>VLOOKUP(F3966,'Customer Info'!A3958:I4457,3,0)</f>
        <v>#N/A</v>
      </c>
      <c r="I3966" s="6" t="e">
        <f>VLOOKUP(F3966,'Customer Info'!A3958:I4457,5,0)</f>
        <v>#N/A</v>
      </c>
      <c r="J3966" s="2">
        <v>184</v>
      </c>
      <c r="K3966" s="2">
        <v>176</v>
      </c>
      <c r="L3966" s="2">
        <v>3</v>
      </c>
      <c r="M3966" s="7">
        <f t="shared" si="244"/>
        <v>528</v>
      </c>
      <c r="N3966" s="7">
        <f t="shared" si="245"/>
        <v>552</v>
      </c>
      <c r="O3966" s="2">
        <v>30</v>
      </c>
      <c r="P3966" s="8">
        <f t="shared" si="246"/>
        <v>582</v>
      </c>
      <c r="Q3966" s="8">
        <f t="shared" si="247"/>
        <v>522</v>
      </c>
      <c r="R3966" s="2" t="s">
        <v>28</v>
      </c>
      <c r="S3966" s="9">
        <f>VLOOKUP(P3966,$T$2:U3963,2,1)</f>
        <v>0.02</v>
      </c>
    </row>
    <row r="3967" spans="1:19" x14ac:dyDescent="0.25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e">
        <f>VLOOKUP(F3967,'Customer Info'!A3959:I4458,2,0)</f>
        <v>#N/A</v>
      </c>
      <c r="H3967" s="6" t="e">
        <f>VLOOKUP(F3967,'Customer Info'!A3959:I4458,3,0)</f>
        <v>#N/A</v>
      </c>
      <c r="I3967" s="6" t="e">
        <f>VLOOKUP(F3967,'Customer Info'!A3959:I4458,5,0)</f>
        <v>#N/A</v>
      </c>
      <c r="J3967" s="2">
        <v>2042</v>
      </c>
      <c r="K3967" s="2">
        <v>1965</v>
      </c>
      <c r="L3967" s="2">
        <v>4</v>
      </c>
      <c r="M3967" s="7">
        <f t="shared" si="244"/>
        <v>7860</v>
      </c>
      <c r="N3967" s="7">
        <f t="shared" si="245"/>
        <v>8168</v>
      </c>
      <c r="O3967" s="2">
        <v>33</v>
      </c>
      <c r="P3967" s="8">
        <f t="shared" si="246"/>
        <v>8201</v>
      </c>
      <c r="Q3967" s="8">
        <f t="shared" si="247"/>
        <v>8135</v>
      </c>
      <c r="R3967" s="2" t="s">
        <v>28</v>
      </c>
      <c r="S3967" s="9">
        <f>VLOOKUP(P3967,$T$2:U3964,2,1)</f>
        <v>0.05</v>
      </c>
    </row>
    <row r="3968" spans="1:19" x14ac:dyDescent="0.25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e">
        <f>VLOOKUP(F3968,'Customer Info'!A3960:I4459,2,0)</f>
        <v>#N/A</v>
      </c>
      <c r="H3968" s="6" t="e">
        <f>VLOOKUP(F3968,'Customer Info'!A3960:I4459,3,0)</f>
        <v>#N/A</v>
      </c>
      <c r="I3968" s="6" t="e">
        <f>VLOOKUP(F3968,'Customer Info'!A3960:I4459,5,0)</f>
        <v>#N/A</v>
      </c>
      <c r="J3968" s="2">
        <v>729</v>
      </c>
      <c r="K3968" s="2">
        <v>689</v>
      </c>
      <c r="L3968" s="2">
        <v>3</v>
      </c>
      <c r="M3968" s="7">
        <f t="shared" si="244"/>
        <v>2067</v>
      </c>
      <c r="N3968" s="7">
        <f t="shared" si="245"/>
        <v>2187</v>
      </c>
      <c r="O3968" s="2">
        <v>42</v>
      </c>
      <c r="P3968" s="8">
        <f t="shared" si="246"/>
        <v>2229</v>
      </c>
      <c r="Q3968" s="8">
        <f t="shared" si="247"/>
        <v>2145</v>
      </c>
      <c r="R3968" s="2" t="s">
        <v>28</v>
      </c>
      <c r="S3968" s="9">
        <f>VLOOKUP(P3968,$T$2:U3965,2,1)</f>
        <v>0.02</v>
      </c>
    </row>
    <row r="3969" spans="1:19" x14ac:dyDescent="0.25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e">
        <f>VLOOKUP(F3969,'Customer Info'!A3961:I4460,2,0)</f>
        <v>#N/A</v>
      </c>
      <c r="H3969" s="6" t="e">
        <f>VLOOKUP(F3969,'Customer Info'!A3961:I4460,3,0)</f>
        <v>#N/A</v>
      </c>
      <c r="I3969" s="6" t="e">
        <f>VLOOKUP(F3969,'Customer Info'!A3961:I4460,5,0)</f>
        <v>#N/A</v>
      </c>
      <c r="J3969" s="2">
        <v>691</v>
      </c>
      <c r="K3969" s="2">
        <v>646</v>
      </c>
      <c r="L3969" s="2">
        <v>3</v>
      </c>
      <c r="M3969" s="7">
        <f t="shared" si="244"/>
        <v>1938</v>
      </c>
      <c r="N3969" s="7">
        <f t="shared" si="245"/>
        <v>2073</v>
      </c>
      <c r="O3969" s="2">
        <v>40</v>
      </c>
      <c r="P3969" s="8">
        <f t="shared" si="246"/>
        <v>2113</v>
      </c>
      <c r="Q3969" s="8">
        <f t="shared" si="247"/>
        <v>2033</v>
      </c>
      <c r="R3969" s="2" t="s">
        <v>50</v>
      </c>
      <c r="S3969" s="9">
        <f>VLOOKUP(P3969,$T$2:U3966,2,1)</f>
        <v>0.02</v>
      </c>
    </row>
    <row r="3970" spans="1:19" x14ac:dyDescent="0.25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e">
        <f>VLOOKUP(F3970,'Customer Info'!A3962:I4461,2,0)</f>
        <v>#N/A</v>
      </c>
      <c r="H3970" s="6" t="e">
        <f>VLOOKUP(F3970,'Customer Info'!A3962:I4461,3,0)</f>
        <v>#N/A</v>
      </c>
      <c r="I3970" s="6" t="e">
        <f>VLOOKUP(F3970,'Customer Info'!A3962:I4461,5,0)</f>
        <v>#N/A</v>
      </c>
      <c r="J3970" s="2">
        <v>851</v>
      </c>
      <c r="K3970" s="2">
        <v>773</v>
      </c>
      <c r="L3970" s="2">
        <v>3</v>
      </c>
      <c r="M3970" s="7">
        <f t="shared" si="244"/>
        <v>2319</v>
      </c>
      <c r="N3970" s="7">
        <f t="shared" si="245"/>
        <v>2553</v>
      </c>
      <c r="O3970" s="2">
        <v>30</v>
      </c>
      <c r="P3970" s="8">
        <f t="shared" si="246"/>
        <v>2583</v>
      </c>
      <c r="Q3970" s="8">
        <f t="shared" si="247"/>
        <v>2523</v>
      </c>
      <c r="R3970" s="2" t="s">
        <v>28</v>
      </c>
      <c r="S3970" s="9">
        <f>VLOOKUP(P3970,$T$2:U3967,2,1)</f>
        <v>0.02</v>
      </c>
    </row>
    <row r="3971" spans="1:19" x14ac:dyDescent="0.25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e">
        <f>VLOOKUP(F3971,'Customer Info'!A3963:I4462,2,0)</f>
        <v>#N/A</v>
      </c>
      <c r="H3971" s="6" t="e">
        <f>VLOOKUP(F3971,'Customer Info'!A3963:I4462,3,0)</f>
        <v>#N/A</v>
      </c>
      <c r="I3971" s="6" t="e">
        <f>VLOOKUP(F3971,'Customer Info'!A3963:I4462,5,0)</f>
        <v>#N/A</v>
      </c>
      <c r="J3971" s="2">
        <v>151</v>
      </c>
      <c r="K3971" s="2">
        <v>139</v>
      </c>
      <c r="L3971" s="2">
        <v>3</v>
      </c>
      <c r="M3971" s="7">
        <f t="shared" si="244"/>
        <v>417</v>
      </c>
      <c r="N3971" s="7">
        <f t="shared" si="245"/>
        <v>453</v>
      </c>
      <c r="O3971" s="2">
        <v>30</v>
      </c>
      <c r="P3971" s="8">
        <f t="shared" si="246"/>
        <v>483</v>
      </c>
      <c r="Q3971" s="8">
        <f t="shared" si="247"/>
        <v>423</v>
      </c>
      <c r="R3971" s="2" t="s">
        <v>28</v>
      </c>
      <c r="S3971" s="9">
        <f>VLOOKUP(P3971,$T$2:U3968,2,1)</f>
        <v>0.02</v>
      </c>
    </row>
    <row r="3972" spans="1:19" x14ac:dyDescent="0.25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e">
        <f>VLOOKUP(F3972,'Customer Info'!A3964:I4463,2,0)</f>
        <v>#N/A</v>
      </c>
      <c r="H3972" s="6" t="e">
        <f>VLOOKUP(F3972,'Customer Info'!A3964:I4463,3,0)</f>
        <v>#N/A</v>
      </c>
      <c r="I3972" s="6" t="e">
        <f>VLOOKUP(F3972,'Customer Info'!A3964:I4463,5,0)</f>
        <v>#N/A</v>
      </c>
      <c r="J3972" s="2">
        <v>978</v>
      </c>
      <c r="K3972" s="2">
        <v>922</v>
      </c>
      <c r="L3972" s="2">
        <v>2</v>
      </c>
      <c r="M3972" s="7">
        <f t="shared" si="244"/>
        <v>1844</v>
      </c>
      <c r="N3972" s="7">
        <f t="shared" si="245"/>
        <v>1956</v>
      </c>
      <c r="O3972" s="2">
        <v>53</v>
      </c>
      <c r="P3972" s="8">
        <f t="shared" si="246"/>
        <v>2009</v>
      </c>
      <c r="Q3972" s="8">
        <f t="shared" si="247"/>
        <v>1903</v>
      </c>
      <c r="R3972" s="2" t="s">
        <v>28</v>
      </c>
      <c r="S3972" s="9">
        <f>VLOOKUP(P3972,$T$2:U3969,2,1)</f>
        <v>0.02</v>
      </c>
    </row>
    <row r="3973" spans="1:19" x14ac:dyDescent="0.25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e">
        <f>VLOOKUP(F3973,'Customer Info'!A3965:I4464,2,0)</f>
        <v>#N/A</v>
      </c>
      <c r="H3973" s="6" t="e">
        <f>VLOOKUP(F3973,'Customer Info'!A3965:I4464,3,0)</f>
        <v>#N/A</v>
      </c>
      <c r="I3973" s="6" t="e">
        <f>VLOOKUP(F3973,'Customer Info'!A3965:I4464,5,0)</f>
        <v>#N/A</v>
      </c>
      <c r="J3973" s="2">
        <v>175</v>
      </c>
      <c r="K3973" s="2">
        <v>162</v>
      </c>
      <c r="L3973" s="2">
        <v>3</v>
      </c>
      <c r="M3973" s="7">
        <f t="shared" si="244"/>
        <v>486</v>
      </c>
      <c r="N3973" s="7">
        <f t="shared" si="245"/>
        <v>525</v>
      </c>
      <c r="O3973" s="2">
        <v>30</v>
      </c>
      <c r="P3973" s="8">
        <f t="shared" si="246"/>
        <v>555</v>
      </c>
      <c r="Q3973" s="8">
        <f t="shared" si="247"/>
        <v>495</v>
      </c>
      <c r="R3973" s="2" t="s">
        <v>26</v>
      </c>
      <c r="S3973" s="9">
        <f>VLOOKUP(P3973,$T$2:U3970,2,1)</f>
        <v>0.02</v>
      </c>
    </row>
    <row r="3974" spans="1:19" x14ac:dyDescent="0.25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e">
        <f>VLOOKUP(F3974,'Customer Info'!A3966:I4465,2,0)</f>
        <v>#N/A</v>
      </c>
      <c r="H3974" s="6" t="e">
        <f>VLOOKUP(F3974,'Customer Info'!A3966:I4465,3,0)</f>
        <v>#N/A</v>
      </c>
      <c r="I3974" s="6" t="e">
        <f>VLOOKUP(F3974,'Customer Info'!A3966:I4465,5,0)</f>
        <v>#N/A</v>
      </c>
      <c r="J3974" s="2">
        <v>2958</v>
      </c>
      <c r="K3974" s="2">
        <v>2743</v>
      </c>
      <c r="L3974" s="2">
        <v>1</v>
      </c>
      <c r="M3974" s="7">
        <f t="shared" si="244"/>
        <v>2743</v>
      </c>
      <c r="N3974" s="7">
        <f t="shared" si="245"/>
        <v>2958</v>
      </c>
      <c r="O3974" s="2">
        <v>83</v>
      </c>
      <c r="P3974" s="8">
        <f t="shared" si="246"/>
        <v>3041</v>
      </c>
      <c r="Q3974" s="8">
        <f t="shared" si="247"/>
        <v>2875</v>
      </c>
      <c r="R3974" s="2" t="s">
        <v>50</v>
      </c>
      <c r="S3974" s="9">
        <f>VLOOKUP(P3974,$T$2:U3971,2,1)</f>
        <v>0.02</v>
      </c>
    </row>
    <row r="3975" spans="1:19" x14ac:dyDescent="0.25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e">
        <f>VLOOKUP(F3975,'Customer Info'!A3967:I4466,2,0)</f>
        <v>#N/A</v>
      </c>
      <c r="H3975" s="6" t="e">
        <f>VLOOKUP(F3975,'Customer Info'!A3967:I4466,3,0)</f>
        <v>#N/A</v>
      </c>
      <c r="I3975" s="6" t="e">
        <f>VLOOKUP(F3975,'Customer Info'!A3967:I4466,5,0)</f>
        <v>#N/A</v>
      </c>
      <c r="J3975" s="2">
        <v>1552</v>
      </c>
      <c r="K3975" s="2">
        <v>1466</v>
      </c>
      <c r="L3975" s="2">
        <v>5</v>
      </c>
      <c r="M3975" s="7">
        <f t="shared" si="244"/>
        <v>7330</v>
      </c>
      <c r="N3975" s="7">
        <f t="shared" si="245"/>
        <v>7760</v>
      </c>
      <c r="O3975" s="2">
        <v>54</v>
      </c>
      <c r="P3975" s="8">
        <f t="shared" si="246"/>
        <v>7814</v>
      </c>
      <c r="Q3975" s="8">
        <f t="shared" si="247"/>
        <v>7706</v>
      </c>
      <c r="R3975" s="2" t="s">
        <v>28</v>
      </c>
      <c r="S3975" s="9">
        <f>VLOOKUP(P3975,$T$2:U3972,2,1)</f>
        <v>0.05</v>
      </c>
    </row>
    <row r="3976" spans="1:19" x14ac:dyDescent="0.25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e">
        <f>VLOOKUP(F3976,'Customer Info'!A3968:I4467,2,0)</f>
        <v>#N/A</v>
      </c>
      <c r="H3976" s="6" t="e">
        <f>VLOOKUP(F3976,'Customer Info'!A3968:I4467,3,0)</f>
        <v>#N/A</v>
      </c>
      <c r="I3976" s="6" t="e">
        <f>VLOOKUP(F3976,'Customer Info'!A3968:I4467,5,0)</f>
        <v>#N/A</v>
      </c>
      <c r="J3976" s="2">
        <v>531</v>
      </c>
      <c r="K3976" s="2">
        <v>487</v>
      </c>
      <c r="L3976" s="2">
        <v>2</v>
      </c>
      <c r="M3976" s="7">
        <f t="shared" si="244"/>
        <v>974</v>
      </c>
      <c r="N3976" s="7">
        <f t="shared" si="245"/>
        <v>1062</v>
      </c>
      <c r="O3976" s="2">
        <v>55</v>
      </c>
      <c r="P3976" s="8">
        <f t="shared" si="246"/>
        <v>1117</v>
      </c>
      <c r="Q3976" s="8">
        <f t="shared" si="247"/>
        <v>1007</v>
      </c>
      <c r="R3976" s="2" t="s">
        <v>26</v>
      </c>
      <c r="S3976" s="9">
        <f>VLOOKUP(P3976,$T$2:U3973,2,1)</f>
        <v>0.02</v>
      </c>
    </row>
    <row r="3977" spans="1:19" x14ac:dyDescent="0.25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e">
        <f>VLOOKUP(F3977,'Customer Info'!A3969:I4468,2,0)</f>
        <v>#N/A</v>
      </c>
      <c r="H3977" s="6" t="e">
        <f>VLOOKUP(F3977,'Customer Info'!A3969:I4468,3,0)</f>
        <v>#N/A</v>
      </c>
      <c r="I3977" s="6" t="e">
        <f>VLOOKUP(F3977,'Customer Info'!A3969:I4468,5,0)</f>
        <v>#N/A</v>
      </c>
      <c r="J3977" s="2">
        <v>4002</v>
      </c>
      <c r="K3977" s="2">
        <v>3744</v>
      </c>
      <c r="L3977" s="2">
        <v>8</v>
      </c>
      <c r="M3977" s="7">
        <f t="shared" si="244"/>
        <v>29952</v>
      </c>
      <c r="N3977" s="7">
        <f t="shared" si="245"/>
        <v>32016</v>
      </c>
      <c r="O3977" s="2">
        <v>45</v>
      </c>
      <c r="P3977" s="8">
        <f t="shared" si="246"/>
        <v>32061</v>
      </c>
      <c r="Q3977" s="8">
        <f t="shared" si="247"/>
        <v>31971</v>
      </c>
      <c r="R3977" s="2" t="s">
        <v>28</v>
      </c>
      <c r="S3977" s="9">
        <f>VLOOKUP(P3977,$T$2:U3974,2,1)</f>
        <v>7.0000000000000007E-2</v>
      </c>
    </row>
    <row r="3978" spans="1:19" x14ac:dyDescent="0.25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e">
        <f>VLOOKUP(F3978,'Customer Info'!A3970:I4469,2,0)</f>
        <v>#N/A</v>
      </c>
      <c r="H3978" s="6" t="e">
        <f>VLOOKUP(F3978,'Customer Info'!A3970:I4469,3,0)</f>
        <v>#N/A</v>
      </c>
      <c r="I3978" s="6" t="e">
        <f>VLOOKUP(F3978,'Customer Info'!A3970:I4469,5,0)</f>
        <v>#N/A</v>
      </c>
      <c r="J3978" s="2">
        <v>6087</v>
      </c>
      <c r="K3978" s="2">
        <v>5808</v>
      </c>
      <c r="L3978" s="2">
        <v>4</v>
      </c>
      <c r="M3978" s="7">
        <f t="shared" si="244"/>
        <v>23232</v>
      </c>
      <c r="N3978" s="7">
        <f t="shared" si="245"/>
        <v>24348</v>
      </c>
      <c r="O3978" s="2">
        <v>97</v>
      </c>
      <c r="P3978" s="8">
        <f t="shared" si="246"/>
        <v>24445</v>
      </c>
      <c r="Q3978" s="8">
        <f t="shared" si="247"/>
        <v>24251</v>
      </c>
      <c r="R3978" s="2" t="s">
        <v>56</v>
      </c>
      <c r="S3978" s="9">
        <f>VLOOKUP(P3978,$T$2:U3975,2,1)</f>
        <v>0.05</v>
      </c>
    </row>
    <row r="3979" spans="1:19" x14ac:dyDescent="0.25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e">
        <f>VLOOKUP(F3979,'Customer Info'!A3971:I4470,2,0)</f>
        <v>#N/A</v>
      </c>
      <c r="H3979" s="6" t="e">
        <f>VLOOKUP(F3979,'Customer Info'!A3971:I4470,3,0)</f>
        <v>#N/A</v>
      </c>
      <c r="I3979" s="6" t="e">
        <f>VLOOKUP(F3979,'Customer Info'!A3971:I4470,5,0)</f>
        <v>#N/A</v>
      </c>
      <c r="J3979" s="2">
        <v>2921</v>
      </c>
      <c r="K3979" s="2">
        <v>2809</v>
      </c>
      <c r="L3979" s="2">
        <v>3</v>
      </c>
      <c r="M3979" s="7">
        <f t="shared" ref="M3979:M4042" si="248">K3979*L3979</f>
        <v>8427</v>
      </c>
      <c r="N3979" s="7">
        <f t="shared" ref="N3979:N4042" si="249">J3979*L3979</f>
        <v>8763</v>
      </c>
      <c r="O3979" s="2">
        <v>99</v>
      </c>
      <c r="P3979" s="8">
        <f t="shared" ref="P3979:P4042" si="250">SUM(N3979,O3979)</f>
        <v>8862</v>
      </c>
      <c r="Q3979" s="8">
        <f t="shared" ref="Q3979:Q4042" si="251">N3979-O3979</f>
        <v>8664</v>
      </c>
      <c r="R3979" s="2" t="s">
        <v>28</v>
      </c>
      <c r="S3979" s="9">
        <f>VLOOKUP(P3979,$T$2:U3976,2,1)</f>
        <v>0.05</v>
      </c>
    </row>
    <row r="3980" spans="1:19" x14ac:dyDescent="0.25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e">
        <f>VLOOKUP(F3980,'Customer Info'!A3972:I4471,2,0)</f>
        <v>#N/A</v>
      </c>
      <c r="H3980" s="6" t="e">
        <f>VLOOKUP(F3980,'Customer Info'!A3972:I4471,3,0)</f>
        <v>#N/A</v>
      </c>
      <c r="I3980" s="6" t="e">
        <f>VLOOKUP(F3980,'Customer Info'!A3972:I4471,5,0)</f>
        <v>#N/A</v>
      </c>
      <c r="J3980" s="2">
        <v>2501</v>
      </c>
      <c r="K3980" s="2">
        <v>2361</v>
      </c>
      <c r="L3980" s="2">
        <v>1</v>
      </c>
      <c r="M3980" s="7">
        <f t="shared" si="248"/>
        <v>2361</v>
      </c>
      <c r="N3980" s="7">
        <f t="shared" si="249"/>
        <v>2501</v>
      </c>
      <c r="O3980" s="2">
        <v>84</v>
      </c>
      <c r="P3980" s="8">
        <f t="shared" si="250"/>
        <v>2585</v>
      </c>
      <c r="Q3980" s="8">
        <f t="shared" si="251"/>
        <v>2417</v>
      </c>
      <c r="R3980" s="2" t="s">
        <v>50</v>
      </c>
      <c r="S3980" s="9">
        <f>VLOOKUP(P3980,$T$2:U3977,2,1)</f>
        <v>0.02</v>
      </c>
    </row>
    <row r="3981" spans="1:19" x14ac:dyDescent="0.25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e">
        <f>VLOOKUP(F3981,'Customer Info'!A3973:I4472,2,0)</f>
        <v>#N/A</v>
      </c>
      <c r="H3981" s="6" t="e">
        <f>VLOOKUP(F3981,'Customer Info'!A3973:I4472,3,0)</f>
        <v>#N/A</v>
      </c>
      <c r="I3981" s="6" t="e">
        <f>VLOOKUP(F3981,'Customer Info'!A3973:I4472,5,0)</f>
        <v>#N/A</v>
      </c>
      <c r="J3981" s="2">
        <v>400</v>
      </c>
      <c r="K3981" s="2">
        <v>360</v>
      </c>
      <c r="L3981" s="2">
        <v>1</v>
      </c>
      <c r="M3981" s="7">
        <f t="shared" si="248"/>
        <v>360</v>
      </c>
      <c r="N3981" s="7">
        <f t="shared" si="249"/>
        <v>400</v>
      </c>
      <c r="O3981" s="2">
        <v>48</v>
      </c>
      <c r="P3981" s="8">
        <f t="shared" si="250"/>
        <v>448</v>
      </c>
      <c r="Q3981" s="8">
        <f t="shared" si="251"/>
        <v>352</v>
      </c>
      <c r="R3981" s="2" t="s">
        <v>26</v>
      </c>
      <c r="S3981" s="9">
        <f>VLOOKUP(P3981,$T$2:U3978,2,1)</f>
        <v>0.02</v>
      </c>
    </row>
    <row r="3982" spans="1:19" x14ac:dyDescent="0.25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e">
        <f>VLOOKUP(F3982,'Customer Info'!A3974:I4473,2,0)</f>
        <v>#N/A</v>
      </c>
      <c r="H3982" s="6" t="e">
        <f>VLOOKUP(F3982,'Customer Info'!A3974:I4473,3,0)</f>
        <v>#N/A</v>
      </c>
      <c r="I3982" s="6" t="e">
        <f>VLOOKUP(F3982,'Customer Info'!A3974:I4473,5,0)</f>
        <v>#N/A</v>
      </c>
      <c r="J3982" s="2">
        <v>125</v>
      </c>
      <c r="K3982" s="2">
        <v>113</v>
      </c>
      <c r="L3982" s="2">
        <v>3</v>
      </c>
      <c r="M3982" s="7">
        <f t="shared" si="248"/>
        <v>339</v>
      </c>
      <c r="N3982" s="7">
        <f t="shared" si="249"/>
        <v>375</v>
      </c>
      <c r="O3982" s="2">
        <v>30</v>
      </c>
      <c r="P3982" s="8">
        <f t="shared" si="250"/>
        <v>405</v>
      </c>
      <c r="Q3982" s="8">
        <f t="shared" si="251"/>
        <v>345</v>
      </c>
      <c r="R3982" s="2" t="s">
        <v>28</v>
      </c>
      <c r="S3982" s="9">
        <f>VLOOKUP(P3982,$T$2:U3979,2,1)</f>
        <v>0.02</v>
      </c>
    </row>
    <row r="3983" spans="1:19" x14ac:dyDescent="0.25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e">
        <f>VLOOKUP(F3983,'Customer Info'!A3975:I4474,2,0)</f>
        <v>#N/A</v>
      </c>
      <c r="H3983" s="6" t="e">
        <f>VLOOKUP(F3983,'Customer Info'!A3975:I4474,3,0)</f>
        <v>#N/A</v>
      </c>
      <c r="I3983" s="6" t="e">
        <f>VLOOKUP(F3983,'Customer Info'!A3975:I4474,5,0)</f>
        <v>#N/A</v>
      </c>
      <c r="J3983" s="2">
        <v>164</v>
      </c>
      <c r="K3983" s="2">
        <v>152</v>
      </c>
      <c r="L3983" s="2">
        <v>2</v>
      </c>
      <c r="M3983" s="7">
        <f t="shared" si="248"/>
        <v>304</v>
      </c>
      <c r="N3983" s="7">
        <f t="shared" si="249"/>
        <v>328</v>
      </c>
      <c r="O3983" s="2">
        <v>30</v>
      </c>
      <c r="P3983" s="8">
        <f t="shared" si="250"/>
        <v>358</v>
      </c>
      <c r="Q3983" s="8">
        <f t="shared" si="251"/>
        <v>298</v>
      </c>
      <c r="R3983" s="2" t="s">
        <v>26</v>
      </c>
      <c r="S3983" s="9">
        <f>VLOOKUP(P3983,$T$2:U3980,2,1)</f>
        <v>0.02</v>
      </c>
    </row>
    <row r="3984" spans="1:19" x14ac:dyDescent="0.25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e">
        <f>VLOOKUP(F3984,'Customer Info'!A3976:I4475,2,0)</f>
        <v>#N/A</v>
      </c>
      <c r="H3984" s="6" t="e">
        <f>VLOOKUP(F3984,'Customer Info'!A3976:I4475,3,0)</f>
        <v>#N/A</v>
      </c>
      <c r="I3984" s="6" t="e">
        <f>VLOOKUP(F3984,'Customer Info'!A3976:I4475,5,0)</f>
        <v>#N/A</v>
      </c>
      <c r="J3984" s="2">
        <v>465</v>
      </c>
      <c r="K3984" s="2">
        <v>439</v>
      </c>
      <c r="L3984" s="2">
        <v>2</v>
      </c>
      <c r="M3984" s="7">
        <f t="shared" si="248"/>
        <v>878</v>
      </c>
      <c r="N3984" s="7">
        <f t="shared" si="249"/>
        <v>930</v>
      </c>
      <c r="O3984" s="2">
        <v>99</v>
      </c>
      <c r="P3984" s="8">
        <f t="shared" si="250"/>
        <v>1029</v>
      </c>
      <c r="Q3984" s="8">
        <f t="shared" si="251"/>
        <v>831</v>
      </c>
      <c r="R3984" s="2" t="s">
        <v>50</v>
      </c>
      <c r="S3984" s="9">
        <f>VLOOKUP(P3984,$T$2:U3981,2,1)</f>
        <v>0.02</v>
      </c>
    </row>
    <row r="3985" spans="1:19" x14ac:dyDescent="0.25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e">
        <f>VLOOKUP(F3985,'Customer Info'!A3977:I4476,2,0)</f>
        <v>#N/A</v>
      </c>
      <c r="H3985" s="6" t="e">
        <f>VLOOKUP(F3985,'Customer Info'!A3977:I4476,3,0)</f>
        <v>#N/A</v>
      </c>
      <c r="I3985" s="6" t="e">
        <f>VLOOKUP(F3985,'Customer Info'!A3977:I4476,5,0)</f>
        <v>#N/A</v>
      </c>
      <c r="J3985" s="2">
        <v>185</v>
      </c>
      <c r="K3985" s="2">
        <v>171</v>
      </c>
      <c r="L3985" s="2">
        <v>3</v>
      </c>
      <c r="M3985" s="7">
        <f t="shared" si="248"/>
        <v>513</v>
      </c>
      <c r="N3985" s="7">
        <f t="shared" si="249"/>
        <v>555</v>
      </c>
      <c r="O3985" s="2">
        <v>30</v>
      </c>
      <c r="P3985" s="8">
        <f t="shared" si="250"/>
        <v>585</v>
      </c>
      <c r="Q3985" s="8">
        <f t="shared" si="251"/>
        <v>525</v>
      </c>
      <c r="R3985" s="2" t="s">
        <v>50</v>
      </c>
      <c r="S3985" s="9">
        <f>VLOOKUP(P3985,$T$2:U3982,2,1)</f>
        <v>0.02</v>
      </c>
    </row>
    <row r="3986" spans="1:19" x14ac:dyDescent="0.25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e">
        <f>VLOOKUP(F3986,'Customer Info'!A3978:I4477,2,0)</f>
        <v>#N/A</v>
      </c>
      <c r="H3986" s="6" t="e">
        <f>VLOOKUP(F3986,'Customer Info'!A3978:I4477,3,0)</f>
        <v>#N/A</v>
      </c>
      <c r="I3986" s="6" t="e">
        <f>VLOOKUP(F3986,'Customer Info'!A3978:I4477,5,0)</f>
        <v>#N/A</v>
      </c>
      <c r="J3986" s="2">
        <v>658</v>
      </c>
      <c r="K3986" s="2">
        <v>615</v>
      </c>
      <c r="L3986" s="2">
        <v>6</v>
      </c>
      <c r="M3986" s="7">
        <f t="shared" si="248"/>
        <v>3690</v>
      </c>
      <c r="N3986" s="7">
        <f t="shared" si="249"/>
        <v>3948</v>
      </c>
      <c r="O3986" s="2">
        <v>57</v>
      </c>
      <c r="P3986" s="8">
        <f t="shared" si="250"/>
        <v>4005</v>
      </c>
      <c r="Q3986" s="8">
        <f t="shared" si="251"/>
        <v>3891</v>
      </c>
      <c r="R3986" s="2" t="s">
        <v>28</v>
      </c>
      <c r="S3986" s="9">
        <f>VLOOKUP(P3986,$T$2:U3983,2,1)</f>
        <v>0.02</v>
      </c>
    </row>
    <row r="3987" spans="1:19" x14ac:dyDescent="0.25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e">
        <f>VLOOKUP(F3987,'Customer Info'!A3979:I4478,2,0)</f>
        <v>#N/A</v>
      </c>
      <c r="H3987" s="6" t="e">
        <f>VLOOKUP(F3987,'Customer Info'!A3979:I4478,3,0)</f>
        <v>#N/A</v>
      </c>
      <c r="I3987" s="6" t="e">
        <f>VLOOKUP(F3987,'Customer Info'!A3979:I4478,5,0)</f>
        <v>#N/A</v>
      </c>
      <c r="J3987" s="2">
        <v>194</v>
      </c>
      <c r="K3987" s="2">
        <v>176</v>
      </c>
      <c r="L3987" s="2">
        <v>2</v>
      </c>
      <c r="M3987" s="7">
        <f t="shared" si="248"/>
        <v>352</v>
      </c>
      <c r="N3987" s="7">
        <f t="shared" si="249"/>
        <v>388</v>
      </c>
      <c r="O3987" s="2">
        <v>30</v>
      </c>
      <c r="P3987" s="8">
        <f t="shared" si="250"/>
        <v>418</v>
      </c>
      <c r="Q3987" s="8">
        <f t="shared" si="251"/>
        <v>358</v>
      </c>
      <c r="R3987" s="2" t="s">
        <v>28</v>
      </c>
      <c r="S3987" s="9">
        <f>VLOOKUP(P3987,$T$2:U3984,2,1)</f>
        <v>0.02</v>
      </c>
    </row>
    <row r="3988" spans="1:19" x14ac:dyDescent="0.25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e">
        <f>VLOOKUP(F3988,'Customer Info'!A3980:I4479,2,0)</f>
        <v>#N/A</v>
      </c>
      <c r="H3988" s="6" t="e">
        <f>VLOOKUP(F3988,'Customer Info'!A3980:I4479,3,0)</f>
        <v>#N/A</v>
      </c>
      <c r="I3988" s="6" t="e">
        <f>VLOOKUP(F3988,'Customer Info'!A3980:I4479,5,0)</f>
        <v>#N/A</v>
      </c>
      <c r="J3988" s="2">
        <v>8187</v>
      </c>
      <c r="K3988" s="2">
        <v>7799</v>
      </c>
      <c r="L3988" s="2">
        <v>2</v>
      </c>
      <c r="M3988" s="7">
        <f t="shared" si="248"/>
        <v>15598</v>
      </c>
      <c r="N3988" s="7">
        <f t="shared" si="249"/>
        <v>16374</v>
      </c>
      <c r="O3988" s="2">
        <v>94</v>
      </c>
      <c r="P3988" s="8">
        <f t="shared" si="250"/>
        <v>16468</v>
      </c>
      <c r="Q3988" s="8">
        <f t="shared" si="251"/>
        <v>16280</v>
      </c>
      <c r="R3988" s="2" t="s">
        <v>56</v>
      </c>
      <c r="S3988" s="9">
        <f>VLOOKUP(P3988,$T$2:U3985,2,1)</f>
        <v>0.05</v>
      </c>
    </row>
    <row r="3989" spans="1:19" x14ac:dyDescent="0.25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e">
        <f>VLOOKUP(F3989,'Customer Info'!A3981:I4480,2,0)</f>
        <v>#N/A</v>
      </c>
      <c r="H3989" s="6" t="e">
        <f>VLOOKUP(F3989,'Customer Info'!A3981:I4480,3,0)</f>
        <v>#N/A</v>
      </c>
      <c r="I3989" s="6" t="e">
        <f>VLOOKUP(F3989,'Customer Info'!A3981:I4480,5,0)</f>
        <v>#N/A</v>
      </c>
      <c r="J3989" s="2">
        <v>8022</v>
      </c>
      <c r="K3989" s="2">
        <v>7868</v>
      </c>
      <c r="L3989" s="2">
        <v>5</v>
      </c>
      <c r="M3989" s="7">
        <f t="shared" si="248"/>
        <v>39340</v>
      </c>
      <c r="N3989" s="7">
        <f t="shared" si="249"/>
        <v>40110</v>
      </c>
      <c r="O3989" s="2">
        <v>61</v>
      </c>
      <c r="P3989" s="8">
        <f t="shared" si="250"/>
        <v>40171</v>
      </c>
      <c r="Q3989" s="8">
        <f t="shared" si="251"/>
        <v>40049</v>
      </c>
      <c r="R3989" s="2" t="s">
        <v>28</v>
      </c>
      <c r="S3989" s="9">
        <f>VLOOKUP(P3989,$T$2:U3986,2,1)</f>
        <v>7.0000000000000007E-2</v>
      </c>
    </row>
    <row r="3990" spans="1:19" x14ac:dyDescent="0.25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e">
        <f>VLOOKUP(F3990,'Customer Info'!A3982:I4481,2,0)</f>
        <v>#N/A</v>
      </c>
      <c r="H3990" s="6" t="e">
        <f>VLOOKUP(F3990,'Customer Info'!A3982:I4481,3,0)</f>
        <v>#N/A</v>
      </c>
      <c r="I3990" s="6" t="e">
        <f>VLOOKUP(F3990,'Customer Info'!A3982:I4481,5,0)</f>
        <v>#N/A</v>
      </c>
      <c r="J3990" s="2">
        <v>135</v>
      </c>
      <c r="K3990" s="2">
        <v>129</v>
      </c>
      <c r="L3990" s="2">
        <v>1</v>
      </c>
      <c r="M3990" s="7">
        <f t="shared" si="248"/>
        <v>129</v>
      </c>
      <c r="N3990" s="7">
        <f t="shared" si="249"/>
        <v>135</v>
      </c>
      <c r="O3990" s="2">
        <v>30</v>
      </c>
      <c r="P3990" s="8">
        <f t="shared" si="250"/>
        <v>165</v>
      </c>
      <c r="Q3990" s="8">
        <f t="shared" si="251"/>
        <v>105</v>
      </c>
      <c r="R3990" s="2" t="s">
        <v>28</v>
      </c>
      <c r="S3990" s="9">
        <f>VLOOKUP(P3990,$T$2:U3987,2,1)</f>
        <v>0.02</v>
      </c>
    </row>
    <row r="3991" spans="1:19" x14ac:dyDescent="0.25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e">
        <f>VLOOKUP(F3991,'Customer Info'!A3983:I4482,2,0)</f>
        <v>#N/A</v>
      </c>
      <c r="H3991" s="6" t="e">
        <f>VLOOKUP(F3991,'Customer Info'!A3983:I4482,3,0)</f>
        <v>#N/A</v>
      </c>
      <c r="I3991" s="6" t="e">
        <f>VLOOKUP(F3991,'Customer Info'!A3983:I4482,5,0)</f>
        <v>#N/A</v>
      </c>
      <c r="J3991" s="2">
        <v>886</v>
      </c>
      <c r="K3991" s="2">
        <v>796</v>
      </c>
      <c r="L3991" s="2">
        <v>1</v>
      </c>
      <c r="M3991" s="7">
        <f t="shared" si="248"/>
        <v>796</v>
      </c>
      <c r="N3991" s="7">
        <f t="shared" si="249"/>
        <v>886</v>
      </c>
      <c r="O3991" s="2">
        <v>98</v>
      </c>
      <c r="P3991" s="8">
        <f t="shared" si="250"/>
        <v>984</v>
      </c>
      <c r="Q3991" s="8">
        <f t="shared" si="251"/>
        <v>788</v>
      </c>
      <c r="R3991" s="2" t="s">
        <v>50</v>
      </c>
      <c r="S3991" s="9">
        <f>VLOOKUP(P3991,$T$2:U3988,2,1)</f>
        <v>0.02</v>
      </c>
    </row>
    <row r="3992" spans="1:19" x14ac:dyDescent="0.25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e">
        <f>VLOOKUP(F3992,'Customer Info'!A3984:I4483,2,0)</f>
        <v>#N/A</v>
      </c>
      <c r="H3992" s="6" t="e">
        <f>VLOOKUP(F3992,'Customer Info'!A3984:I4483,3,0)</f>
        <v>#N/A</v>
      </c>
      <c r="I3992" s="6" t="e">
        <f>VLOOKUP(F3992,'Customer Info'!A3984:I4483,5,0)</f>
        <v>#N/A</v>
      </c>
      <c r="J3992" s="2">
        <v>2808</v>
      </c>
      <c r="K3992" s="2">
        <v>2674</v>
      </c>
      <c r="L3992" s="2">
        <v>3</v>
      </c>
      <c r="M3992" s="7">
        <f t="shared" si="248"/>
        <v>8022</v>
      </c>
      <c r="N3992" s="7">
        <f t="shared" si="249"/>
        <v>8424</v>
      </c>
      <c r="O3992" s="2">
        <v>89</v>
      </c>
      <c r="P3992" s="8">
        <f t="shared" si="250"/>
        <v>8513</v>
      </c>
      <c r="Q3992" s="8">
        <f t="shared" si="251"/>
        <v>8335</v>
      </c>
      <c r="R3992" s="2" t="s">
        <v>50</v>
      </c>
      <c r="S3992" s="9">
        <f>VLOOKUP(P3992,$T$2:U3989,2,1)</f>
        <v>0.05</v>
      </c>
    </row>
    <row r="3993" spans="1:19" x14ac:dyDescent="0.25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e">
        <f>VLOOKUP(F3993,'Customer Info'!A3985:I4484,2,0)</f>
        <v>#N/A</v>
      </c>
      <c r="H3993" s="6" t="e">
        <f>VLOOKUP(F3993,'Customer Info'!A3985:I4484,3,0)</f>
        <v>#N/A</v>
      </c>
      <c r="I3993" s="6" t="e">
        <f>VLOOKUP(F3993,'Customer Info'!A3985:I4484,5,0)</f>
        <v>#N/A</v>
      </c>
      <c r="J3993" s="2">
        <v>92</v>
      </c>
      <c r="K3993" s="2">
        <v>82</v>
      </c>
      <c r="L3993" s="2">
        <v>2</v>
      </c>
      <c r="M3993" s="7">
        <f t="shared" si="248"/>
        <v>164</v>
      </c>
      <c r="N3993" s="7">
        <f t="shared" si="249"/>
        <v>184</v>
      </c>
      <c r="O3993" s="2">
        <v>10</v>
      </c>
      <c r="P3993" s="8">
        <f t="shared" si="250"/>
        <v>194</v>
      </c>
      <c r="Q3993" s="8">
        <f t="shared" si="251"/>
        <v>174</v>
      </c>
      <c r="R3993" s="2" t="s">
        <v>26</v>
      </c>
      <c r="S3993" s="9">
        <f>VLOOKUP(P3993,$T$2:U3990,2,1)</f>
        <v>0.02</v>
      </c>
    </row>
    <row r="3994" spans="1:19" x14ac:dyDescent="0.25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e">
        <f>VLOOKUP(F3994,'Customer Info'!A3986:I4485,2,0)</f>
        <v>#N/A</v>
      </c>
      <c r="H3994" s="6" t="e">
        <f>VLOOKUP(F3994,'Customer Info'!A3986:I4485,3,0)</f>
        <v>#N/A</v>
      </c>
      <c r="I3994" s="6" t="e">
        <f>VLOOKUP(F3994,'Customer Info'!A3986:I4485,5,0)</f>
        <v>#N/A</v>
      </c>
      <c r="J3994" s="2">
        <v>1283</v>
      </c>
      <c r="K3994" s="2">
        <v>1187</v>
      </c>
      <c r="L3994" s="2">
        <v>3</v>
      </c>
      <c r="M3994" s="7">
        <f t="shared" si="248"/>
        <v>3561</v>
      </c>
      <c r="N3994" s="7">
        <f t="shared" si="249"/>
        <v>3849</v>
      </c>
      <c r="O3994" s="2">
        <v>21</v>
      </c>
      <c r="P3994" s="8">
        <f t="shared" si="250"/>
        <v>3870</v>
      </c>
      <c r="Q3994" s="8">
        <f t="shared" si="251"/>
        <v>3828</v>
      </c>
      <c r="R3994" s="2" t="s">
        <v>50</v>
      </c>
      <c r="S3994" s="9">
        <f>VLOOKUP(P3994,$T$2:U3991,2,1)</f>
        <v>0.02</v>
      </c>
    </row>
    <row r="3995" spans="1:19" x14ac:dyDescent="0.25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e">
        <f>VLOOKUP(F3995,'Customer Info'!A3987:I4486,2,0)</f>
        <v>#N/A</v>
      </c>
      <c r="H3995" s="6" t="e">
        <f>VLOOKUP(F3995,'Customer Info'!A3987:I4486,3,0)</f>
        <v>#N/A</v>
      </c>
      <c r="I3995" s="6" t="e">
        <f>VLOOKUP(F3995,'Customer Info'!A3987:I4486,5,0)</f>
        <v>#N/A</v>
      </c>
      <c r="J3995" s="2">
        <v>214</v>
      </c>
      <c r="K3995" s="2">
        <v>200</v>
      </c>
      <c r="L3995" s="2">
        <v>3</v>
      </c>
      <c r="M3995" s="7">
        <f t="shared" si="248"/>
        <v>600</v>
      </c>
      <c r="N3995" s="7">
        <f t="shared" si="249"/>
        <v>642</v>
      </c>
      <c r="O3995" s="2">
        <v>52</v>
      </c>
      <c r="P3995" s="8">
        <f t="shared" si="250"/>
        <v>694</v>
      </c>
      <c r="Q3995" s="8">
        <f t="shared" si="251"/>
        <v>590</v>
      </c>
      <c r="R3995" s="2" t="s">
        <v>28</v>
      </c>
      <c r="S3995" s="9">
        <f>VLOOKUP(P3995,$T$2:U3992,2,1)</f>
        <v>0.02</v>
      </c>
    </row>
    <row r="3996" spans="1:19" x14ac:dyDescent="0.25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e">
        <f>VLOOKUP(F3996,'Customer Info'!A3988:I4487,2,0)</f>
        <v>#N/A</v>
      </c>
      <c r="H3996" s="6" t="e">
        <f>VLOOKUP(F3996,'Customer Info'!A3988:I4487,3,0)</f>
        <v>#N/A</v>
      </c>
      <c r="I3996" s="6" t="e">
        <f>VLOOKUP(F3996,'Customer Info'!A3988:I4487,5,0)</f>
        <v>#N/A</v>
      </c>
      <c r="J3996" s="2">
        <v>8281</v>
      </c>
      <c r="K3996" s="2">
        <v>7673</v>
      </c>
      <c r="L3996" s="2">
        <v>4</v>
      </c>
      <c r="M3996" s="7">
        <f t="shared" si="248"/>
        <v>30692</v>
      </c>
      <c r="N3996" s="7">
        <f t="shared" si="249"/>
        <v>33124</v>
      </c>
      <c r="O3996" s="2">
        <v>36</v>
      </c>
      <c r="P3996" s="8">
        <f t="shared" si="250"/>
        <v>33160</v>
      </c>
      <c r="Q3996" s="8">
        <f t="shared" si="251"/>
        <v>33088</v>
      </c>
      <c r="R3996" s="2" t="s">
        <v>28</v>
      </c>
      <c r="S3996" s="9">
        <f>VLOOKUP(P3996,$T$2:U3993,2,1)</f>
        <v>7.0000000000000007E-2</v>
      </c>
    </row>
    <row r="3997" spans="1:19" x14ac:dyDescent="0.25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e">
        <f>VLOOKUP(F3997,'Customer Info'!A3989:I4488,2,0)</f>
        <v>#N/A</v>
      </c>
      <c r="H3997" s="6" t="e">
        <f>VLOOKUP(F3997,'Customer Info'!A3989:I4488,3,0)</f>
        <v>#N/A</v>
      </c>
      <c r="I3997" s="6" t="e">
        <f>VLOOKUP(F3997,'Customer Info'!A3989:I4488,5,0)</f>
        <v>#N/A</v>
      </c>
      <c r="J3997" s="2">
        <v>2200</v>
      </c>
      <c r="K3997" s="2">
        <v>2020</v>
      </c>
      <c r="L3997" s="2">
        <v>2</v>
      </c>
      <c r="M3997" s="7">
        <f t="shared" si="248"/>
        <v>4040</v>
      </c>
      <c r="N3997" s="7">
        <f t="shared" si="249"/>
        <v>4400</v>
      </c>
      <c r="O3997" s="2">
        <v>25</v>
      </c>
      <c r="P3997" s="8">
        <f t="shared" si="250"/>
        <v>4425</v>
      </c>
      <c r="Q3997" s="8">
        <f t="shared" si="251"/>
        <v>4375</v>
      </c>
      <c r="R3997" s="2" t="s">
        <v>28</v>
      </c>
      <c r="S3997" s="9">
        <f>VLOOKUP(P3997,$T$2:U3994,2,1)</f>
        <v>0.02</v>
      </c>
    </row>
    <row r="3998" spans="1:19" x14ac:dyDescent="0.25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e">
        <f>VLOOKUP(F3998,'Customer Info'!A3990:I4489,2,0)</f>
        <v>#N/A</v>
      </c>
      <c r="H3998" s="6" t="e">
        <f>VLOOKUP(F3998,'Customer Info'!A3990:I4489,3,0)</f>
        <v>#N/A</v>
      </c>
      <c r="I3998" s="6" t="e">
        <f>VLOOKUP(F3998,'Customer Info'!A3990:I4489,5,0)</f>
        <v>#N/A</v>
      </c>
      <c r="J3998" s="2">
        <v>681</v>
      </c>
      <c r="K3998" s="2">
        <v>642</v>
      </c>
      <c r="L3998" s="2">
        <v>6</v>
      </c>
      <c r="M3998" s="7">
        <f t="shared" si="248"/>
        <v>3852</v>
      </c>
      <c r="N3998" s="7">
        <f t="shared" si="249"/>
        <v>4086</v>
      </c>
      <c r="O3998" s="2">
        <v>46</v>
      </c>
      <c r="P3998" s="8">
        <f t="shared" si="250"/>
        <v>4132</v>
      </c>
      <c r="Q3998" s="8">
        <f t="shared" si="251"/>
        <v>4040</v>
      </c>
      <c r="R3998" s="2" t="s">
        <v>50</v>
      </c>
      <c r="S3998" s="9">
        <f>VLOOKUP(P3998,$T$2:U3995,2,1)</f>
        <v>0.02</v>
      </c>
    </row>
    <row r="3999" spans="1:19" x14ac:dyDescent="0.25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e">
        <f>VLOOKUP(F3999,'Customer Info'!A3991:I4490,2,0)</f>
        <v>#N/A</v>
      </c>
      <c r="H3999" s="6" t="e">
        <f>VLOOKUP(F3999,'Customer Info'!A3991:I4490,3,0)</f>
        <v>#N/A</v>
      </c>
      <c r="I3999" s="6" t="e">
        <f>VLOOKUP(F3999,'Customer Info'!A3991:I4490,5,0)</f>
        <v>#N/A</v>
      </c>
      <c r="J3999" s="2">
        <v>8665</v>
      </c>
      <c r="K3999" s="2">
        <v>7723</v>
      </c>
      <c r="L3999" s="2">
        <v>2</v>
      </c>
      <c r="M3999" s="7">
        <f t="shared" si="248"/>
        <v>15446</v>
      </c>
      <c r="N3999" s="7">
        <f t="shared" si="249"/>
        <v>17330</v>
      </c>
      <c r="O3999" s="2">
        <v>97</v>
      </c>
      <c r="P3999" s="8">
        <f t="shared" si="250"/>
        <v>17427</v>
      </c>
      <c r="Q3999" s="8">
        <f t="shared" si="251"/>
        <v>17233</v>
      </c>
      <c r="R3999" s="2" t="s">
        <v>28</v>
      </c>
      <c r="S3999" s="9">
        <f>VLOOKUP(P3999,$T$2:U3996,2,1)</f>
        <v>0.05</v>
      </c>
    </row>
    <row r="4000" spans="1:19" x14ac:dyDescent="0.25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e">
        <f>VLOOKUP(F4000,'Customer Info'!A3992:I4491,2,0)</f>
        <v>#N/A</v>
      </c>
      <c r="H4000" s="6" t="e">
        <f>VLOOKUP(F4000,'Customer Info'!A3992:I4491,3,0)</f>
        <v>#N/A</v>
      </c>
      <c r="I4000" s="6" t="e">
        <f>VLOOKUP(F4000,'Customer Info'!A3992:I4491,5,0)</f>
        <v>#N/A</v>
      </c>
      <c r="J4000" s="2">
        <v>167</v>
      </c>
      <c r="K4000" s="2">
        <v>155</v>
      </c>
      <c r="L4000" s="2">
        <v>7</v>
      </c>
      <c r="M4000" s="7">
        <f t="shared" si="248"/>
        <v>1085</v>
      </c>
      <c r="N4000" s="7">
        <f t="shared" si="249"/>
        <v>1169</v>
      </c>
      <c r="O4000" s="2">
        <v>30</v>
      </c>
      <c r="P4000" s="8">
        <f t="shared" si="250"/>
        <v>1199</v>
      </c>
      <c r="Q4000" s="8">
        <f t="shared" si="251"/>
        <v>1139</v>
      </c>
      <c r="R4000" s="2" t="s">
        <v>50</v>
      </c>
      <c r="S4000" s="9">
        <f>VLOOKUP(P4000,$T$2:U3997,2,1)</f>
        <v>0.02</v>
      </c>
    </row>
    <row r="4001" spans="1:19" x14ac:dyDescent="0.25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e">
        <f>VLOOKUP(F4001,'Customer Info'!A3993:I4492,2,0)</f>
        <v>#N/A</v>
      </c>
      <c r="H4001" s="6" t="e">
        <f>VLOOKUP(F4001,'Customer Info'!A3993:I4492,3,0)</f>
        <v>#N/A</v>
      </c>
      <c r="I4001" s="6" t="e">
        <f>VLOOKUP(F4001,'Customer Info'!A3993:I4492,5,0)</f>
        <v>#N/A</v>
      </c>
      <c r="J4001" s="2">
        <v>8619</v>
      </c>
      <c r="K4001" s="2">
        <v>7759</v>
      </c>
      <c r="L4001" s="2">
        <v>2</v>
      </c>
      <c r="M4001" s="7">
        <f t="shared" si="248"/>
        <v>15518</v>
      </c>
      <c r="N4001" s="7">
        <f t="shared" si="249"/>
        <v>17238</v>
      </c>
      <c r="O4001" s="2">
        <v>60</v>
      </c>
      <c r="P4001" s="8">
        <f t="shared" si="250"/>
        <v>17298</v>
      </c>
      <c r="Q4001" s="8">
        <f t="shared" si="251"/>
        <v>17178</v>
      </c>
      <c r="R4001" s="2" t="s">
        <v>26</v>
      </c>
      <c r="S4001" s="9">
        <f>VLOOKUP(P4001,$T$2:U3998,2,1)</f>
        <v>0.05</v>
      </c>
    </row>
    <row r="4002" spans="1:19" x14ac:dyDescent="0.25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e">
        <f>VLOOKUP(F4002,'Customer Info'!A3994:I4493,2,0)</f>
        <v>#N/A</v>
      </c>
      <c r="H4002" s="6" t="e">
        <f>VLOOKUP(F4002,'Customer Info'!A3994:I4493,3,0)</f>
        <v>#N/A</v>
      </c>
      <c r="I4002" s="6" t="e">
        <f>VLOOKUP(F4002,'Customer Info'!A3994:I4493,5,0)</f>
        <v>#N/A</v>
      </c>
      <c r="J4002" s="2">
        <v>531</v>
      </c>
      <c r="K4002" s="2">
        <v>487</v>
      </c>
      <c r="L4002" s="2">
        <v>3</v>
      </c>
      <c r="M4002" s="7">
        <f t="shared" si="248"/>
        <v>1461</v>
      </c>
      <c r="N4002" s="7">
        <f t="shared" si="249"/>
        <v>1593</v>
      </c>
      <c r="O4002" s="2">
        <v>81</v>
      </c>
      <c r="P4002" s="8">
        <f t="shared" si="250"/>
        <v>1674</v>
      </c>
      <c r="Q4002" s="8">
        <f t="shared" si="251"/>
        <v>1512</v>
      </c>
      <c r="R4002" s="2" t="s">
        <v>28</v>
      </c>
      <c r="S4002" s="9">
        <f>VLOOKUP(P4002,$T$2:U3999,2,1)</f>
        <v>0.02</v>
      </c>
    </row>
    <row r="4003" spans="1:19" x14ac:dyDescent="0.25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e">
        <f>VLOOKUP(F4003,'Customer Info'!A3995:I4494,2,0)</f>
        <v>#N/A</v>
      </c>
      <c r="H4003" s="6" t="e">
        <f>VLOOKUP(F4003,'Customer Info'!A3995:I4494,3,0)</f>
        <v>#N/A</v>
      </c>
      <c r="I4003" s="6" t="e">
        <f>VLOOKUP(F4003,'Customer Info'!A3995:I4494,5,0)</f>
        <v>#N/A</v>
      </c>
      <c r="J4003" s="2">
        <v>6864</v>
      </c>
      <c r="K4003" s="2">
        <v>6667</v>
      </c>
      <c r="L4003" s="2">
        <v>2</v>
      </c>
      <c r="M4003" s="7">
        <f t="shared" si="248"/>
        <v>13334</v>
      </c>
      <c r="N4003" s="7">
        <f t="shared" si="249"/>
        <v>13728</v>
      </c>
      <c r="O4003" s="2">
        <v>82</v>
      </c>
      <c r="P4003" s="8">
        <f t="shared" si="250"/>
        <v>13810</v>
      </c>
      <c r="Q4003" s="8">
        <f t="shared" si="251"/>
        <v>13646</v>
      </c>
      <c r="R4003" s="2" t="s">
        <v>50</v>
      </c>
      <c r="S4003" s="9">
        <f>VLOOKUP(P4003,$T$2:U4000,2,1)</f>
        <v>0.05</v>
      </c>
    </row>
    <row r="4004" spans="1:19" x14ac:dyDescent="0.25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e">
        <f>VLOOKUP(F4004,'Customer Info'!A3996:I4495,2,0)</f>
        <v>#N/A</v>
      </c>
      <c r="H4004" s="6" t="e">
        <f>VLOOKUP(F4004,'Customer Info'!A3996:I4495,3,0)</f>
        <v>#N/A</v>
      </c>
      <c r="I4004" s="6" t="e">
        <f>VLOOKUP(F4004,'Customer Info'!A3996:I4495,5,0)</f>
        <v>#N/A</v>
      </c>
      <c r="J4004" s="2">
        <v>2151</v>
      </c>
      <c r="K4004" s="2">
        <v>2009</v>
      </c>
      <c r="L4004" s="2">
        <v>2</v>
      </c>
      <c r="M4004" s="7">
        <f t="shared" si="248"/>
        <v>4018</v>
      </c>
      <c r="N4004" s="7">
        <f t="shared" si="249"/>
        <v>4302</v>
      </c>
      <c r="O4004" s="2">
        <v>66</v>
      </c>
      <c r="P4004" s="8">
        <f t="shared" si="250"/>
        <v>4368</v>
      </c>
      <c r="Q4004" s="8">
        <f t="shared" si="251"/>
        <v>4236</v>
      </c>
      <c r="R4004" s="2" t="s">
        <v>28</v>
      </c>
      <c r="S4004" s="9">
        <f>VLOOKUP(P4004,$T$2:U4001,2,1)</f>
        <v>0.02</v>
      </c>
    </row>
    <row r="4005" spans="1:19" x14ac:dyDescent="0.25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e">
        <f>VLOOKUP(F4005,'Customer Info'!A3997:I4496,2,0)</f>
        <v>#N/A</v>
      </c>
      <c r="H4005" s="6" t="e">
        <f>VLOOKUP(F4005,'Customer Info'!A3997:I4496,3,0)</f>
        <v>#N/A</v>
      </c>
      <c r="I4005" s="6" t="e">
        <f>VLOOKUP(F4005,'Customer Info'!A3997:I4496,5,0)</f>
        <v>#N/A</v>
      </c>
      <c r="J4005" s="2">
        <v>805</v>
      </c>
      <c r="K4005" s="2">
        <v>746</v>
      </c>
      <c r="L4005" s="2">
        <v>6</v>
      </c>
      <c r="M4005" s="7">
        <f t="shared" si="248"/>
        <v>4476</v>
      </c>
      <c r="N4005" s="7">
        <f t="shared" si="249"/>
        <v>4830</v>
      </c>
      <c r="O4005" s="2">
        <v>35</v>
      </c>
      <c r="P4005" s="8">
        <f t="shared" si="250"/>
        <v>4865</v>
      </c>
      <c r="Q4005" s="8">
        <f t="shared" si="251"/>
        <v>4795</v>
      </c>
      <c r="R4005" s="2" t="s">
        <v>28</v>
      </c>
      <c r="S4005" s="9">
        <f>VLOOKUP(P4005,$T$2:U4002,2,1)</f>
        <v>0.02</v>
      </c>
    </row>
    <row r="4006" spans="1:19" x14ac:dyDescent="0.25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e">
        <f>VLOOKUP(F4006,'Customer Info'!A3998:I4497,2,0)</f>
        <v>#N/A</v>
      </c>
      <c r="H4006" s="6" t="e">
        <f>VLOOKUP(F4006,'Customer Info'!A3998:I4497,3,0)</f>
        <v>#N/A</v>
      </c>
      <c r="I4006" s="6" t="e">
        <f>VLOOKUP(F4006,'Customer Info'!A3998:I4497,5,0)</f>
        <v>#N/A</v>
      </c>
      <c r="J4006" s="2">
        <v>1533</v>
      </c>
      <c r="K4006" s="2">
        <v>1406</v>
      </c>
      <c r="L4006" s="2">
        <v>4</v>
      </c>
      <c r="M4006" s="7">
        <f t="shared" si="248"/>
        <v>5624</v>
      </c>
      <c r="N4006" s="7">
        <f t="shared" si="249"/>
        <v>6132</v>
      </c>
      <c r="O4006" s="2">
        <v>45</v>
      </c>
      <c r="P4006" s="8">
        <f t="shared" si="250"/>
        <v>6177</v>
      </c>
      <c r="Q4006" s="8">
        <f t="shared" si="251"/>
        <v>6087</v>
      </c>
      <c r="R4006" s="2" t="s">
        <v>26</v>
      </c>
      <c r="S4006" s="9">
        <f>VLOOKUP(P4006,$T$2:U4003,2,1)</f>
        <v>0.05</v>
      </c>
    </row>
    <row r="4007" spans="1:19" x14ac:dyDescent="0.25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e">
        <f>VLOOKUP(F4007,'Customer Info'!A3999:I4498,2,0)</f>
        <v>#N/A</v>
      </c>
      <c r="H4007" s="6" t="e">
        <f>VLOOKUP(F4007,'Customer Info'!A3999:I4498,3,0)</f>
        <v>#N/A</v>
      </c>
      <c r="I4007" s="6" t="e">
        <f>VLOOKUP(F4007,'Customer Info'!A3999:I4498,5,0)</f>
        <v>#N/A</v>
      </c>
      <c r="J4007" s="2">
        <v>80</v>
      </c>
      <c r="K4007" s="2">
        <v>75</v>
      </c>
      <c r="L4007" s="2">
        <v>4</v>
      </c>
      <c r="M4007" s="7">
        <f t="shared" si="248"/>
        <v>300</v>
      </c>
      <c r="N4007" s="7">
        <f t="shared" si="249"/>
        <v>320</v>
      </c>
      <c r="O4007" s="2">
        <v>10</v>
      </c>
      <c r="P4007" s="8">
        <f t="shared" si="250"/>
        <v>330</v>
      </c>
      <c r="Q4007" s="8">
        <f t="shared" si="251"/>
        <v>310</v>
      </c>
      <c r="R4007" s="2" t="s">
        <v>28</v>
      </c>
      <c r="S4007" s="9">
        <f>VLOOKUP(P4007,$T$2:U4004,2,1)</f>
        <v>0.02</v>
      </c>
    </row>
    <row r="4008" spans="1:19" x14ac:dyDescent="0.25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e">
        <f>VLOOKUP(F4008,'Customer Info'!A4000:I4499,2,0)</f>
        <v>#N/A</v>
      </c>
      <c r="H4008" s="6" t="e">
        <f>VLOOKUP(F4008,'Customer Info'!A4000:I4499,3,0)</f>
        <v>#N/A</v>
      </c>
      <c r="I4008" s="6" t="e">
        <f>VLOOKUP(F4008,'Customer Info'!A4000:I4499,5,0)</f>
        <v>#N/A</v>
      </c>
      <c r="J4008" s="2">
        <v>1605</v>
      </c>
      <c r="K4008" s="2">
        <v>1530</v>
      </c>
      <c r="L4008" s="2">
        <v>1</v>
      </c>
      <c r="M4008" s="7">
        <f t="shared" si="248"/>
        <v>1530</v>
      </c>
      <c r="N4008" s="7">
        <f t="shared" si="249"/>
        <v>1605</v>
      </c>
      <c r="O4008" s="2">
        <v>23</v>
      </c>
      <c r="P4008" s="8">
        <f t="shared" si="250"/>
        <v>1628</v>
      </c>
      <c r="Q4008" s="8">
        <f t="shared" si="251"/>
        <v>1582</v>
      </c>
      <c r="R4008" s="2" t="s">
        <v>28</v>
      </c>
      <c r="S4008" s="9">
        <f>VLOOKUP(P4008,$T$2:U4005,2,1)</f>
        <v>0.02</v>
      </c>
    </row>
    <row r="4009" spans="1:19" x14ac:dyDescent="0.25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e">
        <f>VLOOKUP(F4009,'Customer Info'!A4001:I4500,2,0)</f>
        <v>#N/A</v>
      </c>
      <c r="H4009" s="6" t="e">
        <f>VLOOKUP(F4009,'Customer Info'!A4001:I4500,3,0)</f>
        <v>#N/A</v>
      </c>
      <c r="I4009" s="6" t="e">
        <f>VLOOKUP(F4009,'Customer Info'!A4001:I4500,5,0)</f>
        <v>#N/A</v>
      </c>
      <c r="J4009" s="2">
        <v>4846</v>
      </c>
      <c r="K4009" s="2">
        <v>4492</v>
      </c>
      <c r="L4009" s="2">
        <v>7</v>
      </c>
      <c r="M4009" s="7">
        <f t="shared" si="248"/>
        <v>31444</v>
      </c>
      <c r="N4009" s="7">
        <f t="shared" si="249"/>
        <v>33922</v>
      </c>
      <c r="O4009" s="2">
        <v>86</v>
      </c>
      <c r="P4009" s="8">
        <f t="shared" si="250"/>
        <v>34008</v>
      </c>
      <c r="Q4009" s="8">
        <f t="shared" si="251"/>
        <v>33836</v>
      </c>
      <c r="R4009" s="2" t="s">
        <v>56</v>
      </c>
      <c r="S4009" s="9">
        <f>VLOOKUP(P4009,$T$2:U4006,2,1)</f>
        <v>7.0000000000000007E-2</v>
      </c>
    </row>
    <row r="4010" spans="1:19" x14ac:dyDescent="0.25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e">
        <f>VLOOKUP(F4010,'Customer Info'!A4002:I4501,2,0)</f>
        <v>#N/A</v>
      </c>
      <c r="H4010" s="6" t="e">
        <f>VLOOKUP(F4010,'Customer Info'!A4002:I4501,3,0)</f>
        <v>#N/A</v>
      </c>
      <c r="I4010" s="6" t="e">
        <f>VLOOKUP(F4010,'Customer Info'!A4002:I4501,5,0)</f>
        <v>#N/A</v>
      </c>
      <c r="J4010" s="2">
        <v>1834</v>
      </c>
      <c r="K4010" s="2">
        <v>1716</v>
      </c>
      <c r="L4010" s="2">
        <v>2</v>
      </c>
      <c r="M4010" s="7">
        <f t="shared" si="248"/>
        <v>3432</v>
      </c>
      <c r="N4010" s="7">
        <f t="shared" si="249"/>
        <v>3668</v>
      </c>
      <c r="O4010" s="2">
        <v>98</v>
      </c>
      <c r="P4010" s="8">
        <f t="shared" si="250"/>
        <v>3766</v>
      </c>
      <c r="Q4010" s="8">
        <f t="shared" si="251"/>
        <v>3570</v>
      </c>
      <c r="R4010" s="2" t="s">
        <v>50</v>
      </c>
      <c r="S4010" s="9">
        <f>VLOOKUP(P4010,$T$2:U4007,2,1)</f>
        <v>0.02</v>
      </c>
    </row>
    <row r="4011" spans="1:19" x14ac:dyDescent="0.25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e">
        <f>VLOOKUP(F4011,'Customer Info'!A4003:I4502,2,0)</f>
        <v>#N/A</v>
      </c>
      <c r="H4011" s="6" t="e">
        <f>VLOOKUP(F4011,'Customer Info'!A4003:I4502,3,0)</f>
        <v>#N/A</v>
      </c>
      <c r="I4011" s="6" t="e">
        <f>VLOOKUP(F4011,'Customer Info'!A4003:I4502,5,0)</f>
        <v>#N/A</v>
      </c>
      <c r="J4011" s="2">
        <v>61</v>
      </c>
      <c r="K4011" s="2">
        <v>56</v>
      </c>
      <c r="L4011" s="2">
        <v>2</v>
      </c>
      <c r="M4011" s="7">
        <f t="shared" si="248"/>
        <v>112</v>
      </c>
      <c r="N4011" s="7">
        <f t="shared" si="249"/>
        <v>122</v>
      </c>
      <c r="O4011" s="2">
        <v>10</v>
      </c>
      <c r="P4011" s="8">
        <f t="shared" si="250"/>
        <v>132</v>
      </c>
      <c r="Q4011" s="8">
        <f t="shared" si="251"/>
        <v>112</v>
      </c>
      <c r="R4011" s="2" t="s">
        <v>28</v>
      </c>
      <c r="S4011" s="9">
        <f>VLOOKUP(P4011,$T$2:U4008,2,1)</f>
        <v>0.02</v>
      </c>
    </row>
    <row r="4012" spans="1:19" x14ac:dyDescent="0.25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e">
        <f>VLOOKUP(F4012,'Customer Info'!A4004:I4503,2,0)</f>
        <v>#N/A</v>
      </c>
      <c r="H4012" s="6" t="e">
        <f>VLOOKUP(F4012,'Customer Info'!A4004:I4503,3,0)</f>
        <v>#N/A</v>
      </c>
      <c r="I4012" s="6" t="e">
        <f>VLOOKUP(F4012,'Customer Info'!A4004:I4503,5,0)</f>
        <v>#N/A</v>
      </c>
      <c r="J4012" s="2">
        <v>4704</v>
      </c>
      <c r="K4012" s="2">
        <v>4361</v>
      </c>
      <c r="L4012" s="2">
        <v>4</v>
      </c>
      <c r="M4012" s="7">
        <f t="shared" si="248"/>
        <v>17444</v>
      </c>
      <c r="N4012" s="7">
        <f t="shared" si="249"/>
        <v>18816</v>
      </c>
      <c r="O4012" s="2">
        <v>99</v>
      </c>
      <c r="P4012" s="8">
        <f t="shared" si="250"/>
        <v>18915</v>
      </c>
      <c r="Q4012" s="8">
        <f t="shared" si="251"/>
        <v>18717</v>
      </c>
      <c r="R4012" s="2" t="s">
        <v>50</v>
      </c>
      <c r="S4012" s="9">
        <f>VLOOKUP(P4012,$T$2:U4009,2,1)</f>
        <v>0.05</v>
      </c>
    </row>
    <row r="4013" spans="1:19" x14ac:dyDescent="0.25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e">
        <f>VLOOKUP(F4013,'Customer Info'!A4005:I4504,2,0)</f>
        <v>#N/A</v>
      </c>
      <c r="H4013" s="6" t="e">
        <f>VLOOKUP(F4013,'Customer Info'!A4005:I4504,3,0)</f>
        <v>#N/A</v>
      </c>
      <c r="I4013" s="6" t="e">
        <f>VLOOKUP(F4013,'Customer Info'!A4005:I4504,5,0)</f>
        <v>#N/A</v>
      </c>
      <c r="J4013" s="2">
        <v>1568</v>
      </c>
      <c r="K4013" s="2">
        <v>1495</v>
      </c>
      <c r="L4013" s="2">
        <v>2</v>
      </c>
      <c r="M4013" s="7">
        <f t="shared" si="248"/>
        <v>2990</v>
      </c>
      <c r="N4013" s="7">
        <f t="shared" si="249"/>
        <v>3136</v>
      </c>
      <c r="O4013" s="2">
        <v>68</v>
      </c>
      <c r="P4013" s="8">
        <f t="shared" si="250"/>
        <v>3204</v>
      </c>
      <c r="Q4013" s="8">
        <f t="shared" si="251"/>
        <v>3068</v>
      </c>
      <c r="R4013" s="2" t="s">
        <v>28</v>
      </c>
      <c r="S4013" s="9">
        <f>VLOOKUP(P4013,$T$2:U4010,2,1)</f>
        <v>0.02</v>
      </c>
    </row>
    <row r="4014" spans="1:19" x14ac:dyDescent="0.25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e">
        <f>VLOOKUP(F4014,'Customer Info'!A4006:I4505,2,0)</f>
        <v>#N/A</v>
      </c>
      <c r="H4014" s="6" t="e">
        <f>VLOOKUP(F4014,'Customer Info'!A4006:I4505,3,0)</f>
        <v>#N/A</v>
      </c>
      <c r="I4014" s="6" t="e">
        <f>VLOOKUP(F4014,'Customer Info'!A4006:I4505,5,0)</f>
        <v>#N/A</v>
      </c>
      <c r="J4014" s="2">
        <v>1911</v>
      </c>
      <c r="K4014" s="2">
        <v>1785</v>
      </c>
      <c r="L4014" s="2">
        <v>2</v>
      </c>
      <c r="M4014" s="7">
        <f t="shared" si="248"/>
        <v>3570</v>
      </c>
      <c r="N4014" s="7">
        <f t="shared" si="249"/>
        <v>3822</v>
      </c>
      <c r="O4014" s="2">
        <v>88</v>
      </c>
      <c r="P4014" s="8">
        <f t="shared" si="250"/>
        <v>3910</v>
      </c>
      <c r="Q4014" s="8">
        <f t="shared" si="251"/>
        <v>3734</v>
      </c>
      <c r="R4014" s="2" t="s">
        <v>28</v>
      </c>
      <c r="S4014" s="9">
        <f>VLOOKUP(P4014,$T$2:U4011,2,1)</f>
        <v>0.02</v>
      </c>
    </row>
    <row r="4015" spans="1:19" x14ac:dyDescent="0.25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e">
        <f>VLOOKUP(F4015,'Customer Info'!A4007:I4506,2,0)</f>
        <v>#N/A</v>
      </c>
      <c r="H4015" s="6" t="e">
        <f>VLOOKUP(F4015,'Customer Info'!A4007:I4506,3,0)</f>
        <v>#N/A</v>
      </c>
      <c r="I4015" s="6" t="e">
        <f>VLOOKUP(F4015,'Customer Info'!A4007:I4506,5,0)</f>
        <v>#N/A</v>
      </c>
      <c r="J4015" s="2">
        <v>4246</v>
      </c>
      <c r="K4015" s="2">
        <v>3857</v>
      </c>
      <c r="L4015" s="2">
        <v>7</v>
      </c>
      <c r="M4015" s="7">
        <f t="shared" si="248"/>
        <v>26999</v>
      </c>
      <c r="N4015" s="7">
        <f t="shared" si="249"/>
        <v>29722</v>
      </c>
      <c r="O4015" s="2">
        <v>84</v>
      </c>
      <c r="P4015" s="8">
        <f t="shared" si="250"/>
        <v>29806</v>
      </c>
      <c r="Q4015" s="8">
        <f t="shared" si="251"/>
        <v>29638</v>
      </c>
      <c r="R4015" s="2" t="s">
        <v>28</v>
      </c>
      <c r="S4015" s="9">
        <f>VLOOKUP(P4015,$T$2:U4012,2,1)</f>
        <v>7.0000000000000007E-2</v>
      </c>
    </row>
    <row r="4016" spans="1:19" x14ac:dyDescent="0.25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e">
        <f>VLOOKUP(F4016,'Customer Info'!A4008:I4507,2,0)</f>
        <v>#N/A</v>
      </c>
      <c r="H4016" s="6" t="e">
        <f>VLOOKUP(F4016,'Customer Info'!A4008:I4507,3,0)</f>
        <v>#N/A</v>
      </c>
      <c r="I4016" s="6" t="e">
        <f>VLOOKUP(F4016,'Customer Info'!A4008:I4507,5,0)</f>
        <v>#N/A</v>
      </c>
      <c r="J4016" s="2">
        <v>162</v>
      </c>
      <c r="K4016" s="2">
        <v>148</v>
      </c>
      <c r="L4016" s="2">
        <v>3</v>
      </c>
      <c r="M4016" s="7">
        <f t="shared" si="248"/>
        <v>444</v>
      </c>
      <c r="N4016" s="7">
        <f t="shared" si="249"/>
        <v>486</v>
      </c>
      <c r="O4016" s="2">
        <v>30</v>
      </c>
      <c r="P4016" s="8">
        <f t="shared" si="250"/>
        <v>516</v>
      </c>
      <c r="Q4016" s="8">
        <f t="shared" si="251"/>
        <v>456</v>
      </c>
      <c r="R4016" s="2" t="s">
        <v>56</v>
      </c>
      <c r="S4016" s="9">
        <f>VLOOKUP(P4016,$T$2:U4013,2,1)</f>
        <v>0.02</v>
      </c>
    </row>
    <row r="4017" spans="1:19" x14ac:dyDescent="0.25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e">
        <f>VLOOKUP(F4017,'Customer Info'!A4009:I4508,2,0)</f>
        <v>#N/A</v>
      </c>
      <c r="H4017" s="6" t="e">
        <f>VLOOKUP(F4017,'Customer Info'!A4009:I4508,3,0)</f>
        <v>#N/A</v>
      </c>
      <c r="I4017" s="6" t="e">
        <f>VLOOKUP(F4017,'Customer Info'!A4009:I4508,5,0)</f>
        <v>#N/A</v>
      </c>
      <c r="J4017" s="2">
        <v>5051</v>
      </c>
      <c r="K4017" s="2">
        <v>4634</v>
      </c>
      <c r="L4017" s="2">
        <v>14</v>
      </c>
      <c r="M4017" s="7">
        <f t="shared" si="248"/>
        <v>64876</v>
      </c>
      <c r="N4017" s="7">
        <f t="shared" si="249"/>
        <v>70714</v>
      </c>
      <c r="O4017" s="2">
        <v>42</v>
      </c>
      <c r="P4017" s="8">
        <f t="shared" si="250"/>
        <v>70756</v>
      </c>
      <c r="Q4017" s="8">
        <f t="shared" si="251"/>
        <v>70672</v>
      </c>
      <c r="R4017" s="2" t="s">
        <v>50</v>
      </c>
      <c r="S4017" s="9">
        <f>VLOOKUP(P4017,$T$2:U4014,2,1)</f>
        <v>0.09</v>
      </c>
    </row>
    <row r="4018" spans="1:19" x14ac:dyDescent="0.25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e">
        <f>VLOOKUP(F4018,'Customer Info'!A4010:I4509,2,0)</f>
        <v>#N/A</v>
      </c>
      <c r="H4018" s="6" t="e">
        <f>VLOOKUP(F4018,'Customer Info'!A4010:I4509,3,0)</f>
        <v>#N/A</v>
      </c>
      <c r="I4018" s="6" t="e">
        <f>VLOOKUP(F4018,'Customer Info'!A4010:I4509,5,0)</f>
        <v>#N/A</v>
      </c>
      <c r="J4018" s="2">
        <v>171</v>
      </c>
      <c r="K4018" s="2">
        <v>153</v>
      </c>
      <c r="L4018" s="2">
        <v>1</v>
      </c>
      <c r="M4018" s="7">
        <f t="shared" si="248"/>
        <v>153</v>
      </c>
      <c r="N4018" s="7">
        <f t="shared" si="249"/>
        <v>171</v>
      </c>
      <c r="O4018" s="2">
        <v>30</v>
      </c>
      <c r="P4018" s="8">
        <f t="shared" si="250"/>
        <v>201</v>
      </c>
      <c r="Q4018" s="8">
        <f t="shared" si="251"/>
        <v>141</v>
      </c>
      <c r="R4018" s="2" t="s">
        <v>28</v>
      </c>
      <c r="S4018" s="9">
        <f>VLOOKUP(P4018,$T$2:U4015,2,1)</f>
        <v>0.02</v>
      </c>
    </row>
    <row r="4019" spans="1:19" x14ac:dyDescent="0.25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e">
        <f>VLOOKUP(F4019,'Customer Info'!A4011:I4510,2,0)</f>
        <v>#N/A</v>
      </c>
      <c r="H4019" s="6" t="e">
        <f>VLOOKUP(F4019,'Customer Info'!A4011:I4510,3,0)</f>
        <v>#N/A</v>
      </c>
      <c r="I4019" s="6" t="e">
        <f>VLOOKUP(F4019,'Customer Info'!A4011:I4510,5,0)</f>
        <v>#N/A</v>
      </c>
      <c r="J4019" s="2">
        <v>59</v>
      </c>
      <c r="K4019" s="2">
        <v>55</v>
      </c>
      <c r="L4019" s="2">
        <v>4</v>
      </c>
      <c r="M4019" s="7">
        <f t="shared" si="248"/>
        <v>220</v>
      </c>
      <c r="N4019" s="7">
        <f t="shared" si="249"/>
        <v>236</v>
      </c>
      <c r="O4019" s="2">
        <v>10</v>
      </c>
      <c r="P4019" s="8">
        <f t="shared" si="250"/>
        <v>246</v>
      </c>
      <c r="Q4019" s="8">
        <f t="shared" si="251"/>
        <v>226</v>
      </c>
      <c r="R4019" s="2" t="s">
        <v>56</v>
      </c>
      <c r="S4019" s="9">
        <f>VLOOKUP(P4019,$T$2:U4016,2,1)</f>
        <v>0.02</v>
      </c>
    </row>
    <row r="4020" spans="1:19" x14ac:dyDescent="0.25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e">
        <f>VLOOKUP(F4020,'Customer Info'!A4012:I4511,2,0)</f>
        <v>#N/A</v>
      </c>
      <c r="H4020" s="6" t="e">
        <f>VLOOKUP(F4020,'Customer Info'!A4012:I4511,3,0)</f>
        <v>#N/A</v>
      </c>
      <c r="I4020" s="6" t="e">
        <f>VLOOKUP(F4020,'Customer Info'!A4012:I4511,5,0)</f>
        <v>#N/A</v>
      </c>
      <c r="J4020" s="2">
        <v>81</v>
      </c>
      <c r="K4020" s="2">
        <v>77</v>
      </c>
      <c r="L4020" s="2">
        <v>1</v>
      </c>
      <c r="M4020" s="7">
        <f t="shared" si="248"/>
        <v>77</v>
      </c>
      <c r="N4020" s="7">
        <f t="shared" si="249"/>
        <v>81</v>
      </c>
      <c r="O4020" s="2">
        <v>10</v>
      </c>
      <c r="P4020" s="8">
        <f t="shared" si="250"/>
        <v>91</v>
      </c>
      <c r="Q4020" s="8">
        <f t="shared" si="251"/>
        <v>71</v>
      </c>
      <c r="R4020" s="2" t="s">
        <v>28</v>
      </c>
      <c r="S4020" s="9">
        <f>VLOOKUP(P4020,$T$2:U4017,2,1)</f>
        <v>0.02</v>
      </c>
    </row>
    <row r="4021" spans="1:19" x14ac:dyDescent="0.25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e">
        <f>VLOOKUP(F4021,'Customer Info'!A4013:I4512,2,0)</f>
        <v>#N/A</v>
      </c>
      <c r="H4021" s="6" t="e">
        <f>VLOOKUP(F4021,'Customer Info'!A4013:I4512,3,0)</f>
        <v>#N/A</v>
      </c>
      <c r="I4021" s="6" t="e">
        <f>VLOOKUP(F4021,'Customer Info'!A4013:I4512,5,0)</f>
        <v>#N/A</v>
      </c>
      <c r="J4021" s="2">
        <v>6664</v>
      </c>
      <c r="K4021" s="2">
        <v>6473</v>
      </c>
      <c r="L4021" s="2">
        <v>5</v>
      </c>
      <c r="M4021" s="7">
        <f t="shared" si="248"/>
        <v>32365</v>
      </c>
      <c r="N4021" s="7">
        <f t="shared" si="249"/>
        <v>33320</v>
      </c>
      <c r="O4021" s="2">
        <v>66</v>
      </c>
      <c r="P4021" s="8">
        <f t="shared" si="250"/>
        <v>33386</v>
      </c>
      <c r="Q4021" s="8">
        <f t="shared" si="251"/>
        <v>33254</v>
      </c>
      <c r="R4021" s="2" t="s">
        <v>50</v>
      </c>
      <c r="S4021" s="9">
        <f>VLOOKUP(P4021,$T$2:U4018,2,1)</f>
        <v>7.0000000000000007E-2</v>
      </c>
    </row>
    <row r="4022" spans="1:19" x14ac:dyDescent="0.25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e">
        <f>VLOOKUP(F4022,'Customer Info'!A4014:I4513,2,0)</f>
        <v>#N/A</v>
      </c>
      <c r="H4022" s="6" t="e">
        <f>VLOOKUP(F4022,'Customer Info'!A4014:I4513,3,0)</f>
        <v>#N/A</v>
      </c>
      <c r="I4022" s="6" t="e">
        <f>VLOOKUP(F4022,'Customer Info'!A4014:I4513,5,0)</f>
        <v>#N/A</v>
      </c>
      <c r="J4022" s="2">
        <v>2951</v>
      </c>
      <c r="K4022" s="2">
        <v>2786</v>
      </c>
      <c r="L4022" s="2">
        <v>3</v>
      </c>
      <c r="M4022" s="7">
        <f t="shared" si="248"/>
        <v>8358</v>
      </c>
      <c r="N4022" s="7">
        <f t="shared" si="249"/>
        <v>8853</v>
      </c>
      <c r="O4022" s="2">
        <v>74</v>
      </c>
      <c r="P4022" s="8">
        <f t="shared" si="250"/>
        <v>8927</v>
      </c>
      <c r="Q4022" s="8">
        <f t="shared" si="251"/>
        <v>8779</v>
      </c>
      <c r="R4022" s="2" t="s">
        <v>56</v>
      </c>
      <c r="S4022" s="9">
        <f>VLOOKUP(P4022,$T$2:U4019,2,1)</f>
        <v>0.05</v>
      </c>
    </row>
    <row r="4023" spans="1:19" x14ac:dyDescent="0.25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e">
        <f>VLOOKUP(F4023,'Customer Info'!A4015:I4514,2,0)</f>
        <v>#N/A</v>
      </c>
      <c r="H4023" s="6" t="e">
        <f>VLOOKUP(F4023,'Customer Info'!A4015:I4514,3,0)</f>
        <v>#N/A</v>
      </c>
      <c r="I4023" s="6" t="e">
        <f>VLOOKUP(F4023,'Customer Info'!A4015:I4514,5,0)</f>
        <v>#N/A</v>
      </c>
      <c r="J4023" s="2">
        <v>1441</v>
      </c>
      <c r="K4023" s="2">
        <v>1360</v>
      </c>
      <c r="L4023" s="2">
        <v>2</v>
      </c>
      <c r="M4023" s="7">
        <f t="shared" si="248"/>
        <v>2720</v>
      </c>
      <c r="N4023" s="7">
        <f t="shared" si="249"/>
        <v>2882</v>
      </c>
      <c r="O4023" s="2">
        <v>85</v>
      </c>
      <c r="P4023" s="8">
        <f t="shared" si="250"/>
        <v>2967</v>
      </c>
      <c r="Q4023" s="8">
        <f t="shared" si="251"/>
        <v>2797</v>
      </c>
      <c r="R4023" s="2" t="s">
        <v>50</v>
      </c>
      <c r="S4023" s="9">
        <f>VLOOKUP(P4023,$T$2:U4020,2,1)</f>
        <v>0.02</v>
      </c>
    </row>
    <row r="4024" spans="1:19" x14ac:dyDescent="0.25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e">
        <f>VLOOKUP(F4024,'Customer Info'!A4016:I4515,2,0)</f>
        <v>#N/A</v>
      </c>
      <c r="H4024" s="6" t="e">
        <f>VLOOKUP(F4024,'Customer Info'!A4016:I4515,3,0)</f>
        <v>#N/A</v>
      </c>
      <c r="I4024" s="6" t="e">
        <f>VLOOKUP(F4024,'Customer Info'!A4016:I4515,5,0)</f>
        <v>#N/A</v>
      </c>
      <c r="J4024" s="2">
        <v>896</v>
      </c>
      <c r="K4024" s="2">
        <v>870</v>
      </c>
      <c r="L4024" s="2">
        <v>3</v>
      </c>
      <c r="M4024" s="7">
        <f t="shared" si="248"/>
        <v>2610</v>
      </c>
      <c r="N4024" s="7">
        <f t="shared" si="249"/>
        <v>2688</v>
      </c>
      <c r="O4024" s="2">
        <v>34</v>
      </c>
      <c r="P4024" s="8">
        <f t="shared" si="250"/>
        <v>2722</v>
      </c>
      <c r="Q4024" s="8">
        <f t="shared" si="251"/>
        <v>2654</v>
      </c>
      <c r="R4024" s="2" t="s">
        <v>28</v>
      </c>
      <c r="S4024" s="9">
        <f>VLOOKUP(P4024,$T$2:U4021,2,1)</f>
        <v>0.02</v>
      </c>
    </row>
    <row r="4025" spans="1:19" x14ac:dyDescent="0.25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e">
        <f>VLOOKUP(F4025,'Customer Info'!A4017:I4516,2,0)</f>
        <v>#N/A</v>
      </c>
      <c r="H4025" s="6" t="e">
        <f>VLOOKUP(F4025,'Customer Info'!A4017:I4516,3,0)</f>
        <v>#N/A</v>
      </c>
      <c r="I4025" s="6" t="e">
        <f>VLOOKUP(F4025,'Customer Info'!A4017:I4516,5,0)</f>
        <v>#N/A</v>
      </c>
      <c r="J4025" s="2">
        <v>1770</v>
      </c>
      <c r="K4025" s="2">
        <v>1592</v>
      </c>
      <c r="L4025" s="2">
        <v>5</v>
      </c>
      <c r="M4025" s="7">
        <f t="shared" si="248"/>
        <v>7960</v>
      </c>
      <c r="N4025" s="7">
        <f t="shared" si="249"/>
        <v>8850</v>
      </c>
      <c r="O4025" s="2">
        <v>43</v>
      </c>
      <c r="P4025" s="8">
        <f t="shared" si="250"/>
        <v>8893</v>
      </c>
      <c r="Q4025" s="8">
        <f t="shared" si="251"/>
        <v>8807</v>
      </c>
      <c r="R4025" s="2" t="s">
        <v>50</v>
      </c>
      <c r="S4025" s="9">
        <f>VLOOKUP(P4025,$T$2:U4022,2,1)</f>
        <v>0.05</v>
      </c>
    </row>
    <row r="4026" spans="1:19" x14ac:dyDescent="0.25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e">
        <f>VLOOKUP(F4026,'Customer Info'!A4018:I4517,2,0)</f>
        <v>#N/A</v>
      </c>
      <c r="H4026" s="6" t="e">
        <f>VLOOKUP(F4026,'Customer Info'!A4018:I4517,3,0)</f>
        <v>#N/A</v>
      </c>
      <c r="I4026" s="6" t="e">
        <f>VLOOKUP(F4026,'Customer Info'!A4018:I4517,5,0)</f>
        <v>#N/A</v>
      </c>
      <c r="J4026" s="2">
        <v>2981</v>
      </c>
      <c r="K4026" s="2">
        <v>2870</v>
      </c>
      <c r="L4026" s="2">
        <v>3</v>
      </c>
      <c r="M4026" s="7">
        <f t="shared" si="248"/>
        <v>8610</v>
      </c>
      <c r="N4026" s="7">
        <f t="shared" si="249"/>
        <v>8943</v>
      </c>
      <c r="O4026" s="2">
        <v>75</v>
      </c>
      <c r="P4026" s="8">
        <f t="shared" si="250"/>
        <v>9018</v>
      </c>
      <c r="Q4026" s="8">
        <f t="shared" si="251"/>
        <v>8868</v>
      </c>
      <c r="R4026" s="2" t="s">
        <v>28</v>
      </c>
      <c r="S4026" s="9">
        <f>VLOOKUP(P4026,$T$2:U4023,2,1)</f>
        <v>0.05</v>
      </c>
    </row>
    <row r="4027" spans="1:19" x14ac:dyDescent="0.25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e">
        <f>VLOOKUP(F4027,'Customer Info'!A4019:I4518,2,0)</f>
        <v>#N/A</v>
      </c>
      <c r="H4027" s="6" t="e">
        <f>VLOOKUP(F4027,'Customer Info'!A4019:I4518,3,0)</f>
        <v>#N/A</v>
      </c>
      <c r="I4027" s="6" t="e">
        <f>VLOOKUP(F4027,'Customer Info'!A4019:I4518,5,0)</f>
        <v>#N/A</v>
      </c>
      <c r="J4027" s="2">
        <v>1569</v>
      </c>
      <c r="K4027" s="2">
        <v>1466</v>
      </c>
      <c r="L4027" s="2">
        <v>5</v>
      </c>
      <c r="M4027" s="7">
        <f t="shared" si="248"/>
        <v>7330</v>
      </c>
      <c r="N4027" s="7">
        <f t="shared" si="249"/>
        <v>7845</v>
      </c>
      <c r="O4027" s="2">
        <v>82</v>
      </c>
      <c r="P4027" s="8">
        <f t="shared" si="250"/>
        <v>7927</v>
      </c>
      <c r="Q4027" s="8">
        <f t="shared" si="251"/>
        <v>7763</v>
      </c>
      <c r="R4027" s="2" t="s">
        <v>28</v>
      </c>
      <c r="S4027" s="9">
        <f>VLOOKUP(P4027,$T$2:U4024,2,1)</f>
        <v>0.05</v>
      </c>
    </row>
    <row r="4028" spans="1:19" x14ac:dyDescent="0.25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e">
        <f>VLOOKUP(F4028,'Customer Info'!A4020:I4519,2,0)</f>
        <v>#N/A</v>
      </c>
      <c r="H4028" s="6" t="e">
        <f>VLOOKUP(F4028,'Customer Info'!A4020:I4519,3,0)</f>
        <v>#N/A</v>
      </c>
      <c r="I4028" s="6" t="e">
        <f>VLOOKUP(F4028,'Customer Info'!A4020:I4519,5,0)</f>
        <v>#N/A</v>
      </c>
      <c r="J4028" s="2">
        <v>24662</v>
      </c>
      <c r="K4028" s="2">
        <v>23061</v>
      </c>
      <c r="L4028" s="2">
        <v>3</v>
      </c>
      <c r="M4028" s="7">
        <f t="shared" si="248"/>
        <v>69183</v>
      </c>
      <c r="N4028" s="7">
        <f t="shared" si="249"/>
        <v>73986</v>
      </c>
      <c r="O4028" s="2">
        <v>62</v>
      </c>
      <c r="P4028" s="8">
        <f t="shared" si="250"/>
        <v>74048</v>
      </c>
      <c r="Q4028" s="8">
        <f t="shared" si="251"/>
        <v>73924</v>
      </c>
      <c r="R4028" s="2" t="s">
        <v>28</v>
      </c>
      <c r="S4028" s="9">
        <f>VLOOKUP(P4028,$T$2:U4025,2,1)</f>
        <v>0.09</v>
      </c>
    </row>
    <row r="4029" spans="1:19" x14ac:dyDescent="0.25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e">
        <f>VLOOKUP(F4029,'Customer Info'!A4021:I4520,2,0)</f>
        <v>#N/A</v>
      </c>
      <c r="H4029" s="6" t="e">
        <f>VLOOKUP(F4029,'Customer Info'!A4021:I4520,3,0)</f>
        <v>#N/A</v>
      </c>
      <c r="I4029" s="6" t="e">
        <f>VLOOKUP(F4029,'Customer Info'!A4021:I4520,5,0)</f>
        <v>#N/A</v>
      </c>
      <c r="J4029" s="2">
        <v>185</v>
      </c>
      <c r="K4029" s="2">
        <v>171</v>
      </c>
      <c r="L4029" s="2">
        <v>2</v>
      </c>
      <c r="M4029" s="7">
        <f t="shared" si="248"/>
        <v>342</v>
      </c>
      <c r="N4029" s="7">
        <f t="shared" si="249"/>
        <v>370</v>
      </c>
      <c r="O4029" s="2">
        <v>30</v>
      </c>
      <c r="P4029" s="8">
        <f t="shared" si="250"/>
        <v>400</v>
      </c>
      <c r="Q4029" s="8">
        <f t="shared" si="251"/>
        <v>340</v>
      </c>
      <c r="R4029" s="2" t="s">
        <v>50</v>
      </c>
      <c r="S4029" s="9">
        <f>VLOOKUP(P4029,$T$2:U4026,2,1)</f>
        <v>0.02</v>
      </c>
    </row>
    <row r="4030" spans="1:19" x14ac:dyDescent="0.25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e">
        <f>VLOOKUP(F4030,'Customer Info'!A4022:I4521,2,0)</f>
        <v>#N/A</v>
      </c>
      <c r="H4030" s="6" t="e">
        <f>VLOOKUP(F4030,'Customer Info'!A4022:I4521,3,0)</f>
        <v>#N/A</v>
      </c>
      <c r="I4030" s="6" t="e">
        <f>VLOOKUP(F4030,'Customer Info'!A4022:I4521,5,0)</f>
        <v>#N/A</v>
      </c>
      <c r="J4030" s="2">
        <v>1790</v>
      </c>
      <c r="K4030" s="2">
        <v>1706</v>
      </c>
      <c r="L4030" s="2">
        <v>14</v>
      </c>
      <c r="M4030" s="7">
        <f t="shared" si="248"/>
        <v>23884</v>
      </c>
      <c r="N4030" s="7">
        <f t="shared" si="249"/>
        <v>25060</v>
      </c>
      <c r="O4030" s="2">
        <v>62</v>
      </c>
      <c r="P4030" s="8">
        <f t="shared" si="250"/>
        <v>25122</v>
      </c>
      <c r="Q4030" s="8">
        <f t="shared" si="251"/>
        <v>24998</v>
      </c>
      <c r="R4030" s="2" t="s">
        <v>50</v>
      </c>
      <c r="S4030" s="9">
        <f>VLOOKUP(P4030,$T$2:U4027,2,1)</f>
        <v>7.0000000000000007E-2</v>
      </c>
    </row>
    <row r="4031" spans="1:19" x14ac:dyDescent="0.25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e">
        <f>VLOOKUP(F4031,'Customer Info'!A4023:I4522,2,0)</f>
        <v>#N/A</v>
      </c>
      <c r="H4031" s="6" t="e">
        <f>VLOOKUP(F4031,'Customer Info'!A4023:I4522,3,0)</f>
        <v>#N/A</v>
      </c>
      <c r="I4031" s="6" t="e">
        <f>VLOOKUP(F4031,'Customer Info'!A4023:I4522,5,0)</f>
        <v>#N/A</v>
      </c>
      <c r="J4031" s="2">
        <v>7141</v>
      </c>
      <c r="K4031" s="2">
        <v>6541</v>
      </c>
      <c r="L4031" s="2">
        <v>4</v>
      </c>
      <c r="M4031" s="7">
        <f t="shared" si="248"/>
        <v>26164</v>
      </c>
      <c r="N4031" s="7">
        <f t="shared" si="249"/>
        <v>28564</v>
      </c>
      <c r="O4031" s="2">
        <v>51</v>
      </c>
      <c r="P4031" s="8">
        <f t="shared" si="250"/>
        <v>28615</v>
      </c>
      <c r="Q4031" s="8">
        <f t="shared" si="251"/>
        <v>28513</v>
      </c>
      <c r="R4031" s="2" t="s">
        <v>28</v>
      </c>
      <c r="S4031" s="9">
        <f>VLOOKUP(P4031,$T$2:U4028,2,1)</f>
        <v>7.0000000000000007E-2</v>
      </c>
    </row>
    <row r="4032" spans="1:19" x14ac:dyDescent="0.25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e">
        <f>VLOOKUP(F4032,'Customer Info'!A4024:I4523,2,0)</f>
        <v>#N/A</v>
      </c>
      <c r="H4032" s="6" t="e">
        <f>VLOOKUP(F4032,'Customer Info'!A4024:I4523,3,0)</f>
        <v>#N/A</v>
      </c>
      <c r="I4032" s="6" t="e">
        <f>VLOOKUP(F4032,'Customer Info'!A4024:I4523,5,0)</f>
        <v>#N/A</v>
      </c>
      <c r="J4032" s="2">
        <v>2017</v>
      </c>
      <c r="K4032" s="2">
        <v>1834</v>
      </c>
      <c r="L4032" s="2">
        <v>4</v>
      </c>
      <c r="M4032" s="7">
        <f t="shared" si="248"/>
        <v>7336</v>
      </c>
      <c r="N4032" s="7">
        <f t="shared" si="249"/>
        <v>8068</v>
      </c>
      <c r="O4032" s="2">
        <v>67</v>
      </c>
      <c r="P4032" s="8">
        <f t="shared" si="250"/>
        <v>8135</v>
      </c>
      <c r="Q4032" s="8">
        <f t="shared" si="251"/>
        <v>8001</v>
      </c>
      <c r="R4032" s="2" t="s">
        <v>50</v>
      </c>
      <c r="S4032" s="9">
        <f>VLOOKUP(P4032,$T$2:U4029,2,1)</f>
        <v>0.05</v>
      </c>
    </row>
    <row r="4033" spans="1:19" x14ac:dyDescent="0.25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e">
        <f>VLOOKUP(F4033,'Customer Info'!A4025:I4524,2,0)</f>
        <v>#N/A</v>
      </c>
      <c r="H4033" s="6" t="e">
        <f>VLOOKUP(F4033,'Customer Info'!A4025:I4524,3,0)</f>
        <v>#N/A</v>
      </c>
      <c r="I4033" s="6" t="e">
        <f>VLOOKUP(F4033,'Customer Info'!A4025:I4524,5,0)</f>
        <v>#N/A</v>
      </c>
      <c r="J4033" s="2">
        <v>1447</v>
      </c>
      <c r="K4033" s="2">
        <v>1326</v>
      </c>
      <c r="L4033" s="2">
        <v>2</v>
      </c>
      <c r="M4033" s="7">
        <f t="shared" si="248"/>
        <v>2652</v>
      </c>
      <c r="N4033" s="7">
        <f t="shared" si="249"/>
        <v>2894</v>
      </c>
      <c r="O4033" s="2">
        <v>42</v>
      </c>
      <c r="P4033" s="8">
        <f t="shared" si="250"/>
        <v>2936</v>
      </c>
      <c r="Q4033" s="8">
        <f t="shared" si="251"/>
        <v>2852</v>
      </c>
      <c r="R4033" s="2" t="s">
        <v>28</v>
      </c>
      <c r="S4033" s="9">
        <f>VLOOKUP(P4033,$T$2:U4030,2,1)</f>
        <v>0.02</v>
      </c>
    </row>
    <row r="4034" spans="1:19" x14ac:dyDescent="0.25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e">
        <f>VLOOKUP(F4034,'Customer Info'!A4026:I4525,2,0)</f>
        <v>#N/A</v>
      </c>
      <c r="H4034" s="6" t="e">
        <f>VLOOKUP(F4034,'Customer Info'!A4026:I4525,3,0)</f>
        <v>#N/A</v>
      </c>
      <c r="I4034" s="6" t="e">
        <f>VLOOKUP(F4034,'Customer Info'!A4026:I4525,5,0)</f>
        <v>#N/A</v>
      </c>
      <c r="J4034" s="2">
        <v>941</v>
      </c>
      <c r="K4034" s="2">
        <v>905</v>
      </c>
      <c r="L4034" s="2">
        <v>4</v>
      </c>
      <c r="M4034" s="7">
        <f t="shared" si="248"/>
        <v>3620</v>
      </c>
      <c r="N4034" s="7">
        <f t="shared" si="249"/>
        <v>3764</v>
      </c>
      <c r="O4034" s="2">
        <v>33</v>
      </c>
      <c r="P4034" s="8">
        <f t="shared" si="250"/>
        <v>3797</v>
      </c>
      <c r="Q4034" s="8">
        <f t="shared" si="251"/>
        <v>3731</v>
      </c>
      <c r="R4034" s="2" t="s">
        <v>28</v>
      </c>
      <c r="S4034" s="9">
        <f>VLOOKUP(P4034,$T$2:U4031,2,1)</f>
        <v>0.02</v>
      </c>
    </row>
    <row r="4035" spans="1:19" x14ac:dyDescent="0.25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e">
        <f>VLOOKUP(F4035,'Customer Info'!A4027:I4526,2,0)</f>
        <v>#N/A</v>
      </c>
      <c r="H4035" s="6" t="e">
        <f>VLOOKUP(F4035,'Customer Info'!A4027:I4526,3,0)</f>
        <v>#N/A</v>
      </c>
      <c r="I4035" s="6" t="e">
        <f>VLOOKUP(F4035,'Customer Info'!A4027:I4526,5,0)</f>
        <v>#N/A</v>
      </c>
      <c r="J4035" s="2">
        <v>1453</v>
      </c>
      <c r="K4035" s="2">
        <v>1411</v>
      </c>
      <c r="L4035" s="2">
        <v>2</v>
      </c>
      <c r="M4035" s="7">
        <f t="shared" si="248"/>
        <v>2822</v>
      </c>
      <c r="N4035" s="7">
        <f t="shared" si="249"/>
        <v>2906</v>
      </c>
      <c r="O4035" s="2">
        <v>88</v>
      </c>
      <c r="P4035" s="8">
        <f t="shared" si="250"/>
        <v>2994</v>
      </c>
      <c r="Q4035" s="8">
        <f t="shared" si="251"/>
        <v>2818</v>
      </c>
      <c r="R4035" s="2" t="s">
        <v>28</v>
      </c>
      <c r="S4035" s="9">
        <f>VLOOKUP(P4035,$T$2:U4032,2,1)</f>
        <v>0.02</v>
      </c>
    </row>
    <row r="4036" spans="1:19" x14ac:dyDescent="0.25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e">
        <f>VLOOKUP(F4036,'Customer Info'!A4028:I4527,2,0)</f>
        <v>#N/A</v>
      </c>
      <c r="H4036" s="6" t="e">
        <f>VLOOKUP(F4036,'Customer Info'!A4028:I4527,3,0)</f>
        <v>#N/A</v>
      </c>
      <c r="I4036" s="6" t="e">
        <f>VLOOKUP(F4036,'Customer Info'!A4028:I4527,5,0)</f>
        <v>#N/A</v>
      </c>
      <c r="J4036" s="2">
        <v>2151</v>
      </c>
      <c r="K4036" s="2">
        <v>2009</v>
      </c>
      <c r="L4036" s="2">
        <v>2</v>
      </c>
      <c r="M4036" s="7">
        <f t="shared" si="248"/>
        <v>4018</v>
      </c>
      <c r="N4036" s="7">
        <f t="shared" si="249"/>
        <v>4302</v>
      </c>
      <c r="O4036" s="2">
        <v>44</v>
      </c>
      <c r="P4036" s="8">
        <f t="shared" si="250"/>
        <v>4346</v>
      </c>
      <c r="Q4036" s="8">
        <f t="shared" si="251"/>
        <v>4258</v>
      </c>
      <c r="R4036" s="2" t="s">
        <v>50</v>
      </c>
      <c r="S4036" s="9">
        <f>VLOOKUP(P4036,$T$2:U4033,2,1)</f>
        <v>0.02</v>
      </c>
    </row>
    <row r="4037" spans="1:19" x14ac:dyDescent="0.25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e">
        <f>VLOOKUP(F4037,'Customer Info'!A4029:I4528,2,0)</f>
        <v>#N/A</v>
      </c>
      <c r="H4037" s="6" t="e">
        <f>VLOOKUP(F4037,'Customer Info'!A4029:I4528,3,0)</f>
        <v>#N/A</v>
      </c>
      <c r="I4037" s="6" t="e">
        <f>VLOOKUP(F4037,'Customer Info'!A4029:I4528,5,0)</f>
        <v>#N/A</v>
      </c>
      <c r="J4037" s="2">
        <v>474</v>
      </c>
      <c r="K4037" s="2">
        <v>443</v>
      </c>
      <c r="L4037" s="2">
        <v>2</v>
      </c>
      <c r="M4037" s="7">
        <f t="shared" si="248"/>
        <v>886</v>
      </c>
      <c r="N4037" s="7">
        <f t="shared" si="249"/>
        <v>948</v>
      </c>
      <c r="O4037" s="2">
        <v>76</v>
      </c>
      <c r="P4037" s="8">
        <f t="shared" si="250"/>
        <v>1024</v>
      </c>
      <c r="Q4037" s="8">
        <f t="shared" si="251"/>
        <v>872</v>
      </c>
      <c r="R4037" s="2" t="s">
        <v>28</v>
      </c>
      <c r="S4037" s="9">
        <f>VLOOKUP(P4037,$T$2:U4034,2,1)</f>
        <v>0.02</v>
      </c>
    </row>
    <row r="4038" spans="1:19" x14ac:dyDescent="0.25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e">
        <f>VLOOKUP(F4038,'Customer Info'!A4030:I4529,2,0)</f>
        <v>#N/A</v>
      </c>
      <c r="H4038" s="6" t="e">
        <f>VLOOKUP(F4038,'Customer Info'!A4030:I4529,3,0)</f>
        <v>#N/A</v>
      </c>
      <c r="I4038" s="6" t="e">
        <f>VLOOKUP(F4038,'Customer Info'!A4030:I4529,5,0)</f>
        <v>#N/A</v>
      </c>
      <c r="J4038" s="2">
        <v>6060</v>
      </c>
      <c r="K4038" s="2">
        <v>6002</v>
      </c>
      <c r="L4038" s="2">
        <v>2</v>
      </c>
      <c r="M4038" s="7">
        <f t="shared" si="248"/>
        <v>12004</v>
      </c>
      <c r="N4038" s="7">
        <f t="shared" si="249"/>
        <v>12120</v>
      </c>
      <c r="O4038" s="2">
        <v>45</v>
      </c>
      <c r="P4038" s="8">
        <f t="shared" si="250"/>
        <v>12165</v>
      </c>
      <c r="Q4038" s="8">
        <f t="shared" si="251"/>
        <v>12075</v>
      </c>
      <c r="R4038" s="2" t="s">
        <v>26</v>
      </c>
      <c r="S4038" s="9">
        <f>VLOOKUP(P4038,$T$2:U4035,2,1)</f>
        <v>0.05</v>
      </c>
    </row>
    <row r="4039" spans="1:19" x14ac:dyDescent="0.25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e">
        <f>VLOOKUP(F4039,'Customer Info'!A4031:I4530,2,0)</f>
        <v>#N/A</v>
      </c>
      <c r="H4039" s="6" t="e">
        <f>VLOOKUP(F4039,'Customer Info'!A4031:I4530,3,0)</f>
        <v>#N/A</v>
      </c>
      <c r="I4039" s="6" t="e">
        <f>VLOOKUP(F4039,'Customer Info'!A4031:I4530,5,0)</f>
        <v>#N/A</v>
      </c>
      <c r="J4039" s="2">
        <v>679</v>
      </c>
      <c r="K4039" s="2">
        <v>654</v>
      </c>
      <c r="L4039" s="2">
        <v>5</v>
      </c>
      <c r="M4039" s="7">
        <f t="shared" si="248"/>
        <v>3270</v>
      </c>
      <c r="N4039" s="7">
        <f t="shared" si="249"/>
        <v>3395</v>
      </c>
      <c r="O4039" s="2">
        <v>36</v>
      </c>
      <c r="P4039" s="8">
        <f t="shared" si="250"/>
        <v>3431</v>
      </c>
      <c r="Q4039" s="8">
        <f t="shared" si="251"/>
        <v>3359</v>
      </c>
      <c r="R4039" s="2" t="s">
        <v>28</v>
      </c>
      <c r="S4039" s="9">
        <f>VLOOKUP(P4039,$T$2:U4036,2,1)</f>
        <v>0.02</v>
      </c>
    </row>
    <row r="4040" spans="1:19" x14ac:dyDescent="0.25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e">
        <f>VLOOKUP(F4040,'Customer Info'!A4032:I4531,2,0)</f>
        <v>#N/A</v>
      </c>
      <c r="H4040" s="6" t="e">
        <f>VLOOKUP(F4040,'Customer Info'!A4032:I4531,3,0)</f>
        <v>#N/A</v>
      </c>
      <c r="I4040" s="6" t="e">
        <f>VLOOKUP(F4040,'Customer Info'!A4032:I4531,5,0)</f>
        <v>#N/A</v>
      </c>
      <c r="J4040" s="2">
        <v>2958</v>
      </c>
      <c r="K4040" s="2">
        <v>2743</v>
      </c>
      <c r="L4040" s="2">
        <v>1</v>
      </c>
      <c r="M4040" s="7">
        <f t="shared" si="248"/>
        <v>2743</v>
      </c>
      <c r="N4040" s="7">
        <f t="shared" si="249"/>
        <v>2958</v>
      </c>
      <c r="O4040" s="2">
        <v>75</v>
      </c>
      <c r="P4040" s="8">
        <f t="shared" si="250"/>
        <v>3033</v>
      </c>
      <c r="Q4040" s="8">
        <f t="shared" si="251"/>
        <v>2883</v>
      </c>
      <c r="R4040" s="2" t="s">
        <v>28</v>
      </c>
      <c r="S4040" s="9">
        <f>VLOOKUP(P4040,$T$2:U4037,2,1)</f>
        <v>0.02</v>
      </c>
    </row>
    <row r="4041" spans="1:19" x14ac:dyDescent="0.25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e">
        <f>VLOOKUP(F4041,'Customer Info'!A4033:I4532,2,0)</f>
        <v>#N/A</v>
      </c>
      <c r="H4041" s="6" t="e">
        <f>VLOOKUP(F4041,'Customer Info'!A4033:I4532,3,0)</f>
        <v>#N/A</v>
      </c>
      <c r="I4041" s="6" t="e">
        <f>VLOOKUP(F4041,'Customer Info'!A4033:I4532,5,0)</f>
        <v>#N/A</v>
      </c>
      <c r="J4041" s="2">
        <v>1635</v>
      </c>
      <c r="K4041" s="2">
        <v>1573</v>
      </c>
      <c r="L4041" s="2">
        <v>10</v>
      </c>
      <c r="M4041" s="7">
        <f t="shared" si="248"/>
        <v>15730</v>
      </c>
      <c r="N4041" s="7">
        <f t="shared" si="249"/>
        <v>16350</v>
      </c>
      <c r="O4041" s="2">
        <v>98</v>
      </c>
      <c r="P4041" s="8">
        <f t="shared" si="250"/>
        <v>16448</v>
      </c>
      <c r="Q4041" s="8">
        <f t="shared" si="251"/>
        <v>16252</v>
      </c>
      <c r="R4041" s="2" t="s">
        <v>50</v>
      </c>
      <c r="S4041" s="9">
        <f>VLOOKUP(P4041,$T$2:U4038,2,1)</f>
        <v>0.05</v>
      </c>
    </row>
    <row r="4042" spans="1:19" x14ac:dyDescent="0.25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e">
        <f>VLOOKUP(F4042,'Customer Info'!A4034:I4533,2,0)</f>
        <v>#N/A</v>
      </c>
      <c r="H4042" s="6" t="e">
        <f>VLOOKUP(F4042,'Customer Info'!A4034:I4533,3,0)</f>
        <v>#N/A</v>
      </c>
      <c r="I4042" s="6" t="e">
        <f>VLOOKUP(F4042,'Customer Info'!A4034:I4533,5,0)</f>
        <v>#N/A</v>
      </c>
      <c r="J4042" s="2">
        <v>7021</v>
      </c>
      <c r="K4042" s="2">
        <v>6686</v>
      </c>
      <c r="L4042" s="2">
        <v>2</v>
      </c>
      <c r="M4042" s="7">
        <f t="shared" si="248"/>
        <v>13372</v>
      </c>
      <c r="N4042" s="7">
        <f t="shared" si="249"/>
        <v>14042</v>
      </c>
      <c r="O4042" s="2">
        <v>88</v>
      </c>
      <c r="P4042" s="8">
        <f t="shared" si="250"/>
        <v>14130</v>
      </c>
      <c r="Q4042" s="8">
        <f t="shared" si="251"/>
        <v>13954</v>
      </c>
      <c r="R4042" s="2" t="s">
        <v>50</v>
      </c>
      <c r="S4042" s="9">
        <f>VLOOKUP(P4042,$T$2:U4039,2,1)</f>
        <v>0.05</v>
      </c>
    </row>
    <row r="4043" spans="1:19" x14ac:dyDescent="0.25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e">
        <f>VLOOKUP(F4043,'Customer Info'!A4035:I4534,2,0)</f>
        <v>#N/A</v>
      </c>
      <c r="H4043" s="6" t="e">
        <f>VLOOKUP(F4043,'Customer Info'!A4035:I4534,3,0)</f>
        <v>#N/A</v>
      </c>
      <c r="I4043" s="6" t="e">
        <f>VLOOKUP(F4043,'Customer Info'!A4035:I4534,5,0)</f>
        <v>#N/A</v>
      </c>
      <c r="J4043" s="2">
        <v>751</v>
      </c>
      <c r="K4043" s="2">
        <v>696</v>
      </c>
      <c r="L4043" s="2">
        <v>3</v>
      </c>
      <c r="M4043" s="7">
        <f t="shared" ref="M4043:M4106" si="252">K4043*L4043</f>
        <v>2088</v>
      </c>
      <c r="N4043" s="7">
        <f t="shared" ref="N4043:N4106" si="253">J4043*L4043</f>
        <v>2253</v>
      </c>
      <c r="O4043" s="2">
        <v>55</v>
      </c>
      <c r="P4043" s="8">
        <f t="shared" ref="P4043:P4106" si="254">SUM(N4043,O4043)</f>
        <v>2308</v>
      </c>
      <c r="Q4043" s="8">
        <f t="shared" ref="Q4043:Q4106" si="255">N4043-O4043</f>
        <v>2198</v>
      </c>
      <c r="R4043" s="2" t="s">
        <v>50</v>
      </c>
      <c r="S4043" s="9">
        <f>VLOOKUP(P4043,$T$2:U4040,2,1)</f>
        <v>0.02</v>
      </c>
    </row>
    <row r="4044" spans="1:19" x14ac:dyDescent="0.25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e">
        <f>VLOOKUP(F4044,'Customer Info'!A4036:I4535,2,0)</f>
        <v>#N/A</v>
      </c>
      <c r="H4044" s="6" t="e">
        <f>VLOOKUP(F4044,'Customer Info'!A4036:I4535,3,0)</f>
        <v>#N/A</v>
      </c>
      <c r="I4044" s="6" t="e">
        <f>VLOOKUP(F4044,'Customer Info'!A4036:I4535,5,0)</f>
        <v>#N/A</v>
      </c>
      <c r="J4044" s="2">
        <v>8967</v>
      </c>
      <c r="K4044" s="2">
        <v>8151</v>
      </c>
      <c r="L4044" s="2">
        <v>6</v>
      </c>
      <c r="M4044" s="7">
        <f t="shared" si="252"/>
        <v>48906</v>
      </c>
      <c r="N4044" s="7">
        <f t="shared" si="253"/>
        <v>53802</v>
      </c>
      <c r="O4044" s="2">
        <v>51</v>
      </c>
      <c r="P4044" s="8">
        <f t="shared" si="254"/>
        <v>53853</v>
      </c>
      <c r="Q4044" s="8">
        <f t="shared" si="255"/>
        <v>53751</v>
      </c>
      <c r="R4044" s="2" t="s">
        <v>50</v>
      </c>
      <c r="S4044" s="9">
        <f>VLOOKUP(P4044,$T$2:U4041,2,1)</f>
        <v>0.09</v>
      </c>
    </row>
    <row r="4045" spans="1:19" x14ac:dyDescent="0.25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e">
        <f>VLOOKUP(F4045,'Customer Info'!A4037:I4536,2,0)</f>
        <v>#N/A</v>
      </c>
      <c r="H4045" s="6" t="e">
        <f>VLOOKUP(F4045,'Customer Info'!A4037:I4536,3,0)</f>
        <v>#N/A</v>
      </c>
      <c r="I4045" s="6" t="e">
        <f>VLOOKUP(F4045,'Customer Info'!A4037:I4536,5,0)</f>
        <v>#N/A</v>
      </c>
      <c r="J4045" s="2">
        <v>3224</v>
      </c>
      <c r="K4045" s="2">
        <v>2901</v>
      </c>
      <c r="L4045" s="2">
        <v>7</v>
      </c>
      <c r="M4045" s="7">
        <f t="shared" si="252"/>
        <v>20307</v>
      </c>
      <c r="N4045" s="7">
        <f t="shared" si="253"/>
        <v>22568</v>
      </c>
      <c r="O4045" s="2">
        <v>52</v>
      </c>
      <c r="P4045" s="8">
        <f t="shared" si="254"/>
        <v>22620</v>
      </c>
      <c r="Q4045" s="8">
        <f t="shared" si="255"/>
        <v>22516</v>
      </c>
      <c r="R4045" s="2" t="s">
        <v>50</v>
      </c>
      <c r="S4045" s="9">
        <f>VLOOKUP(P4045,$T$2:U4042,2,1)</f>
        <v>0.05</v>
      </c>
    </row>
    <row r="4046" spans="1:19" x14ac:dyDescent="0.25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e">
        <f>VLOOKUP(F4046,'Customer Info'!A4038:I4537,2,0)</f>
        <v>#N/A</v>
      </c>
      <c r="H4046" s="6" t="e">
        <f>VLOOKUP(F4046,'Customer Info'!A4038:I4537,3,0)</f>
        <v>#N/A</v>
      </c>
      <c r="I4046" s="6" t="e">
        <f>VLOOKUP(F4046,'Customer Info'!A4038:I4537,5,0)</f>
        <v>#N/A</v>
      </c>
      <c r="J4046" s="2">
        <v>1358</v>
      </c>
      <c r="K4046" s="2">
        <v>1294</v>
      </c>
      <c r="L4046" s="2">
        <v>2</v>
      </c>
      <c r="M4046" s="7">
        <f t="shared" si="252"/>
        <v>2588</v>
      </c>
      <c r="N4046" s="7">
        <f t="shared" si="253"/>
        <v>2716</v>
      </c>
      <c r="O4046" s="2">
        <v>40</v>
      </c>
      <c r="P4046" s="8">
        <f t="shared" si="254"/>
        <v>2756</v>
      </c>
      <c r="Q4046" s="8">
        <f t="shared" si="255"/>
        <v>2676</v>
      </c>
      <c r="R4046" s="2" t="s">
        <v>28</v>
      </c>
      <c r="S4046" s="9">
        <f>VLOOKUP(P4046,$T$2:U4043,2,1)</f>
        <v>0.02</v>
      </c>
    </row>
    <row r="4047" spans="1:19" x14ac:dyDescent="0.25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e">
        <f>VLOOKUP(F4047,'Customer Info'!A4039:I4538,2,0)</f>
        <v>#N/A</v>
      </c>
      <c r="H4047" s="6" t="e">
        <f>VLOOKUP(F4047,'Customer Info'!A4039:I4538,3,0)</f>
        <v>#N/A</v>
      </c>
      <c r="I4047" s="6" t="e">
        <f>VLOOKUP(F4047,'Customer Info'!A4039:I4538,5,0)</f>
        <v>#N/A</v>
      </c>
      <c r="J4047" s="2">
        <v>6400</v>
      </c>
      <c r="K4047" s="2">
        <v>6401</v>
      </c>
      <c r="L4047" s="2">
        <v>5</v>
      </c>
      <c r="M4047" s="7">
        <f t="shared" si="252"/>
        <v>32005</v>
      </c>
      <c r="N4047" s="7">
        <f t="shared" si="253"/>
        <v>32000</v>
      </c>
      <c r="O4047" s="2">
        <v>43</v>
      </c>
      <c r="P4047" s="8">
        <f t="shared" si="254"/>
        <v>32043</v>
      </c>
      <c r="Q4047" s="8">
        <f t="shared" si="255"/>
        <v>31957</v>
      </c>
      <c r="R4047" s="2" t="s">
        <v>28</v>
      </c>
      <c r="S4047" s="9">
        <f>VLOOKUP(P4047,$T$2:U4044,2,1)</f>
        <v>7.0000000000000007E-2</v>
      </c>
    </row>
    <row r="4048" spans="1:19" x14ac:dyDescent="0.25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e">
        <f>VLOOKUP(F4048,'Customer Info'!A4040:I4539,2,0)</f>
        <v>#N/A</v>
      </c>
      <c r="H4048" s="6" t="e">
        <f>VLOOKUP(F4048,'Customer Info'!A4040:I4539,3,0)</f>
        <v>#N/A</v>
      </c>
      <c r="I4048" s="6" t="e">
        <f>VLOOKUP(F4048,'Customer Info'!A4040:I4539,5,0)</f>
        <v>#N/A</v>
      </c>
      <c r="J4048" s="2">
        <v>1332</v>
      </c>
      <c r="K4048" s="2">
        <v>1209</v>
      </c>
      <c r="L4048" s="2">
        <v>3</v>
      </c>
      <c r="M4048" s="7">
        <f t="shared" si="252"/>
        <v>3627</v>
      </c>
      <c r="N4048" s="7">
        <f t="shared" si="253"/>
        <v>3996</v>
      </c>
      <c r="O4048" s="2">
        <v>27</v>
      </c>
      <c r="P4048" s="8">
        <f t="shared" si="254"/>
        <v>4023</v>
      </c>
      <c r="Q4048" s="8">
        <f t="shared" si="255"/>
        <v>3969</v>
      </c>
      <c r="R4048" s="2" t="s">
        <v>26</v>
      </c>
      <c r="S4048" s="9">
        <f>VLOOKUP(P4048,$T$2:U4045,2,1)</f>
        <v>0.02</v>
      </c>
    </row>
    <row r="4049" spans="1:19" x14ac:dyDescent="0.25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e">
        <f>VLOOKUP(F4049,'Customer Info'!A4041:I4540,2,0)</f>
        <v>#N/A</v>
      </c>
      <c r="H4049" s="6" t="e">
        <f>VLOOKUP(F4049,'Customer Info'!A4041:I4540,3,0)</f>
        <v>#N/A</v>
      </c>
      <c r="I4049" s="6" t="e">
        <f>VLOOKUP(F4049,'Customer Info'!A4041:I4540,5,0)</f>
        <v>#N/A</v>
      </c>
      <c r="J4049" s="2">
        <v>1528</v>
      </c>
      <c r="K4049" s="2">
        <v>1348</v>
      </c>
      <c r="L4049" s="2">
        <v>1</v>
      </c>
      <c r="M4049" s="7">
        <f t="shared" si="252"/>
        <v>1348</v>
      </c>
      <c r="N4049" s="7">
        <f t="shared" si="253"/>
        <v>1528</v>
      </c>
      <c r="O4049" s="2">
        <v>30</v>
      </c>
      <c r="P4049" s="8">
        <f t="shared" si="254"/>
        <v>1558</v>
      </c>
      <c r="Q4049" s="8">
        <f t="shared" si="255"/>
        <v>1498</v>
      </c>
      <c r="R4049" s="2" t="s">
        <v>56</v>
      </c>
      <c r="S4049" s="9">
        <f>VLOOKUP(P4049,$T$2:U4046,2,1)</f>
        <v>0.02</v>
      </c>
    </row>
    <row r="4050" spans="1:19" x14ac:dyDescent="0.25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e">
        <f>VLOOKUP(F4050,'Customer Info'!A4042:I4541,2,0)</f>
        <v>#N/A</v>
      </c>
      <c r="H4050" s="6" t="e">
        <f>VLOOKUP(F4050,'Customer Info'!A4042:I4541,3,0)</f>
        <v>#N/A</v>
      </c>
      <c r="I4050" s="6" t="e">
        <f>VLOOKUP(F4050,'Customer Info'!A4042:I4541,5,0)</f>
        <v>#N/A</v>
      </c>
      <c r="J4050" s="2">
        <v>2526</v>
      </c>
      <c r="K4050" s="2">
        <v>2408</v>
      </c>
      <c r="L4050" s="2">
        <v>2</v>
      </c>
      <c r="M4050" s="7">
        <f t="shared" si="252"/>
        <v>4816</v>
      </c>
      <c r="N4050" s="7">
        <f t="shared" si="253"/>
        <v>5052</v>
      </c>
      <c r="O4050" s="2">
        <v>38</v>
      </c>
      <c r="P4050" s="8">
        <f t="shared" si="254"/>
        <v>5090</v>
      </c>
      <c r="Q4050" s="8">
        <f t="shared" si="255"/>
        <v>5014</v>
      </c>
      <c r="R4050" s="2" t="s">
        <v>50</v>
      </c>
      <c r="S4050" s="9">
        <f>VLOOKUP(P4050,$T$2:U4047,2,1)</f>
        <v>0.05</v>
      </c>
    </row>
    <row r="4051" spans="1:19" x14ac:dyDescent="0.25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e">
        <f>VLOOKUP(F4051,'Customer Info'!A4043:I4542,2,0)</f>
        <v>#N/A</v>
      </c>
      <c r="H4051" s="6" t="e">
        <f>VLOOKUP(F4051,'Customer Info'!A4043:I4542,3,0)</f>
        <v>#N/A</v>
      </c>
      <c r="I4051" s="6" t="e">
        <f>VLOOKUP(F4051,'Customer Info'!A4043:I4542,5,0)</f>
        <v>#N/A</v>
      </c>
      <c r="J4051" s="2">
        <v>5836</v>
      </c>
      <c r="K4051" s="2">
        <v>5457</v>
      </c>
      <c r="L4051" s="2">
        <v>2</v>
      </c>
      <c r="M4051" s="7">
        <f t="shared" si="252"/>
        <v>10914</v>
      </c>
      <c r="N4051" s="7">
        <f t="shared" si="253"/>
        <v>11672</v>
      </c>
      <c r="O4051" s="2">
        <v>21</v>
      </c>
      <c r="P4051" s="8">
        <f t="shared" si="254"/>
        <v>11693</v>
      </c>
      <c r="Q4051" s="8">
        <f t="shared" si="255"/>
        <v>11651</v>
      </c>
      <c r="R4051" s="2" t="s">
        <v>28</v>
      </c>
      <c r="S4051" s="9">
        <f>VLOOKUP(P4051,$T$2:U4048,2,1)</f>
        <v>0.05</v>
      </c>
    </row>
    <row r="4052" spans="1:19" x14ac:dyDescent="0.25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e">
        <f>VLOOKUP(F4052,'Customer Info'!A4044:I4543,2,0)</f>
        <v>#N/A</v>
      </c>
      <c r="H4052" s="6" t="e">
        <f>VLOOKUP(F4052,'Customer Info'!A4044:I4543,3,0)</f>
        <v>#N/A</v>
      </c>
      <c r="I4052" s="6" t="e">
        <f>VLOOKUP(F4052,'Customer Info'!A4044:I4543,5,0)</f>
        <v>#N/A</v>
      </c>
      <c r="J4052" s="2">
        <v>93</v>
      </c>
      <c r="K4052" s="2">
        <v>86</v>
      </c>
      <c r="L4052" s="2">
        <v>3</v>
      </c>
      <c r="M4052" s="7">
        <f t="shared" si="252"/>
        <v>258</v>
      </c>
      <c r="N4052" s="7">
        <f t="shared" si="253"/>
        <v>279</v>
      </c>
      <c r="O4052" s="2">
        <v>10</v>
      </c>
      <c r="P4052" s="8">
        <f t="shared" si="254"/>
        <v>289</v>
      </c>
      <c r="Q4052" s="8">
        <f t="shared" si="255"/>
        <v>269</v>
      </c>
      <c r="R4052" s="2" t="s">
        <v>50</v>
      </c>
      <c r="S4052" s="9">
        <f>VLOOKUP(P4052,$T$2:U4049,2,1)</f>
        <v>0.02</v>
      </c>
    </row>
    <row r="4053" spans="1:19" x14ac:dyDescent="0.25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e">
        <f>VLOOKUP(F4053,'Customer Info'!A4045:I4544,2,0)</f>
        <v>#N/A</v>
      </c>
      <c r="H4053" s="6" t="e">
        <f>VLOOKUP(F4053,'Customer Info'!A4045:I4544,3,0)</f>
        <v>#N/A</v>
      </c>
      <c r="I4053" s="6" t="e">
        <f>VLOOKUP(F4053,'Customer Info'!A4045:I4544,5,0)</f>
        <v>#N/A</v>
      </c>
      <c r="J4053" s="2">
        <v>7315</v>
      </c>
      <c r="K4053" s="2">
        <v>6967</v>
      </c>
      <c r="L4053" s="2">
        <v>4</v>
      </c>
      <c r="M4053" s="7">
        <f t="shared" si="252"/>
        <v>27868</v>
      </c>
      <c r="N4053" s="7">
        <f t="shared" si="253"/>
        <v>29260</v>
      </c>
      <c r="O4053" s="2">
        <v>68</v>
      </c>
      <c r="P4053" s="8">
        <f t="shared" si="254"/>
        <v>29328</v>
      </c>
      <c r="Q4053" s="8">
        <f t="shared" si="255"/>
        <v>29192</v>
      </c>
      <c r="R4053" s="2" t="s">
        <v>50</v>
      </c>
      <c r="S4053" s="9">
        <f>VLOOKUP(P4053,$T$2:U4050,2,1)</f>
        <v>7.0000000000000007E-2</v>
      </c>
    </row>
    <row r="4054" spans="1:19" x14ac:dyDescent="0.25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e">
        <f>VLOOKUP(F4054,'Customer Info'!A4046:I4545,2,0)</f>
        <v>#N/A</v>
      </c>
      <c r="H4054" s="6" t="e">
        <f>VLOOKUP(F4054,'Customer Info'!A4046:I4545,3,0)</f>
        <v>#N/A</v>
      </c>
      <c r="I4054" s="6" t="e">
        <f>VLOOKUP(F4054,'Customer Info'!A4046:I4545,5,0)</f>
        <v>#N/A</v>
      </c>
      <c r="J4054" s="2">
        <v>4002</v>
      </c>
      <c r="K4054" s="2">
        <v>3744</v>
      </c>
      <c r="L4054" s="2">
        <v>5</v>
      </c>
      <c r="M4054" s="7">
        <f t="shared" si="252"/>
        <v>18720</v>
      </c>
      <c r="N4054" s="7">
        <f t="shared" si="253"/>
        <v>20010</v>
      </c>
      <c r="O4054" s="2">
        <v>66</v>
      </c>
      <c r="P4054" s="8">
        <f t="shared" si="254"/>
        <v>20076</v>
      </c>
      <c r="Q4054" s="8">
        <f t="shared" si="255"/>
        <v>19944</v>
      </c>
      <c r="R4054" s="2" t="s">
        <v>28</v>
      </c>
      <c r="S4054" s="9">
        <f>VLOOKUP(P4054,$T$2:U4051,2,1)</f>
        <v>0.05</v>
      </c>
    </row>
    <row r="4055" spans="1:19" x14ac:dyDescent="0.25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e">
        <f>VLOOKUP(F4055,'Customer Info'!A4047:I4546,2,0)</f>
        <v>#N/A</v>
      </c>
      <c r="H4055" s="6" t="e">
        <f>VLOOKUP(F4055,'Customer Info'!A4047:I4546,3,0)</f>
        <v>#N/A</v>
      </c>
      <c r="I4055" s="6" t="e">
        <f>VLOOKUP(F4055,'Customer Info'!A4047:I4546,5,0)</f>
        <v>#N/A</v>
      </c>
      <c r="J4055" s="2">
        <v>131</v>
      </c>
      <c r="K4055" s="2">
        <v>124</v>
      </c>
      <c r="L4055" s="2">
        <v>2</v>
      </c>
      <c r="M4055" s="7">
        <f t="shared" si="252"/>
        <v>248</v>
      </c>
      <c r="N4055" s="7">
        <f t="shared" si="253"/>
        <v>262</v>
      </c>
      <c r="O4055" s="2">
        <v>30</v>
      </c>
      <c r="P4055" s="8">
        <f t="shared" si="254"/>
        <v>292</v>
      </c>
      <c r="Q4055" s="8">
        <f t="shared" si="255"/>
        <v>232</v>
      </c>
      <c r="R4055" s="2" t="s">
        <v>28</v>
      </c>
      <c r="S4055" s="9">
        <f>VLOOKUP(P4055,$T$2:U4052,2,1)</f>
        <v>0.02</v>
      </c>
    </row>
    <row r="4056" spans="1:19" x14ac:dyDescent="0.25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e">
        <f>VLOOKUP(F4056,'Customer Info'!A4048:I4547,2,0)</f>
        <v>#N/A</v>
      </c>
      <c r="H4056" s="6" t="e">
        <f>VLOOKUP(F4056,'Customer Info'!A4048:I4547,3,0)</f>
        <v>#N/A</v>
      </c>
      <c r="I4056" s="6" t="e">
        <f>VLOOKUP(F4056,'Customer Info'!A4048:I4547,5,0)</f>
        <v>#N/A</v>
      </c>
      <c r="J4056" s="2">
        <v>3145</v>
      </c>
      <c r="K4056" s="2">
        <v>3025</v>
      </c>
      <c r="L4056" s="2">
        <v>8</v>
      </c>
      <c r="M4056" s="7">
        <f t="shared" si="252"/>
        <v>24200</v>
      </c>
      <c r="N4056" s="7">
        <f t="shared" si="253"/>
        <v>25160</v>
      </c>
      <c r="O4056" s="2">
        <v>99</v>
      </c>
      <c r="P4056" s="8">
        <f t="shared" si="254"/>
        <v>25259</v>
      </c>
      <c r="Q4056" s="8">
        <f t="shared" si="255"/>
        <v>25061</v>
      </c>
      <c r="R4056" s="2" t="s">
        <v>50</v>
      </c>
      <c r="S4056" s="9">
        <f>VLOOKUP(P4056,$T$2:U4053,2,1)</f>
        <v>7.0000000000000007E-2</v>
      </c>
    </row>
    <row r="4057" spans="1:19" x14ac:dyDescent="0.25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e">
        <f>VLOOKUP(F4057,'Customer Info'!A4049:I4548,2,0)</f>
        <v>#N/A</v>
      </c>
      <c r="H4057" s="6" t="e">
        <f>VLOOKUP(F4057,'Customer Info'!A4049:I4548,3,0)</f>
        <v>#N/A</v>
      </c>
      <c r="I4057" s="6" t="e">
        <f>VLOOKUP(F4057,'Customer Info'!A4049:I4548,5,0)</f>
        <v>#N/A</v>
      </c>
      <c r="J4057" s="2">
        <v>1222</v>
      </c>
      <c r="K4057" s="2">
        <v>1187</v>
      </c>
      <c r="L4057" s="2">
        <v>4</v>
      </c>
      <c r="M4057" s="7">
        <f t="shared" si="252"/>
        <v>4748</v>
      </c>
      <c r="N4057" s="7">
        <f t="shared" si="253"/>
        <v>4888</v>
      </c>
      <c r="O4057" s="2">
        <v>33</v>
      </c>
      <c r="P4057" s="8">
        <f t="shared" si="254"/>
        <v>4921</v>
      </c>
      <c r="Q4057" s="8">
        <f t="shared" si="255"/>
        <v>4855</v>
      </c>
      <c r="R4057" s="2" t="s">
        <v>28</v>
      </c>
      <c r="S4057" s="9">
        <f>VLOOKUP(P4057,$T$2:U4054,2,1)</f>
        <v>0.02</v>
      </c>
    </row>
    <row r="4058" spans="1:19" x14ac:dyDescent="0.25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e">
        <f>VLOOKUP(F4058,'Customer Info'!A4050:I4549,2,0)</f>
        <v>#N/A</v>
      </c>
      <c r="H4058" s="6" t="e">
        <f>VLOOKUP(F4058,'Customer Info'!A4050:I4549,3,0)</f>
        <v>#N/A</v>
      </c>
      <c r="I4058" s="6" t="e">
        <f>VLOOKUP(F4058,'Customer Info'!A4050:I4549,5,0)</f>
        <v>#N/A</v>
      </c>
      <c r="J4058" s="2">
        <v>175</v>
      </c>
      <c r="K4058" s="2">
        <v>162</v>
      </c>
      <c r="L4058" s="2">
        <v>5</v>
      </c>
      <c r="M4058" s="7">
        <f t="shared" si="252"/>
        <v>810</v>
      </c>
      <c r="N4058" s="7">
        <f t="shared" si="253"/>
        <v>875</v>
      </c>
      <c r="O4058" s="2">
        <v>30</v>
      </c>
      <c r="P4058" s="8">
        <f t="shared" si="254"/>
        <v>905</v>
      </c>
      <c r="Q4058" s="8">
        <f t="shared" si="255"/>
        <v>845</v>
      </c>
      <c r="R4058" s="2" t="s">
        <v>50</v>
      </c>
      <c r="S4058" s="9">
        <f>VLOOKUP(P4058,$T$2:U4055,2,1)</f>
        <v>0.02</v>
      </c>
    </row>
    <row r="4059" spans="1:19" x14ac:dyDescent="0.25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e">
        <f>VLOOKUP(F4059,'Customer Info'!A4051:I4550,2,0)</f>
        <v>#N/A</v>
      </c>
      <c r="H4059" s="6" t="e">
        <f>VLOOKUP(F4059,'Customer Info'!A4051:I4550,3,0)</f>
        <v>#N/A</v>
      </c>
      <c r="I4059" s="6" t="e">
        <f>VLOOKUP(F4059,'Customer Info'!A4051:I4550,5,0)</f>
        <v>#N/A</v>
      </c>
      <c r="J4059" s="2">
        <v>1447</v>
      </c>
      <c r="K4059" s="2">
        <v>1326</v>
      </c>
      <c r="L4059" s="2">
        <v>6</v>
      </c>
      <c r="M4059" s="7">
        <f t="shared" si="252"/>
        <v>7956</v>
      </c>
      <c r="N4059" s="7">
        <f t="shared" si="253"/>
        <v>8682</v>
      </c>
      <c r="O4059" s="2">
        <v>76</v>
      </c>
      <c r="P4059" s="8">
        <f t="shared" si="254"/>
        <v>8758</v>
      </c>
      <c r="Q4059" s="8">
        <f t="shared" si="255"/>
        <v>8606</v>
      </c>
      <c r="R4059" s="2" t="s">
        <v>28</v>
      </c>
      <c r="S4059" s="9">
        <f>VLOOKUP(P4059,$T$2:U4056,2,1)</f>
        <v>0.05</v>
      </c>
    </row>
    <row r="4060" spans="1:19" x14ac:dyDescent="0.25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e">
        <f>VLOOKUP(F4060,'Customer Info'!A4052:I4551,2,0)</f>
        <v>#N/A</v>
      </c>
      <c r="H4060" s="6" t="e">
        <f>VLOOKUP(F4060,'Customer Info'!A4052:I4551,3,0)</f>
        <v>#N/A</v>
      </c>
      <c r="I4060" s="6" t="e">
        <f>VLOOKUP(F4060,'Customer Info'!A4052:I4551,5,0)</f>
        <v>#N/A</v>
      </c>
      <c r="J4060" s="2">
        <v>1997</v>
      </c>
      <c r="K4060" s="2">
        <v>1816</v>
      </c>
      <c r="L4060" s="2">
        <v>5</v>
      </c>
      <c r="M4060" s="7">
        <f t="shared" si="252"/>
        <v>9080</v>
      </c>
      <c r="N4060" s="7">
        <f t="shared" si="253"/>
        <v>9985</v>
      </c>
      <c r="O4060" s="2">
        <v>74</v>
      </c>
      <c r="P4060" s="8">
        <f t="shared" si="254"/>
        <v>10059</v>
      </c>
      <c r="Q4060" s="8">
        <f t="shared" si="255"/>
        <v>9911</v>
      </c>
      <c r="R4060" s="2" t="s">
        <v>28</v>
      </c>
      <c r="S4060" s="9">
        <f>VLOOKUP(P4060,$T$2:U4057,2,1)</f>
        <v>0.05</v>
      </c>
    </row>
    <row r="4061" spans="1:19" x14ac:dyDescent="0.25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e">
        <f>VLOOKUP(F4061,'Customer Info'!A4053:I4552,2,0)</f>
        <v>#N/A</v>
      </c>
      <c r="H4061" s="6" t="e">
        <f>VLOOKUP(F4061,'Customer Info'!A4053:I4552,3,0)</f>
        <v>#N/A</v>
      </c>
      <c r="I4061" s="6" t="e">
        <f>VLOOKUP(F4061,'Customer Info'!A4053:I4552,5,0)</f>
        <v>#N/A</v>
      </c>
      <c r="J4061" s="2">
        <v>144</v>
      </c>
      <c r="K4061" s="2">
        <v>133</v>
      </c>
      <c r="L4061" s="2">
        <v>5</v>
      </c>
      <c r="M4061" s="7">
        <f t="shared" si="252"/>
        <v>665</v>
      </c>
      <c r="N4061" s="7">
        <f t="shared" si="253"/>
        <v>720</v>
      </c>
      <c r="O4061" s="2">
        <v>30</v>
      </c>
      <c r="P4061" s="8">
        <f t="shared" si="254"/>
        <v>750</v>
      </c>
      <c r="Q4061" s="8">
        <f t="shared" si="255"/>
        <v>690</v>
      </c>
      <c r="R4061" s="2" t="s">
        <v>28</v>
      </c>
      <c r="S4061" s="9">
        <f>VLOOKUP(P4061,$T$2:U4058,2,1)</f>
        <v>0.02</v>
      </c>
    </row>
    <row r="4062" spans="1:19" x14ac:dyDescent="0.25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e">
        <f>VLOOKUP(F4062,'Customer Info'!A4054:I4553,2,0)</f>
        <v>#N/A</v>
      </c>
      <c r="H4062" s="6" t="e">
        <f>VLOOKUP(F4062,'Customer Info'!A4054:I4553,3,0)</f>
        <v>#N/A</v>
      </c>
      <c r="I4062" s="6" t="e">
        <f>VLOOKUP(F4062,'Customer Info'!A4054:I4553,5,0)</f>
        <v>#N/A</v>
      </c>
      <c r="J4062" s="2">
        <v>693</v>
      </c>
      <c r="K4062" s="2">
        <v>667</v>
      </c>
      <c r="L4062" s="2">
        <v>6</v>
      </c>
      <c r="M4062" s="7">
        <f t="shared" si="252"/>
        <v>4002</v>
      </c>
      <c r="N4062" s="7">
        <f t="shared" si="253"/>
        <v>4158</v>
      </c>
      <c r="O4062" s="2">
        <v>37</v>
      </c>
      <c r="P4062" s="8">
        <f t="shared" si="254"/>
        <v>4195</v>
      </c>
      <c r="Q4062" s="8">
        <f t="shared" si="255"/>
        <v>4121</v>
      </c>
      <c r="R4062" s="2" t="s">
        <v>28</v>
      </c>
      <c r="S4062" s="9">
        <f>VLOOKUP(P4062,$T$2:U4059,2,1)</f>
        <v>0.02</v>
      </c>
    </row>
    <row r="4063" spans="1:19" x14ac:dyDescent="0.25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e">
        <f>VLOOKUP(F4063,'Customer Info'!A4055:I4554,2,0)</f>
        <v>#N/A</v>
      </c>
      <c r="H4063" s="6" t="e">
        <f>VLOOKUP(F4063,'Customer Info'!A4055:I4554,3,0)</f>
        <v>#N/A</v>
      </c>
      <c r="I4063" s="6" t="e">
        <f>VLOOKUP(F4063,'Customer Info'!A4055:I4554,5,0)</f>
        <v>#N/A</v>
      </c>
      <c r="J4063" s="2">
        <v>2083</v>
      </c>
      <c r="K4063" s="2">
        <v>2004</v>
      </c>
      <c r="L4063" s="2">
        <v>1</v>
      </c>
      <c r="M4063" s="7">
        <f t="shared" si="252"/>
        <v>2004</v>
      </c>
      <c r="N4063" s="7">
        <f t="shared" si="253"/>
        <v>2083</v>
      </c>
      <c r="O4063" s="2">
        <v>66</v>
      </c>
      <c r="P4063" s="8">
        <f t="shared" si="254"/>
        <v>2149</v>
      </c>
      <c r="Q4063" s="8">
        <f t="shared" si="255"/>
        <v>2017</v>
      </c>
      <c r="R4063" s="2" t="s">
        <v>50</v>
      </c>
      <c r="S4063" s="9">
        <f>VLOOKUP(P4063,$T$2:U4060,2,1)</f>
        <v>0.02</v>
      </c>
    </row>
    <row r="4064" spans="1:19" x14ac:dyDescent="0.25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e">
        <f>VLOOKUP(F4064,'Customer Info'!A4056:I4555,2,0)</f>
        <v>#N/A</v>
      </c>
      <c r="H4064" s="6" t="e">
        <f>VLOOKUP(F4064,'Customer Info'!A4056:I4555,3,0)</f>
        <v>#N/A</v>
      </c>
      <c r="I4064" s="6" t="e">
        <f>VLOOKUP(F4064,'Customer Info'!A4056:I4555,5,0)</f>
        <v>#N/A</v>
      </c>
      <c r="J4064" s="2">
        <v>658</v>
      </c>
      <c r="K4064" s="2">
        <v>615</v>
      </c>
      <c r="L4064" s="2">
        <v>12</v>
      </c>
      <c r="M4064" s="7">
        <f t="shared" si="252"/>
        <v>7380</v>
      </c>
      <c r="N4064" s="7">
        <f t="shared" si="253"/>
        <v>7896</v>
      </c>
      <c r="O4064" s="2">
        <v>52</v>
      </c>
      <c r="P4064" s="8">
        <f t="shared" si="254"/>
        <v>7948</v>
      </c>
      <c r="Q4064" s="8">
        <f t="shared" si="255"/>
        <v>7844</v>
      </c>
      <c r="R4064" s="2" t="s">
        <v>50</v>
      </c>
      <c r="S4064" s="9">
        <f>VLOOKUP(P4064,$T$2:U4061,2,1)</f>
        <v>0.05</v>
      </c>
    </row>
    <row r="4065" spans="1:19" x14ac:dyDescent="0.25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e">
        <f>VLOOKUP(F4065,'Customer Info'!A4057:I4556,2,0)</f>
        <v>#N/A</v>
      </c>
      <c r="H4065" s="6" t="e">
        <f>VLOOKUP(F4065,'Customer Info'!A4057:I4556,3,0)</f>
        <v>#N/A</v>
      </c>
      <c r="I4065" s="6" t="e">
        <f>VLOOKUP(F4065,'Customer Info'!A4057:I4556,5,0)</f>
        <v>#N/A</v>
      </c>
      <c r="J4065" s="2">
        <v>214</v>
      </c>
      <c r="K4065" s="2">
        <v>200</v>
      </c>
      <c r="L4065" s="2">
        <v>4</v>
      </c>
      <c r="M4065" s="7">
        <f t="shared" si="252"/>
        <v>800</v>
      </c>
      <c r="N4065" s="7">
        <f t="shared" si="253"/>
        <v>856</v>
      </c>
      <c r="O4065" s="2">
        <v>51</v>
      </c>
      <c r="P4065" s="8">
        <f t="shared" si="254"/>
        <v>907</v>
      </c>
      <c r="Q4065" s="8">
        <f t="shared" si="255"/>
        <v>805</v>
      </c>
      <c r="R4065" s="2" t="s">
        <v>28</v>
      </c>
      <c r="S4065" s="9">
        <f>VLOOKUP(P4065,$T$2:U4062,2,1)</f>
        <v>0.02</v>
      </c>
    </row>
    <row r="4066" spans="1:19" x14ac:dyDescent="0.25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e">
        <f>VLOOKUP(F4066,'Customer Info'!A4058:I4557,2,0)</f>
        <v>#N/A</v>
      </c>
      <c r="H4066" s="6" t="e">
        <f>VLOOKUP(F4066,'Customer Info'!A4058:I4557,3,0)</f>
        <v>#N/A</v>
      </c>
      <c r="I4066" s="6" t="e">
        <f>VLOOKUP(F4066,'Customer Info'!A4058:I4557,5,0)</f>
        <v>#N/A</v>
      </c>
      <c r="J4066" s="2">
        <v>63</v>
      </c>
      <c r="K4066" s="2">
        <v>59</v>
      </c>
      <c r="L4066" s="2">
        <v>4</v>
      </c>
      <c r="M4066" s="7">
        <f t="shared" si="252"/>
        <v>236</v>
      </c>
      <c r="N4066" s="7">
        <f t="shared" si="253"/>
        <v>252</v>
      </c>
      <c r="O4066" s="2">
        <v>10</v>
      </c>
      <c r="P4066" s="8">
        <f t="shared" si="254"/>
        <v>262</v>
      </c>
      <c r="Q4066" s="8">
        <f t="shared" si="255"/>
        <v>242</v>
      </c>
      <c r="R4066" s="2" t="s">
        <v>50</v>
      </c>
      <c r="S4066" s="9">
        <f>VLOOKUP(P4066,$T$2:U4063,2,1)</f>
        <v>0.02</v>
      </c>
    </row>
    <row r="4067" spans="1:19" x14ac:dyDescent="0.25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e">
        <f>VLOOKUP(F4067,'Customer Info'!A4059:I4558,2,0)</f>
        <v>#N/A</v>
      </c>
      <c r="H4067" s="6" t="e">
        <f>VLOOKUP(F4067,'Customer Info'!A4059:I4558,3,0)</f>
        <v>#N/A</v>
      </c>
      <c r="I4067" s="6" t="e">
        <f>VLOOKUP(F4067,'Customer Info'!A4059:I4558,5,0)</f>
        <v>#N/A</v>
      </c>
      <c r="J4067" s="2">
        <v>143</v>
      </c>
      <c r="K4067" s="2">
        <v>137</v>
      </c>
      <c r="L4067" s="2">
        <v>6</v>
      </c>
      <c r="M4067" s="7">
        <f t="shared" si="252"/>
        <v>822</v>
      </c>
      <c r="N4067" s="7">
        <f t="shared" si="253"/>
        <v>858</v>
      </c>
      <c r="O4067" s="2">
        <v>30</v>
      </c>
      <c r="P4067" s="8">
        <f t="shared" si="254"/>
        <v>888</v>
      </c>
      <c r="Q4067" s="8">
        <f t="shared" si="255"/>
        <v>828</v>
      </c>
      <c r="R4067" s="2" t="s">
        <v>28</v>
      </c>
      <c r="S4067" s="9">
        <f>VLOOKUP(P4067,$T$2:U4064,2,1)</f>
        <v>0.02</v>
      </c>
    </row>
    <row r="4068" spans="1:19" x14ac:dyDescent="0.25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e">
        <f>VLOOKUP(F4068,'Customer Info'!A4060:I4559,2,0)</f>
        <v>#N/A</v>
      </c>
      <c r="H4068" s="6" t="e">
        <f>VLOOKUP(F4068,'Customer Info'!A4060:I4559,3,0)</f>
        <v>#N/A</v>
      </c>
      <c r="I4068" s="6" t="e">
        <f>VLOOKUP(F4068,'Customer Info'!A4060:I4559,5,0)</f>
        <v>#N/A</v>
      </c>
      <c r="J4068" s="2">
        <v>60</v>
      </c>
      <c r="K4068" s="2">
        <v>56</v>
      </c>
      <c r="L4068" s="2">
        <v>3</v>
      </c>
      <c r="M4068" s="7">
        <f t="shared" si="252"/>
        <v>168</v>
      </c>
      <c r="N4068" s="7">
        <f t="shared" si="253"/>
        <v>180</v>
      </c>
      <c r="O4068" s="2">
        <v>10</v>
      </c>
      <c r="P4068" s="8">
        <f t="shared" si="254"/>
        <v>190</v>
      </c>
      <c r="Q4068" s="8">
        <f t="shared" si="255"/>
        <v>170</v>
      </c>
      <c r="R4068" s="2" t="s">
        <v>50</v>
      </c>
      <c r="S4068" s="9">
        <f>VLOOKUP(P4068,$T$2:U4065,2,1)</f>
        <v>0.02</v>
      </c>
    </row>
    <row r="4069" spans="1:19" x14ac:dyDescent="0.25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e">
        <f>VLOOKUP(F4069,'Customer Info'!A4061:I4560,2,0)</f>
        <v>#N/A</v>
      </c>
      <c r="H4069" s="6" t="e">
        <f>VLOOKUP(F4069,'Customer Info'!A4061:I4560,3,0)</f>
        <v>#N/A</v>
      </c>
      <c r="I4069" s="6" t="e">
        <f>VLOOKUP(F4069,'Customer Info'!A4061:I4560,5,0)</f>
        <v>#N/A</v>
      </c>
      <c r="J4069" s="2">
        <v>1859</v>
      </c>
      <c r="K4069" s="2">
        <v>1755</v>
      </c>
      <c r="L4069" s="2">
        <v>3</v>
      </c>
      <c r="M4069" s="7">
        <f t="shared" si="252"/>
        <v>5265</v>
      </c>
      <c r="N4069" s="7">
        <f t="shared" si="253"/>
        <v>5577</v>
      </c>
      <c r="O4069" s="2">
        <v>96</v>
      </c>
      <c r="P4069" s="8">
        <f t="shared" si="254"/>
        <v>5673</v>
      </c>
      <c r="Q4069" s="8">
        <f t="shared" si="255"/>
        <v>5481</v>
      </c>
      <c r="R4069" s="2" t="s">
        <v>56</v>
      </c>
      <c r="S4069" s="9">
        <f>VLOOKUP(P4069,$T$2:U4066,2,1)</f>
        <v>0.05</v>
      </c>
    </row>
    <row r="4070" spans="1:19" x14ac:dyDescent="0.25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e">
        <f>VLOOKUP(F4070,'Customer Info'!A4062:I4561,2,0)</f>
        <v>#N/A</v>
      </c>
      <c r="H4070" s="6" t="e">
        <f>VLOOKUP(F4070,'Customer Info'!A4062:I4561,3,0)</f>
        <v>#N/A</v>
      </c>
      <c r="I4070" s="6" t="e">
        <f>VLOOKUP(F4070,'Customer Info'!A4062:I4561,5,0)</f>
        <v>#N/A</v>
      </c>
      <c r="J4070" s="2">
        <v>1717</v>
      </c>
      <c r="K4070" s="2">
        <v>1652</v>
      </c>
      <c r="L4070" s="2">
        <v>2</v>
      </c>
      <c r="M4070" s="7">
        <f t="shared" si="252"/>
        <v>3304</v>
      </c>
      <c r="N4070" s="7">
        <f t="shared" si="253"/>
        <v>3434</v>
      </c>
      <c r="O4070" s="2">
        <v>98</v>
      </c>
      <c r="P4070" s="8">
        <f t="shared" si="254"/>
        <v>3532</v>
      </c>
      <c r="Q4070" s="8">
        <f t="shared" si="255"/>
        <v>3336</v>
      </c>
      <c r="R4070" s="2" t="s">
        <v>28</v>
      </c>
      <c r="S4070" s="9">
        <f>VLOOKUP(P4070,$T$2:U4067,2,1)</f>
        <v>0.02</v>
      </c>
    </row>
    <row r="4071" spans="1:19" x14ac:dyDescent="0.25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e">
        <f>VLOOKUP(F4071,'Customer Info'!A4063:I4562,2,0)</f>
        <v>#N/A</v>
      </c>
      <c r="H4071" s="6" t="e">
        <f>VLOOKUP(F4071,'Customer Info'!A4063:I4562,3,0)</f>
        <v>#N/A</v>
      </c>
      <c r="I4071" s="6" t="e">
        <f>VLOOKUP(F4071,'Customer Info'!A4063:I4562,5,0)</f>
        <v>#N/A</v>
      </c>
      <c r="J4071" s="2">
        <v>68</v>
      </c>
      <c r="K4071" s="2">
        <v>63</v>
      </c>
      <c r="L4071" s="2">
        <v>2</v>
      </c>
      <c r="M4071" s="7">
        <f t="shared" si="252"/>
        <v>126</v>
      </c>
      <c r="N4071" s="7">
        <f t="shared" si="253"/>
        <v>136</v>
      </c>
      <c r="O4071" s="2">
        <v>10</v>
      </c>
      <c r="P4071" s="8">
        <f t="shared" si="254"/>
        <v>146</v>
      </c>
      <c r="Q4071" s="8">
        <f t="shared" si="255"/>
        <v>126</v>
      </c>
      <c r="R4071" s="2" t="s">
        <v>26</v>
      </c>
      <c r="S4071" s="9">
        <f>VLOOKUP(P4071,$T$2:U4068,2,1)</f>
        <v>0.02</v>
      </c>
    </row>
    <row r="4072" spans="1:19" x14ac:dyDescent="0.25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e">
        <f>VLOOKUP(F4072,'Customer Info'!A4064:I4563,2,0)</f>
        <v>#N/A</v>
      </c>
      <c r="H4072" s="6" t="e">
        <f>VLOOKUP(F4072,'Customer Info'!A4064:I4563,3,0)</f>
        <v>#N/A</v>
      </c>
      <c r="I4072" s="6" t="e">
        <f>VLOOKUP(F4072,'Customer Info'!A4064:I4563,5,0)</f>
        <v>#N/A</v>
      </c>
      <c r="J4072" s="2">
        <v>20934</v>
      </c>
      <c r="K4072" s="2">
        <v>18661</v>
      </c>
      <c r="L4072" s="2">
        <v>2</v>
      </c>
      <c r="M4072" s="7">
        <f t="shared" si="252"/>
        <v>37322</v>
      </c>
      <c r="N4072" s="7">
        <f t="shared" si="253"/>
        <v>41868</v>
      </c>
      <c r="O4072" s="2">
        <v>65</v>
      </c>
      <c r="P4072" s="8">
        <f t="shared" si="254"/>
        <v>41933</v>
      </c>
      <c r="Q4072" s="8">
        <f t="shared" si="255"/>
        <v>41803</v>
      </c>
      <c r="R4072" s="2" t="s">
        <v>28</v>
      </c>
      <c r="S4072" s="9">
        <f>VLOOKUP(P4072,$T$2:U4069,2,1)</f>
        <v>7.0000000000000007E-2</v>
      </c>
    </row>
    <row r="4073" spans="1:19" x14ac:dyDescent="0.25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e">
        <f>VLOOKUP(F4073,'Customer Info'!A4065:I4564,2,0)</f>
        <v>#N/A</v>
      </c>
      <c r="H4073" s="6" t="e">
        <f>VLOOKUP(F4073,'Customer Info'!A4065:I4564,3,0)</f>
        <v>#N/A</v>
      </c>
      <c r="I4073" s="6" t="e">
        <f>VLOOKUP(F4073,'Customer Info'!A4065:I4564,5,0)</f>
        <v>#N/A</v>
      </c>
      <c r="J4073" s="2">
        <v>188</v>
      </c>
      <c r="K4073" s="2">
        <v>173</v>
      </c>
      <c r="L4073" s="2">
        <v>4</v>
      </c>
      <c r="M4073" s="7">
        <f t="shared" si="252"/>
        <v>692</v>
      </c>
      <c r="N4073" s="7">
        <f t="shared" si="253"/>
        <v>752</v>
      </c>
      <c r="O4073" s="2">
        <v>30</v>
      </c>
      <c r="P4073" s="8">
        <f t="shared" si="254"/>
        <v>782</v>
      </c>
      <c r="Q4073" s="8">
        <f t="shared" si="255"/>
        <v>722</v>
      </c>
      <c r="R4073" s="2" t="s">
        <v>28</v>
      </c>
      <c r="S4073" s="9">
        <f>VLOOKUP(P4073,$T$2:U4070,2,1)</f>
        <v>0.02</v>
      </c>
    </row>
    <row r="4074" spans="1:19" x14ac:dyDescent="0.25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e">
        <f>VLOOKUP(F4074,'Customer Info'!A4066:I4565,2,0)</f>
        <v>#N/A</v>
      </c>
      <c r="H4074" s="6" t="e">
        <f>VLOOKUP(F4074,'Customer Info'!A4066:I4565,3,0)</f>
        <v>#N/A</v>
      </c>
      <c r="I4074" s="6" t="e">
        <f>VLOOKUP(F4074,'Customer Info'!A4066:I4565,5,0)</f>
        <v>#N/A</v>
      </c>
      <c r="J4074" s="2">
        <v>3176</v>
      </c>
      <c r="K4074" s="2">
        <v>3116</v>
      </c>
      <c r="L4074" s="2">
        <v>4</v>
      </c>
      <c r="M4074" s="7">
        <f t="shared" si="252"/>
        <v>12464</v>
      </c>
      <c r="N4074" s="7">
        <f t="shared" si="253"/>
        <v>12704</v>
      </c>
      <c r="O4074" s="2">
        <v>39</v>
      </c>
      <c r="P4074" s="8">
        <f t="shared" si="254"/>
        <v>12743</v>
      </c>
      <c r="Q4074" s="8">
        <f t="shared" si="255"/>
        <v>12665</v>
      </c>
      <c r="R4074" s="2" t="s">
        <v>28</v>
      </c>
      <c r="S4074" s="9">
        <f>VLOOKUP(P4074,$T$2:U4071,2,1)</f>
        <v>0.05</v>
      </c>
    </row>
    <row r="4075" spans="1:19" x14ac:dyDescent="0.25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e">
        <f>VLOOKUP(F4075,'Customer Info'!A4067:I4566,2,0)</f>
        <v>#N/A</v>
      </c>
      <c r="H4075" s="6" t="e">
        <f>VLOOKUP(F4075,'Customer Info'!A4067:I4566,3,0)</f>
        <v>#N/A</v>
      </c>
      <c r="I4075" s="6" t="e">
        <f>VLOOKUP(F4075,'Customer Info'!A4067:I4566,5,0)</f>
        <v>#N/A</v>
      </c>
      <c r="J4075" s="2">
        <v>135</v>
      </c>
      <c r="K4075" s="2">
        <v>126</v>
      </c>
      <c r="L4075" s="2">
        <v>2</v>
      </c>
      <c r="M4075" s="7">
        <f t="shared" si="252"/>
        <v>252</v>
      </c>
      <c r="N4075" s="7">
        <f t="shared" si="253"/>
        <v>270</v>
      </c>
      <c r="O4075" s="2">
        <v>30</v>
      </c>
      <c r="P4075" s="8">
        <f t="shared" si="254"/>
        <v>300</v>
      </c>
      <c r="Q4075" s="8">
        <f t="shared" si="255"/>
        <v>240</v>
      </c>
      <c r="R4075" s="2" t="s">
        <v>28</v>
      </c>
      <c r="S4075" s="9">
        <f>VLOOKUP(P4075,$T$2:U4072,2,1)</f>
        <v>0.02</v>
      </c>
    </row>
    <row r="4076" spans="1:19" x14ac:dyDescent="0.25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e">
        <f>VLOOKUP(F4076,'Customer Info'!A4068:I4567,2,0)</f>
        <v>#N/A</v>
      </c>
      <c r="H4076" s="6" t="e">
        <f>VLOOKUP(F4076,'Customer Info'!A4068:I4567,3,0)</f>
        <v>#N/A</v>
      </c>
      <c r="I4076" s="6" t="e">
        <f>VLOOKUP(F4076,'Customer Info'!A4068:I4567,5,0)</f>
        <v>#N/A</v>
      </c>
      <c r="J4076" s="2">
        <v>2515</v>
      </c>
      <c r="K4076" s="2">
        <v>2397</v>
      </c>
      <c r="L4076" s="2">
        <v>1</v>
      </c>
      <c r="M4076" s="7">
        <f t="shared" si="252"/>
        <v>2397</v>
      </c>
      <c r="N4076" s="7">
        <f t="shared" si="253"/>
        <v>2515</v>
      </c>
      <c r="O4076" s="2">
        <v>78</v>
      </c>
      <c r="P4076" s="8">
        <f t="shared" si="254"/>
        <v>2593</v>
      </c>
      <c r="Q4076" s="8">
        <f t="shared" si="255"/>
        <v>2437</v>
      </c>
      <c r="R4076" s="2" t="s">
        <v>50</v>
      </c>
      <c r="S4076" s="9">
        <f>VLOOKUP(P4076,$T$2:U4073,2,1)</f>
        <v>0.02</v>
      </c>
    </row>
    <row r="4077" spans="1:19" x14ac:dyDescent="0.25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e">
        <f>VLOOKUP(F4077,'Customer Info'!A4069:I4568,2,0)</f>
        <v>#N/A</v>
      </c>
      <c r="H4077" s="6" t="e">
        <f>VLOOKUP(F4077,'Customer Info'!A4069:I4568,3,0)</f>
        <v>#N/A</v>
      </c>
      <c r="I4077" s="6" t="e">
        <f>VLOOKUP(F4077,'Customer Info'!A4069:I4568,5,0)</f>
        <v>#N/A</v>
      </c>
      <c r="J4077" s="2">
        <v>3054</v>
      </c>
      <c r="K4077" s="2">
        <v>2721</v>
      </c>
      <c r="L4077" s="2">
        <v>1</v>
      </c>
      <c r="M4077" s="7">
        <f t="shared" si="252"/>
        <v>2721</v>
      </c>
      <c r="N4077" s="7">
        <f t="shared" si="253"/>
        <v>3054</v>
      </c>
      <c r="O4077" s="2">
        <v>61</v>
      </c>
      <c r="P4077" s="8">
        <f t="shared" si="254"/>
        <v>3115</v>
      </c>
      <c r="Q4077" s="8">
        <f t="shared" si="255"/>
        <v>2993</v>
      </c>
      <c r="R4077" s="2" t="s">
        <v>50</v>
      </c>
      <c r="S4077" s="9">
        <f>VLOOKUP(P4077,$T$2:U4074,2,1)</f>
        <v>0.02</v>
      </c>
    </row>
    <row r="4078" spans="1:19" x14ac:dyDescent="0.25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e">
        <f>VLOOKUP(F4078,'Customer Info'!A4070:I4569,2,0)</f>
        <v>#N/A</v>
      </c>
      <c r="H4078" s="6" t="e">
        <f>VLOOKUP(F4078,'Customer Info'!A4070:I4569,3,0)</f>
        <v>#N/A</v>
      </c>
      <c r="I4078" s="6" t="e">
        <f>VLOOKUP(F4078,'Customer Info'!A4070:I4569,5,0)</f>
        <v>#N/A</v>
      </c>
      <c r="J4078" s="2">
        <v>805</v>
      </c>
      <c r="K4078" s="2">
        <v>746</v>
      </c>
      <c r="L4078" s="2">
        <v>7</v>
      </c>
      <c r="M4078" s="7">
        <f t="shared" si="252"/>
        <v>5222</v>
      </c>
      <c r="N4078" s="7">
        <f t="shared" si="253"/>
        <v>5635</v>
      </c>
      <c r="O4078" s="2">
        <v>73</v>
      </c>
      <c r="P4078" s="8">
        <f t="shared" si="254"/>
        <v>5708</v>
      </c>
      <c r="Q4078" s="8">
        <f t="shared" si="255"/>
        <v>5562</v>
      </c>
      <c r="R4078" s="2" t="s">
        <v>28</v>
      </c>
      <c r="S4078" s="9">
        <f>VLOOKUP(P4078,$T$2:U4075,2,1)</f>
        <v>0.05</v>
      </c>
    </row>
    <row r="4079" spans="1:19" x14ac:dyDescent="0.25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e">
        <f>VLOOKUP(F4079,'Customer Info'!A4071:I4570,2,0)</f>
        <v>#N/A</v>
      </c>
      <c r="H4079" s="6" t="e">
        <f>VLOOKUP(F4079,'Customer Info'!A4071:I4570,3,0)</f>
        <v>#N/A</v>
      </c>
      <c r="I4079" s="6" t="e">
        <f>VLOOKUP(F4079,'Customer Info'!A4071:I4570,5,0)</f>
        <v>#N/A</v>
      </c>
      <c r="J4079" s="2">
        <v>8022</v>
      </c>
      <c r="K4079" s="2">
        <v>7868</v>
      </c>
      <c r="L4079" s="2">
        <v>5</v>
      </c>
      <c r="M4079" s="7">
        <f t="shared" si="252"/>
        <v>39340</v>
      </c>
      <c r="N4079" s="7">
        <f t="shared" si="253"/>
        <v>40110</v>
      </c>
      <c r="O4079" s="2">
        <v>61</v>
      </c>
      <c r="P4079" s="8">
        <f t="shared" si="254"/>
        <v>40171</v>
      </c>
      <c r="Q4079" s="8">
        <f t="shared" si="255"/>
        <v>40049</v>
      </c>
      <c r="R4079" s="2" t="s">
        <v>28</v>
      </c>
      <c r="S4079" s="9">
        <f>VLOOKUP(P4079,$T$2:U4076,2,1)</f>
        <v>7.0000000000000007E-2</v>
      </c>
    </row>
    <row r="4080" spans="1:19" x14ac:dyDescent="0.25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e">
        <f>VLOOKUP(F4080,'Customer Info'!A4072:I4571,2,0)</f>
        <v>#N/A</v>
      </c>
      <c r="H4080" s="6" t="e">
        <f>VLOOKUP(F4080,'Customer Info'!A4072:I4571,3,0)</f>
        <v>#N/A</v>
      </c>
      <c r="I4080" s="6" t="e">
        <f>VLOOKUP(F4080,'Customer Info'!A4072:I4571,5,0)</f>
        <v>#N/A</v>
      </c>
      <c r="J4080" s="2">
        <v>671</v>
      </c>
      <c r="K4080" s="2">
        <v>627</v>
      </c>
      <c r="L4080" s="2">
        <v>4</v>
      </c>
      <c r="M4080" s="7">
        <f t="shared" si="252"/>
        <v>2508</v>
      </c>
      <c r="N4080" s="7">
        <f t="shared" si="253"/>
        <v>2684</v>
      </c>
      <c r="O4080" s="2">
        <v>79</v>
      </c>
      <c r="P4080" s="8">
        <f t="shared" si="254"/>
        <v>2763</v>
      </c>
      <c r="Q4080" s="8">
        <f t="shared" si="255"/>
        <v>2605</v>
      </c>
      <c r="R4080" s="2" t="s">
        <v>56</v>
      </c>
      <c r="S4080" s="9">
        <f>VLOOKUP(P4080,$T$2:U4077,2,1)</f>
        <v>0.02</v>
      </c>
    </row>
    <row r="4081" spans="1:19" x14ac:dyDescent="0.25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e">
        <f>VLOOKUP(F4081,'Customer Info'!A4073:I4572,2,0)</f>
        <v>#N/A</v>
      </c>
      <c r="H4081" s="6" t="e">
        <f>VLOOKUP(F4081,'Customer Info'!A4073:I4572,3,0)</f>
        <v>#N/A</v>
      </c>
      <c r="I4081" s="6" t="e">
        <f>VLOOKUP(F4081,'Customer Info'!A4073:I4572,5,0)</f>
        <v>#N/A</v>
      </c>
      <c r="J4081" s="2">
        <v>61</v>
      </c>
      <c r="K4081" s="2">
        <v>57</v>
      </c>
      <c r="L4081" s="2">
        <v>5</v>
      </c>
      <c r="M4081" s="7">
        <f t="shared" si="252"/>
        <v>285</v>
      </c>
      <c r="N4081" s="7">
        <f t="shared" si="253"/>
        <v>305</v>
      </c>
      <c r="O4081" s="2">
        <v>10</v>
      </c>
      <c r="P4081" s="8">
        <f t="shared" si="254"/>
        <v>315</v>
      </c>
      <c r="Q4081" s="8">
        <f t="shared" si="255"/>
        <v>295</v>
      </c>
      <c r="R4081" s="2" t="s">
        <v>50</v>
      </c>
      <c r="S4081" s="9">
        <f>VLOOKUP(P4081,$T$2:U4078,2,1)</f>
        <v>0.02</v>
      </c>
    </row>
    <row r="4082" spans="1:19" x14ac:dyDescent="0.25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e">
        <f>VLOOKUP(F4082,'Customer Info'!A4074:I4573,2,0)</f>
        <v>#N/A</v>
      </c>
      <c r="H4082" s="6" t="e">
        <f>VLOOKUP(F4082,'Customer Info'!A4074:I4573,3,0)</f>
        <v>#N/A</v>
      </c>
      <c r="I4082" s="6" t="e">
        <f>VLOOKUP(F4082,'Customer Info'!A4074:I4573,5,0)</f>
        <v>#N/A</v>
      </c>
      <c r="J4082" s="2">
        <v>1576</v>
      </c>
      <c r="K4082" s="2">
        <v>1531</v>
      </c>
      <c r="L4082" s="2">
        <v>5</v>
      </c>
      <c r="M4082" s="7">
        <f t="shared" si="252"/>
        <v>7655</v>
      </c>
      <c r="N4082" s="7">
        <f t="shared" si="253"/>
        <v>7880</v>
      </c>
      <c r="O4082" s="2">
        <v>84</v>
      </c>
      <c r="P4082" s="8">
        <f t="shared" si="254"/>
        <v>7964</v>
      </c>
      <c r="Q4082" s="8">
        <f t="shared" si="255"/>
        <v>7796</v>
      </c>
      <c r="R4082" s="2" t="s">
        <v>50</v>
      </c>
      <c r="S4082" s="9">
        <f>VLOOKUP(P4082,$T$2:U4079,2,1)</f>
        <v>0.05</v>
      </c>
    </row>
    <row r="4083" spans="1:19" x14ac:dyDescent="0.25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e">
        <f>VLOOKUP(F4083,'Customer Info'!A4075:I4574,2,0)</f>
        <v>#N/A</v>
      </c>
      <c r="H4083" s="6" t="e">
        <f>VLOOKUP(F4083,'Customer Info'!A4075:I4574,3,0)</f>
        <v>#N/A</v>
      </c>
      <c r="I4083" s="6" t="e">
        <f>VLOOKUP(F4083,'Customer Info'!A4075:I4574,5,0)</f>
        <v>#N/A</v>
      </c>
      <c r="J4083" s="2">
        <v>1601</v>
      </c>
      <c r="K4083" s="2">
        <v>1510</v>
      </c>
      <c r="L4083" s="2">
        <v>4</v>
      </c>
      <c r="M4083" s="7">
        <f t="shared" si="252"/>
        <v>6040</v>
      </c>
      <c r="N4083" s="7">
        <f t="shared" si="253"/>
        <v>6404</v>
      </c>
      <c r="O4083" s="2">
        <v>55</v>
      </c>
      <c r="P4083" s="8">
        <f t="shared" si="254"/>
        <v>6459</v>
      </c>
      <c r="Q4083" s="8">
        <f t="shared" si="255"/>
        <v>6349</v>
      </c>
      <c r="R4083" s="2" t="s">
        <v>28</v>
      </c>
      <c r="S4083" s="9">
        <f>VLOOKUP(P4083,$T$2:U4080,2,1)</f>
        <v>0.05</v>
      </c>
    </row>
    <row r="4084" spans="1:19" x14ac:dyDescent="0.25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e">
        <f>VLOOKUP(F4084,'Customer Info'!A4076:I4575,2,0)</f>
        <v>#N/A</v>
      </c>
      <c r="H4084" s="6" t="e">
        <f>VLOOKUP(F4084,'Customer Info'!A4076:I4575,3,0)</f>
        <v>#N/A</v>
      </c>
      <c r="I4084" s="6" t="e">
        <f>VLOOKUP(F4084,'Customer Info'!A4076:I4575,5,0)</f>
        <v>#N/A</v>
      </c>
      <c r="J4084" s="2">
        <v>8281</v>
      </c>
      <c r="K4084" s="2">
        <v>7673</v>
      </c>
      <c r="L4084" s="2">
        <v>6</v>
      </c>
      <c r="M4084" s="7">
        <f t="shared" si="252"/>
        <v>46038</v>
      </c>
      <c r="N4084" s="7">
        <f t="shared" si="253"/>
        <v>49686</v>
      </c>
      <c r="O4084" s="2">
        <v>87</v>
      </c>
      <c r="P4084" s="8">
        <f t="shared" si="254"/>
        <v>49773</v>
      </c>
      <c r="Q4084" s="8">
        <f t="shared" si="255"/>
        <v>49599</v>
      </c>
      <c r="R4084" s="2" t="s">
        <v>28</v>
      </c>
      <c r="S4084" s="9">
        <f>VLOOKUP(P4084,$T$2:U4081,2,1)</f>
        <v>7.0000000000000007E-2</v>
      </c>
    </row>
    <row r="4085" spans="1:19" x14ac:dyDescent="0.25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e">
        <f>VLOOKUP(F4085,'Customer Info'!A4077:I4576,2,0)</f>
        <v>#N/A</v>
      </c>
      <c r="H4085" s="6" t="e">
        <f>VLOOKUP(F4085,'Customer Info'!A4077:I4576,3,0)</f>
        <v>#N/A</v>
      </c>
      <c r="I4085" s="6" t="e">
        <f>VLOOKUP(F4085,'Customer Info'!A4077:I4576,5,0)</f>
        <v>#N/A</v>
      </c>
      <c r="J4085" s="2">
        <v>136</v>
      </c>
      <c r="K4085" s="2">
        <v>130</v>
      </c>
      <c r="L4085" s="2">
        <v>2</v>
      </c>
      <c r="M4085" s="7">
        <f t="shared" si="252"/>
        <v>260</v>
      </c>
      <c r="N4085" s="7">
        <f t="shared" si="253"/>
        <v>272</v>
      </c>
      <c r="O4085" s="2">
        <v>30</v>
      </c>
      <c r="P4085" s="8">
        <f t="shared" si="254"/>
        <v>302</v>
      </c>
      <c r="Q4085" s="8">
        <f t="shared" si="255"/>
        <v>242</v>
      </c>
      <c r="R4085" s="2" t="s">
        <v>28</v>
      </c>
      <c r="S4085" s="9">
        <f>VLOOKUP(P4085,$T$2:U4082,2,1)</f>
        <v>0.02</v>
      </c>
    </row>
    <row r="4086" spans="1:19" x14ac:dyDescent="0.25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e">
        <f>VLOOKUP(F4086,'Customer Info'!A4078:I4577,2,0)</f>
        <v>#N/A</v>
      </c>
      <c r="H4086" s="6" t="e">
        <f>VLOOKUP(F4086,'Customer Info'!A4078:I4577,3,0)</f>
        <v>#N/A</v>
      </c>
      <c r="I4086" s="6" t="e">
        <f>VLOOKUP(F4086,'Customer Info'!A4078:I4577,5,0)</f>
        <v>#N/A</v>
      </c>
      <c r="J4086" s="2">
        <v>6012</v>
      </c>
      <c r="K4086" s="2">
        <v>5677</v>
      </c>
      <c r="L4086" s="2">
        <v>1</v>
      </c>
      <c r="M4086" s="7">
        <f t="shared" si="252"/>
        <v>5677</v>
      </c>
      <c r="N4086" s="7">
        <f t="shared" si="253"/>
        <v>6012</v>
      </c>
      <c r="O4086" s="2">
        <v>58</v>
      </c>
      <c r="P4086" s="8">
        <f t="shared" si="254"/>
        <v>6070</v>
      </c>
      <c r="Q4086" s="8">
        <f t="shared" si="255"/>
        <v>5954</v>
      </c>
      <c r="R4086" s="2" t="s">
        <v>50</v>
      </c>
      <c r="S4086" s="9">
        <f>VLOOKUP(P4086,$T$2:U4083,2,1)</f>
        <v>0.05</v>
      </c>
    </row>
    <row r="4087" spans="1:19" x14ac:dyDescent="0.25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e">
        <f>VLOOKUP(F4087,'Customer Info'!A4079:I4578,2,0)</f>
        <v>#N/A</v>
      </c>
      <c r="H4087" s="6" t="e">
        <f>VLOOKUP(F4087,'Customer Info'!A4079:I4578,3,0)</f>
        <v>#N/A</v>
      </c>
      <c r="I4087" s="6" t="e">
        <f>VLOOKUP(F4087,'Customer Info'!A4079:I4578,5,0)</f>
        <v>#N/A</v>
      </c>
      <c r="J4087" s="2">
        <v>35350</v>
      </c>
      <c r="K4087" s="2">
        <v>33037</v>
      </c>
      <c r="L4087" s="2">
        <v>3</v>
      </c>
      <c r="M4087" s="7">
        <f t="shared" si="252"/>
        <v>99111</v>
      </c>
      <c r="N4087" s="7">
        <f t="shared" si="253"/>
        <v>106050</v>
      </c>
      <c r="O4087" s="2">
        <v>44</v>
      </c>
      <c r="P4087" s="8">
        <f t="shared" si="254"/>
        <v>106094</v>
      </c>
      <c r="Q4087" s="8">
        <f t="shared" si="255"/>
        <v>106006</v>
      </c>
      <c r="R4087" s="2" t="s">
        <v>50</v>
      </c>
      <c r="S4087" s="9">
        <f>VLOOKUP(P4087,$T$2:U4084,2,1)</f>
        <v>0.12</v>
      </c>
    </row>
    <row r="4088" spans="1:19" x14ac:dyDescent="0.25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e">
        <f>VLOOKUP(F4088,'Customer Info'!A4080:I4579,2,0)</f>
        <v>#N/A</v>
      </c>
      <c r="H4088" s="6" t="e">
        <f>VLOOKUP(F4088,'Customer Info'!A4080:I4579,3,0)</f>
        <v>#N/A</v>
      </c>
      <c r="I4088" s="6" t="e">
        <f>VLOOKUP(F4088,'Customer Info'!A4080:I4579,5,0)</f>
        <v>#N/A</v>
      </c>
      <c r="J4088" s="2">
        <v>765</v>
      </c>
      <c r="K4088" s="2">
        <v>701</v>
      </c>
      <c r="L4088" s="2">
        <v>6</v>
      </c>
      <c r="M4088" s="7">
        <f t="shared" si="252"/>
        <v>4206</v>
      </c>
      <c r="N4088" s="7">
        <f t="shared" si="253"/>
        <v>4590</v>
      </c>
      <c r="O4088" s="2">
        <v>37</v>
      </c>
      <c r="P4088" s="8">
        <f t="shared" si="254"/>
        <v>4627</v>
      </c>
      <c r="Q4088" s="8">
        <f t="shared" si="255"/>
        <v>4553</v>
      </c>
      <c r="R4088" s="2" t="s">
        <v>50</v>
      </c>
      <c r="S4088" s="9">
        <f>VLOOKUP(P4088,$T$2:U4085,2,1)</f>
        <v>0.02</v>
      </c>
    </row>
    <row r="4089" spans="1:19" x14ac:dyDescent="0.25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e">
        <f>VLOOKUP(F4089,'Customer Info'!A4081:I4580,2,0)</f>
        <v>#N/A</v>
      </c>
      <c r="H4089" s="6" t="e">
        <f>VLOOKUP(F4089,'Customer Info'!A4081:I4580,3,0)</f>
        <v>#N/A</v>
      </c>
      <c r="I4089" s="6" t="e">
        <f>VLOOKUP(F4089,'Customer Info'!A4081:I4580,5,0)</f>
        <v>#N/A</v>
      </c>
      <c r="J4089" s="2">
        <v>1834</v>
      </c>
      <c r="K4089" s="2">
        <v>1716</v>
      </c>
      <c r="L4089" s="2">
        <v>4</v>
      </c>
      <c r="M4089" s="7">
        <f t="shared" si="252"/>
        <v>6864</v>
      </c>
      <c r="N4089" s="7">
        <f t="shared" si="253"/>
        <v>7336</v>
      </c>
      <c r="O4089" s="2">
        <v>76</v>
      </c>
      <c r="P4089" s="8">
        <f t="shared" si="254"/>
        <v>7412</v>
      </c>
      <c r="Q4089" s="8">
        <f t="shared" si="255"/>
        <v>7260</v>
      </c>
      <c r="R4089" s="2" t="s">
        <v>50</v>
      </c>
      <c r="S4089" s="9">
        <f>VLOOKUP(P4089,$T$2:U4086,2,1)</f>
        <v>0.05</v>
      </c>
    </row>
    <row r="4090" spans="1:19" x14ac:dyDescent="0.25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e">
        <f>VLOOKUP(F4090,'Customer Info'!A4082:I4581,2,0)</f>
        <v>#N/A</v>
      </c>
      <c r="H4090" s="6" t="e">
        <f>VLOOKUP(F4090,'Customer Info'!A4082:I4581,3,0)</f>
        <v>#N/A</v>
      </c>
      <c r="I4090" s="6" t="e">
        <f>VLOOKUP(F4090,'Customer Info'!A4082:I4581,5,0)</f>
        <v>#N/A</v>
      </c>
      <c r="J4090" s="2">
        <v>2453</v>
      </c>
      <c r="K4090" s="2">
        <v>2336</v>
      </c>
      <c r="L4090" s="2">
        <v>6</v>
      </c>
      <c r="M4090" s="7">
        <f t="shared" si="252"/>
        <v>14016</v>
      </c>
      <c r="N4090" s="7">
        <f t="shared" si="253"/>
        <v>14718</v>
      </c>
      <c r="O4090" s="2">
        <v>47</v>
      </c>
      <c r="P4090" s="8">
        <f t="shared" si="254"/>
        <v>14765</v>
      </c>
      <c r="Q4090" s="8">
        <f t="shared" si="255"/>
        <v>14671</v>
      </c>
      <c r="R4090" s="2" t="s">
        <v>28</v>
      </c>
      <c r="S4090" s="9">
        <f>VLOOKUP(P4090,$T$2:U4087,2,1)</f>
        <v>0.05</v>
      </c>
    </row>
    <row r="4091" spans="1:19" x14ac:dyDescent="0.25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e">
        <f>VLOOKUP(F4091,'Customer Info'!A4083:I4582,2,0)</f>
        <v>#N/A</v>
      </c>
      <c r="H4091" s="6" t="e">
        <f>VLOOKUP(F4091,'Customer Info'!A4083:I4582,3,0)</f>
        <v>#N/A</v>
      </c>
      <c r="I4091" s="6" t="e">
        <f>VLOOKUP(F4091,'Customer Info'!A4083:I4582,5,0)</f>
        <v>#N/A</v>
      </c>
      <c r="J4091" s="2">
        <v>2681</v>
      </c>
      <c r="K4091" s="2">
        <v>2458</v>
      </c>
      <c r="L4091" s="2">
        <v>2</v>
      </c>
      <c r="M4091" s="7">
        <f t="shared" si="252"/>
        <v>4916</v>
      </c>
      <c r="N4091" s="7">
        <f t="shared" si="253"/>
        <v>5362</v>
      </c>
      <c r="O4091" s="2">
        <v>66</v>
      </c>
      <c r="P4091" s="8">
        <f t="shared" si="254"/>
        <v>5428</v>
      </c>
      <c r="Q4091" s="8">
        <f t="shared" si="255"/>
        <v>5296</v>
      </c>
      <c r="R4091" s="2" t="s">
        <v>50</v>
      </c>
      <c r="S4091" s="9">
        <f>VLOOKUP(P4091,$T$2:U4088,2,1)</f>
        <v>0.05</v>
      </c>
    </row>
    <row r="4092" spans="1:19" x14ac:dyDescent="0.25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e">
        <f>VLOOKUP(F4092,'Customer Info'!A4084:I4583,2,0)</f>
        <v>#N/A</v>
      </c>
      <c r="H4092" s="6" t="e">
        <f>VLOOKUP(F4092,'Customer Info'!A4084:I4583,3,0)</f>
        <v>#N/A</v>
      </c>
      <c r="I4092" s="6" t="e">
        <f>VLOOKUP(F4092,'Customer Info'!A4084:I4583,5,0)</f>
        <v>#N/A</v>
      </c>
      <c r="J4092" s="2">
        <v>2250</v>
      </c>
      <c r="K4092" s="2">
        <v>2207</v>
      </c>
      <c r="L4092" s="2">
        <v>3</v>
      </c>
      <c r="M4092" s="7">
        <f t="shared" si="252"/>
        <v>6621</v>
      </c>
      <c r="N4092" s="7">
        <f t="shared" si="253"/>
        <v>6750</v>
      </c>
      <c r="O4092" s="2">
        <v>84</v>
      </c>
      <c r="P4092" s="8">
        <f t="shared" si="254"/>
        <v>6834</v>
      </c>
      <c r="Q4092" s="8">
        <f t="shared" si="255"/>
        <v>6666</v>
      </c>
      <c r="R4092" s="2" t="s">
        <v>28</v>
      </c>
      <c r="S4092" s="9">
        <f>VLOOKUP(P4092,$T$2:U4089,2,1)</f>
        <v>0.05</v>
      </c>
    </row>
    <row r="4093" spans="1:19" x14ac:dyDescent="0.25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e">
        <f>VLOOKUP(F4093,'Customer Info'!A4085:I4584,2,0)</f>
        <v>#N/A</v>
      </c>
      <c r="H4093" s="6" t="e">
        <f>VLOOKUP(F4093,'Customer Info'!A4085:I4584,3,0)</f>
        <v>#N/A</v>
      </c>
      <c r="I4093" s="6" t="e">
        <f>VLOOKUP(F4093,'Customer Info'!A4085:I4584,5,0)</f>
        <v>#N/A</v>
      </c>
      <c r="J4093" s="2">
        <v>63</v>
      </c>
      <c r="K4093" s="2">
        <v>58</v>
      </c>
      <c r="L4093" s="2">
        <v>9</v>
      </c>
      <c r="M4093" s="7">
        <f t="shared" si="252"/>
        <v>522</v>
      </c>
      <c r="N4093" s="7">
        <f t="shared" si="253"/>
        <v>567</v>
      </c>
      <c r="O4093" s="2">
        <v>10</v>
      </c>
      <c r="P4093" s="8">
        <f t="shared" si="254"/>
        <v>577</v>
      </c>
      <c r="Q4093" s="8">
        <f t="shared" si="255"/>
        <v>557</v>
      </c>
      <c r="R4093" s="2" t="s">
        <v>28</v>
      </c>
      <c r="S4093" s="9">
        <f>VLOOKUP(P4093,$T$2:U4090,2,1)</f>
        <v>0.02</v>
      </c>
    </row>
    <row r="4094" spans="1:19" x14ac:dyDescent="0.25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e">
        <f>VLOOKUP(F4094,'Customer Info'!A4086:I4585,2,0)</f>
        <v>#N/A</v>
      </c>
      <c r="H4094" s="6" t="e">
        <f>VLOOKUP(F4094,'Customer Info'!A4086:I4585,3,0)</f>
        <v>#N/A</v>
      </c>
      <c r="I4094" s="6" t="e">
        <f>VLOOKUP(F4094,'Customer Info'!A4086:I4585,5,0)</f>
        <v>#N/A</v>
      </c>
      <c r="J4094" s="2">
        <v>6354</v>
      </c>
      <c r="K4094" s="2">
        <v>5769</v>
      </c>
      <c r="L4094" s="2">
        <v>5</v>
      </c>
      <c r="M4094" s="7">
        <f t="shared" si="252"/>
        <v>28845</v>
      </c>
      <c r="N4094" s="7">
        <f t="shared" si="253"/>
        <v>31770</v>
      </c>
      <c r="O4094" s="2">
        <v>94</v>
      </c>
      <c r="P4094" s="8">
        <f t="shared" si="254"/>
        <v>31864</v>
      </c>
      <c r="Q4094" s="8">
        <f t="shared" si="255"/>
        <v>31676</v>
      </c>
      <c r="R4094" s="2" t="s">
        <v>50</v>
      </c>
      <c r="S4094" s="9">
        <f>VLOOKUP(P4094,$T$2:U4091,2,1)</f>
        <v>7.0000000000000007E-2</v>
      </c>
    </row>
    <row r="4095" spans="1:19" x14ac:dyDescent="0.25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e">
        <f>VLOOKUP(F4095,'Customer Info'!A4087:I4586,2,0)</f>
        <v>#N/A</v>
      </c>
      <c r="H4095" s="6" t="e">
        <f>VLOOKUP(F4095,'Customer Info'!A4087:I4586,3,0)</f>
        <v>#N/A</v>
      </c>
      <c r="I4095" s="6" t="e">
        <f>VLOOKUP(F4095,'Customer Info'!A4087:I4586,5,0)</f>
        <v>#N/A</v>
      </c>
      <c r="J4095" s="2">
        <v>1770</v>
      </c>
      <c r="K4095" s="2">
        <v>1592</v>
      </c>
      <c r="L4095" s="2">
        <v>2</v>
      </c>
      <c r="M4095" s="7">
        <f t="shared" si="252"/>
        <v>3184</v>
      </c>
      <c r="N4095" s="7">
        <f t="shared" si="253"/>
        <v>3540</v>
      </c>
      <c r="O4095" s="2">
        <v>59</v>
      </c>
      <c r="P4095" s="8">
        <f t="shared" si="254"/>
        <v>3599</v>
      </c>
      <c r="Q4095" s="8">
        <f t="shared" si="255"/>
        <v>3481</v>
      </c>
      <c r="R4095" s="2" t="s">
        <v>50</v>
      </c>
      <c r="S4095" s="9">
        <f>VLOOKUP(P4095,$T$2:U4092,2,1)</f>
        <v>0.02</v>
      </c>
    </row>
    <row r="4096" spans="1:19" x14ac:dyDescent="0.25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e">
        <f>VLOOKUP(F4096,'Customer Info'!A4088:I4587,2,0)</f>
        <v>#N/A</v>
      </c>
      <c r="H4096" s="6" t="e">
        <f>VLOOKUP(F4096,'Customer Info'!A4088:I4587,3,0)</f>
        <v>#N/A</v>
      </c>
      <c r="I4096" s="6" t="e">
        <f>VLOOKUP(F4096,'Customer Info'!A4088:I4587,5,0)</f>
        <v>#N/A</v>
      </c>
      <c r="J4096" s="2">
        <v>179</v>
      </c>
      <c r="K4096" s="2">
        <v>171</v>
      </c>
      <c r="L4096" s="2">
        <v>4</v>
      </c>
      <c r="M4096" s="7">
        <f t="shared" si="252"/>
        <v>684</v>
      </c>
      <c r="N4096" s="7">
        <f t="shared" si="253"/>
        <v>716</v>
      </c>
      <c r="O4096" s="2">
        <v>30</v>
      </c>
      <c r="P4096" s="8">
        <f t="shared" si="254"/>
        <v>746</v>
      </c>
      <c r="Q4096" s="8">
        <f t="shared" si="255"/>
        <v>686</v>
      </c>
      <c r="R4096" s="2" t="s">
        <v>28</v>
      </c>
      <c r="S4096" s="9">
        <f>VLOOKUP(P4096,$T$2:U4093,2,1)</f>
        <v>0.02</v>
      </c>
    </row>
    <row r="4097" spans="1:19" x14ac:dyDescent="0.25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e">
        <f>VLOOKUP(F4097,'Customer Info'!A4089:I4588,2,0)</f>
        <v>#N/A</v>
      </c>
      <c r="H4097" s="6" t="e">
        <f>VLOOKUP(F4097,'Customer Info'!A4089:I4588,3,0)</f>
        <v>#N/A</v>
      </c>
      <c r="I4097" s="6" t="e">
        <f>VLOOKUP(F4097,'Customer Info'!A4089:I4588,5,0)</f>
        <v>#N/A</v>
      </c>
      <c r="J4097" s="2">
        <v>809</v>
      </c>
      <c r="K4097" s="2">
        <v>770</v>
      </c>
      <c r="L4097" s="2">
        <v>3</v>
      </c>
      <c r="M4097" s="7">
        <f t="shared" si="252"/>
        <v>2310</v>
      </c>
      <c r="N4097" s="7">
        <f t="shared" si="253"/>
        <v>2427</v>
      </c>
      <c r="O4097" s="2">
        <v>75</v>
      </c>
      <c r="P4097" s="8">
        <f t="shared" si="254"/>
        <v>2502</v>
      </c>
      <c r="Q4097" s="8">
        <f t="shared" si="255"/>
        <v>2352</v>
      </c>
      <c r="R4097" s="2" t="s">
        <v>50</v>
      </c>
      <c r="S4097" s="9">
        <f>VLOOKUP(P4097,$T$2:U4094,2,1)</f>
        <v>0.02</v>
      </c>
    </row>
    <row r="4098" spans="1:19" x14ac:dyDescent="0.25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e">
        <f>VLOOKUP(F4098,'Customer Info'!A4090:I4589,2,0)</f>
        <v>#N/A</v>
      </c>
      <c r="H4098" s="6" t="e">
        <f>VLOOKUP(F4098,'Customer Info'!A4090:I4589,3,0)</f>
        <v>#N/A</v>
      </c>
      <c r="I4098" s="6" t="e">
        <f>VLOOKUP(F4098,'Customer Info'!A4090:I4589,5,0)</f>
        <v>#N/A</v>
      </c>
      <c r="J4098" s="2">
        <v>6598</v>
      </c>
      <c r="K4098" s="2">
        <v>6346</v>
      </c>
      <c r="L4098" s="2">
        <v>9</v>
      </c>
      <c r="M4098" s="7">
        <f t="shared" si="252"/>
        <v>57114</v>
      </c>
      <c r="N4098" s="7">
        <f t="shared" si="253"/>
        <v>59382</v>
      </c>
      <c r="O4098" s="2">
        <v>63</v>
      </c>
      <c r="P4098" s="8">
        <f t="shared" si="254"/>
        <v>59445</v>
      </c>
      <c r="Q4098" s="8">
        <f t="shared" si="255"/>
        <v>59319</v>
      </c>
      <c r="R4098" s="2" t="s">
        <v>28</v>
      </c>
      <c r="S4098" s="9">
        <f>VLOOKUP(P4098,$T$2:U4095,2,1)</f>
        <v>0.09</v>
      </c>
    </row>
    <row r="4099" spans="1:19" x14ac:dyDescent="0.25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e">
        <f>VLOOKUP(F4099,'Customer Info'!A4091:I4590,2,0)</f>
        <v>#N/A</v>
      </c>
      <c r="H4099" s="6" t="e">
        <f>VLOOKUP(F4099,'Customer Info'!A4091:I4590,3,0)</f>
        <v>#N/A</v>
      </c>
      <c r="I4099" s="6" t="e">
        <f>VLOOKUP(F4099,'Customer Info'!A4091:I4590,5,0)</f>
        <v>#N/A</v>
      </c>
      <c r="J4099" s="2">
        <v>123</v>
      </c>
      <c r="K4099" s="2">
        <v>115</v>
      </c>
      <c r="L4099" s="2">
        <v>6</v>
      </c>
      <c r="M4099" s="7">
        <f t="shared" si="252"/>
        <v>690</v>
      </c>
      <c r="N4099" s="7">
        <f t="shared" si="253"/>
        <v>738</v>
      </c>
      <c r="O4099" s="2">
        <v>30</v>
      </c>
      <c r="P4099" s="8">
        <f t="shared" si="254"/>
        <v>768</v>
      </c>
      <c r="Q4099" s="8">
        <f t="shared" si="255"/>
        <v>708</v>
      </c>
      <c r="R4099" s="2" t="s">
        <v>50</v>
      </c>
      <c r="S4099" s="9">
        <f>VLOOKUP(P4099,$T$2:U4096,2,1)</f>
        <v>0.02</v>
      </c>
    </row>
    <row r="4100" spans="1:19" x14ac:dyDescent="0.25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e">
        <f>VLOOKUP(F4100,'Customer Info'!A4092:I4591,2,0)</f>
        <v>#N/A</v>
      </c>
      <c r="H4100" s="6" t="e">
        <f>VLOOKUP(F4100,'Customer Info'!A4092:I4591,3,0)</f>
        <v>#N/A</v>
      </c>
      <c r="I4100" s="6" t="e">
        <f>VLOOKUP(F4100,'Customer Info'!A4092:I4591,5,0)</f>
        <v>#N/A</v>
      </c>
      <c r="J4100" s="2">
        <v>6024</v>
      </c>
      <c r="K4100" s="2">
        <v>5424</v>
      </c>
      <c r="L4100" s="2">
        <v>1</v>
      </c>
      <c r="M4100" s="7">
        <f t="shared" si="252"/>
        <v>5424</v>
      </c>
      <c r="N4100" s="7">
        <f t="shared" si="253"/>
        <v>6024</v>
      </c>
      <c r="O4100" s="2">
        <v>23</v>
      </c>
      <c r="P4100" s="8">
        <f t="shared" si="254"/>
        <v>6047</v>
      </c>
      <c r="Q4100" s="8">
        <f t="shared" si="255"/>
        <v>6001</v>
      </c>
      <c r="R4100" s="2" t="s">
        <v>28</v>
      </c>
      <c r="S4100" s="9">
        <f>VLOOKUP(P4100,$T$2:U4097,2,1)</f>
        <v>0.05</v>
      </c>
    </row>
    <row r="4101" spans="1:19" x14ac:dyDescent="0.25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e">
        <f>VLOOKUP(F4101,'Customer Info'!A4093:I4592,2,0)</f>
        <v>#N/A</v>
      </c>
      <c r="H4101" s="6" t="e">
        <f>VLOOKUP(F4101,'Customer Info'!A4093:I4592,3,0)</f>
        <v>#N/A</v>
      </c>
      <c r="I4101" s="6" t="e">
        <f>VLOOKUP(F4101,'Customer Info'!A4093:I4592,5,0)</f>
        <v>#N/A</v>
      </c>
      <c r="J4101" s="2">
        <v>1619</v>
      </c>
      <c r="K4101" s="2">
        <v>1442</v>
      </c>
      <c r="L4101" s="2">
        <v>2</v>
      </c>
      <c r="M4101" s="7">
        <f t="shared" si="252"/>
        <v>2884</v>
      </c>
      <c r="N4101" s="7">
        <f t="shared" si="253"/>
        <v>3238</v>
      </c>
      <c r="O4101" s="2">
        <v>100</v>
      </c>
      <c r="P4101" s="8">
        <f t="shared" si="254"/>
        <v>3338</v>
      </c>
      <c r="Q4101" s="8">
        <f t="shared" si="255"/>
        <v>3138</v>
      </c>
      <c r="R4101" s="2" t="s">
        <v>56</v>
      </c>
      <c r="S4101" s="9">
        <f>VLOOKUP(P4101,$T$2:U4098,2,1)</f>
        <v>0.02</v>
      </c>
    </row>
    <row r="4102" spans="1:19" x14ac:dyDescent="0.25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e">
        <f>VLOOKUP(F4102,'Customer Info'!A4094:I4593,2,0)</f>
        <v>#N/A</v>
      </c>
      <c r="H4102" s="6" t="e">
        <f>VLOOKUP(F4102,'Customer Info'!A4094:I4593,3,0)</f>
        <v>#N/A</v>
      </c>
      <c r="I4102" s="6" t="e">
        <f>VLOOKUP(F4102,'Customer Info'!A4094:I4593,5,0)</f>
        <v>#N/A</v>
      </c>
      <c r="J4102" s="2">
        <v>679</v>
      </c>
      <c r="K4102" s="2">
        <v>654</v>
      </c>
      <c r="L4102" s="2">
        <v>4</v>
      </c>
      <c r="M4102" s="7">
        <f t="shared" si="252"/>
        <v>2616</v>
      </c>
      <c r="N4102" s="7">
        <f t="shared" si="253"/>
        <v>2716</v>
      </c>
      <c r="O4102" s="2">
        <v>29</v>
      </c>
      <c r="P4102" s="8">
        <f t="shared" si="254"/>
        <v>2745</v>
      </c>
      <c r="Q4102" s="8">
        <f t="shared" si="255"/>
        <v>2687</v>
      </c>
      <c r="R4102" s="2" t="s">
        <v>26</v>
      </c>
      <c r="S4102" s="9">
        <f>VLOOKUP(P4102,$T$2:U4099,2,1)</f>
        <v>0.02</v>
      </c>
    </row>
    <row r="4103" spans="1:19" x14ac:dyDescent="0.25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e">
        <f>VLOOKUP(F4103,'Customer Info'!A4095:I4594,2,0)</f>
        <v>#N/A</v>
      </c>
      <c r="H4103" s="6" t="e">
        <f>VLOOKUP(F4103,'Customer Info'!A4095:I4594,3,0)</f>
        <v>#N/A</v>
      </c>
      <c r="I4103" s="6" t="e">
        <f>VLOOKUP(F4103,'Customer Info'!A4095:I4594,5,0)</f>
        <v>#N/A</v>
      </c>
      <c r="J4103" s="2">
        <v>25658</v>
      </c>
      <c r="K4103" s="2">
        <v>24466</v>
      </c>
      <c r="L4103" s="2">
        <v>1</v>
      </c>
      <c r="M4103" s="7">
        <f t="shared" si="252"/>
        <v>24466</v>
      </c>
      <c r="N4103" s="7">
        <f t="shared" si="253"/>
        <v>25658</v>
      </c>
      <c r="O4103" s="2">
        <v>86</v>
      </c>
      <c r="P4103" s="8">
        <f t="shared" si="254"/>
        <v>25744</v>
      </c>
      <c r="Q4103" s="8">
        <f t="shared" si="255"/>
        <v>25572</v>
      </c>
      <c r="R4103" s="2" t="s">
        <v>50</v>
      </c>
      <c r="S4103" s="9">
        <f>VLOOKUP(P4103,$T$2:U4100,2,1)</f>
        <v>7.0000000000000007E-2</v>
      </c>
    </row>
    <row r="4104" spans="1:19" x14ac:dyDescent="0.25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e">
        <f>VLOOKUP(F4104,'Customer Info'!A4096:I4595,2,0)</f>
        <v>#N/A</v>
      </c>
      <c r="H4104" s="6" t="e">
        <f>VLOOKUP(F4104,'Customer Info'!A4096:I4595,3,0)</f>
        <v>#N/A</v>
      </c>
      <c r="I4104" s="6" t="e">
        <f>VLOOKUP(F4104,'Customer Info'!A4096:I4595,5,0)</f>
        <v>#N/A</v>
      </c>
      <c r="J4104" s="2">
        <v>7327</v>
      </c>
      <c r="K4104" s="2">
        <v>6658</v>
      </c>
      <c r="L4104" s="2">
        <v>4</v>
      </c>
      <c r="M4104" s="7">
        <f t="shared" si="252"/>
        <v>26632</v>
      </c>
      <c r="N4104" s="7">
        <f t="shared" si="253"/>
        <v>29308</v>
      </c>
      <c r="O4104" s="2">
        <v>45</v>
      </c>
      <c r="P4104" s="8">
        <f t="shared" si="254"/>
        <v>29353</v>
      </c>
      <c r="Q4104" s="8">
        <f t="shared" si="255"/>
        <v>29263</v>
      </c>
      <c r="R4104" s="2" t="s">
        <v>28</v>
      </c>
      <c r="S4104" s="9">
        <f>VLOOKUP(P4104,$T$2:U4101,2,1)</f>
        <v>7.0000000000000007E-2</v>
      </c>
    </row>
    <row r="4105" spans="1:19" x14ac:dyDescent="0.25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e">
        <f>VLOOKUP(F4105,'Customer Info'!A4097:I4596,2,0)</f>
        <v>#N/A</v>
      </c>
      <c r="H4105" s="6" t="e">
        <f>VLOOKUP(F4105,'Customer Info'!A4097:I4596,3,0)</f>
        <v>#N/A</v>
      </c>
      <c r="I4105" s="6" t="e">
        <f>VLOOKUP(F4105,'Customer Info'!A4097:I4596,5,0)</f>
        <v>#N/A</v>
      </c>
      <c r="J4105" s="2">
        <v>1808</v>
      </c>
      <c r="K4105" s="2">
        <v>1740</v>
      </c>
      <c r="L4105" s="2">
        <v>10</v>
      </c>
      <c r="M4105" s="7">
        <f t="shared" si="252"/>
        <v>17400</v>
      </c>
      <c r="N4105" s="7">
        <f t="shared" si="253"/>
        <v>18080</v>
      </c>
      <c r="O4105" s="2">
        <v>89</v>
      </c>
      <c r="P4105" s="8">
        <f t="shared" si="254"/>
        <v>18169</v>
      </c>
      <c r="Q4105" s="8">
        <f t="shared" si="255"/>
        <v>17991</v>
      </c>
      <c r="R4105" s="2" t="s">
        <v>28</v>
      </c>
      <c r="S4105" s="9">
        <f>VLOOKUP(P4105,$T$2:U4102,2,1)</f>
        <v>0.05</v>
      </c>
    </row>
    <row r="4106" spans="1:19" x14ac:dyDescent="0.25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e">
        <f>VLOOKUP(F4106,'Customer Info'!A4098:I4597,2,0)</f>
        <v>#N/A</v>
      </c>
      <c r="H4106" s="6" t="e">
        <f>VLOOKUP(F4106,'Customer Info'!A4098:I4597,3,0)</f>
        <v>#N/A</v>
      </c>
      <c r="I4106" s="6" t="e">
        <f>VLOOKUP(F4106,'Customer Info'!A4098:I4597,5,0)</f>
        <v>#N/A</v>
      </c>
      <c r="J4106" s="2">
        <v>3289</v>
      </c>
      <c r="K4106" s="2">
        <v>3105</v>
      </c>
      <c r="L4106" s="2">
        <v>2</v>
      </c>
      <c r="M4106" s="7">
        <f t="shared" si="252"/>
        <v>6210</v>
      </c>
      <c r="N4106" s="7">
        <f t="shared" si="253"/>
        <v>6578</v>
      </c>
      <c r="O4106" s="2">
        <v>86</v>
      </c>
      <c r="P4106" s="8">
        <f t="shared" si="254"/>
        <v>6664</v>
      </c>
      <c r="Q4106" s="8">
        <f t="shared" si="255"/>
        <v>6492</v>
      </c>
      <c r="R4106" s="2" t="s">
        <v>50</v>
      </c>
      <c r="S4106" s="9">
        <f>VLOOKUP(P4106,$T$2:U4103,2,1)</f>
        <v>0.05</v>
      </c>
    </row>
    <row r="4107" spans="1:19" x14ac:dyDescent="0.25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e">
        <f>VLOOKUP(F4107,'Customer Info'!A4099:I4598,2,0)</f>
        <v>#N/A</v>
      </c>
      <c r="H4107" s="6" t="e">
        <f>VLOOKUP(F4107,'Customer Info'!A4099:I4598,3,0)</f>
        <v>#N/A</v>
      </c>
      <c r="I4107" s="6" t="e">
        <f>VLOOKUP(F4107,'Customer Info'!A4099:I4598,5,0)</f>
        <v>#N/A</v>
      </c>
      <c r="J4107" s="2">
        <v>1585</v>
      </c>
      <c r="K4107" s="2">
        <v>1495</v>
      </c>
      <c r="L4107" s="2">
        <v>5</v>
      </c>
      <c r="M4107" s="7">
        <f t="shared" ref="M4107:M4170" si="256">K4107*L4107</f>
        <v>7475</v>
      </c>
      <c r="N4107" s="7">
        <f t="shared" ref="N4107:N4170" si="257">J4107*L4107</f>
        <v>7925</v>
      </c>
      <c r="O4107" s="2">
        <v>73</v>
      </c>
      <c r="P4107" s="8">
        <f t="shared" ref="P4107:P4170" si="258">SUM(N4107,O4107)</f>
        <v>7998</v>
      </c>
      <c r="Q4107" s="8">
        <f t="shared" ref="Q4107:Q4170" si="259">N4107-O4107</f>
        <v>7852</v>
      </c>
      <c r="R4107" s="2" t="s">
        <v>28</v>
      </c>
      <c r="S4107" s="9">
        <f>VLOOKUP(P4107,$T$2:U4104,2,1)</f>
        <v>0.05</v>
      </c>
    </row>
    <row r="4108" spans="1:19" x14ac:dyDescent="0.25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e">
        <f>VLOOKUP(F4108,'Customer Info'!A4100:I4599,2,0)</f>
        <v>#N/A</v>
      </c>
      <c r="H4108" s="6" t="e">
        <f>VLOOKUP(F4108,'Customer Info'!A4100:I4599,3,0)</f>
        <v>#N/A</v>
      </c>
      <c r="I4108" s="6" t="e">
        <f>VLOOKUP(F4108,'Customer Info'!A4100:I4599,5,0)</f>
        <v>#N/A</v>
      </c>
      <c r="J4108" s="2">
        <v>61</v>
      </c>
      <c r="K4108" s="2">
        <v>57</v>
      </c>
      <c r="L4108" s="2">
        <v>3</v>
      </c>
      <c r="M4108" s="7">
        <f t="shared" si="256"/>
        <v>171</v>
      </c>
      <c r="N4108" s="7">
        <f t="shared" si="257"/>
        <v>183</v>
      </c>
      <c r="O4108" s="2">
        <v>10</v>
      </c>
      <c r="P4108" s="8">
        <f t="shared" si="258"/>
        <v>193</v>
      </c>
      <c r="Q4108" s="8">
        <f t="shared" si="259"/>
        <v>173</v>
      </c>
      <c r="R4108" s="2" t="s">
        <v>28</v>
      </c>
      <c r="S4108" s="9">
        <f>VLOOKUP(P4108,$T$2:U4105,2,1)</f>
        <v>0.02</v>
      </c>
    </row>
    <row r="4109" spans="1:19" x14ac:dyDescent="0.25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e">
        <f>VLOOKUP(F4109,'Customer Info'!A4101:I4600,2,0)</f>
        <v>#N/A</v>
      </c>
      <c r="H4109" s="6" t="e">
        <f>VLOOKUP(F4109,'Customer Info'!A4101:I4600,3,0)</f>
        <v>#N/A</v>
      </c>
      <c r="I4109" s="6" t="e">
        <f>VLOOKUP(F4109,'Customer Info'!A4101:I4600,5,0)</f>
        <v>#N/A</v>
      </c>
      <c r="J4109" s="2">
        <v>1619</v>
      </c>
      <c r="K4109" s="2">
        <v>1442</v>
      </c>
      <c r="L4109" s="2">
        <v>4</v>
      </c>
      <c r="M4109" s="7">
        <f t="shared" si="256"/>
        <v>5768</v>
      </c>
      <c r="N4109" s="7">
        <f t="shared" si="257"/>
        <v>6476</v>
      </c>
      <c r="O4109" s="2">
        <v>60</v>
      </c>
      <c r="P4109" s="8">
        <f t="shared" si="258"/>
        <v>6536</v>
      </c>
      <c r="Q4109" s="8">
        <f t="shared" si="259"/>
        <v>6416</v>
      </c>
      <c r="R4109" s="2" t="s">
        <v>26</v>
      </c>
      <c r="S4109" s="9">
        <f>VLOOKUP(P4109,$T$2:U4106,2,1)</f>
        <v>0.05</v>
      </c>
    </row>
    <row r="4110" spans="1:19" x14ac:dyDescent="0.25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e">
        <f>VLOOKUP(F4110,'Customer Info'!A4102:I4601,2,0)</f>
        <v>#N/A</v>
      </c>
      <c r="H4110" s="6" t="e">
        <f>VLOOKUP(F4110,'Customer Info'!A4102:I4601,3,0)</f>
        <v>#N/A</v>
      </c>
      <c r="I4110" s="6" t="e">
        <f>VLOOKUP(F4110,'Customer Info'!A4102:I4601,5,0)</f>
        <v>#N/A</v>
      </c>
      <c r="J4110" s="2">
        <v>1585</v>
      </c>
      <c r="K4110" s="2">
        <v>1495</v>
      </c>
      <c r="L4110" s="2">
        <v>3</v>
      </c>
      <c r="M4110" s="7">
        <f t="shared" si="256"/>
        <v>4485</v>
      </c>
      <c r="N4110" s="7">
        <f t="shared" si="257"/>
        <v>4755</v>
      </c>
      <c r="O4110" s="2">
        <v>53</v>
      </c>
      <c r="P4110" s="8">
        <f t="shared" si="258"/>
        <v>4808</v>
      </c>
      <c r="Q4110" s="8">
        <f t="shared" si="259"/>
        <v>4702</v>
      </c>
      <c r="R4110" s="2" t="s">
        <v>28</v>
      </c>
      <c r="S4110" s="9">
        <f>VLOOKUP(P4110,$T$2:U4107,2,1)</f>
        <v>0.02</v>
      </c>
    </row>
    <row r="4111" spans="1:19" x14ac:dyDescent="0.25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e">
        <f>VLOOKUP(F4111,'Customer Info'!A4103:I4602,2,0)</f>
        <v>#N/A</v>
      </c>
      <c r="H4111" s="6" t="e">
        <f>VLOOKUP(F4111,'Customer Info'!A4103:I4602,3,0)</f>
        <v>#N/A</v>
      </c>
      <c r="I4111" s="6" t="e">
        <f>VLOOKUP(F4111,'Customer Info'!A4103:I4602,5,0)</f>
        <v>#N/A</v>
      </c>
      <c r="J4111" s="2">
        <v>151</v>
      </c>
      <c r="K4111" s="2">
        <v>139</v>
      </c>
      <c r="L4111" s="2">
        <v>1</v>
      </c>
      <c r="M4111" s="7">
        <f t="shared" si="256"/>
        <v>139</v>
      </c>
      <c r="N4111" s="7">
        <f t="shared" si="257"/>
        <v>151</v>
      </c>
      <c r="O4111" s="2">
        <v>30</v>
      </c>
      <c r="P4111" s="8">
        <f t="shared" si="258"/>
        <v>181</v>
      </c>
      <c r="Q4111" s="8">
        <f t="shared" si="259"/>
        <v>121</v>
      </c>
      <c r="R4111" s="2" t="s">
        <v>28</v>
      </c>
      <c r="S4111" s="9">
        <f>VLOOKUP(P4111,$T$2:U4108,2,1)</f>
        <v>0.02</v>
      </c>
    </row>
    <row r="4112" spans="1:19" x14ac:dyDescent="0.25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e">
        <f>VLOOKUP(F4112,'Customer Info'!A4104:I4603,2,0)</f>
        <v>#N/A</v>
      </c>
      <c r="H4112" s="6" t="e">
        <f>VLOOKUP(F4112,'Customer Info'!A4104:I4603,3,0)</f>
        <v>#N/A</v>
      </c>
      <c r="I4112" s="6" t="e">
        <f>VLOOKUP(F4112,'Customer Info'!A4104:I4603,5,0)</f>
        <v>#N/A</v>
      </c>
      <c r="J4112" s="2">
        <v>1405</v>
      </c>
      <c r="K4112" s="2">
        <v>1287</v>
      </c>
      <c r="L4112" s="2">
        <v>1</v>
      </c>
      <c r="M4112" s="7">
        <f t="shared" si="256"/>
        <v>1287</v>
      </c>
      <c r="N4112" s="7">
        <f t="shared" si="257"/>
        <v>1405</v>
      </c>
      <c r="O4112" s="2">
        <v>45</v>
      </c>
      <c r="P4112" s="8">
        <f t="shared" si="258"/>
        <v>1450</v>
      </c>
      <c r="Q4112" s="8">
        <f t="shared" si="259"/>
        <v>1360</v>
      </c>
      <c r="R4112" s="2" t="s">
        <v>28</v>
      </c>
      <c r="S4112" s="9">
        <f>VLOOKUP(P4112,$T$2:U4109,2,1)</f>
        <v>0.02</v>
      </c>
    </row>
    <row r="4113" spans="1:19" x14ac:dyDescent="0.25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e">
        <f>VLOOKUP(F4113,'Customer Info'!A4105:I4604,2,0)</f>
        <v>#N/A</v>
      </c>
      <c r="H4113" s="6" t="e">
        <f>VLOOKUP(F4113,'Customer Info'!A4105:I4604,3,0)</f>
        <v>#N/A</v>
      </c>
      <c r="I4113" s="6" t="e">
        <f>VLOOKUP(F4113,'Customer Info'!A4105:I4604,5,0)</f>
        <v>#N/A</v>
      </c>
      <c r="J4113" s="2">
        <v>90</v>
      </c>
      <c r="K4113" s="2">
        <v>81</v>
      </c>
      <c r="L4113" s="2">
        <v>3</v>
      </c>
      <c r="M4113" s="7">
        <f t="shared" si="256"/>
        <v>243</v>
      </c>
      <c r="N4113" s="7">
        <f t="shared" si="257"/>
        <v>270</v>
      </c>
      <c r="O4113" s="2">
        <v>10</v>
      </c>
      <c r="P4113" s="8">
        <f t="shared" si="258"/>
        <v>280</v>
      </c>
      <c r="Q4113" s="8">
        <f t="shared" si="259"/>
        <v>260</v>
      </c>
      <c r="R4113" s="2" t="s">
        <v>26</v>
      </c>
      <c r="S4113" s="9">
        <f>VLOOKUP(P4113,$T$2:U4110,2,1)</f>
        <v>0.02</v>
      </c>
    </row>
    <row r="4114" spans="1:19" x14ac:dyDescent="0.25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e">
        <f>VLOOKUP(F4114,'Customer Info'!A4106:I4605,2,0)</f>
        <v>#N/A</v>
      </c>
      <c r="H4114" s="6" t="e">
        <f>VLOOKUP(F4114,'Customer Info'!A4106:I4605,3,0)</f>
        <v>#N/A</v>
      </c>
      <c r="I4114" s="6" t="e">
        <f>VLOOKUP(F4114,'Customer Info'!A4106:I4605,5,0)</f>
        <v>#N/A</v>
      </c>
      <c r="J4114" s="2">
        <v>2790</v>
      </c>
      <c r="K4114" s="2">
        <v>2557</v>
      </c>
      <c r="L4114" s="2">
        <v>2</v>
      </c>
      <c r="M4114" s="7">
        <f t="shared" si="256"/>
        <v>5114</v>
      </c>
      <c r="N4114" s="7">
        <f t="shared" si="257"/>
        <v>5580</v>
      </c>
      <c r="O4114" s="2">
        <v>22</v>
      </c>
      <c r="P4114" s="8">
        <f t="shared" si="258"/>
        <v>5602</v>
      </c>
      <c r="Q4114" s="8">
        <f t="shared" si="259"/>
        <v>5558</v>
      </c>
      <c r="R4114" s="2" t="s">
        <v>28</v>
      </c>
      <c r="S4114" s="9">
        <f>VLOOKUP(P4114,$T$2:U4111,2,1)</f>
        <v>0.05</v>
      </c>
    </row>
    <row r="4115" spans="1:19" x14ac:dyDescent="0.25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e">
        <f>VLOOKUP(F4115,'Customer Info'!A4107:I4606,2,0)</f>
        <v>#N/A</v>
      </c>
      <c r="H4115" s="6" t="e">
        <f>VLOOKUP(F4115,'Customer Info'!A4107:I4606,3,0)</f>
        <v>#N/A</v>
      </c>
      <c r="I4115" s="6" t="e">
        <f>VLOOKUP(F4115,'Customer Info'!A4107:I4606,5,0)</f>
        <v>#N/A</v>
      </c>
      <c r="J4115" s="2">
        <v>4487</v>
      </c>
      <c r="K4115" s="2">
        <v>4201</v>
      </c>
      <c r="L4115" s="2">
        <v>5</v>
      </c>
      <c r="M4115" s="7">
        <f t="shared" si="256"/>
        <v>21005</v>
      </c>
      <c r="N4115" s="7">
        <f t="shared" si="257"/>
        <v>22435</v>
      </c>
      <c r="O4115" s="2">
        <v>60</v>
      </c>
      <c r="P4115" s="8">
        <f t="shared" si="258"/>
        <v>22495</v>
      </c>
      <c r="Q4115" s="8">
        <f t="shared" si="259"/>
        <v>22375</v>
      </c>
      <c r="R4115" s="2" t="s">
        <v>28</v>
      </c>
      <c r="S4115" s="9">
        <f>VLOOKUP(P4115,$T$2:U4112,2,1)</f>
        <v>0.05</v>
      </c>
    </row>
    <row r="4116" spans="1:19" x14ac:dyDescent="0.25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e">
        <f>VLOOKUP(F4116,'Customer Info'!A4108:I4607,2,0)</f>
        <v>#N/A</v>
      </c>
      <c r="H4116" s="6" t="e">
        <f>VLOOKUP(F4116,'Customer Info'!A4108:I4607,3,0)</f>
        <v>#N/A</v>
      </c>
      <c r="I4116" s="6" t="e">
        <f>VLOOKUP(F4116,'Customer Info'!A4108:I4607,5,0)</f>
        <v>#N/A</v>
      </c>
      <c r="J4116" s="2">
        <v>222</v>
      </c>
      <c r="K4116" s="2">
        <v>204</v>
      </c>
      <c r="L4116" s="2">
        <v>2</v>
      </c>
      <c r="M4116" s="7">
        <f t="shared" si="256"/>
        <v>408</v>
      </c>
      <c r="N4116" s="7">
        <f t="shared" si="257"/>
        <v>444</v>
      </c>
      <c r="O4116" s="2">
        <v>39</v>
      </c>
      <c r="P4116" s="8">
        <f t="shared" si="258"/>
        <v>483</v>
      </c>
      <c r="Q4116" s="8">
        <f t="shared" si="259"/>
        <v>405</v>
      </c>
      <c r="R4116" s="2" t="s">
        <v>50</v>
      </c>
      <c r="S4116" s="9">
        <f>VLOOKUP(P4116,$T$2:U4113,2,1)</f>
        <v>0.02</v>
      </c>
    </row>
    <row r="4117" spans="1:19" x14ac:dyDescent="0.25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e">
        <f>VLOOKUP(F4117,'Customer Info'!A4109:I4608,2,0)</f>
        <v>#N/A</v>
      </c>
      <c r="H4117" s="6" t="e">
        <f>VLOOKUP(F4117,'Customer Info'!A4109:I4608,3,0)</f>
        <v>#N/A</v>
      </c>
      <c r="I4117" s="6" t="e">
        <f>VLOOKUP(F4117,'Customer Info'!A4109:I4608,5,0)</f>
        <v>#N/A</v>
      </c>
      <c r="J4117" s="2">
        <v>2706</v>
      </c>
      <c r="K4117" s="2">
        <v>2553</v>
      </c>
      <c r="L4117" s="2">
        <v>5</v>
      </c>
      <c r="M4117" s="7">
        <f t="shared" si="256"/>
        <v>12765</v>
      </c>
      <c r="N4117" s="7">
        <f t="shared" si="257"/>
        <v>13530</v>
      </c>
      <c r="O4117" s="2">
        <v>86</v>
      </c>
      <c r="P4117" s="8">
        <f t="shared" si="258"/>
        <v>13616</v>
      </c>
      <c r="Q4117" s="8">
        <f t="shared" si="259"/>
        <v>13444</v>
      </c>
      <c r="R4117" s="2" t="s">
        <v>50</v>
      </c>
      <c r="S4117" s="9">
        <f>VLOOKUP(P4117,$T$2:U4114,2,1)</f>
        <v>0.05</v>
      </c>
    </row>
    <row r="4118" spans="1:19" x14ac:dyDescent="0.25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e">
        <f>VLOOKUP(F4118,'Customer Info'!A4110:I4609,2,0)</f>
        <v>#N/A</v>
      </c>
      <c r="H4118" s="6" t="e">
        <f>VLOOKUP(F4118,'Customer Info'!A4110:I4609,3,0)</f>
        <v>#N/A</v>
      </c>
      <c r="I4118" s="6" t="e">
        <f>VLOOKUP(F4118,'Customer Info'!A4110:I4609,5,0)</f>
        <v>#N/A</v>
      </c>
      <c r="J4118" s="2">
        <v>2958</v>
      </c>
      <c r="K4118" s="2">
        <v>2743</v>
      </c>
      <c r="L4118" s="2">
        <v>2</v>
      </c>
      <c r="M4118" s="7">
        <f t="shared" si="256"/>
        <v>5486</v>
      </c>
      <c r="N4118" s="7">
        <f t="shared" si="257"/>
        <v>5916</v>
      </c>
      <c r="O4118" s="2">
        <v>63</v>
      </c>
      <c r="P4118" s="8">
        <f t="shared" si="258"/>
        <v>5979</v>
      </c>
      <c r="Q4118" s="8">
        <f t="shared" si="259"/>
        <v>5853</v>
      </c>
      <c r="R4118" s="2" t="s">
        <v>28</v>
      </c>
      <c r="S4118" s="9">
        <f>VLOOKUP(P4118,$T$2:U4115,2,1)</f>
        <v>0.05</v>
      </c>
    </row>
    <row r="4119" spans="1:19" x14ac:dyDescent="0.25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e">
        <f>VLOOKUP(F4119,'Customer Info'!A4111:I4610,2,0)</f>
        <v>#N/A</v>
      </c>
      <c r="H4119" s="6" t="e">
        <f>VLOOKUP(F4119,'Customer Info'!A4111:I4610,3,0)</f>
        <v>#N/A</v>
      </c>
      <c r="I4119" s="6" t="e">
        <f>VLOOKUP(F4119,'Customer Info'!A4111:I4610,5,0)</f>
        <v>#N/A</v>
      </c>
      <c r="J4119" s="2">
        <v>4904</v>
      </c>
      <c r="K4119" s="2">
        <v>4499</v>
      </c>
      <c r="L4119" s="2">
        <v>5</v>
      </c>
      <c r="M4119" s="7">
        <f t="shared" si="256"/>
        <v>22495</v>
      </c>
      <c r="N4119" s="7">
        <f t="shared" si="257"/>
        <v>24520</v>
      </c>
      <c r="O4119" s="2">
        <v>45</v>
      </c>
      <c r="P4119" s="8">
        <f t="shared" si="258"/>
        <v>24565</v>
      </c>
      <c r="Q4119" s="8">
        <f t="shared" si="259"/>
        <v>24475</v>
      </c>
      <c r="R4119" s="2" t="s">
        <v>28</v>
      </c>
      <c r="S4119" s="9">
        <f>VLOOKUP(P4119,$T$2:U4116,2,1)</f>
        <v>0.05</v>
      </c>
    </row>
    <row r="4120" spans="1:19" x14ac:dyDescent="0.25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e">
        <f>VLOOKUP(F4120,'Customer Info'!A4112:I4611,2,0)</f>
        <v>#N/A</v>
      </c>
      <c r="H4120" s="6" t="e">
        <f>VLOOKUP(F4120,'Customer Info'!A4112:I4611,3,0)</f>
        <v>#N/A</v>
      </c>
      <c r="I4120" s="6" t="e">
        <f>VLOOKUP(F4120,'Customer Info'!A4112:I4611,5,0)</f>
        <v>#N/A</v>
      </c>
      <c r="J4120" s="2">
        <v>914</v>
      </c>
      <c r="K4120" s="2">
        <v>830</v>
      </c>
      <c r="L4120" s="2">
        <v>1</v>
      </c>
      <c r="M4120" s="7">
        <f t="shared" si="256"/>
        <v>830</v>
      </c>
      <c r="N4120" s="7">
        <f t="shared" si="257"/>
        <v>914</v>
      </c>
      <c r="O4120" s="2">
        <v>98</v>
      </c>
      <c r="P4120" s="8">
        <f t="shared" si="258"/>
        <v>1012</v>
      </c>
      <c r="Q4120" s="8">
        <f t="shared" si="259"/>
        <v>816</v>
      </c>
      <c r="R4120" s="2" t="s">
        <v>50</v>
      </c>
      <c r="S4120" s="9">
        <f>VLOOKUP(P4120,$T$2:U4117,2,1)</f>
        <v>0.02</v>
      </c>
    </row>
    <row r="4121" spans="1:19" x14ac:dyDescent="0.25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e">
        <f>VLOOKUP(F4121,'Customer Info'!A4113:I4612,2,0)</f>
        <v>#N/A</v>
      </c>
      <c r="H4121" s="6" t="e">
        <f>VLOOKUP(F4121,'Customer Info'!A4113:I4612,3,0)</f>
        <v>#N/A</v>
      </c>
      <c r="I4121" s="6" t="e">
        <f>VLOOKUP(F4121,'Customer Info'!A4113:I4612,5,0)</f>
        <v>#N/A</v>
      </c>
      <c r="J4121" s="2">
        <v>2243</v>
      </c>
      <c r="K4121" s="2">
        <v>2000</v>
      </c>
      <c r="L4121" s="2">
        <v>3</v>
      </c>
      <c r="M4121" s="7">
        <f t="shared" si="256"/>
        <v>6000</v>
      </c>
      <c r="N4121" s="7">
        <f t="shared" si="257"/>
        <v>6729</v>
      </c>
      <c r="O4121" s="2">
        <v>42</v>
      </c>
      <c r="P4121" s="8">
        <f t="shared" si="258"/>
        <v>6771</v>
      </c>
      <c r="Q4121" s="8">
        <f t="shared" si="259"/>
        <v>6687</v>
      </c>
      <c r="R4121" s="2" t="s">
        <v>50</v>
      </c>
      <c r="S4121" s="9">
        <f>VLOOKUP(P4121,$T$2:U4118,2,1)</f>
        <v>0.05</v>
      </c>
    </row>
    <row r="4122" spans="1:19" x14ac:dyDescent="0.25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e">
        <f>VLOOKUP(F4122,'Customer Info'!A4114:I4613,2,0)</f>
        <v>#N/A</v>
      </c>
      <c r="H4122" s="6" t="e">
        <f>VLOOKUP(F4122,'Customer Info'!A4114:I4613,3,0)</f>
        <v>#N/A</v>
      </c>
      <c r="I4122" s="6" t="e">
        <f>VLOOKUP(F4122,'Customer Info'!A4114:I4613,5,0)</f>
        <v>#N/A</v>
      </c>
      <c r="J4122" s="2">
        <v>1498</v>
      </c>
      <c r="K4122" s="2">
        <v>1335</v>
      </c>
      <c r="L4122" s="2">
        <v>3</v>
      </c>
      <c r="M4122" s="7">
        <f t="shared" si="256"/>
        <v>4005</v>
      </c>
      <c r="N4122" s="7">
        <f t="shared" si="257"/>
        <v>4494</v>
      </c>
      <c r="O4122" s="2">
        <v>32</v>
      </c>
      <c r="P4122" s="8">
        <f t="shared" si="258"/>
        <v>4526</v>
      </c>
      <c r="Q4122" s="8">
        <f t="shared" si="259"/>
        <v>4462</v>
      </c>
      <c r="R4122" s="2" t="s">
        <v>28</v>
      </c>
      <c r="S4122" s="9">
        <f>VLOOKUP(P4122,$T$2:U4119,2,1)</f>
        <v>0.02</v>
      </c>
    </row>
    <row r="4123" spans="1:19" x14ac:dyDescent="0.25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e">
        <f>VLOOKUP(F4123,'Customer Info'!A4115:I4614,2,0)</f>
        <v>#N/A</v>
      </c>
      <c r="H4123" s="6" t="e">
        <f>VLOOKUP(F4123,'Customer Info'!A4115:I4614,3,0)</f>
        <v>#N/A</v>
      </c>
      <c r="I4123" s="6" t="e">
        <f>VLOOKUP(F4123,'Customer Info'!A4115:I4614,5,0)</f>
        <v>#N/A</v>
      </c>
      <c r="J4123" s="2">
        <v>1621</v>
      </c>
      <c r="K4123" s="2">
        <v>1545</v>
      </c>
      <c r="L4123" s="2">
        <v>2</v>
      </c>
      <c r="M4123" s="7">
        <f t="shared" si="256"/>
        <v>3090</v>
      </c>
      <c r="N4123" s="7">
        <f t="shared" si="257"/>
        <v>3242</v>
      </c>
      <c r="O4123" s="2">
        <v>85</v>
      </c>
      <c r="P4123" s="8">
        <f t="shared" si="258"/>
        <v>3327</v>
      </c>
      <c r="Q4123" s="8">
        <f t="shared" si="259"/>
        <v>3157</v>
      </c>
      <c r="R4123" s="2" t="s">
        <v>28</v>
      </c>
      <c r="S4123" s="9">
        <f>VLOOKUP(P4123,$T$2:U4120,2,1)</f>
        <v>0.02</v>
      </c>
    </row>
    <row r="4124" spans="1:19" x14ac:dyDescent="0.25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e">
        <f>VLOOKUP(F4124,'Customer Info'!A4116:I4615,2,0)</f>
        <v>#N/A</v>
      </c>
      <c r="H4124" s="6" t="e">
        <f>VLOOKUP(F4124,'Customer Info'!A4116:I4615,3,0)</f>
        <v>#N/A</v>
      </c>
      <c r="I4124" s="6" t="e">
        <f>VLOOKUP(F4124,'Customer Info'!A4116:I4615,5,0)</f>
        <v>#N/A</v>
      </c>
      <c r="J4124" s="2">
        <v>7534</v>
      </c>
      <c r="K4124" s="2">
        <v>7106</v>
      </c>
      <c r="L4124" s="2">
        <v>3</v>
      </c>
      <c r="M4124" s="7">
        <f t="shared" si="256"/>
        <v>21318</v>
      </c>
      <c r="N4124" s="7">
        <f t="shared" si="257"/>
        <v>22602</v>
      </c>
      <c r="O4124" s="2">
        <v>68</v>
      </c>
      <c r="P4124" s="8">
        <f t="shared" si="258"/>
        <v>22670</v>
      </c>
      <c r="Q4124" s="8">
        <f t="shared" si="259"/>
        <v>22534</v>
      </c>
      <c r="R4124" s="2" t="s">
        <v>28</v>
      </c>
      <c r="S4124" s="9">
        <f>VLOOKUP(P4124,$T$2:U4121,2,1)</f>
        <v>0.05</v>
      </c>
    </row>
    <row r="4125" spans="1:19" x14ac:dyDescent="0.25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e">
        <f>VLOOKUP(F4125,'Customer Info'!A4117:I4616,2,0)</f>
        <v>#N/A</v>
      </c>
      <c r="H4125" s="6" t="e">
        <f>VLOOKUP(F4125,'Customer Info'!A4117:I4616,3,0)</f>
        <v>#N/A</v>
      </c>
      <c r="I4125" s="6" t="e">
        <f>VLOOKUP(F4125,'Customer Info'!A4117:I4616,5,0)</f>
        <v>#N/A</v>
      </c>
      <c r="J4125" s="2">
        <v>135</v>
      </c>
      <c r="K4125" s="2">
        <v>129</v>
      </c>
      <c r="L4125" s="2">
        <v>13</v>
      </c>
      <c r="M4125" s="7">
        <f t="shared" si="256"/>
        <v>1677</v>
      </c>
      <c r="N4125" s="7">
        <f t="shared" si="257"/>
        <v>1755</v>
      </c>
      <c r="O4125" s="2">
        <v>30</v>
      </c>
      <c r="P4125" s="8">
        <f t="shared" si="258"/>
        <v>1785</v>
      </c>
      <c r="Q4125" s="8">
        <f t="shared" si="259"/>
        <v>1725</v>
      </c>
      <c r="R4125" s="2" t="s">
        <v>28</v>
      </c>
      <c r="S4125" s="9">
        <f>VLOOKUP(P4125,$T$2:U4122,2,1)</f>
        <v>0.02</v>
      </c>
    </row>
    <row r="4126" spans="1:19" x14ac:dyDescent="0.25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e">
        <f>VLOOKUP(F4126,'Customer Info'!A4118:I4617,2,0)</f>
        <v>#N/A</v>
      </c>
      <c r="H4126" s="6" t="e">
        <f>VLOOKUP(F4126,'Customer Info'!A4118:I4617,3,0)</f>
        <v>#N/A</v>
      </c>
      <c r="I4126" s="6" t="e">
        <f>VLOOKUP(F4126,'Customer Info'!A4118:I4617,5,0)</f>
        <v>#N/A</v>
      </c>
      <c r="J4126" s="2">
        <v>1385</v>
      </c>
      <c r="K4126" s="2">
        <v>1295</v>
      </c>
      <c r="L4126" s="2">
        <v>6</v>
      </c>
      <c r="M4126" s="7">
        <f t="shared" si="256"/>
        <v>7770</v>
      </c>
      <c r="N4126" s="7">
        <f t="shared" si="257"/>
        <v>8310</v>
      </c>
      <c r="O4126" s="2">
        <v>87</v>
      </c>
      <c r="P4126" s="8">
        <f t="shared" si="258"/>
        <v>8397</v>
      </c>
      <c r="Q4126" s="8">
        <f t="shared" si="259"/>
        <v>8223</v>
      </c>
      <c r="R4126" s="2" t="s">
        <v>56</v>
      </c>
      <c r="S4126" s="9">
        <f>VLOOKUP(P4126,$T$2:U4123,2,1)</f>
        <v>0.05</v>
      </c>
    </row>
    <row r="4127" spans="1:19" x14ac:dyDescent="0.25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e">
        <f>VLOOKUP(F4127,'Customer Info'!A4119:I4618,2,0)</f>
        <v>#N/A</v>
      </c>
      <c r="H4127" s="6" t="e">
        <f>VLOOKUP(F4127,'Customer Info'!A4119:I4618,3,0)</f>
        <v>#N/A</v>
      </c>
      <c r="I4127" s="6" t="e">
        <f>VLOOKUP(F4127,'Customer Info'!A4119:I4618,5,0)</f>
        <v>#N/A</v>
      </c>
      <c r="J4127" s="2">
        <v>214</v>
      </c>
      <c r="K4127" s="2">
        <v>200</v>
      </c>
      <c r="L4127" s="2">
        <v>1</v>
      </c>
      <c r="M4127" s="7">
        <f t="shared" si="256"/>
        <v>200</v>
      </c>
      <c r="N4127" s="7">
        <f t="shared" si="257"/>
        <v>214</v>
      </c>
      <c r="O4127" s="2">
        <v>47</v>
      </c>
      <c r="P4127" s="8">
        <f t="shared" si="258"/>
        <v>261</v>
      </c>
      <c r="Q4127" s="8">
        <f t="shared" si="259"/>
        <v>167</v>
      </c>
      <c r="R4127" s="2" t="s">
        <v>28</v>
      </c>
      <c r="S4127" s="9">
        <f>VLOOKUP(P4127,$T$2:U4124,2,1)</f>
        <v>0.02</v>
      </c>
    </row>
    <row r="4128" spans="1:19" x14ac:dyDescent="0.25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e">
        <f>VLOOKUP(F4128,'Customer Info'!A4120:I4619,2,0)</f>
        <v>#N/A</v>
      </c>
      <c r="H4128" s="6" t="e">
        <f>VLOOKUP(F4128,'Customer Info'!A4120:I4619,3,0)</f>
        <v>#N/A</v>
      </c>
      <c r="I4128" s="6" t="e">
        <f>VLOOKUP(F4128,'Customer Info'!A4120:I4619,5,0)</f>
        <v>#N/A</v>
      </c>
      <c r="J4128" s="2">
        <v>4798</v>
      </c>
      <c r="K4128" s="2">
        <v>4448</v>
      </c>
      <c r="L4128" s="2">
        <v>2</v>
      </c>
      <c r="M4128" s="7">
        <f t="shared" si="256"/>
        <v>8896</v>
      </c>
      <c r="N4128" s="7">
        <f t="shared" si="257"/>
        <v>9596</v>
      </c>
      <c r="O4128" s="2">
        <v>52</v>
      </c>
      <c r="P4128" s="8">
        <f t="shared" si="258"/>
        <v>9648</v>
      </c>
      <c r="Q4128" s="8">
        <f t="shared" si="259"/>
        <v>9544</v>
      </c>
      <c r="R4128" s="2" t="s">
        <v>26</v>
      </c>
      <c r="S4128" s="9">
        <f>VLOOKUP(P4128,$T$2:U4125,2,1)</f>
        <v>0.05</v>
      </c>
    </row>
    <row r="4129" spans="1:19" x14ac:dyDescent="0.25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e">
        <f>VLOOKUP(F4129,'Customer Info'!A4121:I4620,2,0)</f>
        <v>#N/A</v>
      </c>
      <c r="H4129" s="6" t="e">
        <f>VLOOKUP(F4129,'Customer Info'!A4121:I4620,3,0)</f>
        <v>#N/A</v>
      </c>
      <c r="I4129" s="6" t="e">
        <f>VLOOKUP(F4129,'Customer Info'!A4121:I4620,5,0)</f>
        <v>#N/A</v>
      </c>
      <c r="J4129" s="2">
        <v>142</v>
      </c>
      <c r="K4129" s="2">
        <v>134</v>
      </c>
      <c r="L4129" s="2">
        <v>1</v>
      </c>
      <c r="M4129" s="7">
        <f t="shared" si="256"/>
        <v>134</v>
      </c>
      <c r="N4129" s="7">
        <f t="shared" si="257"/>
        <v>142</v>
      </c>
      <c r="O4129" s="2">
        <v>30</v>
      </c>
      <c r="P4129" s="8">
        <f t="shared" si="258"/>
        <v>172</v>
      </c>
      <c r="Q4129" s="8">
        <f t="shared" si="259"/>
        <v>112</v>
      </c>
      <c r="R4129" s="2" t="s">
        <v>50</v>
      </c>
      <c r="S4129" s="9">
        <f>VLOOKUP(P4129,$T$2:U4126,2,1)</f>
        <v>0.02</v>
      </c>
    </row>
    <row r="4130" spans="1:19" x14ac:dyDescent="0.25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e">
        <f>VLOOKUP(F4130,'Customer Info'!A4122:I4621,2,0)</f>
        <v>#N/A</v>
      </c>
      <c r="H4130" s="6" t="e">
        <f>VLOOKUP(F4130,'Customer Info'!A4122:I4621,3,0)</f>
        <v>#N/A</v>
      </c>
      <c r="I4130" s="6" t="e">
        <f>VLOOKUP(F4130,'Customer Info'!A4122:I4621,5,0)</f>
        <v>#N/A</v>
      </c>
      <c r="J4130" s="2">
        <v>1637</v>
      </c>
      <c r="K4130" s="2">
        <v>1591</v>
      </c>
      <c r="L4130" s="2">
        <v>2</v>
      </c>
      <c r="M4130" s="7">
        <f t="shared" si="256"/>
        <v>3182</v>
      </c>
      <c r="N4130" s="7">
        <f t="shared" si="257"/>
        <v>3274</v>
      </c>
      <c r="O4130" s="2">
        <v>62</v>
      </c>
      <c r="P4130" s="8">
        <f t="shared" si="258"/>
        <v>3336</v>
      </c>
      <c r="Q4130" s="8">
        <f t="shared" si="259"/>
        <v>3212</v>
      </c>
      <c r="R4130" s="2" t="s">
        <v>28</v>
      </c>
      <c r="S4130" s="9">
        <f>VLOOKUP(P4130,$T$2:U4127,2,1)</f>
        <v>0.02</v>
      </c>
    </row>
    <row r="4131" spans="1:19" x14ac:dyDescent="0.25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e">
        <f>VLOOKUP(F4131,'Customer Info'!A4123:I4622,2,0)</f>
        <v>#N/A</v>
      </c>
      <c r="H4131" s="6" t="e">
        <f>VLOOKUP(F4131,'Customer Info'!A4123:I4622,3,0)</f>
        <v>#N/A</v>
      </c>
      <c r="I4131" s="6" t="e">
        <f>VLOOKUP(F4131,'Customer Info'!A4123:I4622,5,0)</f>
        <v>#N/A</v>
      </c>
      <c r="J4131" s="2">
        <v>8738</v>
      </c>
      <c r="K4131" s="2">
        <v>8162</v>
      </c>
      <c r="L4131" s="2">
        <v>1</v>
      </c>
      <c r="M4131" s="7">
        <f t="shared" si="256"/>
        <v>8162</v>
      </c>
      <c r="N4131" s="7">
        <f t="shared" si="257"/>
        <v>8738</v>
      </c>
      <c r="O4131" s="2">
        <v>84</v>
      </c>
      <c r="P4131" s="8">
        <f t="shared" si="258"/>
        <v>8822</v>
      </c>
      <c r="Q4131" s="8">
        <f t="shared" si="259"/>
        <v>8654</v>
      </c>
      <c r="R4131" s="2" t="s">
        <v>50</v>
      </c>
      <c r="S4131" s="9">
        <f>VLOOKUP(P4131,$T$2:U4128,2,1)</f>
        <v>0.05</v>
      </c>
    </row>
    <row r="4132" spans="1:19" x14ac:dyDescent="0.25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e">
        <f>VLOOKUP(F4132,'Customer Info'!A4124:I4623,2,0)</f>
        <v>#N/A</v>
      </c>
      <c r="H4132" s="6" t="e">
        <f>VLOOKUP(F4132,'Customer Info'!A4124:I4623,3,0)</f>
        <v>#N/A</v>
      </c>
      <c r="I4132" s="6" t="e">
        <f>VLOOKUP(F4132,'Customer Info'!A4124:I4623,5,0)</f>
        <v>#N/A</v>
      </c>
      <c r="J4132" s="2">
        <v>968</v>
      </c>
      <c r="K4132" s="2">
        <v>913</v>
      </c>
      <c r="L4132" s="2">
        <v>4</v>
      </c>
      <c r="M4132" s="7">
        <f t="shared" si="256"/>
        <v>3652</v>
      </c>
      <c r="N4132" s="7">
        <f t="shared" si="257"/>
        <v>3872</v>
      </c>
      <c r="O4132" s="2">
        <v>66</v>
      </c>
      <c r="P4132" s="8">
        <f t="shared" si="258"/>
        <v>3938</v>
      </c>
      <c r="Q4132" s="8">
        <f t="shared" si="259"/>
        <v>3806</v>
      </c>
      <c r="R4132" s="2" t="s">
        <v>26</v>
      </c>
      <c r="S4132" s="9">
        <f>VLOOKUP(P4132,$T$2:U4129,2,1)</f>
        <v>0.02</v>
      </c>
    </row>
    <row r="4133" spans="1:19" x14ac:dyDescent="0.25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e">
        <f>VLOOKUP(F4133,'Customer Info'!A4125:I4624,2,0)</f>
        <v>#N/A</v>
      </c>
      <c r="H4133" s="6" t="e">
        <f>VLOOKUP(F4133,'Customer Info'!A4125:I4624,3,0)</f>
        <v>#N/A</v>
      </c>
      <c r="I4133" s="6" t="e">
        <f>VLOOKUP(F4133,'Customer Info'!A4125:I4624,5,0)</f>
        <v>#N/A</v>
      </c>
      <c r="J4133" s="2">
        <v>4704</v>
      </c>
      <c r="K4133" s="2">
        <v>4361</v>
      </c>
      <c r="L4133" s="2">
        <v>11</v>
      </c>
      <c r="M4133" s="7">
        <f t="shared" si="256"/>
        <v>47971</v>
      </c>
      <c r="N4133" s="7">
        <f t="shared" si="257"/>
        <v>51744</v>
      </c>
      <c r="O4133" s="2">
        <v>35</v>
      </c>
      <c r="P4133" s="8">
        <f t="shared" si="258"/>
        <v>51779</v>
      </c>
      <c r="Q4133" s="8">
        <f t="shared" si="259"/>
        <v>51709</v>
      </c>
      <c r="R4133" s="2" t="s">
        <v>28</v>
      </c>
      <c r="S4133" s="9">
        <f>VLOOKUP(P4133,$T$2:U4130,2,1)</f>
        <v>0.09</v>
      </c>
    </row>
    <row r="4134" spans="1:19" x14ac:dyDescent="0.25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e">
        <f>VLOOKUP(F4134,'Customer Info'!A4126:I4625,2,0)</f>
        <v>#N/A</v>
      </c>
      <c r="H4134" s="6" t="e">
        <f>VLOOKUP(F4134,'Customer Info'!A4126:I4625,3,0)</f>
        <v>#N/A</v>
      </c>
      <c r="I4134" s="6" t="e">
        <f>VLOOKUP(F4134,'Customer Info'!A4126:I4625,5,0)</f>
        <v>#N/A</v>
      </c>
      <c r="J4134" s="2">
        <v>1453</v>
      </c>
      <c r="K4134" s="2">
        <v>1411</v>
      </c>
      <c r="L4134" s="2">
        <v>3</v>
      </c>
      <c r="M4134" s="7">
        <f t="shared" si="256"/>
        <v>4233</v>
      </c>
      <c r="N4134" s="7">
        <f t="shared" si="257"/>
        <v>4359</v>
      </c>
      <c r="O4134" s="2">
        <v>29</v>
      </c>
      <c r="P4134" s="8">
        <f t="shared" si="258"/>
        <v>4388</v>
      </c>
      <c r="Q4134" s="8">
        <f t="shared" si="259"/>
        <v>4330</v>
      </c>
      <c r="R4134" s="2" t="s">
        <v>28</v>
      </c>
      <c r="S4134" s="9">
        <f>VLOOKUP(P4134,$T$2:U4131,2,1)</f>
        <v>0.02</v>
      </c>
    </row>
    <row r="4135" spans="1:19" x14ac:dyDescent="0.25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e">
        <f>VLOOKUP(F4135,'Customer Info'!A4127:I4626,2,0)</f>
        <v>#N/A</v>
      </c>
      <c r="H4135" s="6" t="e">
        <f>VLOOKUP(F4135,'Customer Info'!A4127:I4626,3,0)</f>
        <v>#N/A</v>
      </c>
      <c r="I4135" s="6" t="e">
        <f>VLOOKUP(F4135,'Customer Info'!A4127:I4626,5,0)</f>
        <v>#N/A</v>
      </c>
      <c r="J4135" s="2">
        <v>495</v>
      </c>
      <c r="K4135" s="2">
        <v>458</v>
      </c>
      <c r="L4135" s="2">
        <v>2</v>
      </c>
      <c r="M4135" s="7">
        <f t="shared" si="256"/>
        <v>916</v>
      </c>
      <c r="N4135" s="7">
        <f t="shared" si="257"/>
        <v>990</v>
      </c>
      <c r="O4135" s="2">
        <v>82</v>
      </c>
      <c r="P4135" s="8">
        <f t="shared" si="258"/>
        <v>1072</v>
      </c>
      <c r="Q4135" s="8">
        <f t="shared" si="259"/>
        <v>908</v>
      </c>
      <c r="R4135" s="2" t="s">
        <v>28</v>
      </c>
      <c r="S4135" s="9">
        <f>VLOOKUP(P4135,$T$2:U4132,2,1)</f>
        <v>0.02</v>
      </c>
    </row>
    <row r="4136" spans="1:19" x14ac:dyDescent="0.25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e">
        <f>VLOOKUP(F4136,'Customer Info'!A4128:I4627,2,0)</f>
        <v>#N/A</v>
      </c>
      <c r="H4136" s="6" t="e">
        <f>VLOOKUP(F4136,'Customer Info'!A4128:I4627,3,0)</f>
        <v>#N/A</v>
      </c>
      <c r="I4136" s="6" t="e">
        <f>VLOOKUP(F4136,'Customer Info'!A4128:I4627,5,0)</f>
        <v>#N/A</v>
      </c>
      <c r="J4136" s="2">
        <v>1718</v>
      </c>
      <c r="K4136" s="2">
        <v>1545</v>
      </c>
      <c r="L4136" s="2">
        <v>4</v>
      </c>
      <c r="M4136" s="7">
        <f t="shared" si="256"/>
        <v>6180</v>
      </c>
      <c r="N4136" s="7">
        <f t="shared" si="257"/>
        <v>6872</v>
      </c>
      <c r="O4136" s="2">
        <v>32</v>
      </c>
      <c r="P4136" s="8">
        <f t="shared" si="258"/>
        <v>6904</v>
      </c>
      <c r="Q4136" s="8">
        <f t="shared" si="259"/>
        <v>6840</v>
      </c>
      <c r="R4136" s="2" t="s">
        <v>28</v>
      </c>
      <c r="S4136" s="9">
        <f>VLOOKUP(P4136,$T$2:U4133,2,1)</f>
        <v>0.05</v>
      </c>
    </row>
    <row r="4137" spans="1:19" x14ac:dyDescent="0.25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e">
        <f>VLOOKUP(F4137,'Customer Info'!A4129:I4628,2,0)</f>
        <v>#N/A</v>
      </c>
      <c r="H4137" s="6" t="e">
        <f>VLOOKUP(F4137,'Customer Info'!A4129:I4628,3,0)</f>
        <v>#N/A</v>
      </c>
      <c r="I4137" s="6" t="e">
        <f>VLOOKUP(F4137,'Customer Info'!A4129:I4628,5,0)</f>
        <v>#N/A</v>
      </c>
      <c r="J4137" s="2">
        <v>27691</v>
      </c>
      <c r="K4137" s="2">
        <v>25616</v>
      </c>
      <c r="L4137" s="2">
        <v>4</v>
      </c>
      <c r="M4137" s="7">
        <f t="shared" si="256"/>
        <v>102464</v>
      </c>
      <c r="N4137" s="7">
        <f t="shared" si="257"/>
        <v>110764</v>
      </c>
      <c r="O4137" s="2">
        <v>53</v>
      </c>
      <c r="P4137" s="8">
        <f t="shared" si="258"/>
        <v>110817</v>
      </c>
      <c r="Q4137" s="8">
        <f t="shared" si="259"/>
        <v>110711</v>
      </c>
      <c r="R4137" s="2" t="s">
        <v>50</v>
      </c>
      <c r="S4137" s="9">
        <f>VLOOKUP(P4137,$T$2:U4134,2,1)</f>
        <v>0.12</v>
      </c>
    </row>
    <row r="4138" spans="1:19" x14ac:dyDescent="0.25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e">
        <f>VLOOKUP(F4138,'Customer Info'!A4130:I4629,2,0)</f>
        <v>#N/A</v>
      </c>
      <c r="H4138" s="6" t="e">
        <f>VLOOKUP(F4138,'Customer Info'!A4130:I4629,3,0)</f>
        <v>#N/A</v>
      </c>
      <c r="I4138" s="6" t="e">
        <f>VLOOKUP(F4138,'Customer Info'!A4130:I4629,5,0)</f>
        <v>#N/A</v>
      </c>
      <c r="J4138" s="2">
        <v>2466</v>
      </c>
      <c r="K4138" s="2">
        <v>2350</v>
      </c>
      <c r="L4138" s="2">
        <v>11</v>
      </c>
      <c r="M4138" s="7">
        <f t="shared" si="256"/>
        <v>25850</v>
      </c>
      <c r="N4138" s="7">
        <f t="shared" si="257"/>
        <v>27126</v>
      </c>
      <c r="O4138" s="2">
        <v>93</v>
      </c>
      <c r="P4138" s="8">
        <f t="shared" si="258"/>
        <v>27219</v>
      </c>
      <c r="Q4138" s="8">
        <f t="shared" si="259"/>
        <v>27033</v>
      </c>
      <c r="R4138" s="2" t="s">
        <v>26</v>
      </c>
      <c r="S4138" s="9">
        <f>VLOOKUP(P4138,$T$2:U4135,2,1)</f>
        <v>7.0000000000000007E-2</v>
      </c>
    </row>
    <row r="4139" spans="1:19" x14ac:dyDescent="0.25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e">
        <f>VLOOKUP(F4139,'Customer Info'!A4131:I4630,2,0)</f>
        <v>#N/A</v>
      </c>
      <c r="H4139" s="6" t="e">
        <f>VLOOKUP(F4139,'Customer Info'!A4131:I4630,3,0)</f>
        <v>#N/A</v>
      </c>
      <c r="I4139" s="6" t="e">
        <f>VLOOKUP(F4139,'Customer Info'!A4131:I4630,5,0)</f>
        <v>#N/A</v>
      </c>
      <c r="J4139" s="2">
        <v>1169</v>
      </c>
      <c r="K4139" s="2">
        <v>1103</v>
      </c>
      <c r="L4139" s="2">
        <v>4</v>
      </c>
      <c r="M4139" s="7">
        <f t="shared" si="256"/>
        <v>4412</v>
      </c>
      <c r="N4139" s="7">
        <f t="shared" si="257"/>
        <v>4676</v>
      </c>
      <c r="O4139" s="2">
        <v>90</v>
      </c>
      <c r="P4139" s="8">
        <f t="shared" si="258"/>
        <v>4766</v>
      </c>
      <c r="Q4139" s="8">
        <f t="shared" si="259"/>
        <v>4586</v>
      </c>
      <c r="R4139" s="2" t="s">
        <v>28</v>
      </c>
      <c r="S4139" s="9">
        <f>VLOOKUP(P4139,$T$2:U4136,2,1)</f>
        <v>0.02</v>
      </c>
    </row>
    <row r="4140" spans="1:19" x14ac:dyDescent="0.25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e">
        <f>VLOOKUP(F4140,'Customer Info'!A4132:I4631,2,0)</f>
        <v>#N/A</v>
      </c>
      <c r="H4140" s="6" t="e">
        <f>VLOOKUP(F4140,'Customer Info'!A4132:I4631,3,0)</f>
        <v>#N/A</v>
      </c>
      <c r="I4140" s="6" t="e">
        <f>VLOOKUP(F4140,'Customer Info'!A4132:I4631,5,0)</f>
        <v>#N/A</v>
      </c>
      <c r="J4140" s="2">
        <v>210</v>
      </c>
      <c r="K4140" s="2">
        <v>193</v>
      </c>
      <c r="L4140" s="2">
        <v>1</v>
      </c>
      <c r="M4140" s="7">
        <f t="shared" si="256"/>
        <v>193</v>
      </c>
      <c r="N4140" s="7">
        <f t="shared" si="257"/>
        <v>210</v>
      </c>
      <c r="O4140" s="2">
        <v>32</v>
      </c>
      <c r="P4140" s="8">
        <f t="shared" si="258"/>
        <v>242</v>
      </c>
      <c r="Q4140" s="8">
        <f t="shared" si="259"/>
        <v>178</v>
      </c>
      <c r="R4140" s="2" t="s">
        <v>28</v>
      </c>
      <c r="S4140" s="9">
        <f>VLOOKUP(P4140,$T$2:U4137,2,1)</f>
        <v>0.02</v>
      </c>
    </row>
    <row r="4141" spans="1:19" x14ac:dyDescent="0.25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e">
        <f>VLOOKUP(F4141,'Customer Info'!A4133:I4632,2,0)</f>
        <v>#N/A</v>
      </c>
      <c r="H4141" s="6" t="e">
        <f>VLOOKUP(F4141,'Customer Info'!A4133:I4632,3,0)</f>
        <v>#N/A</v>
      </c>
      <c r="I4141" s="6" t="e">
        <f>VLOOKUP(F4141,'Customer Info'!A4133:I4632,5,0)</f>
        <v>#N/A</v>
      </c>
      <c r="J4141" s="2">
        <v>1332</v>
      </c>
      <c r="K4141" s="2">
        <v>1209</v>
      </c>
      <c r="L4141" s="2">
        <v>1</v>
      </c>
      <c r="M4141" s="7">
        <f t="shared" si="256"/>
        <v>1209</v>
      </c>
      <c r="N4141" s="7">
        <f t="shared" si="257"/>
        <v>1332</v>
      </c>
      <c r="O4141" s="2">
        <v>43</v>
      </c>
      <c r="P4141" s="8">
        <f t="shared" si="258"/>
        <v>1375</v>
      </c>
      <c r="Q4141" s="8">
        <f t="shared" si="259"/>
        <v>1289</v>
      </c>
      <c r="R4141" s="2" t="s">
        <v>50</v>
      </c>
      <c r="S4141" s="9">
        <f>VLOOKUP(P4141,$T$2:U4138,2,1)</f>
        <v>0.02</v>
      </c>
    </row>
    <row r="4142" spans="1:19" x14ac:dyDescent="0.25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e">
        <f>VLOOKUP(F4142,'Customer Info'!A4134:I4633,2,0)</f>
        <v>#N/A</v>
      </c>
      <c r="H4142" s="6" t="e">
        <f>VLOOKUP(F4142,'Customer Info'!A4134:I4633,3,0)</f>
        <v>#N/A</v>
      </c>
      <c r="I4142" s="6" t="e">
        <f>VLOOKUP(F4142,'Customer Info'!A4134:I4633,5,0)</f>
        <v>#N/A</v>
      </c>
      <c r="J4142" s="2">
        <v>29378</v>
      </c>
      <c r="K4142" s="2">
        <v>26912</v>
      </c>
      <c r="L4142" s="2">
        <v>1</v>
      </c>
      <c r="M4142" s="7">
        <f t="shared" si="256"/>
        <v>26912</v>
      </c>
      <c r="N4142" s="7">
        <f t="shared" si="257"/>
        <v>29378</v>
      </c>
      <c r="O4142" s="2">
        <v>95</v>
      </c>
      <c r="P4142" s="8">
        <f t="shared" si="258"/>
        <v>29473</v>
      </c>
      <c r="Q4142" s="8">
        <f t="shared" si="259"/>
        <v>29283</v>
      </c>
      <c r="R4142" s="2" t="s">
        <v>28</v>
      </c>
      <c r="S4142" s="9">
        <f>VLOOKUP(P4142,$T$2:U4139,2,1)</f>
        <v>7.0000000000000007E-2</v>
      </c>
    </row>
    <row r="4143" spans="1:19" x14ac:dyDescent="0.25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e">
        <f>VLOOKUP(F4143,'Customer Info'!A4135:I4634,2,0)</f>
        <v>#N/A</v>
      </c>
      <c r="H4143" s="6" t="e">
        <f>VLOOKUP(F4143,'Customer Info'!A4135:I4634,3,0)</f>
        <v>#N/A</v>
      </c>
      <c r="I4143" s="6" t="e">
        <f>VLOOKUP(F4143,'Customer Info'!A4135:I4634,5,0)</f>
        <v>#N/A</v>
      </c>
      <c r="J4143" s="2">
        <v>743</v>
      </c>
      <c r="K4143" s="2">
        <v>694</v>
      </c>
      <c r="L4143" s="2">
        <v>4</v>
      </c>
      <c r="M4143" s="7">
        <f t="shared" si="256"/>
        <v>2776</v>
      </c>
      <c r="N4143" s="7">
        <f t="shared" si="257"/>
        <v>2972</v>
      </c>
      <c r="O4143" s="2">
        <v>36</v>
      </c>
      <c r="P4143" s="8">
        <f t="shared" si="258"/>
        <v>3008</v>
      </c>
      <c r="Q4143" s="8">
        <f t="shared" si="259"/>
        <v>2936</v>
      </c>
      <c r="R4143" s="2" t="s">
        <v>28</v>
      </c>
      <c r="S4143" s="9">
        <f>VLOOKUP(P4143,$T$2:U4140,2,1)</f>
        <v>0.02</v>
      </c>
    </row>
    <row r="4144" spans="1:19" x14ac:dyDescent="0.25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e">
        <f>VLOOKUP(F4144,'Customer Info'!A4136:I4635,2,0)</f>
        <v>#N/A</v>
      </c>
      <c r="H4144" s="6" t="e">
        <f>VLOOKUP(F4144,'Customer Info'!A4136:I4635,3,0)</f>
        <v>#N/A</v>
      </c>
      <c r="I4144" s="6" t="e">
        <f>VLOOKUP(F4144,'Customer Info'!A4136:I4635,5,0)</f>
        <v>#N/A</v>
      </c>
      <c r="J4144" s="2">
        <v>531</v>
      </c>
      <c r="K4144" s="2">
        <v>487</v>
      </c>
      <c r="L4144" s="2">
        <v>8</v>
      </c>
      <c r="M4144" s="7">
        <f t="shared" si="256"/>
        <v>3896</v>
      </c>
      <c r="N4144" s="7">
        <f t="shared" si="257"/>
        <v>4248</v>
      </c>
      <c r="O4144" s="2">
        <v>53</v>
      </c>
      <c r="P4144" s="8">
        <f t="shared" si="258"/>
        <v>4301</v>
      </c>
      <c r="Q4144" s="8">
        <f t="shared" si="259"/>
        <v>4195</v>
      </c>
      <c r="R4144" s="2" t="s">
        <v>50</v>
      </c>
      <c r="S4144" s="9">
        <f>VLOOKUP(P4144,$T$2:U4141,2,1)</f>
        <v>0.02</v>
      </c>
    </row>
    <row r="4145" spans="1:19" x14ac:dyDescent="0.25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e">
        <f>VLOOKUP(F4145,'Customer Info'!A4137:I4636,2,0)</f>
        <v>#N/A</v>
      </c>
      <c r="H4145" s="6" t="e">
        <f>VLOOKUP(F4145,'Customer Info'!A4137:I4636,3,0)</f>
        <v>#N/A</v>
      </c>
      <c r="I4145" s="6" t="e">
        <f>VLOOKUP(F4145,'Customer Info'!A4137:I4636,5,0)</f>
        <v>#N/A</v>
      </c>
      <c r="J4145" s="2">
        <v>5906</v>
      </c>
      <c r="K4145" s="2">
        <v>5266</v>
      </c>
      <c r="L4145" s="2">
        <v>2</v>
      </c>
      <c r="M4145" s="7">
        <f t="shared" si="256"/>
        <v>10532</v>
      </c>
      <c r="N4145" s="7">
        <f t="shared" si="257"/>
        <v>11812</v>
      </c>
      <c r="O4145" s="2">
        <v>92</v>
      </c>
      <c r="P4145" s="8">
        <f t="shared" si="258"/>
        <v>11904</v>
      </c>
      <c r="Q4145" s="8">
        <f t="shared" si="259"/>
        <v>11720</v>
      </c>
      <c r="R4145" s="2" t="s">
        <v>50</v>
      </c>
      <c r="S4145" s="9">
        <f>VLOOKUP(P4145,$T$2:U4142,2,1)</f>
        <v>0.05</v>
      </c>
    </row>
    <row r="4146" spans="1:19" x14ac:dyDescent="0.25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e">
        <f>VLOOKUP(F4146,'Customer Info'!A4138:I4637,2,0)</f>
        <v>#N/A</v>
      </c>
      <c r="H4146" s="6" t="e">
        <f>VLOOKUP(F4146,'Customer Info'!A4138:I4637,3,0)</f>
        <v>#N/A</v>
      </c>
      <c r="I4146" s="6" t="e">
        <f>VLOOKUP(F4146,'Customer Info'!A4138:I4637,5,0)</f>
        <v>#N/A</v>
      </c>
      <c r="J4146" s="2">
        <v>1359</v>
      </c>
      <c r="K4146" s="2">
        <v>1221</v>
      </c>
      <c r="L4146" s="2">
        <v>2</v>
      </c>
      <c r="M4146" s="7">
        <f t="shared" si="256"/>
        <v>2442</v>
      </c>
      <c r="N4146" s="7">
        <f t="shared" si="257"/>
        <v>2718</v>
      </c>
      <c r="O4146" s="2">
        <v>80</v>
      </c>
      <c r="P4146" s="8">
        <f t="shared" si="258"/>
        <v>2798</v>
      </c>
      <c r="Q4146" s="8">
        <f t="shared" si="259"/>
        <v>2638</v>
      </c>
      <c r="R4146" s="2" t="s">
        <v>50</v>
      </c>
      <c r="S4146" s="9">
        <f>VLOOKUP(P4146,$T$2:U4143,2,1)</f>
        <v>0.02</v>
      </c>
    </row>
    <row r="4147" spans="1:19" x14ac:dyDescent="0.25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e">
        <f>VLOOKUP(F4147,'Customer Info'!A4139:I4638,2,0)</f>
        <v>#N/A</v>
      </c>
      <c r="H4147" s="6" t="e">
        <f>VLOOKUP(F4147,'Customer Info'!A4139:I4638,3,0)</f>
        <v>#N/A</v>
      </c>
      <c r="I4147" s="6" t="e">
        <f>VLOOKUP(F4147,'Customer Info'!A4139:I4638,5,0)</f>
        <v>#N/A</v>
      </c>
      <c r="J4147" s="2">
        <v>887</v>
      </c>
      <c r="K4147" s="2">
        <v>814</v>
      </c>
      <c r="L4147" s="2">
        <v>6</v>
      </c>
      <c r="M4147" s="7">
        <f t="shared" si="256"/>
        <v>4884</v>
      </c>
      <c r="N4147" s="7">
        <f t="shared" si="257"/>
        <v>5322</v>
      </c>
      <c r="O4147" s="2">
        <v>96</v>
      </c>
      <c r="P4147" s="8">
        <f t="shared" si="258"/>
        <v>5418</v>
      </c>
      <c r="Q4147" s="8">
        <f t="shared" si="259"/>
        <v>5226</v>
      </c>
      <c r="R4147" s="2" t="s">
        <v>28</v>
      </c>
      <c r="S4147" s="9">
        <f>VLOOKUP(P4147,$T$2:U4144,2,1)</f>
        <v>0.05</v>
      </c>
    </row>
    <row r="4148" spans="1:19" x14ac:dyDescent="0.25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e">
        <f>VLOOKUP(F4148,'Customer Info'!A4140:I4639,2,0)</f>
        <v>#N/A</v>
      </c>
      <c r="H4148" s="6" t="e">
        <f>VLOOKUP(F4148,'Customer Info'!A4140:I4639,3,0)</f>
        <v>#N/A</v>
      </c>
      <c r="I4148" s="6" t="e">
        <f>VLOOKUP(F4148,'Customer Info'!A4140:I4639,5,0)</f>
        <v>#N/A</v>
      </c>
      <c r="J4148" s="2">
        <v>3248</v>
      </c>
      <c r="K4148" s="2">
        <v>3035</v>
      </c>
      <c r="L4148" s="2">
        <v>6</v>
      </c>
      <c r="M4148" s="7">
        <f t="shared" si="256"/>
        <v>18210</v>
      </c>
      <c r="N4148" s="7">
        <f t="shared" si="257"/>
        <v>19488</v>
      </c>
      <c r="O4148" s="2">
        <v>71</v>
      </c>
      <c r="P4148" s="8">
        <f t="shared" si="258"/>
        <v>19559</v>
      </c>
      <c r="Q4148" s="8">
        <f t="shared" si="259"/>
        <v>19417</v>
      </c>
      <c r="R4148" s="2" t="s">
        <v>28</v>
      </c>
      <c r="S4148" s="9">
        <f>VLOOKUP(P4148,$T$2:U4145,2,1)</f>
        <v>0.05</v>
      </c>
    </row>
    <row r="4149" spans="1:19" x14ac:dyDescent="0.25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e">
        <f>VLOOKUP(F4149,'Customer Info'!A4141:I4640,2,0)</f>
        <v>#N/A</v>
      </c>
      <c r="H4149" s="6" t="e">
        <f>VLOOKUP(F4149,'Customer Info'!A4141:I4640,3,0)</f>
        <v>#N/A</v>
      </c>
      <c r="I4149" s="6" t="e">
        <f>VLOOKUP(F4149,'Customer Info'!A4141:I4640,5,0)</f>
        <v>#N/A</v>
      </c>
      <c r="J4149" s="2">
        <v>2981</v>
      </c>
      <c r="K4149" s="2">
        <v>2870</v>
      </c>
      <c r="L4149" s="2">
        <v>1</v>
      </c>
      <c r="M4149" s="7">
        <f t="shared" si="256"/>
        <v>2870</v>
      </c>
      <c r="N4149" s="7">
        <f t="shared" si="257"/>
        <v>2981</v>
      </c>
      <c r="O4149" s="2">
        <v>26</v>
      </c>
      <c r="P4149" s="8">
        <f t="shared" si="258"/>
        <v>3007</v>
      </c>
      <c r="Q4149" s="8">
        <f t="shared" si="259"/>
        <v>2955</v>
      </c>
      <c r="R4149" s="2" t="s">
        <v>28</v>
      </c>
      <c r="S4149" s="9">
        <f>VLOOKUP(P4149,$T$2:U4146,2,1)</f>
        <v>0.02</v>
      </c>
    </row>
    <row r="4150" spans="1:19" x14ac:dyDescent="0.25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e">
        <f>VLOOKUP(F4150,'Customer Info'!A4142:I4641,2,0)</f>
        <v>#N/A</v>
      </c>
      <c r="H4150" s="6" t="e">
        <f>VLOOKUP(F4150,'Customer Info'!A4142:I4641,3,0)</f>
        <v>#N/A</v>
      </c>
      <c r="I4150" s="6" t="e">
        <f>VLOOKUP(F4150,'Customer Info'!A4142:I4641,5,0)</f>
        <v>#N/A</v>
      </c>
      <c r="J4150" s="2">
        <v>3017</v>
      </c>
      <c r="K4150" s="2">
        <v>2825</v>
      </c>
      <c r="L4150" s="2">
        <v>7</v>
      </c>
      <c r="M4150" s="7">
        <f t="shared" si="256"/>
        <v>19775</v>
      </c>
      <c r="N4150" s="7">
        <f t="shared" si="257"/>
        <v>21119</v>
      </c>
      <c r="O4150" s="2">
        <v>94</v>
      </c>
      <c r="P4150" s="8">
        <f t="shared" si="258"/>
        <v>21213</v>
      </c>
      <c r="Q4150" s="8">
        <f t="shared" si="259"/>
        <v>21025</v>
      </c>
      <c r="R4150" s="2" t="s">
        <v>28</v>
      </c>
      <c r="S4150" s="9">
        <f>VLOOKUP(P4150,$T$2:U4147,2,1)</f>
        <v>0.05</v>
      </c>
    </row>
    <row r="4151" spans="1:19" x14ac:dyDescent="0.25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e">
        <f>VLOOKUP(F4151,'Customer Info'!A4143:I4642,2,0)</f>
        <v>#N/A</v>
      </c>
      <c r="H4151" s="6" t="e">
        <f>VLOOKUP(F4151,'Customer Info'!A4143:I4642,3,0)</f>
        <v>#N/A</v>
      </c>
      <c r="I4151" s="6" t="e">
        <f>VLOOKUP(F4151,'Customer Info'!A4143:I4642,5,0)</f>
        <v>#N/A</v>
      </c>
      <c r="J4151" s="2">
        <v>81</v>
      </c>
      <c r="K4151" s="2">
        <v>77</v>
      </c>
      <c r="L4151" s="2">
        <v>2</v>
      </c>
      <c r="M4151" s="7">
        <f t="shared" si="256"/>
        <v>154</v>
      </c>
      <c r="N4151" s="7">
        <f t="shared" si="257"/>
        <v>162</v>
      </c>
      <c r="O4151" s="2">
        <v>10</v>
      </c>
      <c r="P4151" s="8">
        <f t="shared" si="258"/>
        <v>172</v>
      </c>
      <c r="Q4151" s="8">
        <f t="shared" si="259"/>
        <v>152</v>
      </c>
      <c r="R4151" s="2" t="s">
        <v>50</v>
      </c>
      <c r="S4151" s="9">
        <f>VLOOKUP(P4151,$T$2:U4148,2,1)</f>
        <v>0.02</v>
      </c>
    </row>
    <row r="4152" spans="1:19" x14ac:dyDescent="0.25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e">
        <f>VLOOKUP(F4152,'Customer Info'!A4144:I4643,2,0)</f>
        <v>#N/A</v>
      </c>
      <c r="H4152" s="6" t="e">
        <f>VLOOKUP(F4152,'Customer Info'!A4144:I4643,3,0)</f>
        <v>#N/A</v>
      </c>
      <c r="I4152" s="6" t="e">
        <f>VLOOKUP(F4152,'Customer Info'!A4144:I4643,5,0)</f>
        <v>#N/A</v>
      </c>
      <c r="J4152" s="2">
        <v>8617</v>
      </c>
      <c r="K4152" s="2">
        <v>7900</v>
      </c>
      <c r="L4152" s="2">
        <v>4</v>
      </c>
      <c r="M4152" s="7">
        <f t="shared" si="256"/>
        <v>31600</v>
      </c>
      <c r="N4152" s="7">
        <f t="shared" si="257"/>
        <v>34468</v>
      </c>
      <c r="O4152" s="2">
        <v>67</v>
      </c>
      <c r="P4152" s="8">
        <f t="shared" si="258"/>
        <v>34535</v>
      </c>
      <c r="Q4152" s="8">
        <f t="shared" si="259"/>
        <v>34401</v>
      </c>
      <c r="R4152" s="2" t="s">
        <v>28</v>
      </c>
      <c r="S4152" s="9">
        <f>VLOOKUP(P4152,$T$2:U4149,2,1)</f>
        <v>7.0000000000000007E-2</v>
      </c>
    </row>
    <row r="4153" spans="1:19" x14ac:dyDescent="0.25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e">
        <f>VLOOKUP(F4153,'Customer Info'!A4145:I4644,2,0)</f>
        <v>#N/A</v>
      </c>
      <c r="H4153" s="6" t="e">
        <f>VLOOKUP(F4153,'Customer Info'!A4145:I4644,3,0)</f>
        <v>#N/A</v>
      </c>
      <c r="I4153" s="6" t="e">
        <f>VLOOKUP(F4153,'Customer Info'!A4145:I4644,5,0)</f>
        <v>#N/A</v>
      </c>
      <c r="J4153" s="2">
        <v>1048</v>
      </c>
      <c r="K4153" s="2">
        <v>979</v>
      </c>
      <c r="L4153" s="2">
        <v>3</v>
      </c>
      <c r="M4153" s="7">
        <f t="shared" si="256"/>
        <v>2937</v>
      </c>
      <c r="N4153" s="7">
        <f t="shared" si="257"/>
        <v>3144</v>
      </c>
      <c r="O4153" s="2">
        <v>65</v>
      </c>
      <c r="P4153" s="8">
        <f t="shared" si="258"/>
        <v>3209</v>
      </c>
      <c r="Q4153" s="8">
        <f t="shared" si="259"/>
        <v>3079</v>
      </c>
      <c r="R4153" s="2" t="s">
        <v>28</v>
      </c>
      <c r="S4153" s="9">
        <f>VLOOKUP(P4153,$T$2:U4150,2,1)</f>
        <v>0.02</v>
      </c>
    </row>
    <row r="4154" spans="1:19" x14ac:dyDescent="0.25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e">
        <f>VLOOKUP(F4154,'Customer Info'!A4146:I4645,2,0)</f>
        <v>#N/A</v>
      </c>
      <c r="H4154" s="6" t="e">
        <f>VLOOKUP(F4154,'Customer Info'!A4146:I4645,3,0)</f>
        <v>#N/A</v>
      </c>
      <c r="I4154" s="6" t="e">
        <f>VLOOKUP(F4154,'Customer Info'!A4146:I4645,5,0)</f>
        <v>#N/A</v>
      </c>
      <c r="J4154" s="2">
        <v>2787</v>
      </c>
      <c r="K4154" s="2">
        <v>2681</v>
      </c>
      <c r="L4154" s="2">
        <v>1</v>
      </c>
      <c r="M4154" s="7">
        <f t="shared" si="256"/>
        <v>2681</v>
      </c>
      <c r="N4154" s="7">
        <f t="shared" si="257"/>
        <v>2787</v>
      </c>
      <c r="O4154" s="2">
        <v>50</v>
      </c>
      <c r="P4154" s="8">
        <f t="shared" si="258"/>
        <v>2837</v>
      </c>
      <c r="Q4154" s="8">
        <f t="shared" si="259"/>
        <v>2737</v>
      </c>
      <c r="R4154" s="2" t="s">
        <v>50</v>
      </c>
      <c r="S4154" s="9">
        <f>VLOOKUP(P4154,$T$2:U4151,2,1)</f>
        <v>0.02</v>
      </c>
    </row>
    <row r="4155" spans="1:19" x14ac:dyDescent="0.25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e">
        <f>VLOOKUP(F4155,'Customer Info'!A4147:I4646,2,0)</f>
        <v>#N/A</v>
      </c>
      <c r="H4155" s="6" t="e">
        <f>VLOOKUP(F4155,'Customer Info'!A4147:I4646,3,0)</f>
        <v>#N/A</v>
      </c>
      <c r="I4155" s="6" t="e">
        <f>VLOOKUP(F4155,'Customer Info'!A4147:I4646,5,0)</f>
        <v>#N/A</v>
      </c>
      <c r="J4155" s="2">
        <v>138</v>
      </c>
      <c r="K4155" s="2">
        <v>128</v>
      </c>
      <c r="L4155" s="2">
        <v>6</v>
      </c>
      <c r="M4155" s="7">
        <f t="shared" si="256"/>
        <v>768</v>
      </c>
      <c r="N4155" s="7">
        <f t="shared" si="257"/>
        <v>828</v>
      </c>
      <c r="O4155" s="2">
        <v>30</v>
      </c>
      <c r="P4155" s="8">
        <f t="shared" si="258"/>
        <v>858</v>
      </c>
      <c r="Q4155" s="8">
        <f t="shared" si="259"/>
        <v>798</v>
      </c>
      <c r="R4155" s="2" t="s">
        <v>26</v>
      </c>
      <c r="S4155" s="9">
        <f>VLOOKUP(P4155,$T$2:U4152,2,1)</f>
        <v>0.02</v>
      </c>
    </row>
    <row r="4156" spans="1:19" x14ac:dyDescent="0.25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e">
        <f>VLOOKUP(F4156,'Customer Info'!A4148:I4647,2,0)</f>
        <v>#N/A</v>
      </c>
      <c r="H4156" s="6" t="e">
        <f>VLOOKUP(F4156,'Customer Info'!A4148:I4647,3,0)</f>
        <v>#N/A</v>
      </c>
      <c r="I4156" s="6" t="e">
        <f>VLOOKUP(F4156,'Customer Info'!A4148:I4647,5,0)</f>
        <v>#N/A</v>
      </c>
      <c r="J4156" s="2">
        <v>2273</v>
      </c>
      <c r="K4156" s="2">
        <v>2229</v>
      </c>
      <c r="L4156" s="2">
        <v>2</v>
      </c>
      <c r="M4156" s="7">
        <f t="shared" si="256"/>
        <v>4458</v>
      </c>
      <c r="N4156" s="7">
        <f t="shared" si="257"/>
        <v>4546</v>
      </c>
      <c r="O4156" s="2">
        <v>81</v>
      </c>
      <c r="P4156" s="8">
        <f t="shared" si="258"/>
        <v>4627</v>
      </c>
      <c r="Q4156" s="8">
        <f t="shared" si="259"/>
        <v>4465</v>
      </c>
      <c r="R4156" s="2" t="s">
        <v>28</v>
      </c>
      <c r="S4156" s="9">
        <f>VLOOKUP(P4156,$T$2:U4153,2,1)</f>
        <v>0.02</v>
      </c>
    </row>
    <row r="4157" spans="1:19" x14ac:dyDescent="0.25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e">
        <f>VLOOKUP(F4157,'Customer Info'!A4149:I4648,2,0)</f>
        <v>#N/A</v>
      </c>
      <c r="H4157" s="6" t="e">
        <f>VLOOKUP(F4157,'Customer Info'!A4149:I4648,3,0)</f>
        <v>#N/A</v>
      </c>
      <c r="I4157" s="6" t="e">
        <f>VLOOKUP(F4157,'Customer Info'!A4149:I4648,5,0)</f>
        <v>#N/A</v>
      </c>
      <c r="J4157" s="2">
        <v>25658</v>
      </c>
      <c r="K4157" s="2">
        <v>24466</v>
      </c>
      <c r="L4157" s="2">
        <v>7</v>
      </c>
      <c r="M4157" s="7">
        <f t="shared" si="256"/>
        <v>171262</v>
      </c>
      <c r="N4157" s="7">
        <f t="shared" si="257"/>
        <v>179606</v>
      </c>
      <c r="O4157" s="2">
        <v>94</v>
      </c>
      <c r="P4157" s="8">
        <f t="shared" si="258"/>
        <v>179700</v>
      </c>
      <c r="Q4157" s="8">
        <f t="shared" si="259"/>
        <v>179512</v>
      </c>
      <c r="R4157" s="2" t="s">
        <v>28</v>
      </c>
      <c r="S4157" s="9">
        <f>VLOOKUP(P4157,$T$2:U4154,2,1)</f>
        <v>0.12</v>
      </c>
    </row>
    <row r="4158" spans="1:19" x14ac:dyDescent="0.25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e">
        <f>VLOOKUP(F4158,'Customer Info'!A4150:I4649,2,0)</f>
        <v>#N/A</v>
      </c>
      <c r="H4158" s="6" t="e">
        <f>VLOOKUP(F4158,'Customer Info'!A4150:I4649,3,0)</f>
        <v>#N/A</v>
      </c>
      <c r="I4158" s="6" t="e">
        <f>VLOOKUP(F4158,'Customer Info'!A4150:I4649,5,0)</f>
        <v>#N/A</v>
      </c>
      <c r="J4158" s="2">
        <v>8686</v>
      </c>
      <c r="K4158" s="2">
        <v>8035</v>
      </c>
      <c r="L4158" s="2">
        <v>6</v>
      </c>
      <c r="M4158" s="7">
        <f t="shared" si="256"/>
        <v>48210</v>
      </c>
      <c r="N4158" s="7">
        <f t="shared" si="257"/>
        <v>52116</v>
      </c>
      <c r="O4158" s="2">
        <v>40</v>
      </c>
      <c r="P4158" s="8">
        <f t="shared" si="258"/>
        <v>52156</v>
      </c>
      <c r="Q4158" s="8">
        <f t="shared" si="259"/>
        <v>52076</v>
      </c>
      <c r="R4158" s="2" t="s">
        <v>28</v>
      </c>
      <c r="S4158" s="9">
        <f>VLOOKUP(P4158,$T$2:U4155,2,1)</f>
        <v>0.09</v>
      </c>
    </row>
    <row r="4159" spans="1:19" x14ac:dyDescent="0.25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e">
        <f>VLOOKUP(F4159,'Customer Info'!A4151:I4650,2,0)</f>
        <v>#N/A</v>
      </c>
      <c r="H4159" s="6" t="e">
        <f>VLOOKUP(F4159,'Customer Info'!A4151:I4650,3,0)</f>
        <v>#N/A</v>
      </c>
      <c r="I4159" s="6" t="e">
        <f>VLOOKUP(F4159,'Customer Info'!A4151:I4650,5,0)</f>
        <v>#N/A</v>
      </c>
      <c r="J4159" s="2">
        <v>445</v>
      </c>
      <c r="K4159" s="2">
        <v>415</v>
      </c>
      <c r="L4159" s="2">
        <v>3</v>
      </c>
      <c r="M4159" s="7">
        <f t="shared" si="256"/>
        <v>1245</v>
      </c>
      <c r="N4159" s="7">
        <f t="shared" si="257"/>
        <v>1335</v>
      </c>
      <c r="O4159" s="2">
        <v>98</v>
      </c>
      <c r="P4159" s="8">
        <f t="shared" si="258"/>
        <v>1433</v>
      </c>
      <c r="Q4159" s="8">
        <f t="shared" si="259"/>
        <v>1237</v>
      </c>
      <c r="R4159" s="2" t="s">
        <v>28</v>
      </c>
      <c r="S4159" s="9">
        <f>VLOOKUP(P4159,$T$2:U4156,2,1)</f>
        <v>0.02</v>
      </c>
    </row>
    <row r="4160" spans="1:19" x14ac:dyDescent="0.25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e">
        <f>VLOOKUP(F4160,'Customer Info'!A4152:I4651,2,0)</f>
        <v>#N/A</v>
      </c>
      <c r="H4160" s="6" t="e">
        <f>VLOOKUP(F4160,'Customer Info'!A4152:I4651,3,0)</f>
        <v>#N/A</v>
      </c>
      <c r="I4160" s="6" t="e">
        <f>VLOOKUP(F4160,'Customer Info'!A4152:I4651,5,0)</f>
        <v>#N/A</v>
      </c>
      <c r="J4160" s="2">
        <v>4577</v>
      </c>
      <c r="K4160" s="2">
        <v>4280</v>
      </c>
      <c r="L4160" s="2">
        <v>6</v>
      </c>
      <c r="M4160" s="7">
        <f t="shared" si="256"/>
        <v>25680</v>
      </c>
      <c r="N4160" s="7">
        <f t="shared" si="257"/>
        <v>27462</v>
      </c>
      <c r="O4160" s="2">
        <v>39</v>
      </c>
      <c r="P4160" s="8">
        <f t="shared" si="258"/>
        <v>27501</v>
      </c>
      <c r="Q4160" s="8">
        <f t="shared" si="259"/>
        <v>27423</v>
      </c>
      <c r="R4160" s="2" t="s">
        <v>50</v>
      </c>
      <c r="S4160" s="9">
        <f>VLOOKUP(P4160,$T$2:U4157,2,1)</f>
        <v>7.0000000000000007E-2</v>
      </c>
    </row>
    <row r="4161" spans="1:19" x14ac:dyDescent="0.25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e">
        <f>VLOOKUP(F4161,'Customer Info'!A4153:I4652,2,0)</f>
        <v>#N/A</v>
      </c>
      <c r="H4161" s="6" t="e">
        <f>VLOOKUP(F4161,'Customer Info'!A4153:I4652,3,0)</f>
        <v>#N/A</v>
      </c>
      <c r="I4161" s="6" t="e">
        <f>VLOOKUP(F4161,'Customer Info'!A4153:I4652,5,0)</f>
        <v>#N/A</v>
      </c>
      <c r="J4161" s="2">
        <v>170</v>
      </c>
      <c r="K4161" s="2">
        <v>153</v>
      </c>
      <c r="L4161" s="2">
        <v>2</v>
      </c>
      <c r="M4161" s="7">
        <f t="shared" si="256"/>
        <v>306</v>
      </c>
      <c r="N4161" s="7">
        <f t="shared" si="257"/>
        <v>340</v>
      </c>
      <c r="O4161" s="2">
        <v>30</v>
      </c>
      <c r="P4161" s="8">
        <f t="shared" si="258"/>
        <v>370</v>
      </c>
      <c r="Q4161" s="8">
        <f t="shared" si="259"/>
        <v>310</v>
      </c>
      <c r="R4161" s="2" t="s">
        <v>28</v>
      </c>
      <c r="S4161" s="9">
        <f>VLOOKUP(P4161,$T$2:U4158,2,1)</f>
        <v>0.02</v>
      </c>
    </row>
    <row r="4162" spans="1:19" x14ac:dyDescent="0.25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e">
        <f>VLOOKUP(F4162,'Customer Info'!A4154:I4653,2,0)</f>
        <v>#N/A</v>
      </c>
      <c r="H4162" s="6" t="e">
        <f>VLOOKUP(F4162,'Customer Info'!A4154:I4653,3,0)</f>
        <v>#N/A</v>
      </c>
      <c r="I4162" s="6" t="e">
        <f>VLOOKUP(F4162,'Customer Info'!A4154:I4653,5,0)</f>
        <v>#N/A</v>
      </c>
      <c r="J4162" s="2">
        <v>2551</v>
      </c>
      <c r="K4162" s="2">
        <v>2456</v>
      </c>
      <c r="L4162" s="2">
        <v>3</v>
      </c>
      <c r="M4162" s="7">
        <f t="shared" si="256"/>
        <v>7368</v>
      </c>
      <c r="N4162" s="7">
        <f t="shared" si="257"/>
        <v>7653</v>
      </c>
      <c r="O4162" s="2">
        <v>27</v>
      </c>
      <c r="P4162" s="8">
        <f t="shared" si="258"/>
        <v>7680</v>
      </c>
      <c r="Q4162" s="8">
        <f t="shared" si="259"/>
        <v>7626</v>
      </c>
      <c r="R4162" s="2" t="s">
        <v>50</v>
      </c>
      <c r="S4162" s="9">
        <f>VLOOKUP(P4162,$T$2:U4159,2,1)</f>
        <v>0.05</v>
      </c>
    </row>
    <row r="4163" spans="1:19" x14ac:dyDescent="0.25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e">
        <f>VLOOKUP(F4163,'Customer Info'!A4155:I4654,2,0)</f>
        <v>#N/A</v>
      </c>
      <c r="H4163" s="6" t="e">
        <f>VLOOKUP(F4163,'Customer Info'!A4155:I4654,3,0)</f>
        <v>#N/A</v>
      </c>
      <c r="I4163" s="6" t="e">
        <f>VLOOKUP(F4163,'Customer Info'!A4155:I4654,5,0)</f>
        <v>#N/A</v>
      </c>
      <c r="J4163" s="2">
        <v>1358</v>
      </c>
      <c r="K4163" s="2">
        <v>1294</v>
      </c>
      <c r="L4163" s="2">
        <v>3</v>
      </c>
      <c r="M4163" s="7">
        <f t="shared" si="256"/>
        <v>3882</v>
      </c>
      <c r="N4163" s="7">
        <f t="shared" si="257"/>
        <v>4074</v>
      </c>
      <c r="O4163" s="2">
        <v>90</v>
      </c>
      <c r="P4163" s="8">
        <f t="shared" si="258"/>
        <v>4164</v>
      </c>
      <c r="Q4163" s="8">
        <f t="shared" si="259"/>
        <v>3984</v>
      </c>
      <c r="R4163" s="2" t="s">
        <v>28</v>
      </c>
      <c r="S4163" s="9">
        <f>VLOOKUP(P4163,$T$2:U4160,2,1)</f>
        <v>0.02</v>
      </c>
    </row>
    <row r="4164" spans="1:19" x14ac:dyDescent="0.25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e">
        <f>VLOOKUP(F4164,'Customer Info'!A4156:I4655,2,0)</f>
        <v>#N/A</v>
      </c>
      <c r="H4164" s="6" t="e">
        <f>VLOOKUP(F4164,'Customer Info'!A4156:I4655,3,0)</f>
        <v>#N/A</v>
      </c>
      <c r="I4164" s="6" t="e">
        <f>VLOOKUP(F4164,'Customer Info'!A4156:I4655,5,0)</f>
        <v>#N/A</v>
      </c>
      <c r="J4164" s="2">
        <v>5894</v>
      </c>
      <c r="K4164" s="2">
        <v>5621</v>
      </c>
      <c r="L4164" s="2">
        <v>2</v>
      </c>
      <c r="M4164" s="7">
        <f t="shared" si="256"/>
        <v>11242</v>
      </c>
      <c r="N4164" s="7">
        <f t="shared" si="257"/>
        <v>11788</v>
      </c>
      <c r="O4164" s="2">
        <v>67</v>
      </c>
      <c r="P4164" s="8">
        <f t="shared" si="258"/>
        <v>11855</v>
      </c>
      <c r="Q4164" s="8">
        <f t="shared" si="259"/>
        <v>11721</v>
      </c>
      <c r="R4164" s="2" t="s">
        <v>28</v>
      </c>
      <c r="S4164" s="9">
        <f>VLOOKUP(P4164,$T$2:U4161,2,1)</f>
        <v>0.05</v>
      </c>
    </row>
    <row r="4165" spans="1:19" x14ac:dyDescent="0.25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e">
        <f>VLOOKUP(F4165,'Customer Info'!A4157:I4656,2,0)</f>
        <v>#N/A</v>
      </c>
      <c r="H4165" s="6" t="e">
        <f>VLOOKUP(F4165,'Customer Info'!A4157:I4656,3,0)</f>
        <v>#N/A</v>
      </c>
      <c r="I4165" s="6" t="e">
        <f>VLOOKUP(F4165,'Customer Info'!A4157:I4656,5,0)</f>
        <v>#N/A</v>
      </c>
      <c r="J4165" s="2">
        <v>495</v>
      </c>
      <c r="K4165" s="2">
        <v>458</v>
      </c>
      <c r="L4165" s="2">
        <v>2</v>
      </c>
      <c r="M4165" s="7">
        <f t="shared" si="256"/>
        <v>916</v>
      </c>
      <c r="N4165" s="7">
        <f t="shared" si="257"/>
        <v>990</v>
      </c>
      <c r="O4165" s="2">
        <v>44</v>
      </c>
      <c r="P4165" s="8">
        <f t="shared" si="258"/>
        <v>1034</v>
      </c>
      <c r="Q4165" s="8">
        <f t="shared" si="259"/>
        <v>946</v>
      </c>
      <c r="R4165" s="2" t="s">
        <v>28</v>
      </c>
      <c r="S4165" s="9">
        <f>VLOOKUP(P4165,$T$2:U4162,2,1)</f>
        <v>0.02</v>
      </c>
    </row>
    <row r="4166" spans="1:19" x14ac:dyDescent="0.25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e">
        <f>VLOOKUP(F4166,'Customer Info'!A4158:I4657,2,0)</f>
        <v>#N/A</v>
      </c>
      <c r="H4166" s="6" t="e">
        <f>VLOOKUP(F4166,'Customer Info'!A4158:I4657,3,0)</f>
        <v>#N/A</v>
      </c>
      <c r="I4166" s="6" t="e">
        <f>VLOOKUP(F4166,'Customer Info'!A4158:I4657,5,0)</f>
        <v>#N/A</v>
      </c>
      <c r="J4166" s="2">
        <v>2177</v>
      </c>
      <c r="K4166" s="2">
        <v>2054</v>
      </c>
      <c r="L4166" s="2">
        <v>6</v>
      </c>
      <c r="M4166" s="7">
        <f t="shared" si="256"/>
        <v>12324</v>
      </c>
      <c r="N4166" s="7">
        <f t="shared" si="257"/>
        <v>13062</v>
      </c>
      <c r="O4166" s="2">
        <v>57</v>
      </c>
      <c r="P4166" s="8">
        <f t="shared" si="258"/>
        <v>13119</v>
      </c>
      <c r="Q4166" s="8">
        <f t="shared" si="259"/>
        <v>13005</v>
      </c>
      <c r="R4166" s="2" t="s">
        <v>50</v>
      </c>
      <c r="S4166" s="9">
        <f>VLOOKUP(P4166,$T$2:U4163,2,1)</f>
        <v>0.05</v>
      </c>
    </row>
    <row r="4167" spans="1:19" x14ac:dyDescent="0.25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e">
        <f>VLOOKUP(F4167,'Customer Info'!A4159:I4658,2,0)</f>
        <v>#N/A</v>
      </c>
      <c r="H4167" s="6" t="e">
        <f>VLOOKUP(F4167,'Customer Info'!A4159:I4658,3,0)</f>
        <v>#N/A</v>
      </c>
      <c r="I4167" s="6" t="e">
        <f>VLOOKUP(F4167,'Customer Info'!A4159:I4658,5,0)</f>
        <v>#N/A</v>
      </c>
      <c r="J4167" s="2">
        <v>1718</v>
      </c>
      <c r="K4167" s="2">
        <v>1545</v>
      </c>
      <c r="L4167" s="2">
        <v>3</v>
      </c>
      <c r="M4167" s="7">
        <f t="shared" si="256"/>
        <v>4635</v>
      </c>
      <c r="N4167" s="7">
        <f t="shared" si="257"/>
        <v>5154</v>
      </c>
      <c r="O4167" s="2">
        <v>46</v>
      </c>
      <c r="P4167" s="8">
        <f t="shared" si="258"/>
        <v>5200</v>
      </c>
      <c r="Q4167" s="8">
        <f t="shared" si="259"/>
        <v>5108</v>
      </c>
      <c r="R4167" s="2" t="s">
        <v>50</v>
      </c>
      <c r="S4167" s="9">
        <f>VLOOKUP(P4167,$T$2:U4164,2,1)</f>
        <v>0.05</v>
      </c>
    </row>
    <row r="4168" spans="1:19" x14ac:dyDescent="0.25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e">
        <f>VLOOKUP(F4168,'Customer Info'!A4160:I4659,2,0)</f>
        <v>#N/A</v>
      </c>
      <c r="H4168" s="6" t="e">
        <f>VLOOKUP(F4168,'Customer Info'!A4160:I4659,3,0)</f>
        <v>#N/A</v>
      </c>
      <c r="I4168" s="6" t="e">
        <f>VLOOKUP(F4168,'Customer Info'!A4160:I4659,5,0)</f>
        <v>#N/A</v>
      </c>
      <c r="J4168" s="2">
        <v>3275</v>
      </c>
      <c r="K4168" s="2">
        <v>3090</v>
      </c>
      <c r="L4168" s="2">
        <v>2</v>
      </c>
      <c r="M4168" s="7">
        <f t="shared" si="256"/>
        <v>6180</v>
      </c>
      <c r="N4168" s="7">
        <f t="shared" si="257"/>
        <v>6550</v>
      </c>
      <c r="O4168" s="2">
        <v>21</v>
      </c>
      <c r="P4168" s="8">
        <f t="shared" si="258"/>
        <v>6571</v>
      </c>
      <c r="Q4168" s="8">
        <f t="shared" si="259"/>
        <v>6529</v>
      </c>
      <c r="R4168" s="2" t="s">
        <v>28</v>
      </c>
      <c r="S4168" s="9">
        <f>VLOOKUP(P4168,$T$2:U4165,2,1)</f>
        <v>0.05</v>
      </c>
    </row>
    <row r="4169" spans="1:19" x14ac:dyDescent="0.25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e">
        <f>VLOOKUP(F4169,'Customer Info'!A4161:I4660,2,0)</f>
        <v>#N/A</v>
      </c>
      <c r="H4169" s="6" t="e">
        <f>VLOOKUP(F4169,'Customer Info'!A4161:I4660,3,0)</f>
        <v>#N/A</v>
      </c>
      <c r="I4169" s="6" t="e">
        <f>VLOOKUP(F4169,'Customer Info'!A4161:I4660,5,0)</f>
        <v>#N/A</v>
      </c>
      <c r="J4169" s="2">
        <v>825</v>
      </c>
      <c r="K4169" s="2">
        <v>793</v>
      </c>
      <c r="L4169" s="2">
        <v>2</v>
      </c>
      <c r="M4169" s="7">
        <f t="shared" si="256"/>
        <v>1586</v>
      </c>
      <c r="N4169" s="7">
        <f t="shared" si="257"/>
        <v>1650</v>
      </c>
      <c r="O4169" s="2">
        <v>50</v>
      </c>
      <c r="P4169" s="8">
        <f t="shared" si="258"/>
        <v>1700</v>
      </c>
      <c r="Q4169" s="8">
        <f t="shared" si="259"/>
        <v>1600</v>
      </c>
      <c r="R4169" s="2" t="s">
        <v>28</v>
      </c>
      <c r="S4169" s="9">
        <f>VLOOKUP(P4169,$T$2:U4166,2,1)</f>
        <v>0.02</v>
      </c>
    </row>
    <row r="4170" spans="1:19" x14ac:dyDescent="0.25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e">
        <f>VLOOKUP(F4170,'Customer Info'!A4162:I4661,2,0)</f>
        <v>#N/A</v>
      </c>
      <c r="H4170" s="6" t="e">
        <f>VLOOKUP(F4170,'Customer Info'!A4162:I4661,3,0)</f>
        <v>#N/A</v>
      </c>
      <c r="I4170" s="6" t="e">
        <f>VLOOKUP(F4170,'Customer Info'!A4162:I4661,5,0)</f>
        <v>#N/A</v>
      </c>
      <c r="J4170" s="2">
        <v>666</v>
      </c>
      <c r="K4170" s="2">
        <v>641</v>
      </c>
      <c r="L4170" s="2">
        <v>2</v>
      </c>
      <c r="M4170" s="7">
        <f t="shared" si="256"/>
        <v>1282</v>
      </c>
      <c r="N4170" s="7">
        <f t="shared" si="257"/>
        <v>1332</v>
      </c>
      <c r="O4170" s="2">
        <v>74</v>
      </c>
      <c r="P4170" s="8">
        <f t="shared" si="258"/>
        <v>1406</v>
      </c>
      <c r="Q4170" s="8">
        <f t="shared" si="259"/>
        <v>1258</v>
      </c>
      <c r="R4170" s="2" t="s">
        <v>28</v>
      </c>
      <c r="S4170" s="9">
        <f>VLOOKUP(P4170,$T$2:U4167,2,1)</f>
        <v>0.02</v>
      </c>
    </row>
    <row r="4171" spans="1:19" x14ac:dyDescent="0.25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e">
        <f>VLOOKUP(F4171,'Customer Info'!A4163:I4662,2,0)</f>
        <v>#N/A</v>
      </c>
      <c r="H4171" s="6" t="e">
        <f>VLOOKUP(F4171,'Customer Info'!A4163:I4662,3,0)</f>
        <v>#N/A</v>
      </c>
      <c r="I4171" s="6" t="e">
        <f>VLOOKUP(F4171,'Customer Info'!A4163:I4662,5,0)</f>
        <v>#N/A</v>
      </c>
      <c r="J4171" s="2">
        <v>1564</v>
      </c>
      <c r="K4171" s="2">
        <v>1420</v>
      </c>
      <c r="L4171" s="2">
        <v>1</v>
      </c>
      <c r="M4171" s="7">
        <f t="shared" ref="M4171:M4234" si="260">K4171*L4171</f>
        <v>1420</v>
      </c>
      <c r="N4171" s="7">
        <f t="shared" ref="N4171:N4234" si="261">J4171*L4171</f>
        <v>1564</v>
      </c>
      <c r="O4171" s="2">
        <v>57</v>
      </c>
      <c r="P4171" s="8">
        <f t="shared" ref="P4171:P4234" si="262">SUM(N4171,O4171)</f>
        <v>1621</v>
      </c>
      <c r="Q4171" s="8">
        <f t="shared" ref="Q4171:Q4234" si="263">N4171-O4171</f>
        <v>1507</v>
      </c>
      <c r="R4171" s="2" t="s">
        <v>28</v>
      </c>
      <c r="S4171" s="9">
        <f>VLOOKUP(P4171,$T$2:U4168,2,1)</f>
        <v>0.02</v>
      </c>
    </row>
    <row r="4172" spans="1:19" x14ac:dyDescent="0.25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e">
        <f>VLOOKUP(F4172,'Customer Info'!A4164:I4663,2,0)</f>
        <v>#N/A</v>
      </c>
      <c r="H4172" s="6" t="e">
        <f>VLOOKUP(F4172,'Customer Info'!A4164:I4663,3,0)</f>
        <v>#N/A</v>
      </c>
      <c r="I4172" s="6" t="e">
        <f>VLOOKUP(F4172,'Customer Info'!A4164:I4663,5,0)</f>
        <v>#N/A</v>
      </c>
      <c r="J4172" s="2">
        <v>882</v>
      </c>
      <c r="K4172" s="2">
        <v>818</v>
      </c>
      <c r="L4172" s="2">
        <v>1</v>
      </c>
      <c r="M4172" s="7">
        <f t="shared" si="260"/>
        <v>818</v>
      </c>
      <c r="N4172" s="7">
        <f t="shared" si="261"/>
        <v>882</v>
      </c>
      <c r="O4172" s="2">
        <v>56</v>
      </c>
      <c r="P4172" s="8">
        <f t="shared" si="262"/>
        <v>938</v>
      </c>
      <c r="Q4172" s="8">
        <f t="shared" si="263"/>
        <v>826</v>
      </c>
      <c r="R4172" s="2" t="s">
        <v>28</v>
      </c>
      <c r="S4172" s="9">
        <f>VLOOKUP(P4172,$T$2:U4169,2,1)</f>
        <v>0.02</v>
      </c>
    </row>
    <row r="4173" spans="1:19" x14ac:dyDescent="0.25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e">
        <f>VLOOKUP(F4173,'Customer Info'!A4165:I4664,2,0)</f>
        <v>#N/A</v>
      </c>
      <c r="H4173" s="6" t="e">
        <f>VLOOKUP(F4173,'Customer Info'!A4165:I4664,3,0)</f>
        <v>#N/A</v>
      </c>
      <c r="I4173" s="6" t="e">
        <f>VLOOKUP(F4173,'Customer Info'!A4165:I4664,5,0)</f>
        <v>#N/A</v>
      </c>
      <c r="J4173" s="2">
        <v>1321</v>
      </c>
      <c r="K4173" s="2">
        <v>1211</v>
      </c>
      <c r="L4173" s="2">
        <v>2</v>
      </c>
      <c r="M4173" s="7">
        <f t="shared" si="260"/>
        <v>2422</v>
      </c>
      <c r="N4173" s="7">
        <f t="shared" si="261"/>
        <v>2642</v>
      </c>
      <c r="O4173" s="2">
        <v>81</v>
      </c>
      <c r="P4173" s="8">
        <f t="shared" si="262"/>
        <v>2723</v>
      </c>
      <c r="Q4173" s="8">
        <f t="shared" si="263"/>
        <v>2561</v>
      </c>
      <c r="R4173" s="2" t="s">
        <v>50</v>
      </c>
      <c r="S4173" s="9">
        <f>VLOOKUP(P4173,$T$2:U4170,2,1)</f>
        <v>0.02</v>
      </c>
    </row>
    <row r="4174" spans="1:19" x14ac:dyDescent="0.25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e">
        <f>VLOOKUP(F4174,'Customer Info'!A4166:I4665,2,0)</f>
        <v>#N/A</v>
      </c>
      <c r="H4174" s="6" t="e">
        <f>VLOOKUP(F4174,'Customer Info'!A4166:I4665,3,0)</f>
        <v>#N/A</v>
      </c>
      <c r="I4174" s="6" t="e">
        <f>VLOOKUP(F4174,'Customer Info'!A4166:I4665,5,0)</f>
        <v>#N/A</v>
      </c>
      <c r="J4174" s="2">
        <v>7508</v>
      </c>
      <c r="K4174" s="2">
        <v>6956</v>
      </c>
      <c r="L4174" s="2">
        <v>2</v>
      </c>
      <c r="M4174" s="7">
        <f t="shared" si="260"/>
        <v>13912</v>
      </c>
      <c r="N4174" s="7">
        <f t="shared" si="261"/>
        <v>15016</v>
      </c>
      <c r="O4174" s="2">
        <v>28</v>
      </c>
      <c r="P4174" s="8">
        <f t="shared" si="262"/>
        <v>15044</v>
      </c>
      <c r="Q4174" s="8">
        <f t="shared" si="263"/>
        <v>14988</v>
      </c>
      <c r="R4174" s="2" t="s">
        <v>50</v>
      </c>
      <c r="S4174" s="9">
        <f>VLOOKUP(P4174,$T$2:U4171,2,1)</f>
        <v>0.05</v>
      </c>
    </row>
    <row r="4175" spans="1:19" x14ac:dyDescent="0.25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e">
        <f>VLOOKUP(F4175,'Customer Info'!A4167:I4666,2,0)</f>
        <v>#N/A</v>
      </c>
      <c r="H4175" s="6" t="e">
        <f>VLOOKUP(F4175,'Customer Info'!A4167:I4666,3,0)</f>
        <v>#N/A</v>
      </c>
      <c r="I4175" s="6" t="e">
        <f>VLOOKUP(F4175,'Customer Info'!A4167:I4666,5,0)</f>
        <v>#N/A</v>
      </c>
      <c r="J4175" s="2">
        <v>2453</v>
      </c>
      <c r="K4175" s="2">
        <v>2336</v>
      </c>
      <c r="L4175" s="2">
        <v>6</v>
      </c>
      <c r="M4175" s="7">
        <f t="shared" si="260"/>
        <v>14016</v>
      </c>
      <c r="N4175" s="7">
        <f t="shared" si="261"/>
        <v>14718</v>
      </c>
      <c r="O4175" s="2">
        <v>98</v>
      </c>
      <c r="P4175" s="8">
        <f t="shared" si="262"/>
        <v>14816</v>
      </c>
      <c r="Q4175" s="8">
        <f t="shared" si="263"/>
        <v>14620</v>
      </c>
      <c r="R4175" s="2" t="s">
        <v>28</v>
      </c>
      <c r="S4175" s="9">
        <f>VLOOKUP(P4175,$T$2:U4172,2,1)</f>
        <v>0.05</v>
      </c>
    </row>
    <row r="4176" spans="1:19" x14ac:dyDescent="0.25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e">
        <f>VLOOKUP(F4176,'Customer Info'!A4168:I4667,2,0)</f>
        <v>#N/A</v>
      </c>
      <c r="H4176" s="6" t="e">
        <f>VLOOKUP(F4176,'Customer Info'!A4168:I4667,3,0)</f>
        <v>#N/A</v>
      </c>
      <c r="I4176" s="6" t="e">
        <f>VLOOKUP(F4176,'Customer Info'!A4168:I4667,5,0)</f>
        <v>#N/A</v>
      </c>
      <c r="J4176" s="2">
        <v>6337</v>
      </c>
      <c r="K4176" s="2">
        <v>6215</v>
      </c>
      <c r="L4176" s="2">
        <v>5</v>
      </c>
      <c r="M4176" s="7">
        <f t="shared" si="260"/>
        <v>31075</v>
      </c>
      <c r="N4176" s="7">
        <f t="shared" si="261"/>
        <v>31685</v>
      </c>
      <c r="O4176" s="2">
        <v>68</v>
      </c>
      <c r="P4176" s="8">
        <f t="shared" si="262"/>
        <v>31753</v>
      </c>
      <c r="Q4176" s="8">
        <f t="shared" si="263"/>
        <v>31617</v>
      </c>
      <c r="R4176" s="2" t="s">
        <v>28</v>
      </c>
      <c r="S4176" s="9">
        <f>VLOOKUP(P4176,$T$2:U4173,2,1)</f>
        <v>7.0000000000000007E-2</v>
      </c>
    </row>
    <row r="4177" spans="1:19" x14ac:dyDescent="0.25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e">
        <f>VLOOKUP(F4177,'Customer Info'!A4169:I4668,2,0)</f>
        <v>#N/A</v>
      </c>
      <c r="H4177" s="6" t="e">
        <f>VLOOKUP(F4177,'Customer Info'!A4169:I4668,3,0)</f>
        <v>#N/A</v>
      </c>
      <c r="I4177" s="6" t="e">
        <f>VLOOKUP(F4177,'Customer Info'!A4169:I4668,5,0)</f>
        <v>#N/A</v>
      </c>
      <c r="J4177" s="2">
        <v>726</v>
      </c>
      <c r="K4177" s="2">
        <v>646</v>
      </c>
      <c r="L4177" s="2">
        <v>5</v>
      </c>
      <c r="M4177" s="7">
        <f t="shared" si="260"/>
        <v>3230</v>
      </c>
      <c r="N4177" s="7">
        <f t="shared" si="261"/>
        <v>3630</v>
      </c>
      <c r="O4177" s="2">
        <v>94</v>
      </c>
      <c r="P4177" s="8">
        <f t="shared" si="262"/>
        <v>3724</v>
      </c>
      <c r="Q4177" s="8">
        <f t="shared" si="263"/>
        <v>3536</v>
      </c>
      <c r="R4177" s="2" t="s">
        <v>28</v>
      </c>
      <c r="S4177" s="9">
        <f>VLOOKUP(P4177,$T$2:U4174,2,1)</f>
        <v>0.02</v>
      </c>
    </row>
    <row r="4178" spans="1:19" x14ac:dyDescent="0.25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e">
        <f>VLOOKUP(F4178,'Customer Info'!A4170:I4669,2,0)</f>
        <v>#N/A</v>
      </c>
      <c r="H4178" s="6" t="e">
        <f>VLOOKUP(F4178,'Customer Info'!A4170:I4669,3,0)</f>
        <v>#N/A</v>
      </c>
      <c r="I4178" s="6" t="e">
        <f>VLOOKUP(F4178,'Customer Info'!A4170:I4669,5,0)</f>
        <v>#N/A</v>
      </c>
      <c r="J4178" s="2">
        <v>28522</v>
      </c>
      <c r="K4178" s="2">
        <v>26384</v>
      </c>
      <c r="L4178" s="2">
        <v>2</v>
      </c>
      <c r="M4178" s="7">
        <f t="shared" si="260"/>
        <v>52768</v>
      </c>
      <c r="N4178" s="7">
        <f t="shared" si="261"/>
        <v>57044</v>
      </c>
      <c r="O4178" s="2">
        <v>79</v>
      </c>
      <c r="P4178" s="8">
        <f t="shared" si="262"/>
        <v>57123</v>
      </c>
      <c r="Q4178" s="8">
        <f t="shared" si="263"/>
        <v>56965</v>
      </c>
      <c r="R4178" s="2" t="s">
        <v>28</v>
      </c>
      <c r="S4178" s="9">
        <f>VLOOKUP(P4178,$T$2:U4175,2,1)</f>
        <v>0.09</v>
      </c>
    </row>
    <row r="4179" spans="1:19" x14ac:dyDescent="0.25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e">
        <f>VLOOKUP(F4179,'Customer Info'!A4171:I4670,2,0)</f>
        <v>#N/A</v>
      </c>
      <c r="H4179" s="6" t="e">
        <f>VLOOKUP(F4179,'Customer Info'!A4171:I4670,3,0)</f>
        <v>#N/A</v>
      </c>
      <c r="I4179" s="6" t="e">
        <f>VLOOKUP(F4179,'Customer Info'!A4171:I4670,5,0)</f>
        <v>#N/A</v>
      </c>
      <c r="J4179" s="2">
        <v>96</v>
      </c>
      <c r="K4179" s="2">
        <v>87</v>
      </c>
      <c r="L4179" s="2">
        <v>2</v>
      </c>
      <c r="M4179" s="7">
        <f t="shared" si="260"/>
        <v>174</v>
      </c>
      <c r="N4179" s="7">
        <f t="shared" si="261"/>
        <v>192</v>
      </c>
      <c r="O4179" s="2">
        <v>10</v>
      </c>
      <c r="P4179" s="8">
        <f t="shared" si="262"/>
        <v>202</v>
      </c>
      <c r="Q4179" s="8">
        <f t="shared" si="263"/>
        <v>182</v>
      </c>
      <c r="R4179" s="2" t="s">
        <v>28</v>
      </c>
      <c r="S4179" s="9">
        <f>VLOOKUP(P4179,$T$2:U4176,2,1)</f>
        <v>0.02</v>
      </c>
    </row>
    <row r="4180" spans="1:19" x14ac:dyDescent="0.25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e">
        <f>VLOOKUP(F4180,'Customer Info'!A4172:I4671,2,0)</f>
        <v>#N/A</v>
      </c>
      <c r="H4180" s="6" t="e">
        <f>VLOOKUP(F4180,'Customer Info'!A4172:I4671,3,0)</f>
        <v>#N/A</v>
      </c>
      <c r="I4180" s="6" t="e">
        <f>VLOOKUP(F4180,'Customer Info'!A4172:I4671,5,0)</f>
        <v>#N/A</v>
      </c>
      <c r="J4180" s="2">
        <v>9033</v>
      </c>
      <c r="K4180" s="2">
        <v>8132</v>
      </c>
      <c r="L4180" s="2">
        <v>14</v>
      </c>
      <c r="M4180" s="7">
        <f t="shared" si="260"/>
        <v>113848</v>
      </c>
      <c r="N4180" s="7">
        <f t="shared" si="261"/>
        <v>126462</v>
      </c>
      <c r="O4180" s="2">
        <v>94</v>
      </c>
      <c r="P4180" s="8">
        <f t="shared" si="262"/>
        <v>126556</v>
      </c>
      <c r="Q4180" s="8">
        <f t="shared" si="263"/>
        <v>126368</v>
      </c>
      <c r="R4180" s="2" t="s">
        <v>56</v>
      </c>
      <c r="S4180" s="9">
        <f>VLOOKUP(P4180,$T$2:U4177,2,1)</f>
        <v>0.12</v>
      </c>
    </row>
    <row r="4181" spans="1:19" x14ac:dyDescent="0.25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e">
        <f>VLOOKUP(F4181,'Customer Info'!A4173:I4672,2,0)</f>
        <v>#N/A</v>
      </c>
      <c r="H4181" s="6" t="e">
        <f>VLOOKUP(F4181,'Customer Info'!A4173:I4672,3,0)</f>
        <v>#N/A</v>
      </c>
      <c r="I4181" s="6" t="e">
        <f>VLOOKUP(F4181,'Customer Info'!A4173:I4672,5,0)</f>
        <v>#N/A</v>
      </c>
      <c r="J4181" s="2">
        <v>7534</v>
      </c>
      <c r="K4181" s="2">
        <v>7106</v>
      </c>
      <c r="L4181" s="2">
        <v>5</v>
      </c>
      <c r="M4181" s="7">
        <f t="shared" si="260"/>
        <v>35530</v>
      </c>
      <c r="N4181" s="7">
        <f t="shared" si="261"/>
        <v>37670</v>
      </c>
      <c r="O4181" s="2">
        <v>85</v>
      </c>
      <c r="P4181" s="8">
        <f t="shared" si="262"/>
        <v>37755</v>
      </c>
      <c r="Q4181" s="8">
        <f t="shared" si="263"/>
        <v>37585</v>
      </c>
      <c r="R4181" s="2" t="s">
        <v>28</v>
      </c>
      <c r="S4181" s="9">
        <f>VLOOKUP(P4181,$T$2:U4178,2,1)</f>
        <v>7.0000000000000007E-2</v>
      </c>
    </row>
    <row r="4182" spans="1:19" x14ac:dyDescent="0.25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e">
        <f>VLOOKUP(F4182,'Customer Info'!A4174:I4673,2,0)</f>
        <v>#N/A</v>
      </c>
      <c r="H4182" s="6" t="e">
        <f>VLOOKUP(F4182,'Customer Info'!A4174:I4673,3,0)</f>
        <v>#N/A</v>
      </c>
      <c r="I4182" s="6" t="e">
        <f>VLOOKUP(F4182,'Customer Info'!A4174:I4673,5,0)</f>
        <v>#N/A</v>
      </c>
      <c r="J4182" s="2">
        <v>693</v>
      </c>
      <c r="K4182" s="2">
        <v>667</v>
      </c>
      <c r="L4182" s="2">
        <v>7</v>
      </c>
      <c r="M4182" s="7">
        <f t="shared" si="260"/>
        <v>4669</v>
      </c>
      <c r="N4182" s="7">
        <f t="shared" si="261"/>
        <v>4851</v>
      </c>
      <c r="O4182" s="2">
        <v>93</v>
      </c>
      <c r="P4182" s="8">
        <f t="shared" si="262"/>
        <v>4944</v>
      </c>
      <c r="Q4182" s="8">
        <f t="shared" si="263"/>
        <v>4758</v>
      </c>
      <c r="R4182" s="2" t="s">
        <v>28</v>
      </c>
      <c r="S4182" s="9">
        <f>VLOOKUP(P4182,$T$2:U4179,2,1)</f>
        <v>0.02</v>
      </c>
    </row>
    <row r="4183" spans="1:19" x14ac:dyDescent="0.25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e">
        <f>VLOOKUP(F4183,'Customer Info'!A4175:I4674,2,0)</f>
        <v>#N/A</v>
      </c>
      <c r="H4183" s="6" t="e">
        <f>VLOOKUP(F4183,'Customer Info'!A4175:I4674,3,0)</f>
        <v>#N/A</v>
      </c>
      <c r="I4183" s="6" t="e">
        <f>VLOOKUP(F4183,'Customer Info'!A4175:I4674,5,0)</f>
        <v>#N/A</v>
      </c>
      <c r="J4183" s="2">
        <v>222</v>
      </c>
      <c r="K4183" s="2">
        <v>204</v>
      </c>
      <c r="L4183" s="2">
        <v>5</v>
      </c>
      <c r="M4183" s="7">
        <f t="shared" si="260"/>
        <v>1020</v>
      </c>
      <c r="N4183" s="7">
        <f t="shared" si="261"/>
        <v>1110</v>
      </c>
      <c r="O4183" s="2">
        <v>32</v>
      </c>
      <c r="P4183" s="8">
        <f t="shared" si="262"/>
        <v>1142</v>
      </c>
      <c r="Q4183" s="8">
        <f t="shared" si="263"/>
        <v>1078</v>
      </c>
      <c r="R4183" s="2" t="s">
        <v>28</v>
      </c>
      <c r="S4183" s="9">
        <f>VLOOKUP(P4183,$T$2:U4180,2,1)</f>
        <v>0.02</v>
      </c>
    </row>
    <row r="4184" spans="1:19" x14ac:dyDescent="0.25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e">
        <f>VLOOKUP(F4184,'Customer Info'!A4176:I4675,2,0)</f>
        <v>#N/A</v>
      </c>
      <c r="H4184" s="6" t="e">
        <f>VLOOKUP(F4184,'Customer Info'!A4176:I4675,3,0)</f>
        <v>#N/A</v>
      </c>
      <c r="I4184" s="6" t="e">
        <f>VLOOKUP(F4184,'Customer Info'!A4176:I4675,5,0)</f>
        <v>#N/A</v>
      </c>
      <c r="J4184" s="2">
        <v>101</v>
      </c>
      <c r="K4184" s="2">
        <v>98</v>
      </c>
      <c r="L4184" s="2">
        <v>2</v>
      </c>
      <c r="M4184" s="7">
        <f t="shared" si="260"/>
        <v>196</v>
      </c>
      <c r="N4184" s="7">
        <f t="shared" si="261"/>
        <v>202</v>
      </c>
      <c r="O4184" s="2">
        <v>10</v>
      </c>
      <c r="P4184" s="8">
        <f t="shared" si="262"/>
        <v>212</v>
      </c>
      <c r="Q4184" s="8">
        <f t="shared" si="263"/>
        <v>192</v>
      </c>
      <c r="R4184" s="2" t="s">
        <v>28</v>
      </c>
      <c r="S4184" s="9">
        <f>VLOOKUP(P4184,$T$2:U4181,2,1)</f>
        <v>0.02</v>
      </c>
    </row>
    <row r="4185" spans="1:19" x14ac:dyDescent="0.25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e">
        <f>VLOOKUP(F4185,'Customer Info'!A4177:I4676,2,0)</f>
        <v>#N/A</v>
      </c>
      <c r="H4185" s="6" t="e">
        <f>VLOOKUP(F4185,'Customer Info'!A4177:I4676,3,0)</f>
        <v>#N/A</v>
      </c>
      <c r="I4185" s="6" t="e">
        <f>VLOOKUP(F4185,'Customer Info'!A4177:I4676,5,0)</f>
        <v>#N/A</v>
      </c>
      <c r="J4185" s="2">
        <v>1205</v>
      </c>
      <c r="K4185" s="2">
        <v>1159</v>
      </c>
      <c r="L4185" s="2">
        <v>3</v>
      </c>
      <c r="M4185" s="7">
        <f t="shared" si="260"/>
        <v>3477</v>
      </c>
      <c r="N4185" s="7">
        <f t="shared" si="261"/>
        <v>3615</v>
      </c>
      <c r="O4185" s="2">
        <v>79</v>
      </c>
      <c r="P4185" s="8">
        <f t="shared" si="262"/>
        <v>3694</v>
      </c>
      <c r="Q4185" s="8">
        <f t="shared" si="263"/>
        <v>3536</v>
      </c>
      <c r="R4185" s="2" t="s">
        <v>50</v>
      </c>
      <c r="S4185" s="9">
        <f>VLOOKUP(P4185,$T$2:U4182,2,1)</f>
        <v>0.02</v>
      </c>
    </row>
    <row r="4186" spans="1:19" x14ac:dyDescent="0.25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e">
        <f>VLOOKUP(F4186,'Customer Info'!A4178:I4677,2,0)</f>
        <v>#N/A</v>
      </c>
      <c r="H4186" s="6" t="e">
        <f>VLOOKUP(F4186,'Customer Info'!A4178:I4677,3,0)</f>
        <v>#N/A</v>
      </c>
      <c r="I4186" s="6" t="e">
        <f>VLOOKUP(F4186,'Customer Info'!A4178:I4677,5,0)</f>
        <v>#N/A</v>
      </c>
      <c r="J4186" s="2">
        <v>7141</v>
      </c>
      <c r="K4186" s="2">
        <v>6541</v>
      </c>
      <c r="L4186" s="2">
        <v>6</v>
      </c>
      <c r="M4186" s="7">
        <f t="shared" si="260"/>
        <v>39246</v>
      </c>
      <c r="N4186" s="7">
        <f t="shared" si="261"/>
        <v>42846</v>
      </c>
      <c r="O4186" s="2">
        <v>25</v>
      </c>
      <c r="P4186" s="8">
        <f t="shared" si="262"/>
        <v>42871</v>
      </c>
      <c r="Q4186" s="8">
        <f t="shared" si="263"/>
        <v>42821</v>
      </c>
      <c r="R4186" s="2" t="s">
        <v>50</v>
      </c>
      <c r="S4186" s="9">
        <f>VLOOKUP(P4186,$T$2:U4183,2,1)</f>
        <v>7.0000000000000007E-2</v>
      </c>
    </row>
    <row r="4187" spans="1:19" x14ac:dyDescent="0.25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e">
        <f>VLOOKUP(F4187,'Customer Info'!A4179:I4678,2,0)</f>
        <v>#N/A</v>
      </c>
      <c r="H4187" s="6" t="e">
        <f>VLOOKUP(F4187,'Customer Info'!A4179:I4678,3,0)</f>
        <v>#N/A</v>
      </c>
      <c r="I4187" s="6" t="e">
        <f>VLOOKUP(F4187,'Customer Info'!A4179:I4678,5,0)</f>
        <v>#N/A</v>
      </c>
      <c r="J4187" s="2">
        <v>7327</v>
      </c>
      <c r="K4187" s="2">
        <v>6658</v>
      </c>
      <c r="L4187" s="2">
        <v>3</v>
      </c>
      <c r="M4187" s="7">
        <f t="shared" si="260"/>
        <v>19974</v>
      </c>
      <c r="N4187" s="7">
        <f t="shared" si="261"/>
        <v>21981</v>
      </c>
      <c r="O4187" s="2">
        <v>47</v>
      </c>
      <c r="P4187" s="8">
        <f t="shared" si="262"/>
        <v>22028</v>
      </c>
      <c r="Q4187" s="8">
        <f t="shared" si="263"/>
        <v>21934</v>
      </c>
      <c r="R4187" s="2" t="s">
        <v>28</v>
      </c>
      <c r="S4187" s="9">
        <f>VLOOKUP(P4187,$T$2:U4184,2,1)</f>
        <v>0.05</v>
      </c>
    </row>
    <row r="4188" spans="1:19" x14ac:dyDescent="0.25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e">
        <f>VLOOKUP(F4188,'Customer Info'!A4180:I4679,2,0)</f>
        <v>#N/A</v>
      </c>
      <c r="H4188" s="6" t="e">
        <f>VLOOKUP(F4188,'Customer Info'!A4180:I4679,3,0)</f>
        <v>#N/A</v>
      </c>
      <c r="I4188" s="6" t="e">
        <f>VLOOKUP(F4188,'Customer Info'!A4180:I4679,5,0)</f>
        <v>#N/A</v>
      </c>
      <c r="J4188" s="2">
        <v>3176</v>
      </c>
      <c r="K4188" s="2">
        <v>3116</v>
      </c>
      <c r="L4188" s="2">
        <v>5</v>
      </c>
      <c r="M4188" s="7">
        <f t="shared" si="260"/>
        <v>15580</v>
      </c>
      <c r="N4188" s="7">
        <f t="shared" si="261"/>
        <v>15880</v>
      </c>
      <c r="O4188" s="2">
        <v>99</v>
      </c>
      <c r="P4188" s="8">
        <f t="shared" si="262"/>
        <v>15979</v>
      </c>
      <c r="Q4188" s="8">
        <f t="shared" si="263"/>
        <v>15781</v>
      </c>
      <c r="R4188" s="2" t="s">
        <v>56</v>
      </c>
      <c r="S4188" s="9">
        <f>VLOOKUP(P4188,$T$2:U4185,2,1)</f>
        <v>0.05</v>
      </c>
    </row>
    <row r="4189" spans="1:19" x14ac:dyDescent="0.25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e">
        <f>VLOOKUP(F4189,'Customer Info'!A4181:I4680,2,0)</f>
        <v>#N/A</v>
      </c>
      <c r="H4189" s="6" t="e">
        <f>VLOOKUP(F4189,'Customer Info'!A4181:I4680,3,0)</f>
        <v>#N/A</v>
      </c>
      <c r="I4189" s="6" t="e">
        <f>VLOOKUP(F4189,'Customer Info'!A4181:I4680,5,0)</f>
        <v>#N/A</v>
      </c>
      <c r="J4189" s="2">
        <v>1318</v>
      </c>
      <c r="K4189" s="2">
        <v>1209</v>
      </c>
      <c r="L4189" s="2">
        <v>2</v>
      </c>
      <c r="M4189" s="7">
        <f t="shared" si="260"/>
        <v>2418</v>
      </c>
      <c r="N4189" s="7">
        <f t="shared" si="261"/>
        <v>2636</v>
      </c>
      <c r="O4189" s="2">
        <v>77</v>
      </c>
      <c r="P4189" s="8">
        <f t="shared" si="262"/>
        <v>2713</v>
      </c>
      <c r="Q4189" s="8">
        <f t="shared" si="263"/>
        <v>2559</v>
      </c>
      <c r="R4189" s="2" t="s">
        <v>28</v>
      </c>
      <c r="S4189" s="9">
        <f>VLOOKUP(P4189,$T$2:U4186,2,1)</f>
        <v>0.02</v>
      </c>
    </row>
    <row r="4190" spans="1:19" x14ac:dyDescent="0.25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e">
        <f>VLOOKUP(F4190,'Customer Info'!A4182:I4681,2,0)</f>
        <v>#N/A</v>
      </c>
      <c r="H4190" s="6" t="e">
        <f>VLOOKUP(F4190,'Customer Info'!A4182:I4681,3,0)</f>
        <v>#N/A</v>
      </c>
      <c r="I4190" s="6" t="e">
        <f>VLOOKUP(F4190,'Customer Info'!A4182:I4681,5,0)</f>
        <v>#N/A</v>
      </c>
      <c r="J4190" s="2">
        <v>144</v>
      </c>
      <c r="K4190" s="2">
        <v>133</v>
      </c>
      <c r="L4190" s="2">
        <v>1</v>
      </c>
      <c r="M4190" s="7">
        <f t="shared" si="260"/>
        <v>133</v>
      </c>
      <c r="N4190" s="7">
        <f t="shared" si="261"/>
        <v>144</v>
      </c>
      <c r="O4190" s="2">
        <v>30</v>
      </c>
      <c r="P4190" s="8">
        <f t="shared" si="262"/>
        <v>174</v>
      </c>
      <c r="Q4190" s="8">
        <f t="shared" si="263"/>
        <v>114</v>
      </c>
      <c r="R4190" s="2" t="s">
        <v>28</v>
      </c>
      <c r="S4190" s="9">
        <f>VLOOKUP(P4190,$T$2:U4187,2,1)</f>
        <v>0.02</v>
      </c>
    </row>
    <row r="4191" spans="1:19" x14ac:dyDescent="0.25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e">
        <f>VLOOKUP(F4191,'Customer Info'!A4183:I4682,2,0)</f>
        <v>#N/A</v>
      </c>
      <c r="H4191" s="6" t="e">
        <f>VLOOKUP(F4191,'Customer Info'!A4183:I4682,3,0)</f>
        <v>#N/A</v>
      </c>
      <c r="I4191" s="6" t="e">
        <f>VLOOKUP(F4191,'Customer Info'!A4183:I4682,5,0)</f>
        <v>#N/A</v>
      </c>
      <c r="J4191" s="2">
        <v>1413</v>
      </c>
      <c r="K4191" s="2">
        <v>1334</v>
      </c>
      <c r="L4191" s="2">
        <v>1</v>
      </c>
      <c r="M4191" s="7">
        <f t="shared" si="260"/>
        <v>1334</v>
      </c>
      <c r="N4191" s="7">
        <f t="shared" si="261"/>
        <v>1413</v>
      </c>
      <c r="O4191" s="2">
        <v>90</v>
      </c>
      <c r="P4191" s="8">
        <f t="shared" si="262"/>
        <v>1503</v>
      </c>
      <c r="Q4191" s="8">
        <f t="shared" si="263"/>
        <v>1323</v>
      </c>
      <c r="R4191" s="2" t="s">
        <v>28</v>
      </c>
      <c r="S4191" s="9">
        <f>VLOOKUP(P4191,$T$2:U4188,2,1)</f>
        <v>0.02</v>
      </c>
    </row>
    <row r="4192" spans="1:19" x14ac:dyDescent="0.25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e">
        <f>VLOOKUP(F4192,'Customer Info'!A4184:I4683,2,0)</f>
        <v>#N/A</v>
      </c>
      <c r="H4192" s="6" t="e">
        <f>VLOOKUP(F4192,'Customer Info'!A4184:I4683,3,0)</f>
        <v>#N/A</v>
      </c>
      <c r="I4192" s="6" t="e">
        <f>VLOOKUP(F4192,'Customer Info'!A4184:I4683,5,0)</f>
        <v>#N/A</v>
      </c>
      <c r="J4192" s="2">
        <v>6027</v>
      </c>
      <c r="K4192" s="2">
        <v>5694</v>
      </c>
      <c r="L4192" s="2">
        <v>2</v>
      </c>
      <c r="M4192" s="7">
        <f t="shared" si="260"/>
        <v>11388</v>
      </c>
      <c r="N4192" s="7">
        <f t="shared" si="261"/>
        <v>12054</v>
      </c>
      <c r="O4192" s="2">
        <v>48</v>
      </c>
      <c r="P4192" s="8">
        <f t="shared" si="262"/>
        <v>12102</v>
      </c>
      <c r="Q4192" s="8">
        <f t="shared" si="263"/>
        <v>12006</v>
      </c>
      <c r="R4192" s="2" t="s">
        <v>28</v>
      </c>
      <c r="S4192" s="9">
        <f>VLOOKUP(P4192,$T$2:U4189,2,1)</f>
        <v>0.05</v>
      </c>
    </row>
    <row r="4193" spans="1:19" x14ac:dyDescent="0.25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e">
        <f>VLOOKUP(F4193,'Customer Info'!A4185:I4684,2,0)</f>
        <v>#N/A</v>
      </c>
      <c r="H4193" s="6" t="e">
        <f>VLOOKUP(F4193,'Customer Info'!A4185:I4684,3,0)</f>
        <v>#N/A</v>
      </c>
      <c r="I4193" s="6" t="e">
        <f>VLOOKUP(F4193,'Customer Info'!A4185:I4684,5,0)</f>
        <v>#N/A</v>
      </c>
      <c r="J4193" s="2">
        <v>184</v>
      </c>
      <c r="K4193" s="2">
        <v>176</v>
      </c>
      <c r="L4193" s="2">
        <v>6</v>
      </c>
      <c r="M4193" s="7">
        <f t="shared" si="260"/>
        <v>1056</v>
      </c>
      <c r="N4193" s="7">
        <f t="shared" si="261"/>
        <v>1104</v>
      </c>
      <c r="O4193" s="2">
        <v>30</v>
      </c>
      <c r="P4193" s="8">
        <f t="shared" si="262"/>
        <v>1134</v>
      </c>
      <c r="Q4193" s="8">
        <f t="shared" si="263"/>
        <v>1074</v>
      </c>
      <c r="R4193" s="2" t="s">
        <v>28</v>
      </c>
      <c r="S4193" s="9">
        <f>VLOOKUP(P4193,$T$2:U4190,2,1)</f>
        <v>0.02</v>
      </c>
    </row>
    <row r="4194" spans="1:19" x14ac:dyDescent="0.25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e">
        <f>VLOOKUP(F4194,'Customer Info'!A4186:I4685,2,0)</f>
        <v>#N/A</v>
      </c>
      <c r="H4194" s="6" t="e">
        <f>VLOOKUP(F4194,'Customer Info'!A4186:I4685,3,0)</f>
        <v>#N/A</v>
      </c>
      <c r="I4194" s="6" t="e">
        <f>VLOOKUP(F4194,'Customer Info'!A4186:I4685,5,0)</f>
        <v>#N/A</v>
      </c>
      <c r="J4194" s="2">
        <v>954</v>
      </c>
      <c r="K4194" s="2">
        <v>901</v>
      </c>
      <c r="L4194" s="2">
        <v>1</v>
      </c>
      <c r="M4194" s="7">
        <f t="shared" si="260"/>
        <v>901</v>
      </c>
      <c r="N4194" s="7">
        <f t="shared" si="261"/>
        <v>954</v>
      </c>
      <c r="O4194" s="2">
        <v>20</v>
      </c>
      <c r="P4194" s="8">
        <f t="shared" si="262"/>
        <v>974</v>
      </c>
      <c r="Q4194" s="8">
        <f t="shared" si="263"/>
        <v>934</v>
      </c>
      <c r="R4194" s="2" t="s">
        <v>50</v>
      </c>
      <c r="S4194" s="9">
        <f>VLOOKUP(P4194,$T$2:U4191,2,1)</f>
        <v>0.02</v>
      </c>
    </row>
    <row r="4195" spans="1:19" x14ac:dyDescent="0.25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e">
        <f>VLOOKUP(F4195,'Customer Info'!A4187:I4686,2,0)</f>
        <v>#N/A</v>
      </c>
      <c r="H4195" s="6" t="e">
        <f>VLOOKUP(F4195,'Customer Info'!A4187:I4686,3,0)</f>
        <v>#N/A</v>
      </c>
      <c r="I4195" s="6" t="e">
        <f>VLOOKUP(F4195,'Customer Info'!A4187:I4686,5,0)</f>
        <v>#N/A</v>
      </c>
      <c r="J4195" s="2">
        <v>511</v>
      </c>
      <c r="K4195" s="2">
        <v>468</v>
      </c>
      <c r="L4195" s="2">
        <v>2</v>
      </c>
      <c r="M4195" s="7">
        <f t="shared" si="260"/>
        <v>936</v>
      </c>
      <c r="N4195" s="7">
        <f t="shared" si="261"/>
        <v>1022</v>
      </c>
      <c r="O4195" s="2">
        <v>28</v>
      </c>
      <c r="P4195" s="8">
        <f t="shared" si="262"/>
        <v>1050</v>
      </c>
      <c r="Q4195" s="8">
        <f t="shared" si="263"/>
        <v>994</v>
      </c>
      <c r="R4195" s="2" t="s">
        <v>50</v>
      </c>
      <c r="S4195" s="9">
        <f>VLOOKUP(P4195,$T$2:U4192,2,1)</f>
        <v>0.02</v>
      </c>
    </row>
    <row r="4196" spans="1:19" x14ac:dyDescent="0.25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e">
        <f>VLOOKUP(F4196,'Customer Info'!A4188:I4687,2,0)</f>
        <v>#N/A</v>
      </c>
      <c r="H4196" s="6" t="e">
        <f>VLOOKUP(F4196,'Customer Info'!A4188:I4687,3,0)</f>
        <v>#N/A</v>
      </c>
      <c r="I4196" s="6" t="e">
        <f>VLOOKUP(F4196,'Customer Info'!A4188:I4687,5,0)</f>
        <v>#N/A</v>
      </c>
      <c r="J4196" s="2">
        <v>1574</v>
      </c>
      <c r="K4196" s="2">
        <v>1458</v>
      </c>
      <c r="L4196" s="2">
        <v>1</v>
      </c>
      <c r="M4196" s="7">
        <f t="shared" si="260"/>
        <v>1458</v>
      </c>
      <c r="N4196" s="7">
        <f t="shared" si="261"/>
        <v>1574</v>
      </c>
      <c r="O4196" s="2">
        <v>49</v>
      </c>
      <c r="P4196" s="8">
        <f t="shared" si="262"/>
        <v>1623</v>
      </c>
      <c r="Q4196" s="8">
        <f t="shared" si="263"/>
        <v>1525</v>
      </c>
      <c r="R4196" s="2" t="s">
        <v>28</v>
      </c>
      <c r="S4196" s="9">
        <f>VLOOKUP(P4196,$T$2:U4193,2,1)</f>
        <v>0.02</v>
      </c>
    </row>
    <row r="4197" spans="1:19" x14ac:dyDescent="0.25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e">
        <f>VLOOKUP(F4197,'Customer Info'!A4189:I4688,2,0)</f>
        <v>#N/A</v>
      </c>
      <c r="H4197" s="6" t="e">
        <f>VLOOKUP(F4197,'Customer Info'!A4189:I4688,3,0)</f>
        <v>#N/A</v>
      </c>
      <c r="I4197" s="6" t="e">
        <f>VLOOKUP(F4197,'Customer Info'!A4189:I4688,5,0)</f>
        <v>#N/A</v>
      </c>
      <c r="J4197" s="2">
        <v>805</v>
      </c>
      <c r="K4197" s="2">
        <v>746</v>
      </c>
      <c r="L4197" s="2">
        <v>1</v>
      </c>
      <c r="M4197" s="7">
        <f t="shared" si="260"/>
        <v>746</v>
      </c>
      <c r="N4197" s="7">
        <f t="shared" si="261"/>
        <v>805</v>
      </c>
      <c r="O4197" s="2">
        <v>35</v>
      </c>
      <c r="P4197" s="8">
        <f t="shared" si="262"/>
        <v>840</v>
      </c>
      <c r="Q4197" s="8">
        <f t="shared" si="263"/>
        <v>770</v>
      </c>
      <c r="R4197" s="2" t="s">
        <v>28</v>
      </c>
      <c r="S4197" s="9">
        <f>VLOOKUP(P4197,$T$2:U4194,2,1)</f>
        <v>0.02</v>
      </c>
    </row>
    <row r="4198" spans="1:19" x14ac:dyDescent="0.25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e">
        <f>VLOOKUP(F4198,'Customer Info'!A4190:I4689,2,0)</f>
        <v>#N/A</v>
      </c>
      <c r="H4198" s="6" t="e">
        <f>VLOOKUP(F4198,'Customer Info'!A4190:I4689,3,0)</f>
        <v>#N/A</v>
      </c>
      <c r="I4198" s="6" t="e">
        <f>VLOOKUP(F4198,'Customer Info'!A4190:I4689,5,0)</f>
        <v>#N/A</v>
      </c>
      <c r="J4198" s="2">
        <v>9214</v>
      </c>
      <c r="K4198" s="2">
        <v>8295</v>
      </c>
      <c r="L4198" s="2">
        <v>6</v>
      </c>
      <c r="M4198" s="7">
        <f t="shared" si="260"/>
        <v>49770</v>
      </c>
      <c r="N4198" s="7">
        <f t="shared" si="261"/>
        <v>55284</v>
      </c>
      <c r="O4198" s="2">
        <v>80</v>
      </c>
      <c r="P4198" s="8">
        <f t="shared" si="262"/>
        <v>55364</v>
      </c>
      <c r="Q4198" s="8">
        <f t="shared" si="263"/>
        <v>55204</v>
      </c>
      <c r="R4198" s="2" t="s">
        <v>56</v>
      </c>
      <c r="S4198" s="9">
        <f>VLOOKUP(P4198,$T$2:U4195,2,1)</f>
        <v>0.09</v>
      </c>
    </row>
    <row r="4199" spans="1:19" x14ac:dyDescent="0.25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e">
        <f>VLOOKUP(F4199,'Customer Info'!A4191:I4690,2,0)</f>
        <v>#N/A</v>
      </c>
      <c r="H4199" s="6" t="e">
        <f>VLOOKUP(F4199,'Customer Info'!A4191:I4690,3,0)</f>
        <v>#N/A</v>
      </c>
      <c r="I4199" s="6" t="e">
        <f>VLOOKUP(F4199,'Customer Info'!A4191:I4690,5,0)</f>
        <v>#N/A</v>
      </c>
      <c r="J4199" s="2">
        <v>101</v>
      </c>
      <c r="K4199" s="2">
        <v>98</v>
      </c>
      <c r="L4199" s="2">
        <v>3</v>
      </c>
      <c r="M4199" s="7">
        <f t="shared" si="260"/>
        <v>294</v>
      </c>
      <c r="N4199" s="7">
        <f t="shared" si="261"/>
        <v>303</v>
      </c>
      <c r="O4199" s="2">
        <v>10</v>
      </c>
      <c r="P4199" s="8">
        <f t="shared" si="262"/>
        <v>313</v>
      </c>
      <c r="Q4199" s="8">
        <f t="shared" si="263"/>
        <v>293</v>
      </c>
      <c r="R4199" s="2" t="s">
        <v>50</v>
      </c>
      <c r="S4199" s="9">
        <f>VLOOKUP(P4199,$T$2:U4196,2,1)</f>
        <v>0.02</v>
      </c>
    </row>
    <row r="4200" spans="1:19" x14ac:dyDescent="0.25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e">
        <f>VLOOKUP(F4200,'Customer Info'!A4192:I4691,2,0)</f>
        <v>#N/A</v>
      </c>
      <c r="H4200" s="6" t="e">
        <f>VLOOKUP(F4200,'Customer Info'!A4192:I4691,3,0)</f>
        <v>#N/A</v>
      </c>
      <c r="I4200" s="6" t="e">
        <f>VLOOKUP(F4200,'Customer Info'!A4192:I4691,5,0)</f>
        <v>#N/A</v>
      </c>
      <c r="J4200" s="2">
        <v>1878</v>
      </c>
      <c r="K4200" s="2">
        <v>1790</v>
      </c>
      <c r="L4200" s="2">
        <v>2</v>
      </c>
      <c r="M4200" s="7">
        <f t="shared" si="260"/>
        <v>3580</v>
      </c>
      <c r="N4200" s="7">
        <f t="shared" si="261"/>
        <v>3756</v>
      </c>
      <c r="O4200" s="2">
        <v>42</v>
      </c>
      <c r="P4200" s="8">
        <f t="shared" si="262"/>
        <v>3798</v>
      </c>
      <c r="Q4200" s="8">
        <f t="shared" si="263"/>
        <v>3714</v>
      </c>
      <c r="R4200" s="2" t="s">
        <v>28</v>
      </c>
      <c r="S4200" s="9">
        <f>VLOOKUP(P4200,$T$2:U4197,2,1)</f>
        <v>0.02</v>
      </c>
    </row>
    <row r="4201" spans="1:19" x14ac:dyDescent="0.25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e">
        <f>VLOOKUP(F4201,'Customer Info'!A4193:I4692,2,0)</f>
        <v>#N/A</v>
      </c>
      <c r="H4201" s="6" t="e">
        <f>VLOOKUP(F4201,'Customer Info'!A4193:I4692,3,0)</f>
        <v>#N/A</v>
      </c>
      <c r="I4201" s="6" t="e">
        <f>VLOOKUP(F4201,'Customer Info'!A4193:I4692,5,0)</f>
        <v>#N/A</v>
      </c>
      <c r="J4201" s="2">
        <v>1700</v>
      </c>
      <c r="K4201" s="2">
        <v>1620</v>
      </c>
      <c r="L4201" s="2">
        <v>5</v>
      </c>
      <c r="M4201" s="7">
        <f t="shared" si="260"/>
        <v>8100</v>
      </c>
      <c r="N4201" s="7">
        <f t="shared" si="261"/>
        <v>8500</v>
      </c>
      <c r="O4201" s="2">
        <v>22</v>
      </c>
      <c r="P4201" s="8">
        <f t="shared" si="262"/>
        <v>8522</v>
      </c>
      <c r="Q4201" s="8">
        <f t="shared" si="263"/>
        <v>8478</v>
      </c>
      <c r="R4201" s="2" t="s">
        <v>28</v>
      </c>
      <c r="S4201" s="9">
        <f>VLOOKUP(P4201,$T$2:U4198,2,1)</f>
        <v>0.05</v>
      </c>
    </row>
    <row r="4202" spans="1:19" x14ac:dyDescent="0.25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e">
        <f>VLOOKUP(F4202,'Customer Info'!A4194:I4693,2,0)</f>
        <v>#N/A</v>
      </c>
      <c r="H4202" s="6" t="e">
        <f>VLOOKUP(F4202,'Customer Info'!A4194:I4693,3,0)</f>
        <v>#N/A</v>
      </c>
      <c r="I4202" s="6" t="e">
        <f>VLOOKUP(F4202,'Customer Info'!A4194:I4693,5,0)</f>
        <v>#N/A</v>
      </c>
      <c r="J4202" s="2">
        <v>2627</v>
      </c>
      <c r="K4202" s="2">
        <v>2528</v>
      </c>
      <c r="L4202" s="2">
        <v>2</v>
      </c>
      <c r="M4202" s="7">
        <f t="shared" si="260"/>
        <v>5056</v>
      </c>
      <c r="N4202" s="7">
        <f t="shared" si="261"/>
        <v>5254</v>
      </c>
      <c r="O4202" s="2">
        <v>62</v>
      </c>
      <c r="P4202" s="8">
        <f t="shared" si="262"/>
        <v>5316</v>
      </c>
      <c r="Q4202" s="8">
        <f t="shared" si="263"/>
        <v>5192</v>
      </c>
      <c r="R4202" s="2" t="s">
        <v>26</v>
      </c>
      <c r="S4202" s="9">
        <f>VLOOKUP(P4202,$T$2:U4199,2,1)</f>
        <v>0.05</v>
      </c>
    </row>
    <row r="4203" spans="1:19" x14ac:dyDescent="0.25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e">
        <f>VLOOKUP(F4203,'Customer Info'!A4195:I4694,2,0)</f>
        <v>#N/A</v>
      </c>
      <c r="H4203" s="6" t="e">
        <f>VLOOKUP(F4203,'Customer Info'!A4195:I4694,3,0)</f>
        <v>#N/A</v>
      </c>
      <c r="I4203" s="6" t="e">
        <f>VLOOKUP(F4203,'Customer Info'!A4195:I4694,5,0)</f>
        <v>#N/A</v>
      </c>
      <c r="J4203" s="2">
        <v>6400</v>
      </c>
      <c r="K4203" s="2">
        <v>6401</v>
      </c>
      <c r="L4203" s="2">
        <v>1</v>
      </c>
      <c r="M4203" s="7">
        <f t="shared" si="260"/>
        <v>6401</v>
      </c>
      <c r="N4203" s="7">
        <f t="shared" si="261"/>
        <v>6400</v>
      </c>
      <c r="O4203" s="2">
        <v>53</v>
      </c>
      <c r="P4203" s="8">
        <f t="shared" si="262"/>
        <v>6453</v>
      </c>
      <c r="Q4203" s="8">
        <f t="shared" si="263"/>
        <v>6347</v>
      </c>
      <c r="R4203" s="2" t="s">
        <v>28</v>
      </c>
      <c r="S4203" s="9">
        <f>VLOOKUP(P4203,$T$2:U4200,2,1)</f>
        <v>0.05</v>
      </c>
    </row>
    <row r="4204" spans="1:19" x14ac:dyDescent="0.25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e">
        <f>VLOOKUP(F4204,'Customer Info'!A4196:I4695,2,0)</f>
        <v>#N/A</v>
      </c>
      <c r="H4204" s="6" t="e">
        <f>VLOOKUP(F4204,'Customer Info'!A4196:I4695,3,0)</f>
        <v>#N/A</v>
      </c>
      <c r="I4204" s="6" t="e">
        <f>VLOOKUP(F4204,'Customer Info'!A4196:I4695,5,0)</f>
        <v>#N/A</v>
      </c>
      <c r="J4204" s="2">
        <v>3224</v>
      </c>
      <c r="K4204" s="2">
        <v>2901</v>
      </c>
      <c r="L4204" s="2">
        <v>7</v>
      </c>
      <c r="M4204" s="7">
        <f t="shared" si="260"/>
        <v>20307</v>
      </c>
      <c r="N4204" s="7">
        <f t="shared" si="261"/>
        <v>22568</v>
      </c>
      <c r="O4204" s="2">
        <v>72</v>
      </c>
      <c r="P4204" s="8">
        <f t="shared" si="262"/>
        <v>22640</v>
      </c>
      <c r="Q4204" s="8">
        <f t="shared" si="263"/>
        <v>22496</v>
      </c>
      <c r="R4204" s="2" t="s">
        <v>50</v>
      </c>
      <c r="S4204" s="9">
        <f>VLOOKUP(P4204,$T$2:U4201,2,1)</f>
        <v>0.05</v>
      </c>
    </row>
    <row r="4205" spans="1:19" x14ac:dyDescent="0.25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e">
        <f>VLOOKUP(F4205,'Customer Info'!A4197:I4696,2,0)</f>
        <v>#N/A</v>
      </c>
      <c r="H4205" s="6" t="e">
        <f>VLOOKUP(F4205,'Customer Info'!A4197:I4696,3,0)</f>
        <v>#N/A</v>
      </c>
      <c r="I4205" s="6" t="e">
        <f>VLOOKUP(F4205,'Customer Info'!A4197:I4696,5,0)</f>
        <v>#N/A</v>
      </c>
      <c r="J4205" s="2">
        <v>2829</v>
      </c>
      <c r="K4205" s="2">
        <v>2596</v>
      </c>
      <c r="L4205" s="2">
        <v>1</v>
      </c>
      <c r="M4205" s="7">
        <f t="shared" si="260"/>
        <v>2596</v>
      </c>
      <c r="N4205" s="7">
        <f t="shared" si="261"/>
        <v>2829</v>
      </c>
      <c r="O4205" s="2">
        <v>53</v>
      </c>
      <c r="P4205" s="8">
        <f t="shared" si="262"/>
        <v>2882</v>
      </c>
      <c r="Q4205" s="8">
        <f t="shared" si="263"/>
        <v>2776</v>
      </c>
      <c r="R4205" s="2" t="s">
        <v>28</v>
      </c>
      <c r="S4205" s="9">
        <f>VLOOKUP(P4205,$T$2:U4202,2,1)</f>
        <v>0.02</v>
      </c>
    </row>
    <row r="4206" spans="1:19" x14ac:dyDescent="0.25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e">
        <f>VLOOKUP(F4206,'Customer Info'!A4198:I4697,2,0)</f>
        <v>#N/A</v>
      </c>
      <c r="H4206" s="6" t="e">
        <f>VLOOKUP(F4206,'Customer Info'!A4198:I4697,3,0)</f>
        <v>#N/A</v>
      </c>
      <c r="I4206" s="6" t="e">
        <f>VLOOKUP(F4206,'Customer Info'!A4198:I4697,5,0)</f>
        <v>#N/A</v>
      </c>
      <c r="J4206" s="2">
        <v>1717</v>
      </c>
      <c r="K4206" s="2">
        <v>1652</v>
      </c>
      <c r="L4206" s="2">
        <v>8</v>
      </c>
      <c r="M4206" s="7">
        <f t="shared" si="260"/>
        <v>13216</v>
      </c>
      <c r="N4206" s="7">
        <f t="shared" si="261"/>
        <v>13736</v>
      </c>
      <c r="O4206" s="2">
        <v>53</v>
      </c>
      <c r="P4206" s="8">
        <f t="shared" si="262"/>
        <v>13789</v>
      </c>
      <c r="Q4206" s="8">
        <f t="shared" si="263"/>
        <v>13683</v>
      </c>
      <c r="R4206" s="2" t="s">
        <v>28</v>
      </c>
      <c r="S4206" s="9">
        <f>VLOOKUP(P4206,$T$2:U4203,2,1)</f>
        <v>0.05</v>
      </c>
    </row>
    <row r="4207" spans="1:19" x14ac:dyDescent="0.25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e">
        <f>VLOOKUP(F4207,'Customer Info'!A4199:I4698,2,0)</f>
        <v>#N/A</v>
      </c>
      <c r="H4207" s="6" t="e">
        <f>VLOOKUP(F4207,'Customer Info'!A4199:I4698,3,0)</f>
        <v>#N/A</v>
      </c>
      <c r="I4207" s="6" t="e">
        <f>VLOOKUP(F4207,'Customer Info'!A4199:I4698,5,0)</f>
        <v>#N/A</v>
      </c>
      <c r="J4207" s="2">
        <v>1169</v>
      </c>
      <c r="K4207" s="2">
        <v>1072</v>
      </c>
      <c r="L4207" s="2">
        <v>3</v>
      </c>
      <c r="M4207" s="7">
        <f t="shared" si="260"/>
        <v>3216</v>
      </c>
      <c r="N4207" s="7">
        <f t="shared" si="261"/>
        <v>3507</v>
      </c>
      <c r="O4207" s="2">
        <v>85</v>
      </c>
      <c r="P4207" s="8">
        <f t="shared" si="262"/>
        <v>3592</v>
      </c>
      <c r="Q4207" s="8">
        <f t="shared" si="263"/>
        <v>3422</v>
      </c>
      <c r="R4207" s="2" t="s">
        <v>28</v>
      </c>
      <c r="S4207" s="9">
        <f>VLOOKUP(P4207,$T$2:U4204,2,1)</f>
        <v>0.02</v>
      </c>
    </row>
    <row r="4208" spans="1:19" x14ac:dyDescent="0.25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e">
        <f>VLOOKUP(F4208,'Customer Info'!A4200:I4699,2,0)</f>
        <v>#N/A</v>
      </c>
      <c r="H4208" s="6" t="e">
        <f>VLOOKUP(F4208,'Customer Info'!A4200:I4699,3,0)</f>
        <v>#N/A</v>
      </c>
      <c r="I4208" s="6" t="e">
        <f>VLOOKUP(F4208,'Customer Info'!A4200:I4699,5,0)</f>
        <v>#N/A</v>
      </c>
      <c r="J4208" s="2">
        <v>516</v>
      </c>
      <c r="K4208" s="2">
        <v>473</v>
      </c>
      <c r="L4208" s="2">
        <v>7</v>
      </c>
      <c r="M4208" s="7">
        <f t="shared" si="260"/>
        <v>3311</v>
      </c>
      <c r="N4208" s="7">
        <f t="shared" si="261"/>
        <v>3612</v>
      </c>
      <c r="O4208" s="2">
        <v>65</v>
      </c>
      <c r="P4208" s="8">
        <f t="shared" si="262"/>
        <v>3677</v>
      </c>
      <c r="Q4208" s="8">
        <f t="shared" si="263"/>
        <v>3547</v>
      </c>
      <c r="R4208" s="2" t="s">
        <v>50</v>
      </c>
      <c r="S4208" s="9">
        <f>VLOOKUP(P4208,$T$2:U4205,2,1)</f>
        <v>0.02</v>
      </c>
    </row>
    <row r="4209" spans="1:19" x14ac:dyDescent="0.25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e">
        <f>VLOOKUP(F4209,'Customer Info'!A4201:I4700,2,0)</f>
        <v>#N/A</v>
      </c>
      <c r="H4209" s="6" t="e">
        <f>VLOOKUP(F4209,'Customer Info'!A4201:I4700,3,0)</f>
        <v>#N/A</v>
      </c>
      <c r="I4209" s="6" t="e">
        <f>VLOOKUP(F4209,'Customer Info'!A4201:I4700,5,0)</f>
        <v>#N/A</v>
      </c>
      <c r="J4209" s="2">
        <v>2874</v>
      </c>
      <c r="K4209" s="2">
        <v>2583</v>
      </c>
      <c r="L4209" s="2">
        <v>1</v>
      </c>
      <c r="M4209" s="7">
        <f t="shared" si="260"/>
        <v>2583</v>
      </c>
      <c r="N4209" s="7">
        <f t="shared" si="261"/>
        <v>2874</v>
      </c>
      <c r="O4209" s="2">
        <v>24</v>
      </c>
      <c r="P4209" s="8">
        <f t="shared" si="262"/>
        <v>2898</v>
      </c>
      <c r="Q4209" s="8">
        <f t="shared" si="263"/>
        <v>2850</v>
      </c>
      <c r="R4209" s="2" t="s">
        <v>50</v>
      </c>
      <c r="S4209" s="9">
        <f>VLOOKUP(P4209,$T$2:U4206,2,1)</f>
        <v>0.02</v>
      </c>
    </row>
    <row r="4210" spans="1:19" x14ac:dyDescent="0.25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e">
        <f>VLOOKUP(F4210,'Customer Info'!A4202:I4701,2,0)</f>
        <v>#N/A</v>
      </c>
      <c r="H4210" s="6" t="e">
        <f>VLOOKUP(F4210,'Customer Info'!A4202:I4701,3,0)</f>
        <v>#N/A</v>
      </c>
      <c r="I4210" s="6" t="e">
        <f>VLOOKUP(F4210,'Customer Info'!A4202:I4701,5,0)</f>
        <v>#N/A</v>
      </c>
      <c r="J4210" s="2">
        <v>77</v>
      </c>
      <c r="K4210" s="2">
        <v>73</v>
      </c>
      <c r="L4210" s="2">
        <v>2</v>
      </c>
      <c r="M4210" s="7">
        <f t="shared" si="260"/>
        <v>146</v>
      </c>
      <c r="N4210" s="7">
        <f t="shared" si="261"/>
        <v>154</v>
      </c>
      <c r="O4210" s="2">
        <v>10</v>
      </c>
      <c r="P4210" s="8">
        <f t="shared" si="262"/>
        <v>164</v>
      </c>
      <c r="Q4210" s="8">
        <f t="shared" si="263"/>
        <v>144</v>
      </c>
      <c r="R4210" s="2" t="s">
        <v>50</v>
      </c>
      <c r="S4210" s="9">
        <f>VLOOKUP(P4210,$T$2:U4207,2,1)</f>
        <v>0.02</v>
      </c>
    </row>
    <row r="4211" spans="1:19" x14ac:dyDescent="0.25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e">
        <f>VLOOKUP(F4211,'Customer Info'!A4203:I4702,2,0)</f>
        <v>#N/A</v>
      </c>
      <c r="H4211" s="6" t="e">
        <f>VLOOKUP(F4211,'Customer Info'!A4203:I4702,3,0)</f>
        <v>#N/A</v>
      </c>
      <c r="I4211" s="6" t="e">
        <f>VLOOKUP(F4211,'Customer Info'!A4203:I4702,5,0)</f>
        <v>#N/A</v>
      </c>
      <c r="J4211" s="2">
        <v>7065</v>
      </c>
      <c r="K4211" s="2">
        <v>6545</v>
      </c>
      <c r="L4211" s="2">
        <v>2</v>
      </c>
      <c r="M4211" s="7">
        <f t="shared" si="260"/>
        <v>13090</v>
      </c>
      <c r="N4211" s="7">
        <f t="shared" si="261"/>
        <v>14130</v>
      </c>
      <c r="O4211" s="2">
        <v>40</v>
      </c>
      <c r="P4211" s="8">
        <f t="shared" si="262"/>
        <v>14170</v>
      </c>
      <c r="Q4211" s="8">
        <f t="shared" si="263"/>
        <v>14090</v>
      </c>
      <c r="R4211" s="2" t="s">
        <v>26</v>
      </c>
      <c r="S4211" s="9">
        <f>VLOOKUP(P4211,$T$2:U4208,2,1)</f>
        <v>0.05</v>
      </c>
    </row>
    <row r="4212" spans="1:19" x14ac:dyDescent="0.25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e">
        <f>VLOOKUP(F4212,'Customer Info'!A4204:I4703,2,0)</f>
        <v>#N/A</v>
      </c>
      <c r="H4212" s="6" t="e">
        <f>VLOOKUP(F4212,'Customer Info'!A4204:I4703,3,0)</f>
        <v>#N/A</v>
      </c>
      <c r="I4212" s="6" t="e">
        <f>VLOOKUP(F4212,'Customer Info'!A4204:I4703,5,0)</f>
        <v>#N/A</v>
      </c>
      <c r="J4212" s="2">
        <v>2310</v>
      </c>
      <c r="K4212" s="2">
        <v>2040</v>
      </c>
      <c r="L4212" s="2">
        <v>7</v>
      </c>
      <c r="M4212" s="7">
        <f t="shared" si="260"/>
        <v>14280</v>
      </c>
      <c r="N4212" s="7">
        <f t="shared" si="261"/>
        <v>16170</v>
      </c>
      <c r="O4212" s="2">
        <v>74</v>
      </c>
      <c r="P4212" s="8">
        <f t="shared" si="262"/>
        <v>16244</v>
      </c>
      <c r="Q4212" s="8">
        <f t="shared" si="263"/>
        <v>16096</v>
      </c>
      <c r="R4212" s="2" t="s">
        <v>50</v>
      </c>
      <c r="S4212" s="9">
        <f>VLOOKUP(P4212,$T$2:U4209,2,1)</f>
        <v>0.05</v>
      </c>
    </row>
    <row r="4213" spans="1:19" x14ac:dyDescent="0.25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e">
        <f>VLOOKUP(F4213,'Customer Info'!A4205:I4704,2,0)</f>
        <v>#N/A</v>
      </c>
      <c r="H4213" s="6" t="e">
        <f>VLOOKUP(F4213,'Customer Info'!A4205:I4704,3,0)</f>
        <v>#N/A</v>
      </c>
      <c r="I4213" s="6" t="e">
        <f>VLOOKUP(F4213,'Customer Info'!A4205:I4704,5,0)</f>
        <v>#N/A</v>
      </c>
      <c r="J4213" s="2">
        <v>456</v>
      </c>
      <c r="K4213" s="2">
        <v>430</v>
      </c>
      <c r="L4213" s="2">
        <v>4</v>
      </c>
      <c r="M4213" s="7">
        <f t="shared" si="260"/>
        <v>1720</v>
      </c>
      <c r="N4213" s="7">
        <f t="shared" si="261"/>
        <v>1824</v>
      </c>
      <c r="O4213" s="2">
        <v>48</v>
      </c>
      <c r="P4213" s="8">
        <f t="shared" si="262"/>
        <v>1872</v>
      </c>
      <c r="Q4213" s="8">
        <f t="shared" si="263"/>
        <v>1776</v>
      </c>
      <c r="R4213" s="2" t="s">
        <v>50</v>
      </c>
      <c r="S4213" s="9">
        <f>VLOOKUP(P4213,$T$2:U4210,2,1)</f>
        <v>0.02</v>
      </c>
    </row>
    <row r="4214" spans="1:19" x14ac:dyDescent="0.25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e">
        <f>VLOOKUP(F4214,'Customer Info'!A4206:I4705,2,0)</f>
        <v>#N/A</v>
      </c>
      <c r="H4214" s="6" t="e">
        <f>VLOOKUP(F4214,'Customer Info'!A4206:I4705,3,0)</f>
        <v>#N/A</v>
      </c>
      <c r="I4214" s="6" t="e">
        <f>VLOOKUP(F4214,'Customer Info'!A4206:I4705,5,0)</f>
        <v>#N/A</v>
      </c>
      <c r="J4214" s="2">
        <v>992</v>
      </c>
      <c r="K4214" s="2">
        <v>928</v>
      </c>
      <c r="L4214" s="2">
        <v>3</v>
      </c>
      <c r="M4214" s="7">
        <f t="shared" si="260"/>
        <v>2784</v>
      </c>
      <c r="N4214" s="7">
        <f t="shared" si="261"/>
        <v>2976</v>
      </c>
      <c r="O4214" s="2">
        <v>72</v>
      </c>
      <c r="P4214" s="8">
        <f t="shared" si="262"/>
        <v>3048</v>
      </c>
      <c r="Q4214" s="8">
        <f t="shared" si="263"/>
        <v>2904</v>
      </c>
      <c r="R4214" s="2" t="s">
        <v>28</v>
      </c>
      <c r="S4214" s="9">
        <f>VLOOKUP(P4214,$T$2:U4211,2,1)</f>
        <v>0.02</v>
      </c>
    </row>
    <row r="4215" spans="1:19" x14ac:dyDescent="0.25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e">
        <f>VLOOKUP(F4215,'Customer Info'!A4207:I4706,2,0)</f>
        <v>#N/A</v>
      </c>
      <c r="H4215" s="6" t="e">
        <f>VLOOKUP(F4215,'Customer Info'!A4207:I4706,3,0)</f>
        <v>#N/A</v>
      </c>
      <c r="I4215" s="6" t="e">
        <f>VLOOKUP(F4215,'Customer Info'!A4207:I4706,5,0)</f>
        <v>#N/A</v>
      </c>
      <c r="J4215" s="2">
        <v>183</v>
      </c>
      <c r="K4215" s="2">
        <v>172</v>
      </c>
      <c r="L4215" s="2">
        <v>8</v>
      </c>
      <c r="M4215" s="7">
        <f t="shared" si="260"/>
        <v>1376</v>
      </c>
      <c r="N4215" s="7">
        <f t="shared" si="261"/>
        <v>1464</v>
      </c>
      <c r="O4215" s="2">
        <v>30</v>
      </c>
      <c r="P4215" s="8">
        <f t="shared" si="262"/>
        <v>1494</v>
      </c>
      <c r="Q4215" s="8">
        <f t="shared" si="263"/>
        <v>1434</v>
      </c>
      <c r="R4215" s="2" t="s">
        <v>50</v>
      </c>
      <c r="S4215" s="9">
        <f>VLOOKUP(P4215,$T$2:U4212,2,1)</f>
        <v>0.02</v>
      </c>
    </row>
    <row r="4216" spans="1:19" x14ac:dyDescent="0.25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e">
        <f>VLOOKUP(F4216,'Customer Info'!A4208:I4707,2,0)</f>
        <v>#N/A</v>
      </c>
      <c r="H4216" s="6" t="e">
        <f>VLOOKUP(F4216,'Customer Info'!A4208:I4707,3,0)</f>
        <v>#N/A</v>
      </c>
      <c r="I4216" s="6" t="e">
        <f>VLOOKUP(F4216,'Customer Info'!A4208:I4707,5,0)</f>
        <v>#N/A</v>
      </c>
      <c r="J4216" s="2">
        <v>7361</v>
      </c>
      <c r="K4216" s="2">
        <v>6887</v>
      </c>
      <c r="L4216" s="2">
        <v>1</v>
      </c>
      <c r="M4216" s="7">
        <f t="shared" si="260"/>
        <v>6887</v>
      </c>
      <c r="N4216" s="7">
        <f t="shared" si="261"/>
        <v>7361</v>
      </c>
      <c r="O4216" s="2">
        <v>93</v>
      </c>
      <c r="P4216" s="8">
        <f t="shared" si="262"/>
        <v>7454</v>
      </c>
      <c r="Q4216" s="8">
        <f t="shared" si="263"/>
        <v>7268</v>
      </c>
      <c r="R4216" s="2" t="s">
        <v>50</v>
      </c>
      <c r="S4216" s="9">
        <f>VLOOKUP(P4216,$T$2:U4213,2,1)</f>
        <v>0.05</v>
      </c>
    </row>
    <row r="4217" spans="1:19" x14ac:dyDescent="0.25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e">
        <f>VLOOKUP(F4217,'Customer Info'!A4209:I4708,2,0)</f>
        <v>#N/A</v>
      </c>
      <c r="H4217" s="6" t="e">
        <f>VLOOKUP(F4217,'Customer Info'!A4209:I4708,3,0)</f>
        <v>#N/A</v>
      </c>
      <c r="I4217" s="6" t="e">
        <f>VLOOKUP(F4217,'Customer Info'!A4209:I4708,5,0)</f>
        <v>#N/A</v>
      </c>
      <c r="J4217" s="2">
        <v>1651</v>
      </c>
      <c r="K4217" s="2">
        <v>1604</v>
      </c>
      <c r="L4217" s="2">
        <v>2</v>
      </c>
      <c r="M4217" s="7">
        <f t="shared" si="260"/>
        <v>3208</v>
      </c>
      <c r="N4217" s="7">
        <f t="shared" si="261"/>
        <v>3302</v>
      </c>
      <c r="O4217" s="2">
        <v>26</v>
      </c>
      <c r="P4217" s="8">
        <f t="shared" si="262"/>
        <v>3328</v>
      </c>
      <c r="Q4217" s="8">
        <f t="shared" si="263"/>
        <v>3276</v>
      </c>
      <c r="R4217" s="2" t="s">
        <v>28</v>
      </c>
      <c r="S4217" s="9">
        <f>VLOOKUP(P4217,$T$2:U4214,2,1)</f>
        <v>0.02</v>
      </c>
    </row>
    <row r="4218" spans="1:19" x14ac:dyDescent="0.25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e">
        <f>VLOOKUP(F4218,'Customer Info'!A4210:I4709,2,0)</f>
        <v>#N/A</v>
      </c>
      <c r="H4218" s="6" t="e">
        <f>VLOOKUP(F4218,'Customer Info'!A4210:I4709,3,0)</f>
        <v>#N/A</v>
      </c>
      <c r="I4218" s="6" t="e">
        <f>VLOOKUP(F4218,'Customer Info'!A4210:I4709,5,0)</f>
        <v>#N/A</v>
      </c>
      <c r="J4218" s="2">
        <v>6274</v>
      </c>
      <c r="K4218" s="2">
        <v>6093</v>
      </c>
      <c r="L4218" s="2">
        <v>3</v>
      </c>
      <c r="M4218" s="7">
        <f t="shared" si="260"/>
        <v>18279</v>
      </c>
      <c r="N4218" s="7">
        <f t="shared" si="261"/>
        <v>18822</v>
      </c>
      <c r="O4218" s="2">
        <v>66</v>
      </c>
      <c r="P4218" s="8">
        <f t="shared" si="262"/>
        <v>18888</v>
      </c>
      <c r="Q4218" s="8">
        <f t="shared" si="263"/>
        <v>18756</v>
      </c>
      <c r="R4218" s="2" t="s">
        <v>28</v>
      </c>
      <c r="S4218" s="9">
        <f>VLOOKUP(P4218,$T$2:U4215,2,1)</f>
        <v>0.05</v>
      </c>
    </row>
    <row r="4219" spans="1:19" x14ac:dyDescent="0.25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e">
        <f>VLOOKUP(F4219,'Customer Info'!A4211:I4710,2,0)</f>
        <v>#N/A</v>
      </c>
      <c r="H4219" s="6" t="e">
        <f>VLOOKUP(F4219,'Customer Info'!A4211:I4710,3,0)</f>
        <v>#N/A</v>
      </c>
      <c r="I4219" s="6" t="e">
        <f>VLOOKUP(F4219,'Customer Info'!A4211:I4710,5,0)</f>
        <v>#N/A</v>
      </c>
      <c r="J4219" s="2">
        <v>7361</v>
      </c>
      <c r="K4219" s="2">
        <v>6887</v>
      </c>
      <c r="L4219" s="2">
        <v>2</v>
      </c>
      <c r="M4219" s="7">
        <f t="shared" si="260"/>
        <v>13774</v>
      </c>
      <c r="N4219" s="7">
        <f t="shared" si="261"/>
        <v>14722</v>
      </c>
      <c r="O4219" s="2">
        <v>99</v>
      </c>
      <c r="P4219" s="8">
        <f t="shared" si="262"/>
        <v>14821</v>
      </c>
      <c r="Q4219" s="8">
        <f t="shared" si="263"/>
        <v>14623</v>
      </c>
      <c r="R4219" s="2" t="s">
        <v>50</v>
      </c>
      <c r="S4219" s="9">
        <f>VLOOKUP(P4219,$T$2:U4216,2,1)</f>
        <v>0.05</v>
      </c>
    </row>
    <row r="4220" spans="1:19" x14ac:dyDescent="0.25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e">
        <f>VLOOKUP(F4220,'Customer Info'!A4212:I4711,2,0)</f>
        <v>#N/A</v>
      </c>
      <c r="H4220" s="6" t="e">
        <f>VLOOKUP(F4220,'Customer Info'!A4212:I4711,3,0)</f>
        <v>#N/A</v>
      </c>
      <c r="I4220" s="6" t="e">
        <f>VLOOKUP(F4220,'Customer Info'!A4212:I4711,5,0)</f>
        <v>#N/A</v>
      </c>
      <c r="J4220" s="2">
        <v>2155</v>
      </c>
      <c r="K4220" s="2">
        <v>2014</v>
      </c>
      <c r="L4220" s="2">
        <v>2</v>
      </c>
      <c r="M4220" s="7">
        <f t="shared" si="260"/>
        <v>4028</v>
      </c>
      <c r="N4220" s="7">
        <f t="shared" si="261"/>
        <v>4310</v>
      </c>
      <c r="O4220" s="2">
        <v>56</v>
      </c>
      <c r="P4220" s="8">
        <f t="shared" si="262"/>
        <v>4366</v>
      </c>
      <c r="Q4220" s="8">
        <f t="shared" si="263"/>
        <v>4254</v>
      </c>
      <c r="R4220" s="2" t="s">
        <v>50</v>
      </c>
      <c r="S4220" s="9">
        <f>VLOOKUP(P4220,$T$2:U4217,2,1)</f>
        <v>0.02</v>
      </c>
    </row>
    <row r="4221" spans="1:19" x14ac:dyDescent="0.25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e">
        <f>VLOOKUP(F4221,'Customer Info'!A4213:I4712,2,0)</f>
        <v>#N/A</v>
      </c>
      <c r="H4221" s="6" t="e">
        <f>VLOOKUP(F4221,'Customer Info'!A4213:I4712,3,0)</f>
        <v>#N/A</v>
      </c>
      <c r="I4221" s="6" t="e">
        <f>VLOOKUP(F4221,'Customer Info'!A4213:I4712,5,0)</f>
        <v>#N/A</v>
      </c>
      <c r="J4221" s="2">
        <v>28522</v>
      </c>
      <c r="K4221" s="2">
        <v>26384</v>
      </c>
      <c r="L4221" s="2">
        <v>6</v>
      </c>
      <c r="M4221" s="7">
        <f t="shared" si="260"/>
        <v>158304</v>
      </c>
      <c r="N4221" s="7">
        <f t="shared" si="261"/>
        <v>171132</v>
      </c>
      <c r="O4221" s="2">
        <v>52</v>
      </c>
      <c r="P4221" s="8">
        <f t="shared" si="262"/>
        <v>171184</v>
      </c>
      <c r="Q4221" s="8">
        <f t="shared" si="263"/>
        <v>171080</v>
      </c>
      <c r="R4221" s="2" t="s">
        <v>50</v>
      </c>
      <c r="S4221" s="9">
        <f>VLOOKUP(P4221,$T$2:U4218,2,1)</f>
        <v>0.12</v>
      </c>
    </row>
    <row r="4222" spans="1:19" x14ac:dyDescent="0.25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e">
        <f>VLOOKUP(F4222,'Customer Info'!A4214:I4713,2,0)</f>
        <v>#N/A</v>
      </c>
      <c r="H4222" s="6" t="e">
        <f>VLOOKUP(F4222,'Customer Info'!A4214:I4713,3,0)</f>
        <v>#N/A</v>
      </c>
      <c r="I4222" s="6" t="e">
        <f>VLOOKUP(F4222,'Customer Info'!A4214:I4713,5,0)</f>
        <v>#N/A</v>
      </c>
      <c r="J4222" s="2">
        <v>101</v>
      </c>
      <c r="K4222" s="2">
        <v>98</v>
      </c>
      <c r="L4222" s="2">
        <v>2</v>
      </c>
      <c r="M4222" s="7">
        <f t="shared" si="260"/>
        <v>196</v>
      </c>
      <c r="N4222" s="7">
        <f t="shared" si="261"/>
        <v>202</v>
      </c>
      <c r="O4222" s="2">
        <v>10</v>
      </c>
      <c r="P4222" s="8">
        <f t="shared" si="262"/>
        <v>212</v>
      </c>
      <c r="Q4222" s="8">
        <f t="shared" si="263"/>
        <v>192</v>
      </c>
      <c r="R4222" s="2" t="s">
        <v>50</v>
      </c>
      <c r="S4222" s="9">
        <f>VLOOKUP(P4222,$T$2:U4219,2,1)</f>
        <v>0.02</v>
      </c>
    </row>
    <row r="4223" spans="1:19" x14ac:dyDescent="0.25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e">
        <f>VLOOKUP(F4223,'Customer Info'!A4215:I4714,2,0)</f>
        <v>#N/A</v>
      </c>
      <c r="H4223" s="6" t="e">
        <f>VLOOKUP(F4223,'Customer Info'!A4215:I4714,3,0)</f>
        <v>#N/A</v>
      </c>
      <c r="I4223" s="6" t="e">
        <f>VLOOKUP(F4223,'Customer Info'!A4215:I4714,5,0)</f>
        <v>#N/A</v>
      </c>
      <c r="J4223" s="2">
        <v>8351</v>
      </c>
      <c r="K4223" s="2">
        <v>8033</v>
      </c>
      <c r="L4223" s="2">
        <v>1</v>
      </c>
      <c r="M4223" s="7">
        <f t="shared" si="260"/>
        <v>8033</v>
      </c>
      <c r="N4223" s="7">
        <f t="shared" si="261"/>
        <v>8351</v>
      </c>
      <c r="O4223" s="2">
        <v>21</v>
      </c>
      <c r="P4223" s="8">
        <f t="shared" si="262"/>
        <v>8372</v>
      </c>
      <c r="Q4223" s="8">
        <f t="shared" si="263"/>
        <v>8330</v>
      </c>
      <c r="R4223" s="2" t="s">
        <v>28</v>
      </c>
      <c r="S4223" s="9">
        <f>VLOOKUP(P4223,$T$2:U4220,2,1)</f>
        <v>0.05</v>
      </c>
    </row>
    <row r="4224" spans="1:19" x14ac:dyDescent="0.25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e">
        <f>VLOOKUP(F4224,'Customer Info'!A4216:I4715,2,0)</f>
        <v>#N/A</v>
      </c>
      <c r="H4224" s="6" t="e">
        <f>VLOOKUP(F4224,'Customer Info'!A4216:I4715,3,0)</f>
        <v>#N/A</v>
      </c>
      <c r="I4224" s="6" t="e">
        <f>VLOOKUP(F4224,'Customer Info'!A4216:I4715,5,0)</f>
        <v>#N/A</v>
      </c>
      <c r="J4224" s="2">
        <v>63</v>
      </c>
      <c r="K4224" s="2">
        <v>59</v>
      </c>
      <c r="L4224" s="2">
        <v>5</v>
      </c>
      <c r="M4224" s="7">
        <f t="shared" si="260"/>
        <v>295</v>
      </c>
      <c r="N4224" s="7">
        <f t="shared" si="261"/>
        <v>315</v>
      </c>
      <c r="O4224" s="2">
        <v>10</v>
      </c>
      <c r="P4224" s="8">
        <f t="shared" si="262"/>
        <v>325</v>
      </c>
      <c r="Q4224" s="8">
        <f t="shared" si="263"/>
        <v>305</v>
      </c>
      <c r="R4224" s="2" t="s">
        <v>28</v>
      </c>
      <c r="S4224" s="9">
        <f>VLOOKUP(P4224,$T$2:U4221,2,1)</f>
        <v>0.02</v>
      </c>
    </row>
    <row r="4225" spans="1:19" x14ac:dyDescent="0.25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e">
        <f>VLOOKUP(F4225,'Customer Info'!A4217:I4716,2,0)</f>
        <v>#N/A</v>
      </c>
      <c r="H4225" s="6" t="e">
        <f>VLOOKUP(F4225,'Customer Info'!A4217:I4716,3,0)</f>
        <v>#N/A</v>
      </c>
      <c r="I4225" s="6" t="e">
        <f>VLOOKUP(F4225,'Customer Info'!A4217:I4716,5,0)</f>
        <v>#N/A</v>
      </c>
      <c r="J4225" s="2">
        <v>2342</v>
      </c>
      <c r="K4225" s="2">
        <v>2210</v>
      </c>
      <c r="L4225" s="2">
        <v>2</v>
      </c>
      <c r="M4225" s="7">
        <f t="shared" si="260"/>
        <v>4420</v>
      </c>
      <c r="N4225" s="7">
        <f t="shared" si="261"/>
        <v>4684</v>
      </c>
      <c r="O4225" s="2">
        <v>96</v>
      </c>
      <c r="P4225" s="8">
        <f t="shared" si="262"/>
        <v>4780</v>
      </c>
      <c r="Q4225" s="8">
        <f t="shared" si="263"/>
        <v>4588</v>
      </c>
      <c r="R4225" s="2" t="s">
        <v>50</v>
      </c>
      <c r="S4225" s="9">
        <f>VLOOKUP(P4225,$T$2:U4222,2,1)</f>
        <v>0.02</v>
      </c>
    </row>
    <row r="4226" spans="1:19" x14ac:dyDescent="0.25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e">
        <f>VLOOKUP(F4226,'Customer Info'!A4218:I4717,2,0)</f>
        <v>#N/A</v>
      </c>
      <c r="H4226" s="6" t="e">
        <f>VLOOKUP(F4226,'Customer Info'!A4218:I4717,3,0)</f>
        <v>#N/A</v>
      </c>
      <c r="I4226" s="6" t="e">
        <f>VLOOKUP(F4226,'Customer Info'!A4218:I4717,5,0)</f>
        <v>#N/A</v>
      </c>
      <c r="J4226" s="2">
        <v>69</v>
      </c>
      <c r="K4226" s="2">
        <v>64</v>
      </c>
      <c r="L4226" s="2">
        <v>3</v>
      </c>
      <c r="M4226" s="7">
        <f t="shared" si="260"/>
        <v>192</v>
      </c>
      <c r="N4226" s="7">
        <f t="shared" si="261"/>
        <v>207</v>
      </c>
      <c r="O4226" s="2">
        <v>10</v>
      </c>
      <c r="P4226" s="8">
        <f t="shared" si="262"/>
        <v>217</v>
      </c>
      <c r="Q4226" s="8">
        <f t="shared" si="263"/>
        <v>197</v>
      </c>
      <c r="R4226" s="2" t="s">
        <v>28</v>
      </c>
      <c r="S4226" s="9">
        <f>VLOOKUP(P4226,$T$2:U4223,2,1)</f>
        <v>0.02</v>
      </c>
    </row>
    <row r="4227" spans="1:19" x14ac:dyDescent="0.25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e">
        <f>VLOOKUP(F4227,'Customer Info'!A4219:I4718,2,0)</f>
        <v>#N/A</v>
      </c>
      <c r="H4227" s="6" t="e">
        <f>VLOOKUP(F4227,'Customer Info'!A4219:I4718,3,0)</f>
        <v>#N/A</v>
      </c>
      <c r="I4227" s="6" t="e">
        <f>VLOOKUP(F4227,'Customer Info'!A4219:I4718,5,0)</f>
        <v>#N/A</v>
      </c>
      <c r="J4227" s="2">
        <v>1413</v>
      </c>
      <c r="K4227" s="2">
        <v>1334</v>
      </c>
      <c r="L4227" s="2">
        <v>6</v>
      </c>
      <c r="M4227" s="7">
        <f t="shared" si="260"/>
        <v>8004</v>
      </c>
      <c r="N4227" s="7">
        <f t="shared" si="261"/>
        <v>8478</v>
      </c>
      <c r="O4227" s="2">
        <v>49</v>
      </c>
      <c r="P4227" s="8">
        <f t="shared" si="262"/>
        <v>8527</v>
      </c>
      <c r="Q4227" s="8">
        <f t="shared" si="263"/>
        <v>8429</v>
      </c>
      <c r="R4227" s="2" t="s">
        <v>28</v>
      </c>
      <c r="S4227" s="9">
        <f>VLOOKUP(P4227,$T$2:U4224,2,1)</f>
        <v>0.05</v>
      </c>
    </row>
    <row r="4228" spans="1:19" x14ac:dyDescent="0.25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e">
        <f>VLOOKUP(F4228,'Customer Info'!A4220:I4719,2,0)</f>
        <v>#N/A</v>
      </c>
      <c r="H4228" s="6" t="e">
        <f>VLOOKUP(F4228,'Customer Info'!A4220:I4719,3,0)</f>
        <v>#N/A</v>
      </c>
      <c r="I4228" s="6" t="e">
        <f>VLOOKUP(F4228,'Customer Info'!A4220:I4719,5,0)</f>
        <v>#N/A</v>
      </c>
      <c r="J4228" s="2">
        <v>2466</v>
      </c>
      <c r="K4228" s="2">
        <v>2350</v>
      </c>
      <c r="L4228" s="2">
        <v>6</v>
      </c>
      <c r="M4228" s="7">
        <f t="shared" si="260"/>
        <v>14100</v>
      </c>
      <c r="N4228" s="7">
        <f t="shared" si="261"/>
        <v>14796</v>
      </c>
      <c r="O4228" s="2">
        <v>64</v>
      </c>
      <c r="P4228" s="8">
        <f t="shared" si="262"/>
        <v>14860</v>
      </c>
      <c r="Q4228" s="8">
        <f t="shared" si="263"/>
        <v>14732</v>
      </c>
      <c r="R4228" s="2" t="s">
        <v>50</v>
      </c>
      <c r="S4228" s="9">
        <f>VLOOKUP(P4228,$T$2:U4225,2,1)</f>
        <v>0.05</v>
      </c>
    </row>
    <row r="4229" spans="1:19" x14ac:dyDescent="0.25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e">
        <f>VLOOKUP(F4229,'Customer Info'!A4221:I4720,2,0)</f>
        <v>#N/A</v>
      </c>
      <c r="H4229" s="6" t="e">
        <f>VLOOKUP(F4229,'Customer Info'!A4221:I4720,3,0)</f>
        <v>#N/A</v>
      </c>
      <c r="I4229" s="6" t="e">
        <f>VLOOKUP(F4229,'Customer Info'!A4221:I4720,5,0)</f>
        <v>#N/A</v>
      </c>
      <c r="J4229" s="2">
        <v>2829</v>
      </c>
      <c r="K4229" s="2">
        <v>2596</v>
      </c>
      <c r="L4229" s="2">
        <v>1</v>
      </c>
      <c r="M4229" s="7">
        <f t="shared" si="260"/>
        <v>2596</v>
      </c>
      <c r="N4229" s="7">
        <f t="shared" si="261"/>
        <v>2829</v>
      </c>
      <c r="O4229" s="2">
        <v>39</v>
      </c>
      <c r="P4229" s="8">
        <f t="shared" si="262"/>
        <v>2868</v>
      </c>
      <c r="Q4229" s="8">
        <f t="shared" si="263"/>
        <v>2790</v>
      </c>
      <c r="R4229" s="2" t="s">
        <v>50</v>
      </c>
      <c r="S4229" s="9">
        <f>VLOOKUP(P4229,$T$2:U4226,2,1)</f>
        <v>0.02</v>
      </c>
    </row>
    <row r="4230" spans="1:19" x14ac:dyDescent="0.25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e">
        <f>VLOOKUP(F4230,'Customer Info'!A4222:I4721,2,0)</f>
        <v>#N/A</v>
      </c>
      <c r="H4230" s="6" t="e">
        <f>VLOOKUP(F4230,'Customer Info'!A4222:I4721,3,0)</f>
        <v>#N/A</v>
      </c>
      <c r="I4230" s="6" t="e">
        <f>VLOOKUP(F4230,'Customer Info'!A4222:I4721,5,0)</f>
        <v>#N/A</v>
      </c>
      <c r="J4230" s="2">
        <v>516</v>
      </c>
      <c r="K4230" s="2">
        <v>473</v>
      </c>
      <c r="L4230" s="2">
        <v>3</v>
      </c>
      <c r="M4230" s="7">
        <f t="shared" si="260"/>
        <v>1419</v>
      </c>
      <c r="N4230" s="7">
        <f t="shared" si="261"/>
        <v>1548</v>
      </c>
      <c r="O4230" s="2">
        <v>22</v>
      </c>
      <c r="P4230" s="8">
        <f t="shared" si="262"/>
        <v>1570</v>
      </c>
      <c r="Q4230" s="8">
        <f t="shared" si="263"/>
        <v>1526</v>
      </c>
      <c r="R4230" s="2" t="s">
        <v>50</v>
      </c>
      <c r="S4230" s="9">
        <f>VLOOKUP(P4230,$T$2:U4227,2,1)</f>
        <v>0.02</v>
      </c>
    </row>
    <row r="4231" spans="1:19" x14ac:dyDescent="0.25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e">
        <f>VLOOKUP(F4231,'Customer Info'!A4223:I4722,2,0)</f>
        <v>#N/A</v>
      </c>
      <c r="H4231" s="6" t="e">
        <f>VLOOKUP(F4231,'Customer Info'!A4223:I4722,3,0)</f>
        <v>#N/A</v>
      </c>
      <c r="I4231" s="6" t="e">
        <f>VLOOKUP(F4231,'Customer Info'!A4223:I4722,5,0)</f>
        <v>#N/A</v>
      </c>
      <c r="J4231" s="2">
        <v>2242</v>
      </c>
      <c r="K4231" s="2">
        <v>2075</v>
      </c>
      <c r="L4231" s="2">
        <v>4</v>
      </c>
      <c r="M4231" s="7">
        <f t="shared" si="260"/>
        <v>8300</v>
      </c>
      <c r="N4231" s="7">
        <f t="shared" si="261"/>
        <v>8968</v>
      </c>
      <c r="O4231" s="2">
        <v>75</v>
      </c>
      <c r="P4231" s="8">
        <f t="shared" si="262"/>
        <v>9043</v>
      </c>
      <c r="Q4231" s="8">
        <f t="shared" si="263"/>
        <v>8893</v>
      </c>
      <c r="R4231" s="2" t="s">
        <v>28</v>
      </c>
      <c r="S4231" s="9">
        <f>VLOOKUP(P4231,$T$2:U4228,2,1)</f>
        <v>0.05</v>
      </c>
    </row>
    <row r="4232" spans="1:19" x14ac:dyDescent="0.25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e">
        <f>VLOOKUP(F4232,'Customer Info'!A4224:I4723,2,0)</f>
        <v>#N/A</v>
      </c>
      <c r="H4232" s="6" t="e">
        <f>VLOOKUP(F4232,'Customer Info'!A4224:I4723,3,0)</f>
        <v>#N/A</v>
      </c>
      <c r="I4232" s="6" t="e">
        <f>VLOOKUP(F4232,'Customer Info'!A4224:I4723,5,0)</f>
        <v>#N/A</v>
      </c>
      <c r="J4232" s="2">
        <v>56</v>
      </c>
      <c r="K4232" s="2">
        <v>54</v>
      </c>
      <c r="L4232" s="2">
        <v>3</v>
      </c>
      <c r="M4232" s="7">
        <f t="shared" si="260"/>
        <v>162</v>
      </c>
      <c r="N4232" s="7">
        <f t="shared" si="261"/>
        <v>168</v>
      </c>
      <c r="O4232" s="2">
        <v>10</v>
      </c>
      <c r="P4232" s="8">
        <f t="shared" si="262"/>
        <v>178</v>
      </c>
      <c r="Q4232" s="8">
        <f t="shared" si="263"/>
        <v>158</v>
      </c>
      <c r="R4232" s="2" t="s">
        <v>28</v>
      </c>
      <c r="S4232" s="9">
        <f>VLOOKUP(P4232,$T$2:U4229,2,1)</f>
        <v>0.02</v>
      </c>
    </row>
    <row r="4233" spans="1:19" x14ac:dyDescent="0.25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e">
        <f>VLOOKUP(F4233,'Customer Info'!A4225:I4724,2,0)</f>
        <v>#N/A</v>
      </c>
      <c r="H4233" s="6" t="e">
        <f>VLOOKUP(F4233,'Customer Info'!A4225:I4724,3,0)</f>
        <v>#N/A</v>
      </c>
      <c r="I4233" s="6" t="e">
        <f>VLOOKUP(F4233,'Customer Info'!A4225:I4724,5,0)</f>
        <v>#N/A</v>
      </c>
      <c r="J4233" s="2">
        <v>4784</v>
      </c>
      <c r="K4233" s="2">
        <v>4518</v>
      </c>
      <c r="L4233" s="2">
        <v>1</v>
      </c>
      <c r="M4233" s="7">
        <f t="shared" si="260"/>
        <v>4518</v>
      </c>
      <c r="N4233" s="7">
        <f t="shared" si="261"/>
        <v>4784</v>
      </c>
      <c r="O4233" s="2">
        <v>55</v>
      </c>
      <c r="P4233" s="8">
        <f t="shared" si="262"/>
        <v>4839</v>
      </c>
      <c r="Q4233" s="8">
        <f t="shared" si="263"/>
        <v>4729</v>
      </c>
      <c r="R4233" s="2" t="s">
        <v>26</v>
      </c>
      <c r="S4233" s="9">
        <f>VLOOKUP(P4233,$T$2:U4230,2,1)</f>
        <v>0.02</v>
      </c>
    </row>
    <row r="4234" spans="1:19" x14ac:dyDescent="0.25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e">
        <f>VLOOKUP(F4234,'Customer Info'!A4226:I4725,2,0)</f>
        <v>#N/A</v>
      </c>
      <c r="H4234" s="6" t="e">
        <f>VLOOKUP(F4234,'Customer Info'!A4226:I4725,3,0)</f>
        <v>#N/A</v>
      </c>
      <c r="I4234" s="6" t="e">
        <f>VLOOKUP(F4234,'Customer Info'!A4226:I4725,5,0)</f>
        <v>#N/A</v>
      </c>
      <c r="J4234" s="2">
        <v>1169</v>
      </c>
      <c r="K4234" s="2">
        <v>1072</v>
      </c>
      <c r="L4234" s="2">
        <v>5</v>
      </c>
      <c r="M4234" s="7">
        <f t="shared" si="260"/>
        <v>5360</v>
      </c>
      <c r="N4234" s="7">
        <f t="shared" si="261"/>
        <v>5845</v>
      </c>
      <c r="O4234" s="2">
        <v>86</v>
      </c>
      <c r="P4234" s="8">
        <f t="shared" si="262"/>
        <v>5931</v>
      </c>
      <c r="Q4234" s="8">
        <f t="shared" si="263"/>
        <v>5759</v>
      </c>
      <c r="R4234" s="2" t="s">
        <v>50</v>
      </c>
      <c r="S4234" s="9">
        <f>VLOOKUP(P4234,$T$2:U4231,2,1)</f>
        <v>0.05</v>
      </c>
    </row>
    <row r="4235" spans="1:19" x14ac:dyDescent="0.25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e">
        <f>VLOOKUP(F4235,'Customer Info'!A4227:I4726,2,0)</f>
        <v>#N/A</v>
      </c>
      <c r="H4235" s="6" t="e">
        <f>VLOOKUP(F4235,'Customer Info'!A4227:I4726,3,0)</f>
        <v>#N/A</v>
      </c>
      <c r="I4235" s="6" t="e">
        <f>VLOOKUP(F4235,'Customer Info'!A4227:I4726,5,0)</f>
        <v>#N/A</v>
      </c>
      <c r="J4235" s="2">
        <v>531</v>
      </c>
      <c r="K4235" s="2">
        <v>487</v>
      </c>
      <c r="L4235" s="2">
        <v>6</v>
      </c>
      <c r="M4235" s="7">
        <f t="shared" ref="M4235:M4298" si="264">K4235*L4235</f>
        <v>2922</v>
      </c>
      <c r="N4235" s="7">
        <f t="shared" ref="N4235:N4298" si="265">J4235*L4235</f>
        <v>3186</v>
      </c>
      <c r="O4235" s="2">
        <v>30</v>
      </c>
      <c r="P4235" s="8">
        <f t="shared" ref="P4235:P4298" si="266">SUM(N4235,O4235)</f>
        <v>3216</v>
      </c>
      <c r="Q4235" s="8">
        <f t="shared" ref="Q4235:Q4298" si="267">N4235-O4235</f>
        <v>3156</v>
      </c>
      <c r="R4235" s="2" t="s">
        <v>28</v>
      </c>
      <c r="S4235" s="9">
        <f>VLOOKUP(P4235,$T$2:U4232,2,1)</f>
        <v>0.02</v>
      </c>
    </row>
    <row r="4236" spans="1:19" x14ac:dyDescent="0.25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e">
        <f>VLOOKUP(F4236,'Customer Info'!A4228:I4727,2,0)</f>
        <v>#N/A</v>
      </c>
      <c r="H4236" s="6" t="e">
        <f>VLOOKUP(F4236,'Customer Info'!A4228:I4727,3,0)</f>
        <v>#N/A</v>
      </c>
      <c r="I4236" s="6" t="e">
        <f>VLOOKUP(F4236,'Customer Info'!A4228:I4727,5,0)</f>
        <v>#N/A</v>
      </c>
      <c r="J4236" s="2">
        <v>887</v>
      </c>
      <c r="K4236" s="2">
        <v>814</v>
      </c>
      <c r="L4236" s="2">
        <v>1</v>
      </c>
      <c r="M4236" s="7">
        <f t="shared" si="264"/>
        <v>814</v>
      </c>
      <c r="N4236" s="7">
        <f t="shared" si="265"/>
        <v>887</v>
      </c>
      <c r="O4236" s="2">
        <v>57</v>
      </c>
      <c r="P4236" s="8">
        <f t="shared" si="266"/>
        <v>944</v>
      </c>
      <c r="Q4236" s="8">
        <f t="shared" si="267"/>
        <v>830</v>
      </c>
      <c r="R4236" s="2" t="s">
        <v>28</v>
      </c>
      <c r="S4236" s="9">
        <f>VLOOKUP(P4236,$T$2:U4233,2,1)</f>
        <v>0.02</v>
      </c>
    </row>
    <row r="4237" spans="1:19" x14ac:dyDescent="0.25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e">
        <f>VLOOKUP(F4237,'Customer Info'!A4229:I4728,2,0)</f>
        <v>#N/A</v>
      </c>
      <c r="H4237" s="6" t="e">
        <f>VLOOKUP(F4237,'Customer Info'!A4229:I4728,3,0)</f>
        <v>#N/A</v>
      </c>
      <c r="I4237" s="6" t="e">
        <f>VLOOKUP(F4237,'Customer Info'!A4229:I4728,5,0)</f>
        <v>#N/A</v>
      </c>
      <c r="J4237" s="2">
        <v>1512</v>
      </c>
      <c r="K4237" s="2">
        <v>1497</v>
      </c>
      <c r="L4237" s="2">
        <v>2</v>
      </c>
      <c r="M4237" s="7">
        <f t="shared" si="264"/>
        <v>2994</v>
      </c>
      <c r="N4237" s="7">
        <f t="shared" si="265"/>
        <v>3024</v>
      </c>
      <c r="O4237" s="2">
        <v>74</v>
      </c>
      <c r="P4237" s="8">
        <f t="shared" si="266"/>
        <v>3098</v>
      </c>
      <c r="Q4237" s="8">
        <f t="shared" si="267"/>
        <v>2950</v>
      </c>
      <c r="R4237" s="2" t="s">
        <v>28</v>
      </c>
      <c r="S4237" s="9">
        <f>VLOOKUP(P4237,$T$2:U4234,2,1)</f>
        <v>0.02</v>
      </c>
    </row>
    <row r="4238" spans="1:19" x14ac:dyDescent="0.25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e">
        <f>VLOOKUP(F4238,'Customer Info'!A4230:I4729,2,0)</f>
        <v>#N/A</v>
      </c>
      <c r="H4238" s="6" t="e">
        <f>VLOOKUP(F4238,'Customer Info'!A4230:I4729,3,0)</f>
        <v>#N/A</v>
      </c>
      <c r="I4238" s="6" t="e">
        <f>VLOOKUP(F4238,'Customer Info'!A4230:I4729,5,0)</f>
        <v>#N/A</v>
      </c>
      <c r="J4238" s="2">
        <v>142</v>
      </c>
      <c r="K4238" s="2">
        <v>129</v>
      </c>
      <c r="L4238" s="2">
        <v>4</v>
      </c>
      <c r="M4238" s="7">
        <f t="shared" si="264"/>
        <v>516</v>
      </c>
      <c r="N4238" s="7">
        <f t="shared" si="265"/>
        <v>568</v>
      </c>
      <c r="O4238" s="2">
        <v>30</v>
      </c>
      <c r="P4238" s="8">
        <f t="shared" si="266"/>
        <v>598</v>
      </c>
      <c r="Q4238" s="8">
        <f t="shared" si="267"/>
        <v>538</v>
      </c>
      <c r="R4238" s="2" t="s">
        <v>28</v>
      </c>
      <c r="S4238" s="9">
        <f>VLOOKUP(P4238,$T$2:U4235,2,1)</f>
        <v>0.02</v>
      </c>
    </row>
    <row r="4239" spans="1:19" x14ac:dyDescent="0.25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e">
        <f>VLOOKUP(F4239,'Customer Info'!A4231:I4730,2,0)</f>
        <v>#N/A</v>
      </c>
      <c r="H4239" s="6" t="e">
        <f>VLOOKUP(F4239,'Customer Info'!A4231:I4730,3,0)</f>
        <v>#N/A</v>
      </c>
      <c r="I4239" s="6" t="e">
        <f>VLOOKUP(F4239,'Customer Info'!A4231:I4730,5,0)</f>
        <v>#N/A</v>
      </c>
      <c r="J4239" s="2">
        <v>400</v>
      </c>
      <c r="K4239" s="2">
        <v>360</v>
      </c>
      <c r="L4239" s="2">
        <v>4</v>
      </c>
      <c r="M4239" s="7">
        <f t="shared" si="264"/>
        <v>1440</v>
      </c>
      <c r="N4239" s="7">
        <f t="shared" si="265"/>
        <v>1600</v>
      </c>
      <c r="O4239" s="2">
        <v>58</v>
      </c>
      <c r="P4239" s="8">
        <f t="shared" si="266"/>
        <v>1658</v>
      </c>
      <c r="Q4239" s="8">
        <f t="shared" si="267"/>
        <v>1542</v>
      </c>
      <c r="R4239" s="2" t="s">
        <v>28</v>
      </c>
      <c r="S4239" s="9">
        <f>VLOOKUP(P4239,$T$2:U4236,2,1)</f>
        <v>0.02</v>
      </c>
    </row>
    <row r="4240" spans="1:19" x14ac:dyDescent="0.25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e">
        <f>VLOOKUP(F4240,'Customer Info'!A4232:I4731,2,0)</f>
        <v>#N/A</v>
      </c>
      <c r="H4240" s="6" t="e">
        <f>VLOOKUP(F4240,'Customer Info'!A4232:I4731,3,0)</f>
        <v>#N/A</v>
      </c>
      <c r="I4240" s="6" t="e">
        <f>VLOOKUP(F4240,'Customer Info'!A4232:I4731,5,0)</f>
        <v>#N/A</v>
      </c>
      <c r="J4240" s="2">
        <v>1545</v>
      </c>
      <c r="K4240" s="2">
        <v>1486</v>
      </c>
      <c r="L4240" s="2">
        <v>1</v>
      </c>
      <c r="M4240" s="7">
        <f t="shared" si="264"/>
        <v>1486</v>
      </c>
      <c r="N4240" s="7">
        <f t="shared" si="265"/>
        <v>1545</v>
      </c>
      <c r="O4240" s="2">
        <v>67</v>
      </c>
      <c r="P4240" s="8">
        <f t="shared" si="266"/>
        <v>1612</v>
      </c>
      <c r="Q4240" s="8">
        <f t="shared" si="267"/>
        <v>1478</v>
      </c>
      <c r="R4240" s="2" t="s">
        <v>28</v>
      </c>
      <c r="S4240" s="9">
        <f>VLOOKUP(P4240,$T$2:U4237,2,1)</f>
        <v>0.02</v>
      </c>
    </row>
    <row r="4241" spans="1:19" x14ac:dyDescent="0.25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e">
        <f>VLOOKUP(F4241,'Customer Info'!A4233:I4732,2,0)</f>
        <v>#N/A</v>
      </c>
      <c r="H4241" s="6" t="e">
        <f>VLOOKUP(F4241,'Customer Info'!A4233:I4732,3,0)</f>
        <v>#N/A</v>
      </c>
      <c r="I4241" s="6" t="e">
        <f>VLOOKUP(F4241,'Customer Info'!A4233:I4732,5,0)</f>
        <v>#N/A</v>
      </c>
      <c r="J4241" s="2">
        <v>222</v>
      </c>
      <c r="K4241" s="2">
        <v>204</v>
      </c>
      <c r="L4241" s="2">
        <v>1</v>
      </c>
      <c r="M4241" s="7">
        <f t="shared" si="264"/>
        <v>204</v>
      </c>
      <c r="N4241" s="7">
        <f t="shared" si="265"/>
        <v>222</v>
      </c>
      <c r="O4241" s="2">
        <v>82</v>
      </c>
      <c r="P4241" s="8">
        <f t="shared" si="266"/>
        <v>304</v>
      </c>
      <c r="Q4241" s="8">
        <f t="shared" si="267"/>
        <v>140</v>
      </c>
      <c r="R4241" s="2" t="s">
        <v>28</v>
      </c>
      <c r="S4241" s="9">
        <f>VLOOKUP(P4241,$T$2:U4238,2,1)</f>
        <v>0.02</v>
      </c>
    </row>
    <row r="4242" spans="1:19" x14ac:dyDescent="0.25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e">
        <f>VLOOKUP(F4242,'Customer Info'!A4234:I4733,2,0)</f>
        <v>#N/A</v>
      </c>
      <c r="H4242" s="6" t="e">
        <f>VLOOKUP(F4242,'Customer Info'!A4234:I4733,3,0)</f>
        <v>#N/A</v>
      </c>
      <c r="I4242" s="6" t="e">
        <f>VLOOKUP(F4242,'Customer Info'!A4234:I4733,5,0)</f>
        <v>#N/A</v>
      </c>
      <c r="J4242" s="2">
        <v>6354</v>
      </c>
      <c r="K4242" s="2">
        <v>5769</v>
      </c>
      <c r="L4242" s="2">
        <v>1</v>
      </c>
      <c r="M4242" s="7">
        <f t="shared" si="264"/>
        <v>5769</v>
      </c>
      <c r="N4242" s="7">
        <f t="shared" si="265"/>
        <v>6354</v>
      </c>
      <c r="O4242" s="2">
        <v>71</v>
      </c>
      <c r="P4242" s="8">
        <f t="shared" si="266"/>
        <v>6425</v>
      </c>
      <c r="Q4242" s="8">
        <f t="shared" si="267"/>
        <v>6283</v>
      </c>
      <c r="R4242" s="2" t="s">
        <v>28</v>
      </c>
      <c r="S4242" s="9">
        <f>VLOOKUP(P4242,$T$2:U4239,2,1)</f>
        <v>0.05</v>
      </c>
    </row>
    <row r="4243" spans="1:19" x14ac:dyDescent="0.25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e">
        <f>VLOOKUP(F4243,'Customer Info'!A4235:I4734,2,0)</f>
        <v>#N/A</v>
      </c>
      <c r="H4243" s="6" t="e">
        <f>VLOOKUP(F4243,'Customer Info'!A4235:I4734,3,0)</f>
        <v>#N/A</v>
      </c>
      <c r="I4243" s="6" t="e">
        <f>VLOOKUP(F4243,'Customer Info'!A4235:I4734,5,0)</f>
        <v>#N/A</v>
      </c>
      <c r="J4243" s="2">
        <v>404</v>
      </c>
      <c r="K4243" s="2">
        <v>371</v>
      </c>
      <c r="L4243" s="2">
        <v>5</v>
      </c>
      <c r="M4243" s="7">
        <f t="shared" si="264"/>
        <v>1855</v>
      </c>
      <c r="N4243" s="7">
        <f t="shared" si="265"/>
        <v>2020</v>
      </c>
      <c r="O4243" s="2">
        <v>58</v>
      </c>
      <c r="P4243" s="8">
        <f t="shared" si="266"/>
        <v>2078</v>
      </c>
      <c r="Q4243" s="8">
        <f t="shared" si="267"/>
        <v>1962</v>
      </c>
      <c r="R4243" s="2" t="s">
        <v>56</v>
      </c>
      <c r="S4243" s="9">
        <f>VLOOKUP(P4243,$T$2:U4240,2,1)</f>
        <v>0.02</v>
      </c>
    </row>
    <row r="4244" spans="1:19" x14ac:dyDescent="0.25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e">
        <f>VLOOKUP(F4244,'Customer Info'!A4236:I4735,2,0)</f>
        <v>#N/A</v>
      </c>
      <c r="H4244" s="6" t="e">
        <f>VLOOKUP(F4244,'Customer Info'!A4236:I4735,3,0)</f>
        <v>#N/A</v>
      </c>
      <c r="I4244" s="6" t="e">
        <f>VLOOKUP(F4244,'Customer Info'!A4236:I4735,5,0)</f>
        <v>#N/A</v>
      </c>
      <c r="J4244" s="2">
        <v>5882</v>
      </c>
      <c r="K4244" s="2">
        <v>5713</v>
      </c>
      <c r="L4244" s="2">
        <v>7</v>
      </c>
      <c r="M4244" s="7">
        <f t="shared" si="264"/>
        <v>39991</v>
      </c>
      <c r="N4244" s="7">
        <f t="shared" si="265"/>
        <v>41174</v>
      </c>
      <c r="O4244" s="2">
        <v>49</v>
      </c>
      <c r="P4244" s="8">
        <f t="shared" si="266"/>
        <v>41223</v>
      </c>
      <c r="Q4244" s="8">
        <f t="shared" si="267"/>
        <v>41125</v>
      </c>
      <c r="R4244" s="2" t="s">
        <v>50</v>
      </c>
      <c r="S4244" s="9">
        <f>VLOOKUP(P4244,$T$2:U4241,2,1)</f>
        <v>7.0000000000000007E-2</v>
      </c>
    </row>
    <row r="4245" spans="1:19" x14ac:dyDescent="0.25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e">
        <f>VLOOKUP(F4245,'Customer Info'!A4237:I4736,2,0)</f>
        <v>#N/A</v>
      </c>
      <c r="H4245" s="6" t="e">
        <f>VLOOKUP(F4245,'Customer Info'!A4237:I4736,3,0)</f>
        <v>#N/A</v>
      </c>
      <c r="I4245" s="6" t="e">
        <f>VLOOKUP(F4245,'Customer Info'!A4237:I4736,5,0)</f>
        <v>#N/A</v>
      </c>
      <c r="J4245" s="2">
        <v>1568</v>
      </c>
      <c r="K4245" s="2">
        <v>1495</v>
      </c>
      <c r="L4245" s="2">
        <v>5</v>
      </c>
      <c r="M4245" s="7">
        <f t="shared" si="264"/>
        <v>7475</v>
      </c>
      <c r="N4245" s="7">
        <f t="shared" si="265"/>
        <v>7840</v>
      </c>
      <c r="O4245" s="2">
        <v>52</v>
      </c>
      <c r="P4245" s="8">
        <f t="shared" si="266"/>
        <v>7892</v>
      </c>
      <c r="Q4245" s="8">
        <f t="shared" si="267"/>
        <v>7788</v>
      </c>
      <c r="R4245" s="2" t="s">
        <v>26</v>
      </c>
      <c r="S4245" s="9">
        <f>VLOOKUP(P4245,$T$2:U4242,2,1)</f>
        <v>0.05</v>
      </c>
    </row>
    <row r="4246" spans="1:19" x14ac:dyDescent="0.25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e">
        <f>VLOOKUP(F4246,'Customer Info'!A4238:I4737,2,0)</f>
        <v>#N/A</v>
      </c>
      <c r="H4246" s="6" t="e">
        <f>VLOOKUP(F4246,'Customer Info'!A4238:I4737,3,0)</f>
        <v>#N/A</v>
      </c>
      <c r="I4246" s="6" t="e">
        <f>VLOOKUP(F4246,'Customer Info'!A4238:I4737,5,0)</f>
        <v>#N/A</v>
      </c>
      <c r="J4246" s="2">
        <v>1615</v>
      </c>
      <c r="K4246" s="2">
        <v>1525</v>
      </c>
      <c r="L4246" s="2">
        <v>3</v>
      </c>
      <c r="M4246" s="7">
        <f t="shared" si="264"/>
        <v>4575</v>
      </c>
      <c r="N4246" s="7">
        <f t="shared" si="265"/>
        <v>4845</v>
      </c>
      <c r="O4246" s="2">
        <v>47</v>
      </c>
      <c r="P4246" s="8">
        <f t="shared" si="266"/>
        <v>4892</v>
      </c>
      <c r="Q4246" s="8">
        <f t="shared" si="267"/>
        <v>4798</v>
      </c>
      <c r="R4246" s="2" t="s">
        <v>50</v>
      </c>
      <c r="S4246" s="9">
        <f>VLOOKUP(P4246,$T$2:U4243,2,1)</f>
        <v>0.02</v>
      </c>
    </row>
    <row r="4247" spans="1:19" x14ac:dyDescent="0.25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e">
        <f>VLOOKUP(F4247,'Customer Info'!A4239:I4738,2,0)</f>
        <v>#N/A</v>
      </c>
      <c r="H4247" s="6" t="e">
        <f>VLOOKUP(F4247,'Customer Info'!A4239:I4738,3,0)</f>
        <v>#N/A</v>
      </c>
      <c r="I4247" s="6" t="e">
        <f>VLOOKUP(F4247,'Customer Info'!A4239:I4738,5,0)</f>
        <v>#N/A</v>
      </c>
      <c r="J4247" s="2">
        <v>2540</v>
      </c>
      <c r="K4247" s="2">
        <v>2397</v>
      </c>
      <c r="L4247" s="2">
        <v>1</v>
      </c>
      <c r="M4247" s="7">
        <f t="shared" si="264"/>
        <v>2397</v>
      </c>
      <c r="N4247" s="7">
        <f t="shared" si="265"/>
        <v>2540</v>
      </c>
      <c r="O4247" s="2">
        <v>28</v>
      </c>
      <c r="P4247" s="8">
        <f t="shared" si="266"/>
        <v>2568</v>
      </c>
      <c r="Q4247" s="8">
        <f t="shared" si="267"/>
        <v>2512</v>
      </c>
      <c r="R4247" s="2" t="s">
        <v>28</v>
      </c>
      <c r="S4247" s="9">
        <f>VLOOKUP(P4247,$T$2:U4244,2,1)</f>
        <v>0.02</v>
      </c>
    </row>
    <row r="4248" spans="1:19" x14ac:dyDescent="0.25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e">
        <f>VLOOKUP(F4248,'Customer Info'!A4240:I4739,2,0)</f>
        <v>#N/A</v>
      </c>
      <c r="H4248" s="6" t="e">
        <f>VLOOKUP(F4248,'Customer Info'!A4240:I4739,3,0)</f>
        <v>#N/A</v>
      </c>
      <c r="I4248" s="6" t="e">
        <f>VLOOKUP(F4248,'Customer Info'!A4240:I4739,5,0)</f>
        <v>#N/A</v>
      </c>
      <c r="J4248" s="2">
        <v>4122</v>
      </c>
      <c r="K4248" s="2">
        <v>3781</v>
      </c>
      <c r="L4248" s="2">
        <v>3</v>
      </c>
      <c r="M4248" s="7">
        <f t="shared" si="264"/>
        <v>11343</v>
      </c>
      <c r="N4248" s="7">
        <f t="shared" si="265"/>
        <v>12366</v>
      </c>
      <c r="O4248" s="2">
        <v>58</v>
      </c>
      <c r="P4248" s="8">
        <f t="shared" si="266"/>
        <v>12424</v>
      </c>
      <c r="Q4248" s="8">
        <f t="shared" si="267"/>
        <v>12308</v>
      </c>
      <c r="R4248" s="2" t="s">
        <v>28</v>
      </c>
      <c r="S4248" s="9">
        <f>VLOOKUP(P4248,$T$2:U4245,2,1)</f>
        <v>0.05</v>
      </c>
    </row>
    <row r="4249" spans="1:19" x14ac:dyDescent="0.25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e">
        <f>VLOOKUP(F4249,'Customer Info'!A4241:I4740,2,0)</f>
        <v>#N/A</v>
      </c>
      <c r="H4249" s="6" t="e">
        <f>VLOOKUP(F4249,'Customer Info'!A4241:I4740,3,0)</f>
        <v>#N/A</v>
      </c>
      <c r="I4249" s="6" t="e">
        <f>VLOOKUP(F4249,'Customer Info'!A4241:I4740,5,0)</f>
        <v>#N/A</v>
      </c>
      <c r="J4249" s="2">
        <v>2155</v>
      </c>
      <c r="K4249" s="2">
        <v>2014</v>
      </c>
      <c r="L4249" s="2">
        <v>1</v>
      </c>
      <c r="M4249" s="7">
        <f t="shared" si="264"/>
        <v>2014</v>
      </c>
      <c r="N4249" s="7">
        <f t="shared" si="265"/>
        <v>2155</v>
      </c>
      <c r="O4249" s="2">
        <v>34</v>
      </c>
      <c r="P4249" s="8">
        <f t="shared" si="266"/>
        <v>2189</v>
      </c>
      <c r="Q4249" s="8">
        <f t="shared" si="267"/>
        <v>2121</v>
      </c>
      <c r="R4249" s="2" t="s">
        <v>28</v>
      </c>
      <c r="S4249" s="9">
        <f>VLOOKUP(P4249,$T$2:U4246,2,1)</f>
        <v>0.02</v>
      </c>
    </row>
    <row r="4250" spans="1:19" x14ac:dyDescent="0.25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e">
        <f>VLOOKUP(F4250,'Customer Info'!A4242:I4741,2,0)</f>
        <v>#N/A</v>
      </c>
      <c r="H4250" s="6" t="e">
        <f>VLOOKUP(F4250,'Customer Info'!A4242:I4741,3,0)</f>
        <v>#N/A</v>
      </c>
      <c r="I4250" s="6" t="e">
        <f>VLOOKUP(F4250,'Customer Info'!A4242:I4741,5,0)</f>
        <v>#N/A</v>
      </c>
      <c r="J4250" s="2">
        <v>6024</v>
      </c>
      <c r="K4250" s="2">
        <v>5424</v>
      </c>
      <c r="L4250" s="2">
        <v>6</v>
      </c>
      <c r="M4250" s="7">
        <f t="shared" si="264"/>
        <v>32544</v>
      </c>
      <c r="N4250" s="7">
        <f t="shared" si="265"/>
        <v>36144</v>
      </c>
      <c r="O4250" s="2">
        <v>91</v>
      </c>
      <c r="P4250" s="8">
        <f t="shared" si="266"/>
        <v>36235</v>
      </c>
      <c r="Q4250" s="8">
        <f t="shared" si="267"/>
        <v>36053</v>
      </c>
      <c r="R4250" s="2" t="s">
        <v>28</v>
      </c>
      <c r="S4250" s="9">
        <f>VLOOKUP(P4250,$T$2:U4247,2,1)</f>
        <v>7.0000000000000007E-2</v>
      </c>
    </row>
    <row r="4251" spans="1:19" x14ac:dyDescent="0.25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e">
        <f>VLOOKUP(F4251,'Customer Info'!A4243:I4742,2,0)</f>
        <v>#N/A</v>
      </c>
      <c r="H4251" s="6" t="e">
        <f>VLOOKUP(F4251,'Customer Info'!A4243:I4742,3,0)</f>
        <v>#N/A</v>
      </c>
      <c r="I4251" s="6" t="e">
        <f>VLOOKUP(F4251,'Customer Info'!A4243:I4742,5,0)</f>
        <v>#N/A</v>
      </c>
      <c r="J4251" s="2">
        <v>63</v>
      </c>
      <c r="K4251" s="2">
        <v>59</v>
      </c>
      <c r="L4251" s="2">
        <v>3</v>
      </c>
      <c r="M4251" s="7">
        <f t="shared" si="264"/>
        <v>177</v>
      </c>
      <c r="N4251" s="7">
        <f t="shared" si="265"/>
        <v>189</v>
      </c>
      <c r="O4251" s="2">
        <v>10</v>
      </c>
      <c r="P4251" s="8">
        <f t="shared" si="266"/>
        <v>199</v>
      </c>
      <c r="Q4251" s="8">
        <f t="shared" si="267"/>
        <v>179</v>
      </c>
      <c r="R4251" s="2" t="s">
        <v>28</v>
      </c>
      <c r="S4251" s="9">
        <f>VLOOKUP(P4251,$T$2:U4248,2,1)</f>
        <v>0.02</v>
      </c>
    </row>
    <row r="4252" spans="1:19" x14ac:dyDescent="0.25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e">
        <f>VLOOKUP(F4252,'Customer Info'!A4244:I4743,2,0)</f>
        <v>#N/A</v>
      </c>
      <c r="H4252" s="6" t="e">
        <f>VLOOKUP(F4252,'Customer Info'!A4244:I4743,3,0)</f>
        <v>#N/A</v>
      </c>
      <c r="I4252" s="6" t="e">
        <f>VLOOKUP(F4252,'Customer Info'!A4244:I4743,5,0)</f>
        <v>#N/A</v>
      </c>
      <c r="J4252" s="2">
        <v>526</v>
      </c>
      <c r="K4252" s="2">
        <v>487</v>
      </c>
      <c r="L4252" s="2">
        <v>6</v>
      </c>
      <c r="M4252" s="7">
        <f t="shared" si="264"/>
        <v>2922</v>
      </c>
      <c r="N4252" s="7">
        <f t="shared" si="265"/>
        <v>3156</v>
      </c>
      <c r="O4252" s="2">
        <v>34</v>
      </c>
      <c r="P4252" s="8">
        <f t="shared" si="266"/>
        <v>3190</v>
      </c>
      <c r="Q4252" s="8">
        <f t="shared" si="267"/>
        <v>3122</v>
      </c>
      <c r="R4252" s="2" t="s">
        <v>28</v>
      </c>
      <c r="S4252" s="9">
        <f>VLOOKUP(P4252,$T$2:U4249,2,1)</f>
        <v>0.02</v>
      </c>
    </row>
    <row r="4253" spans="1:19" x14ac:dyDescent="0.25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e">
        <f>VLOOKUP(F4253,'Customer Info'!A4245:I4744,2,0)</f>
        <v>#N/A</v>
      </c>
      <c r="H4253" s="6" t="e">
        <f>VLOOKUP(F4253,'Customer Info'!A4245:I4744,3,0)</f>
        <v>#N/A</v>
      </c>
      <c r="I4253" s="6" t="e">
        <f>VLOOKUP(F4253,'Customer Info'!A4245:I4744,5,0)</f>
        <v>#N/A</v>
      </c>
      <c r="J4253" s="2">
        <v>77</v>
      </c>
      <c r="K4253" s="2">
        <v>73</v>
      </c>
      <c r="L4253" s="2">
        <v>2</v>
      </c>
      <c r="M4253" s="7">
        <f t="shared" si="264"/>
        <v>146</v>
      </c>
      <c r="N4253" s="7">
        <f t="shared" si="265"/>
        <v>154</v>
      </c>
      <c r="O4253" s="2">
        <v>10</v>
      </c>
      <c r="P4253" s="8">
        <f t="shared" si="266"/>
        <v>164</v>
      </c>
      <c r="Q4253" s="8">
        <f t="shared" si="267"/>
        <v>144</v>
      </c>
      <c r="R4253" s="2" t="s">
        <v>28</v>
      </c>
      <c r="S4253" s="9">
        <f>VLOOKUP(P4253,$T$2:U4250,2,1)</f>
        <v>0.02</v>
      </c>
    </row>
    <row r="4254" spans="1:19" x14ac:dyDescent="0.25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e">
        <f>VLOOKUP(F4254,'Customer Info'!A4246:I4745,2,0)</f>
        <v>#N/A</v>
      </c>
      <c r="H4254" s="6" t="e">
        <f>VLOOKUP(F4254,'Customer Info'!A4246:I4745,3,0)</f>
        <v>#N/A</v>
      </c>
      <c r="I4254" s="6" t="e">
        <f>VLOOKUP(F4254,'Customer Info'!A4246:I4745,5,0)</f>
        <v>#N/A</v>
      </c>
      <c r="J4254" s="2">
        <v>7534</v>
      </c>
      <c r="K4254" s="2">
        <v>7106</v>
      </c>
      <c r="L4254" s="2">
        <v>3</v>
      </c>
      <c r="M4254" s="7">
        <f t="shared" si="264"/>
        <v>21318</v>
      </c>
      <c r="N4254" s="7">
        <f t="shared" si="265"/>
        <v>22602</v>
      </c>
      <c r="O4254" s="2">
        <v>39</v>
      </c>
      <c r="P4254" s="8">
        <f t="shared" si="266"/>
        <v>22641</v>
      </c>
      <c r="Q4254" s="8">
        <f t="shared" si="267"/>
        <v>22563</v>
      </c>
      <c r="R4254" s="2" t="s">
        <v>28</v>
      </c>
      <c r="S4254" s="9">
        <f>VLOOKUP(P4254,$T$2:U4251,2,1)</f>
        <v>0.05</v>
      </c>
    </row>
    <row r="4255" spans="1:19" x14ac:dyDescent="0.25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e">
        <f>VLOOKUP(F4255,'Customer Info'!A4247:I4746,2,0)</f>
        <v>#N/A</v>
      </c>
      <c r="H4255" s="6" t="e">
        <f>VLOOKUP(F4255,'Customer Info'!A4247:I4746,3,0)</f>
        <v>#N/A</v>
      </c>
      <c r="I4255" s="6" t="e">
        <f>VLOOKUP(F4255,'Customer Info'!A4247:I4746,5,0)</f>
        <v>#N/A</v>
      </c>
      <c r="J4255" s="2">
        <v>39095</v>
      </c>
      <c r="K4255" s="2">
        <v>35516</v>
      </c>
      <c r="L4255" s="2">
        <v>2</v>
      </c>
      <c r="M4255" s="7">
        <f t="shared" si="264"/>
        <v>71032</v>
      </c>
      <c r="N4255" s="7">
        <f t="shared" si="265"/>
        <v>78190</v>
      </c>
      <c r="O4255" s="2">
        <v>56</v>
      </c>
      <c r="P4255" s="8">
        <f t="shared" si="266"/>
        <v>78246</v>
      </c>
      <c r="Q4255" s="8">
        <f t="shared" si="267"/>
        <v>78134</v>
      </c>
      <c r="R4255" s="2" t="s">
        <v>50</v>
      </c>
      <c r="S4255" s="9">
        <f>VLOOKUP(P4255,$T$2:U4252,2,1)</f>
        <v>0.09</v>
      </c>
    </row>
    <row r="4256" spans="1:19" x14ac:dyDescent="0.25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e">
        <f>VLOOKUP(F4256,'Customer Info'!A4248:I4747,2,0)</f>
        <v>#N/A</v>
      </c>
      <c r="H4256" s="6" t="e">
        <f>VLOOKUP(F4256,'Customer Info'!A4248:I4747,3,0)</f>
        <v>#N/A</v>
      </c>
      <c r="I4256" s="6" t="e">
        <f>VLOOKUP(F4256,'Customer Info'!A4248:I4747,5,0)</f>
        <v>#N/A</v>
      </c>
      <c r="J4256" s="2">
        <v>2017</v>
      </c>
      <c r="K4256" s="2">
        <v>1834</v>
      </c>
      <c r="L4256" s="2">
        <v>5</v>
      </c>
      <c r="M4256" s="7">
        <f t="shared" si="264"/>
        <v>9170</v>
      </c>
      <c r="N4256" s="7">
        <f t="shared" si="265"/>
        <v>10085</v>
      </c>
      <c r="O4256" s="2">
        <v>74</v>
      </c>
      <c r="P4256" s="8">
        <f t="shared" si="266"/>
        <v>10159</v>
      </c>
      <c r="Q4256" s="8">
        <f t="shared" si="267"/>
        <v>10011</v>
      </c>
      <c r="R4256" s="2" t="s">
        <v>50</v>
      </c>
      <c r="S4256" s="9">
        <f>VLOOKUP(P4256,$T$2:U4253,2,1)</f>
        <v>0.05</v>
      </c>
    </row>
    <row r="4257" spans="1:19" x14ac:dyDescent="0.25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e">
        <f>VLOOKUP(F4257,'Customer Info'!A4249:I4748,2,0)</f>
        <v>#N/A</v>
      </c>
      <c r="H4257" s="6" t="e">
        <f>VLOOKUP(F4257,'Customer Info'!A4249:I4748,3,0)</f>
        <v>#N/A</v>
      </c>
      <c r="I4257" s="6" t="e">
        <f>VLOOKUP(F4257,'Customer Info'!A4249:I4748,5,0)</f>
        <v>#N/A</v>
      </c>
      <c r="J4257" s="2">
        <v>954</v>
      </c>
      <c r="K4257" s="2">
        <v>901</v>
      </c>
      <c r="L4257" s="2">
        <v>2</v>
      </c>
      <c r="M4257" s="7">
        <f t="shared" si="264"/>
        <v>1802</v>
      </c>
      <c r="N4257" s="7">
        <f t="shared" si="265"/>
        <v>1908</v>
      </c>
      <c r="O4257" s="2">
        <v>33</v>
      </c>
      <c r="P4257" s="8">
        <f t="shared" si="266"/>
        <v>1941</v>
      </c>
      <c r="Q4257" s="8">
        <f t="shared" si="267"/>
        <v>1875</v>
      </c>
      <c r="R4257" s="2" t="s">
        <v>28</v>
      </c>
      <c r="S4257" s="9">
        <f>VLOOKUP(P4257,$T$2:U4254,2,1)</f>
        <v>0.02</v>
      </c>
    </row>
    <row r="4258" spans="1:19" x14ac:dyDescent="0.25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e">
        <f>VLOOKUP(F4258,'Customer Info'!A4250:I4749,2,0)</f>
        <v>#N/A</v>
      </c>
      <c r="H4258" s="6" t="e">
        <f>VLOOKUP(F4258,'Customer Info'!A4250:I4749,3,0)</f>
        <v>#N/A</v>
      </c>
      <c r="I4258" s="6" t="e">
        <f>VLOOKUP(F4258,'Customer Info'!A4250:I4749,5,0)</f>
        <v>#N/A</v>
      </c>
      <c r="J4258" s="2">
        <v>38328</v>
      </c>
      <c r="K4258" s="2">
        <v>35164</v>
      </c>
      <c r="L4258" s="2">
        <v>5</v>
      </c>
      <c r="M4258" s="7">
        <f t="shared" si="264"/>
        <v>175820</v>
      </c>
      <c r="N4258" s="7">
        <f t="shared" si="265"/>
        <v>191640</v>
      </c>
      <c r="O4258" s="2">
        <v>88</v>
      </c>
      <c r="P4258" s="8">
        <f t="shared" si="266"/>
        <v>191728</v>
      </c>
      <c r="Q4258" s="8">
        <f t="shared" si="267"/>
        <v>191552</v>
      </c>
      <c r="R4258" s="2" t="s">
        <v>50</v>
      </c>
      <c r="S4258" s="9">
        <f>VLOOKUP(P4258,$T$2:U4255,2,1)</f>
        <v>0.12</v>
      </c>
    </row>
    <row r="4259" spans="1:19" x14ac:dyDescent="0.25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e">
        <f>VLOOKUP(F4259,'Customer Info'!A4251:I4750,2,0)</f>
        <v>#N/A</v>
      </c>
      <c r="H4259" s="6" t="e">
        <f>VLOOKUP(F4259,'Customer Info'!A4251:I4750,3,0)</f>
        <v>#N/A</v>
      </c>
      <c r="I4259" s="6" t="e">
        <f>VLOOKUP(F4259,'Customer Info'!A4251:I4750,5,0)</f>
        <v>#N/A</v>
      </c>
      <c r="J4259" s="2">
        <v>6585</v>
      </c>
      <c r="K4259" s="2">
        <v>6105</v>
      </c>
      <c r="L4259" s="2">
        <v>1</v>
      </c>
      <c r="M4259" s="7">
        <f t="shared" si="264"/>
        <v>6105</v>
      </c>
      <c r="N4259" s="7">
        <f t="shared" si="265"/>
        <v>6585</v>
      </c>
      <c r="O4259" s="2">
        <v>27</v>
      </c>
      <c r="P4259" s="8">
        <f t="shared" si="266"/>
        <v>6612</v>
      </c>
      <c r="Q4259" s="8">
        <f t="shared" si="267"/>
        <v>6558</v>
      </c>
      <c r="R4259" s="2" t="s">
        <v>56</v>
      </c>
      <c r="S4259" s="9">
        <f>VLOOKUP(P4259,$T$2:U4256,2,1)</f>
        <v>0.05</v>
      </c>
    </row>
    <row r="4260" spans="1:19" x14ac:dyDescent="0.25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e">
        <f>VLOOKUP(F4260,'Customer Info'!A4252:I4751,2,0)</f>
        <v>#N/A</v>
      </c>
      <c r="H4260" s="6" t="e">
        <f>VLOOKUP(F4260,'Customer Info'!A4252:I4751,3,0)</f>
        <v>#N/A</v>
      </c>
      <c r="I4260" s="6" t="e">
        <f>VLOOKUP(F4260,'Customer Info'!A4252:I4751,5,0)</f>
        <v>#N/A</v>
      </c>
      <c r="J4260" s="2">
        <v>729</v>
      </c>
      <c r="K4260" s="2">
        <v>689</v>
      </c>
      <c r="L4260" s="2">
        <v>3</v>
      </c>
      <c r="M4260" s="7">
        <f t="shared" si="264"/>
        <v>2067</v>
      </c>
      <c r="N4260" s="7">
        <f t="shared" si="265"/>
        <v>2187</v>
      </c>
      <c r="O4260" s="2">
        <v>28</v>
      </c>
      <c r="P4260" s="8">
        <f t="shared" si="266"/>
        <v>2215</v>
      </c>
      <c r="Q4260" s="8">
        <f t="shared" si="267"/>
        <v>2159</v>
      </c>
      <c r="R4260" s="2" t="s">
        <v>28</v>
      </c>
      <c r="S4260" s="9">
        <f>VLOOKUP(P4260,$T$2:U4257,2,1)</f>
        <v>0.02</v>
      </c>
    </row>
    <row r="4261" spans="1:19" x14ac:dyDescent="0.25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e">
        <f>VLOOKUP(F4261,'Customer Info'!A4253:I4752,2,0)</f>
        <v>#N/A</v>
      </c>
      <c r="H4261" s="6" t="e">
        <f>VLOOKUP(F4261,'Customer Info'!A4253:I4752,3,0)</f>
        <v>#N/A</v>
      </c>
      <c r="I4261" s="6" t="e">
        <f>VLOOKUP(F4261,'Customer Info'!A4253:I4752,5,0)</f>
        <v>#N/A</v>
      </c>
      <c r="J4261" s="2">
        <v>2951</v>
      </c>
      <c r="K4261" s="2">
        <v>2786</v>
      </c>
      <c r="L4261" s="2">
        <v>2</v>
      </c>
      <c r="M4261" s="7">
        <f t="shared" si="264"/>
        <v>5572</v>
      </c>
      <c r="N4261" s="7">
        <f t="shared" si="265"/>
        <v>5902</v>
      </c>
      <c r="O4261" s="2">
        <v>55</v>
      </c>
      <c r="P4261" s="8">
        <f t="shared" si="266"/>
        <v>5957</v>
      </c>
      <c r="Q4261" s="8">
        <f t="shared" si="267"/>
        <v>5847</v>
      </c>
      <c r="R4261" s="2" t="s">
        <v>28</v>
      </c>
      <c r="S4261" s="9">
        <f>VLOOKUP(P4261,$T$2:U4258,2,1)</f>
        <v>0.05</v>
      </c>
    </row>
    <row r="4262" spans="1:19" x14ac:dyDescent="0.25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e">
        <f>VLOOKUP(F4262,'Customer Info'!A4254:I4753,2,0)</f>
        <v>#N/A</v>
      </c>
      <c r="H4262" s="6" t="e">
        <f>VLOOKUP(F4262,'Customer Info'!A4254:I4753,3,0)</f>
        <v>#N/A</v>
      </c>
      <c r="I4262" s="6" t="e">
        <f>VLOOKUP(F4262,'Customer Info'!A4254:I4753,5,0)</f>
        <v>#N/A</v>
      </c>
      <c r="J4262" s="2">
        <v>1321</v>
      </c>
      <c r="K4262" s="2">
        <v>1211</v>
      </c>
      <c r="L4262" s="2">
        <v>6</v>
      </c>
      <c r="M4262" s="7">
        <f t="shared" si="264"/>
        <v>7266</v>
      </c>
      <c r="N4262" s="7">
        <f t="shared" si="265"/>
        <v>7926</v>
      </c>
      <c r="O4262" s="2">
        <v>47</v>
      </c>
      <c r="P4262" s="8">
        <f t="shared" si="266"/>
        <v>7973</v>
      </c>
      <c r="Q4262" s="8">
        <f t="shared" si="267"/>
        <v>7879</v>
      </c>
      <c r="R4262" s="2" t="s">
        <v>50</v>
      </c>
      <c r="S4262" s="9">
        <f>VLOOKUP(P4262,$T$2:U4259,2,1)</f>
        <v>0.05</v>
      </c>
    </row>
    <row r="4263" spans="1:19" x14ac:dyDescent="0.25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e">
        <f>VLOOKUP(F4263,'Customer Info'!A4255:I4754,2,0)</f>
        <v>#N/A</v>
      </c>
      <c r="H4263" s="6" t="e">
        <f>VLOOKUP(F4263,'Customer Info'!A4255:I4754,3,0)</f>
        <v>#N/A</v>
      </c>
      <c r="I4263" s="6" t="e">
        <f>VLOOKUP(F4263,'Customer Info'!A4255:I4754,5,0)</f>
        <v>#N/A</v>
      </c>
      <c r="J4263" s="2">
        <v>167</v>
      </c>
      <c r="K4263" s="2">
        <v>155</v>
      </c>
      <c r="L4263" s="2">
        <v>1</v>
      </c>
      <c r="M4263" s="7">
        <f t="shared" si="264"/>
        <v>155</v>
      </c>
      <c r="N4263" s="7">
        <f t="shared" si="265"/>
        <v>167</v>
      </c>
      <c r="O4263" s="2">
        <v>30</v>
      </c>
      <c r="P4263" s="8">
        <f t="shared" si="266"/>
        <v>197</v>
      </c>
      <c r="Q4263" s="8">
        <f t="shared" si="267"/>
        <v>137</v>
      </c>
      <c r="R4263" s="2" t="s">
        <v>28</v>
      </c>
      <c r="S4263" s="9">
        <f>VLOOKUP(P4263,$T$2:U4260,2,1)</f>
        <v>0.02</v>
      </c>
    </row>
    <row r="4264" spans="1:19" x14ac:dyDescent="0.25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e">
        <f>VLOOKUP(F4264,'Customer Info'!A4256:I4755,2,0)</f>
        <v>#N/A</v>
      </c>
      <c r="H4264" s="6" t="e">
        <f>VLOOKUP(F4264,'Customer Info'!A4256:I4755,3,0)</f>
        <v>#N/A</v>
      </c>
      <c r="I4264" s="6" t="e">
        <f>VLOOKUP(F4264,'Customer Info'!A4256:I4755,5,0)</f>
        <v>#N/A</v>
      </c>
      <c r="J4264" s="2">
        <v>3041</v>
      </c>
      <c r="K4264" s="2">
        <v>2927</v>
      </c>
      <c r="L4264" s="2">
        <v>6</v>
      </c>
      <c r="M4264" s="7">
        <f t="shared" si="264"/>
        <v>17562</v>
      </c>
      <c r="N4264" s="7">
        <f t="shared" si="265"/>
        <v>18246</v>
      </c>
      <c r="O4264" s="2">
        <v>43</v>
      </c>
      <c r="P4264" s="8">
        <f t="shared" si="266"/>
        <v>18289</v>
      </c>
      <c r="Q4264" s="8">
        <f t="shared" si="267"/>
        <v>18203</v>
      </c>
      <c r="R4264" s="2" t="s">
        <v>28</v>
      </c>
      <c r="S4264" s="9">
        <f>VLOOKUP(P4264,$T$2:U4261,2,1)</f>
        <v>0.05</v>
      </c>
    </row>
    <row r="4265" spans="1:19" x14ac:dyDescent="0.25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e">
        <f>VLOOKUP(F4265,'Customer Info'!A4257:I4756,2,0)</f>
        <v>#N/A</v>
      </c>
      <c r="H4265" s="6" t="e">
        <f>VLOOKUP(F4265,'Customer Info'!A4257:I4756,3,0)</f>
        <v>#N/A</v>
      </c>
      <c r="I4265" s="6" t="e">
        <f>VLOOKUP(F4265,'Customer Info'!A4257:I4756,5,0)</f>
        <v>#N/A</v>
      </c>
      <c r="J4265" s="2">
        <v>1637</v>
      </c>
      <c r="K4265" s="2">
        <v>1591</v>
      </c>
      <c r="L4265" s="2">
        <v>5</v>
      </c>
      <c r="M4265" s="7">
        <f t="shared" si="264"/>
        <v>7955</v>
      </c>
      <c r="N4265" s="7">
        <f t="shared" si="265"/>
        <v>8185</v>
      </c>
      <c r="O4265" s="2">
        <v>50</v>
      </c>
      <c r="P4265" s="8">
        <f t="shared" si="266"/>
        <v>8235</v>
      </c>
      <c r="Q4265" s="8">
        <f t="shared" si="267"/>
        <v>8135</v>
      </c>
      <c r="R4265" s="2" t="s">
        <v>28</v>
      </c>
      <c r="S4265" s="9">
        <f>VLOOKUP(P4265,$T$2:U4262,2,1)</f>
        <v>0.05</v>
      </c>
    </row>
    <row r="4266" spans="1:19" x14ac:dyDescent="0.25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e">
        <f>VLOOKUP(F4266,'Customer Info'!A4258:I4757,2,0)</f>
        <v>#N/A</v>
      </c>
      <c r="H4266" s="6" t="e">
        <f>VLOOKUP(F4266,'Customer Info'!A4258:I4757,3,0)</f>
        <v>#N/A</v>
      </c>
      <c r="I4266" s="6" t="e">
        <f>VLOOKUP(F4266,'Customer Info'!A4258:I4757,5,0)</f>
        <v>#N/A</v>
      </c>
      <c r="J4266" s="2">
        <v>188</v>
      </c>
      <c r="K4266" s="2">
        <v>173</v>
      </c>
      <c r="L4266" s="2">
        <v>4</v>
      </c>
      <c r="M4266" s="7">
        <f t="shared" si="264"/>
        <v>692</v>
      </c>
      <c r="N4266" s="7">
        <f t="shared" si="265"/>
        <v>752</v>
      </c>
      <c r="O4266" s="2">
        <v>30</v>
      </c>
      <c r="P4266" s="8">
        <f t="shared" si="266"/>
        <v>782</v>
      </c>
      <c r="Q4266" s="8">
        <f t="shared" si="267"/>
        <v>722</v>
      </c>
      <c r="R4266" s="2" t="s">
        <v>28</v>
      </c>
      <c r="S4266" s="9">
        <f>VLOOKUP(P4266,$T$2:U4263,2,1)</f>
        <v>0.02</v>
      </c>
    </row>
    <row r="4267" spans="1:19" x14ac:dyDescent="0.25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e">
        <f>VLOOKUP(F4267,'Customer Info'!A4259:I4758,2,0)</f>
        <v>#N/A</v>
      </c>
      <c r="H4267" s="6" t="e">
        <f>VLOOKUP(F4267,'Customer Info'!A4259:I4758,3,0)</f>
        <v>#N/A</v>
      </c>
      <c r="I4267" s="6" t="e">
        <f>VLOOKUP(F4267,'Customer Info'!A4259:I4758,5,0)</f>
        <v>#N/A</v>
      </c>
      <c r="J4267" s="2">
        <v>1774</v>
      </c>
      <c r="K4267" s="2">
        <v>1642</v>
      </c>
      <c r="L4267" s="2">
        <v>5</v>
      </c>
      <c r="M4267" s="7">
        <f t="shared" si="264"/>
        <v>8210</v>
      </c>
      <c r="N4267" s="7">
        <f t="shared" si="265"/>
        <v>8870</v>
      </c>
      <c r="O4267" s="2">
        <v>77</v>
      </c>
      <c r="P4267" s="8">
        <f t="shared" si="266"/>
        <v>8947</v>
      </c>
      <c r="Q4267" s="8">
        <f t="shared" si="267"/>
        <v>8793</v>
      </c>
      <c r="R4267" s="2" t="s">
        <v>28</v>
      </c>
      <c r="S4267" s="9">
        <f>VLOOKUP(P4267,$T$2:U4264,2,1)</f>
        <v>0.05</v>
      </c>
    </row>
    <row r="4268" spans="1:19" x14ac:dyDescent="0.25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e">
        <f>VLOOKUP(F4268,'Customer Info'!A4260:I4759,2,0)</f>
        <v>#N/A</v>
      </c>
      <c r="H4268" s="6" t="e">
        <f>VLOOKUP(F4268,'Customer Info'!A4260:I4759,3,0)</f>
        <v>#N/A</v>
      </c>
      <c r="I4268" s="6" t="e">
        <f>VLOOKUP(F4268,'Customer Info'!A4260:I4759,5,0)</f>
        <v>#N/A</v>
      </c>
      <c r="J4268" s="2">
        <v>2706</v>
      </c>
      <c r="K4268" s="2">
        <v>2553</v>
      </c>
      <c r="L4268" s="2">
        <v>4</v>
      </c>
      <c r="M4268" s="7">
        <f t="shared" si="264"/>
        <v>10212</v>
      </c>
      <c r="N4268" s="7">
        <f t="shared" si="265"/>
        <v>10824</v>
      </c>
      <c r="O4268" s="2">
        <v>79</v>
      </c>
      <c r="P4268" s="8">
        <f t="shared" si="266"/>
        <v>10903</v>
      </c>
      <c r="Q4268" s="8">
        <f t="shared" si="267"/>
        <v>10745</v>
      </c>
      <c r="R4268" s="2" t="s">
        <v>50</v>
      </c>
      <c r="S4268" s="9">
        <f>VLOOKUP(P4268,$T$2:U4265,2,1)</f>
        <v>0.05</v>
      </c>
    </row>
    <row r="4269" spans="1:19" x14ac:dyDescent="0.25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e">
        <f>VLOOKUP(F4269,'Customer Info'!A4261:I4760,2,0)</f>
        <v>#N/A</v>
      </c>
      <c r="H4269" s="6" t="e">
        <f>VLOOKUP(F4269,'Customer Info'!A4261:I4760,3,0)</f>
        <v>#N/A</v>
      </c>
      <c r="I4269" s="6" t="e">
        <f>VLOOKUP(F4269,'Customer Info'!A4261:I4760,5,0)</f>
        <v>#N/A</v>
      </c>
      <c r="J4269" s="2">
        <v>1556</v>
      </c>
      <c r="K4269" s="2">
        <v>1414</v>
      </c>
      <c r="L4269" s="2">
        <v>4</v>
      </c>
      <c r="M4269" s="7">
        <f t="shared" si="264"/>
        <v>5656</v>
      </c>
      <c r="N4269" s="7">
        <f t="shared" si="265"/>
        <v>6224</v>
      </c>
      <c r="O4269" s="2">
        <v>87</v>
      </c>
      <c r="P4269" s="8">
        <f t="shared" si="266"/>
        <v>6311</v>
      </c>
      <c r="Q4269" s="8">
        <f t="shared" si="267"/>
        <v>6137</v>
      </c>
      <c r="R4269" s="2" t="s">
        <v>28</v>
      </c>
      <c r="S4269" s="9">
        <f>VLOOKUP(P4269,$T$2:U4266,2,1)</f>
        <v>0.05</v>
      </c>
    </row>
    <row r="4270" spans="1:19" x14ac:dyDescent="0.25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e">
        <f>VLOOKUP(F4270,'Customer Info'!A4262:I4761,2,0)</f>
        <v>#N/A</v>
      </c>
      <c r="H4270" s="6" t="e">
        <f>VLOOKUP(F4270,'Customer Info'!A4262:I4761,3,0)</f>
        <v>#N/A</v>
      </c>
      <c r="I4270" s="6" t="e">
        <f>VLOOKUP(F4270,'Customer Info'!A4262:I4761,5,0)</f>
        <v>#N/A</v>
      </c>
      <c r="J4270" s="2">
        <v>71</v>
      </c>
      <c r="K4270" s="2">
        <v>64</v>
      </c>
      <c r="L4270" s="2">
        <v>5</v>
      </c>
      <c r="M4270" s="7">
        <f t="shared" si="264"/>
        <v>320</v>
      </c>
      <c r="N4270" s="7">
        <f t="shared" si="265"/>
        <v>355</v>
      </c>
      <c r="O4270" s="2">
        <v>10</v>
      </c>
      <c r="P4270" s="8">
        <f t="shared" si="266"/>
        <v>365</v>
      </c>
      <c r="Q4270" s="8">
        <f t="shared" si="267"/>
        <v>345</v>
      </c>
      <c r="R4270" s="2" t="s">
        <v>28</v>
      </c>
      <c r="S4270" s="9">
        <f>VLOOKUP(P4270,$T$2:U4267,2,1)</f>
        <v>0.02</v>
      </c>
    </row>
    <row r="4271" spans="1:19" x14ac:dyDescent="0.25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e">
        <f>VLOOKUP(F4271,'Customer Info'!A4263:I4762,2,0)</f>
        <v>#N/A</v>
      </c>
      <c r="H4271" s="6" t="e">
        <f>VLOOKUP(F4271,'Customer Info'!A4263:I4762,3,0)</f>
        <v>#N/A</v>
      </c>
      <c r="I4271" s="6" t="e">
        <f>VLOOKUP(F4271,'Customer Info'!A4263:I4762,5,0)</f>
        <v>#N/A</v>
      </c>
      <c r="J4271" s="2">
        <v>36778</v>
      </c>
      <c r="K4271" s="2">
        <v>34709</v>
      </c>
      <c r="L4271" s="2">
        <v>2</v>
      </c>
      <c r="M4271" s="7">
        <f t="shared" si="264"/>
        <v>69418</v>
      </c>
      <c r="N4271" s="7">
        <f t="shared" si="265"/>
        <v>73556</v>
      </c>
      <c r="O4271" s="2">
        <v>82</v>
      </c>
      <c r="P4271" s="8">
        <f t="shared" si="266"/>
        <v>73638</v>
      </c>
      <c r="Q4271" s="8">
        <f t="shared" si="267"/>
        <v>73474</v>
      </c>
      <c r="R4271" s="2" t="s">
        <v>28</v>
      </c>
      <c r="S4271" s="9">
        <f>VLOOKUP(P4271,$T$2:U4268,2,1)</f>
        <v>0.09</v>
      </c>
    </row>
    <row r="4272" spans="1:19" x14ac:dyDescent="0.25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e">
        <f>VLOOKUP(F4272,'Customer Info'!A4264:I4763,2,0)</f>
        <v>#N/A</v>
      </c>
      <c r="H4272" s="6" t="e">
        <f>VLOOKUP(F4272,'Customer Info'!A4264:I4763,3,0)</f>
        <v>#N/A</v>
      </c>
      <c r="I4272" s="6" t="e">
        <f>VLOOKUP(F4272,'Customer Info'!A4264:I4763,5,0)</f>
        <v>#N/A</v>
      </c>
      <c r="J4272" s="2">
        <v>6520</v>
      </c>
      <c r="K4272" s="2">
        <v>5985</v>
      </c>
      <c r="L4272" s="2">
        <v>1</v>
      </c>
      <c r="M4272" s="7">
        <f t="shared" si="264"/>
        <v>5985</v>
      </c>
      <c r="N4272" s="7">
        <f t="shared" si="265"/>
        <v>6520</v>
      </c>
      <c r="O4272" s="2">
        <v>29</v>
      </c>
      <c r="P4272" s="8">
        <f t="shared" si="266"/>
        <v>6549</v>
      </c>
      <c r="Q4272" s="8">
        <f t="shared" si="267"/>
        <v>6491</v>
      </c>
      <c r="R4272" s="2" t="s">
        <v>56</v>
      </c>
      <c r="S4272" s="9">
        <f>VLOOKUP(P4272,$T$2:U4269,2,1)</f>
        <v>0.05</v>
      </c>
    </row>
    <row r="4273" spans="1:19" x14ac:dyDescent="0.25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e">
        <f>VLOOKUP(F4273,'Customer Info'!A4265:I4764,2,0)</f>
        <v>#N/A</v>
      </c>
      <c r="H4273" s="6" t="e">
        <f>VLOOKUP(F4273,'Customer Info'!A4265:I4764,3,0)</f>
        <v>#N/A</v>
      </c>
      <c r="I4273" s="6" t="e">
        <f>VLOOKUP(F4273,'Customer Info'!A4265:I4764,5,0)</f>
        <v>#N/A</v>
      </c>
      <c r="J4273" s="2">
        <v>1081</v>
      </c>
      <c r="K4273" s="2">
        <v>983</v>
      </c>
      <c r="L4273" s="2">
        <v>2</v>
      </c>
      <c r="M4273" s="7">
        <f t="shared" si="264"/>
        <v>1966</v>
      </c>
      <c r="N4273" s="7">
        <f t="shared" si="265"/>
        <v>2162</v>
      </c>
      <c r="O4273" s="2">
        <v>40</v>
      </c>
      <c r="P4273" s="8">
        <f t="shared" si="266"/>
        <v>2202</v>
      </c>
      <c r="Q4273" s="8">
        <f t="shared" si="267"/>
        <v>2122</v>
      </c>
      <c r="R4273" s="2" t="s">
        <v>28</v>
      </c>
      <c r="S4273" s="9">
        <f>VLOOKUP(P4273,$T$2:U4270,2,1)</f>
        <v>0.02</v>
      </c>
    </row>
    <row r="4274" spans="1:19" x14ac:dyDescent="0.25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e">
        <f>VLOOKUP(F4274,'Customer Info'!A4266:I4765,2,0)</f>
        <v>#N/A</v>
      </c>
      <c r="H4274" s="6" t="e">
        <f>VLOOKUP(F4274,'Customer Info'!A4266:I4765,3,0)</f>
        <v>#N/A</v>
      </c>
      <c r="I4274" s="6" t="e">
        <f>VLOOKUP(F4274,'Customer Info'!A4266:I4765,5,0)</f>
        <v>#N/A</v>
      </c>
      <c r="J4274" s="2">
        <v>7922</v>
      </c>
      <c r="K4274" s="2">
        <v>7328</v>
      </c>
      <c r="L4274" s="2">
        <v>1</v>
      </c>
      <c r="M4274" s="7">
        <f t="shared" si="264"/>
        <v>7328</v>
      </c>
      <c r="N4274" s="7">
        <f t="shared" si="265"/>
        <v>7922</v>
      </c>
      <c r="O4274" s="2">
        <v>42</v>
      </c>
      <c r="P4274" s="8">
        <f t="shared" si="266"/>
        <v>7964</v>
      </c>
      <c r="Q4274" s="8">
        <f t="shared" si="267"/>
        <v>7880</v>
      </c>
      <c r="R4274" s="2" t="s">
        <v>28</v>
      </c>
      <c r="S4274" s="9">
        <f>VLOOKUP(P4274,$T$2:U4271,2,1)</f>
        <v>0.05</v>
      </c>
    </row>
    <row r="4275" spans="1:19" x14ac:dyDescent="0.25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e">
        <f>VLOOKUP(F4275,'Customer Info'!A4267:I4766,2,0)</f>
        <v>#N/A</v>
      </c>
      <c r="H4275" s="6" t="e">
        <f>VLOOKUP(F4275,'Customer Info'!A4267:I4766,3,0)</f>
        <v>#N/A</v>
      </c>
      <c r="I4275" s="6" t="e">
        <f>VLOOKUP(F4275,'Customer Info'!A4267:I4766,5,0)</f>
        <v>#N/A</v>
      </c>
      <c r="J4275" s="2">
        <v>173</v>
      </c>
      <c r="K4275" s="2">
        <v>155</v>
      </c>
      <c r="L4275" s="2">
        <v>1</v>
      </c>
      <c r="M4275" s="7">
        <f t="shared" si="264"/>
        <v>155</v>
      </c>
      <c r="N4275" s="7">
        <f t="shared" si="265"/>
        <v>173</v>
      </c>
      <c r="O4275" s="2">
        <v>30</v>
      </c>
      <c r="P4275" s="8">
        <f t="shared" si="266"/>
        <v>203</v>
      </c>
      <c r="Q4275" s="8">
        <f t="shared" si="267"/>
        <v>143</v>
      </c>
      <c r="R4275" s="2" t="s">
        <v>50</v>
      </c>
      <c r="S4275" s="9">
        <f>VLOOKUP(P4275,$T$2:U4272,2,1)</f>
        <v>0.02</v>
      </c>
    </row>
    <row r="4276" spans="1:19" x14ac:dyDescent="0.25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e">
        <f>VLOOKUP(F4276,'Customer Info'!A4268:I4767,2,0)</f>
        <v>#N/A</v>
      </c>
      <c r="H4276" s="6" t="e">
        <f>VLOOKUP(F4276,'Customer Info'!A4268:I4767,3,0)</f>
        <v>#N/A</v>
      </c>
      <c r="I4276" s="6" t="e">
        <f>VLOOKUP(F4276,'Customer Info'!A4268:I4767,5,0)</f>
        <v>#N/A</v>
      </c>
      <c r="J4276" s="2">
        <v>1413</v>
      </c>
      <c r="K4276" s="2">
        <v>1334</v>
      </c>
      <c r="L4276" s="2">
        <v>1</v>
      </c>
      <c r="M4276" s="7">
        <f t="shared" si="264"/>
        <v>1334</v>
      </c>
      <c r="N4276" s="7">
        <f t="shared" si="265"/>
        <v>1413</v>
      </c>
      <c r="O4276" s="2">
        <v>76</v>
      </c>
      <c r="P4276" s="8">
        <f t="shared" si="266"/>
        <v>1489</v>
      </c>
      <c r="Q4276" s="8">
        <f t="shared" si="267"/>
        <v>1337</v>
      </c>
      <c r="R4276" s="2" t="s">
        <v>28</v>
      </c>
      <c r="S4276" s="9">
        <f>VLOOKUP(P4276,$T$2:U4273,2,1)</f>
        <v>0.02</v>
      </c>
    </row>
    <row r="4277" spans="1:19" x14ac:dyDescent="0.25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e">
        <f>VLOOKUP(F4277,'Customer Info'!A4269:I4768,2,0)</f>
        <v>#N/A</v>
      </c>
      <c r="H4277" s="6" t="e">
        <f>VLOOKUP(F4277,'Customer Info'!A4269:I4768,3,0)</f>
        <v>#N/A</v>
      </c>
      <c r="I4277" s="6" t="e">
        <f>VLOOKUP(F4277,'Customer Info'!A4269:I4768,5,0)</f>
        <v>#N/A</v>
      </c>
      <c r="J4277" s="2">
        <v>191</v>
      </c>
      <c r="K4277" s="2">
        <v>170</v>
      </c>
      <c r="L4277" s="2">
        <v>6</v>
      </c>
      <c r="M4277" s="7">
        <f t="shared" si="264"/>
        <v>1020</v>
      </c>
      <c r="N4277" s="7">
        <f t="shared" si="265"/>
        <v>1146</v>
      </c>
      <c r="O4277" s="2">
        <v>30</v>
      </c>
      <c r="P4277" s="8">
        <f t="shared" si="266"/>
        <v>1176</v>
      </c>
      <c r="Q4277" s="8">
        <f t="shared" si="267"/>
        <v>1116</v>
      </c>
      <c r="R4277" s="2" t="s">
        <v>50</v>
      </c>
      <c r="S4277" s="9">
        <f>VLOOKUP(P4277,$T$2:U4274,2,1)</f>
        <v>0.02</v>
      </c>
    </row>
    <row r="4278" spans="1:19" x14ac:dyDescent="0.25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e">
        <f>VLOOKUP(F4278,'Customer Info'!A4270:I4769,2,0)</f>
        <v>#N/A</v>
      </c>
      <c r="H4278" s="6" t="e">
        <f>VLOOKUP(F4278,'Customer Info'!A4270:I4769,3,0)</f>
        <v>#N/A</v>
      </c>
      <c r="I4278" s="6" t="e">
        <f>VLOOKUP(F4278,'Customer Info'!A4270:I4769,5,0)</f>
        <v>#N/A</v>
      </c>
      <c r="J4278" s="2">
        <v>726</v>
      </c>
      <c r="K4278" s="2">
        <v>646</v>
      </c>
      <c r="L4278" s="2">
        <v>2</v>
      </c>
      <c r="M4278" s="7">
        <f t="shared" si="264"/>
        <v>1292</v>
      </c>
      <c r="N4278" s="7">
        <f t="shared" si="265"/>
        <v>1452</v>
      </c>
      <c r="O4278" s="2">
        <v>68</v>
      </c>
      <c r="P4278" s="8">
        <f t="shared" si="266"/>
        <v>1520</v>
      </c>
      <c r="Q4278" s="8">
        <f t="shared" si="267"/>
        <v>1384</v>
      </c>
      <c r="R4278" s="2" t="s">
        <v>28</v>
      </c>
      <c r="S4278" s="9">
        <f>VLOOKUP(P4278,$T$2:U4275,2,1)</f>
        <v>0.02</v>
      </c>
    </row>
    <row r="4279" spans="1:19" x14ac:dyDescent="0.25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e">
        <f>VLOOKUP(F4279,'Customer Info'!A4271:I4770,2,0)</f>
        <v>#N/A</v>
      </c>
      <c r="H4279" s="6" t="e">
        <f>VLOOKUP(F4279,'Customer Info'!A4271:I4770,3,0)</f>
        <v>#N/A</v>
      </c>
      <c r="I4279" s="6" t="e">
        <f>VLOOKUP(F4279,'Customer Info'!A4271:I4770,5,0)</f>
        <v>#N/A</v>
      </c>
      <c r="J4279" s="2">
        <v>39095</v>
      </c>
      <c r="K4279" s="2">
        <v>35516</v>
      </c>
      <c r="L4279" s="2">
        <v>2</v>
      </c>
      <c r="M4279" s="7">
        <f t="shared" si="264"/>
        <v>71032</v>
      </c>
      <c r="N4279" s="7">
        <f t="shared" si="265"/>
        <v>78190</v>
      </c>
      <c r="O4279" s="2">
        <v>91</v>
      </c>
      <c r="P4279" s="8">
        <f t="shared" si="266"/>
        <v>78281</v>
      </c>
      <c r="Q4279" s="8">
        <f t="shared" si="267"/>
        <v>78099</v>
      </c>
      <c r="R4279" s="2" t="s">
        <v>28</v>
      </c>
      <c r="S4279" s="9">
        <f>VLOOKUP(P4279,$T$2:U4276,2,1)</f>
        <v>0.09</v>
      </c>
    </row>
    <row r="4280" spans="1:19" x14ac:dyDescent="0.25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e">
        <f>VLOOKUP(F4280,'Customer Info'!A4272:I4771,2,0)</f>
        <v>#N/A</v>
      </c>
      <c r="H4280" s="6" t="e">
        <f>VLOOKUP(F4280,'Customer Info'!A4272:I4771,3,0)</f>
        <v>#N/A</v>
      </c>
      <c r="I4280" s="6" t="e">
        <f>VLOOKUP(F4280,'Customer Info'!A4272:I4771,5,0)</f>
        <v>#N/A</v>
      </c>
      <c r="J4280" s="2">
        <v>7315</v>
      </c>
      <c r="K4280" s="2">
        <v>6967</v>
      </c>
      <c r="L4280" s="2">
        <v>2</v>
      </c>
      <c r="M4280" s="7">
        <f t="shared" si="264"/>
        <v>13934</v>
      </c>
      <c r="N4280" s="7">
        <f t="shared" si="265"/>
        <v>14630</v>
      </c>
      <c r="O4280" s="2">
        <v>60</v>
      </c>
      <c r="P4280" s="8">
        <f t="shared" si="266"/>
        <v>14690</v>
      </c>
      <c r="Q4280" s="8">
        <f t="shared" si="267"/>
        <v>14570</v>
      </c>
      <c r="R4280" s="2" t="s">
        <v>28</v>
      </c>
      <c r="S4280" s="9">
        <f>VLOOKUP(P4280,$T$2:U4277,2,1)</f>
        <v>0.05</v>
      </c>
    </row>
    <row r="4281" spans="1:19" x14ac:dyDescent="0.25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e">
        <f>VLOOKUP(F4281,'Customer Info'!A4273:I4772,2,0)</f>
        <v>#N/A</v>
      </c>
      <c r="H4281" s="6" t="e">
        <f>VLOOKUP(F4281,'Customer Info'!A4273:I4772,3,0)</f>
        <v>#N/A</v>
      </c>
      <c r="I4281" s="6" t="e">
        <f>VLOOKUP(F4281,'Customer Info'!A4273:I4772,5,0)</f>
        <v>#N/A</v>
      </c>
      <c r="J4281" s="2">
        <v>445</v>
      </c>
      <c r="K4281" s="2">
        <v>415</v>
      </c>
      <c r="L4281" s="2">
        <v>3</v>
      </c>
      <c r="M4281" s="7">
        <f t="shared" si="264"/>
        <v>1245</v>
      </c>
      <c r="N4281" s="7">
        <f t="shared" si="265"/>
        <v>1335</v>
      </c>
      <c r="O4281" s="2">
        <v>23</v>
      </c>
      <c r="P4281" s="8">
        <f t="shared" si="266"/>
        <v>1358</v>
      </c>
      <c r="Q4281" s="8">
        <f t="shared" si="267"/>
        <v>1312</v>
      </c>
      <c r="R4281" s="2" t="s">
        <v>28</v>
      </c>
      <c r="S4281" s="9">
        <f>VLOOKUP(P4281,$T$2:U4278,2,1)</f>
        <v>0.02</v>
      </c>
    </row>
    <row r="4282" spans="1:19" x14ac:dyDescent="0.25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e">
        <f>VLOOKUP(F4282,'Customer Info'!A4274:I4773,2,0)</f>
        <v>#N/A</v>
      </c>
      <c r="H4282" s="6" t="e">
        <f>VLOOKUP(F4282,'Customer Info'!A4274:I4773,3,0)</f>
        <v>#N/A</v>
      </c>
      <c r="I4282" s="6" t="e">
        <f>VLOOKUP(F4282,'Customer Info'!A4274:I4773,5,0)</f>
        <v>#N/A</v>
      </c>
      <c r="J4282" s="2">
        <v>4846</v>
      </c>
      <c r="K4282" s="2">
        <v>4492</v>
      </c>
      <c r="L4282" s="2">
        <v>6</v>
      </c>
      <c r="M4282" s="7">
        <f t="shared" si="264"/>
        <v>26952</v>
      </c>
      <c r="N4282" s="7">
        <f t="shared" si="265"/>
        <v>29076</v>
      </c>
      <c r="O4282" s="2">
        <v>99</v>
      </c>
      <c r="P4282" s="8">
        <f t="shared" si="266"/>
        <v>29175</v>
      </c>
      <c r="Q4282" s="8">
        <f t="shared" si="267"/>
        <v>28977</v>
      </c>
      <c r="R4282" s="2" t="s">
        <v>56</v>
      </c>
      <c r="S4282" s="9">
        <f>VLOOKUP(P4282,$T$2:U4279,2,1)</f>
        <v>7.0000000000000007E-2</v>
      </c>
    </row>
    <row r="4283" spans="1:19" x14ac:dyDescent="0.25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e">
        <f>VLOOKUP(F4283,'Customer Info'!A4275:I4774,2,0)</f>
        <v>#N/A</v>
      </c>
      <c r="H4283" s="6" t="e">
        <f>VLOOKUP(F4283,'Customer Info'!A4275:I4774,3,0)</f>
        <v>#N/A</v>
      </c>
      <c r="I4283" s="6" t="e">
        <f>VLOOKUP(F4283,'Customer Info'!A4275:I4774,5,0)</f>
        <v>#N/A</v>
      </c>
      <c r="J4283" s="2">
        <v>6481</v>
      </c>
      <c r="K4283" s="2">
        <v>5884</v>
      </c>
      <c r="L4283" s="2">
        <v>2</v>
      </c>
      <c r="M4283" s="7">
        <f t="shared" si="264"/>
        <v>11768</v>
      </c>
      <c r="N4283" s="7">
        <f t="shared" si="265"/>
        <v>12962</v>
      </c>
      <c r="O4283" s="2">
        <v>100</v>
      </c>
      <c r="P4283" s="8">
        <f t="shared" si="266"/>
        <v>13062</v>
      </c>
      <c r="Q4283" s="8">
        <f t="shared" si="267"/>
        <v>12862</v>
      </c>
      <c r="R4283" s="2" t="s">
        <v>28</v>
      </c>
      <c r="S4283" s="9">
        <f>VLOOKUP(P4283,$T$2:U4280,2,1)</f>
        <v>0.05</v>
      </c>
    </row>
    <row r="4284" spans="1:19" x14ac:dyDescent="0.25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e">
        <f>VLOOKUP(F4284,'Customer Info'!A4276:I4775,2,0)</f>
        <v>#N/A</v>
      </c>
      <c r="H4284" s="6" t="e">
        <f>VLOOKUP(F4284,'Customer Info'!A4276:I4775,3,0)</f>
        <v>#N/A</v>
      </c>
      <c r="I4284" s="6" t="e">
        <f>VLOOKUP(F4284,'Customer Info'!A4276:I4775,5,0)</f>
        <v>#N/A</v>
      </c>
      <c r="J4284" s="2">
        <v>2466</v>
      </c>
      <c r="K4284" s="2">
        <v>2327</v>
      </c>
      <c r="L4284" s="2">
        <v>1</v>
      </c>
      <c r="M4284" s="7">
        <f t="shared" si="264"/>
        <v>2327</v>
      </c>
      <c r="N4284" s="7">
        <f t="shared" si="265"/>
        <v>2466</v>
      </c>
      <c r="O4284" s="2">
        <v>26</v>
      </c>
      <c r="P4284" s="8">
        <f t="shared" si="266"/>
        <v>2492</v>
      </c>
      <c r="Q4284" s="8">
        <f t="shared" si="267"/>
        <v>2440</v>
      </c>
      <c r="R4284" s="2" t="s">
        <v>28</v>
      </c>
      <c r="S4284" s="9">
        <f>VLOOKUP(P4284,$T$2:U4281,2,1)</f>
        <v>0.02</v>
      </c>
    </row>
    <row r="4285" spans="1:19" x14ac:dyDescent="0.25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e">
        <f>VLOOKUP(F4285,'Customer Info'!A4277:I4776,2,0)</f>
        <v>#N/A</v>
      </c>
      <c r="H4285" s="6" t="e">
        <f>VLOOKUP(F4285,'Customer Info'!A4277:I4776,3,0)</f>
        <v>#N/A</v>
      </c>
      <c r="I4285" s="6" t="e">
        <f>VLOOKUP(F4285,'Customer Info'!A4277:I4776,5,0)</f>
        <v>#N/A</v>
      </c>
      <c r="J4285" s="2">
        <v>2007</v>
      </c>
      <c r="K4285" s="2">
        <v>1839</v>
      </c>
      <c r="L4285" s="2">
        <v>2</v>
      </c>
      <c r="M4285" s="7">
        <f t="shared" si="264"/>
        <v>3678</v>
      </c>
      <c r="N4285" s="7">
        <f t="shared" si="265"/>
        <v>4014</v>
      </c>
      <c r="O4285" s="2">
        <v>39</v>
      </c>
      <c r="P4285" s="8">
        <f t="shared" si="266"/>
        <v>4053</v>
      </c>
      <c r="Q4285" s="8">
        <f t="shared" si="267"/>
        <v>3975</v>
      </c>
      <c r="R4285" s="2" t="s">
        <v>50</v>
      </c>
      <c r="S4285" s="9">
        <f>VLOOKUP(P4285,$T$2:U4282,2,1)</f>
        <v>0.02</v>
      </c>
    </row>
    <row r="4286" spans="1:19" x14ac:dyDescent="0.25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e">
        <f>VLOOKUP(F4286,'Customer Info'!A4278:I4777,2,0)</f>
        <v>#N/A</v>
      </c>
      <c r="H4286" s="6" t="e">
        <f>VLOOKUP(F4286,'Customer Info'!A4278:I4777,3,0)</f>
        <v>#N/A</v>
      </c>
      <c r="I4286" s="6" t="e">
        <f>VLOOKUP(F4286,'Customer Info'!A4278:I4777,5,0)</f>
        <v>#N/A</v>
      </c>
      <c r="J4286" s="2">
        <v>123</v>
      </c>
      <c r="K4286" s="2">
        <v>115</v>
      </c>
      <c r="L4286" s="2">
        <v>2</v>
      </c>
      <c r="M4286" s="7">
        <f t="shared" si="264"/>
        <v>230</v>
      </c>
      <c r="N4286" s="7">
        <f t="shared" si="265"/>
        <v>246</v>
      </c>
      <c r="O4286" s="2">
        <v>30</v>
      </c>
      <c r="P4286" s="8">
        <f t="shared" si="266"/>
        <v>276</v>
      </c>
      <c r="Q4286" s="8">
        <f t="shared" si="267"/>
        <v>216</v>
      </c>
      <c r="R4286" s="2" t="s">
        <v>28</v>
      </c>
      <c r="S4286" s="9">
        <f>VLOOKUP(P4286,$T$2:U4283,2,1)</f>
        <v>0.02</v>
      </c>
    </row>
    <row r="4287" spans="1:19" x14ac:dyDescent="0.25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e">
        <f>VLOOKUP(F4287,'Customer Info'!A4279:I4778,2,0)</f>
        <v>#N/A</v>
      </c>
      <c r="H4287" s="6" t="e">
        <f>VLOOKUP(F4287,'Customer Info'!A4279:I4778,3,0)</f>
        <v>#N/A</v>
      </c>
      <c r="I4287" s="6" t="e">
        <f>VLOOKUP(F4287,'Customer Info'!A4279:I4778,5,0)</f>
        <v>#N/A</v>
      </c>
      <c r="J4287" s="2">
        <v>140</v>
      </c>
      <c r="K4287" s="2">
        <v>137</v>
      </c>
      <c r="L4287" s="2">
        <v>9</v>
      </c>
      <c r="M4287" s="7">
        <f t="shared" si="264"/>
        <v>1233</v>
      </c>
      <c r="N4287" s="7">
        <f t="shared" si="265"/>
        <v>1260</v>
      </c>
      <c r="O4287" s="2">
        <v>30</v>
      </c>
      <c r="P4287" s="8">
        <f t="shared" si="266"/>
        <v>1290</v>
      </c>
      <c r="Q4287" s="8">
        <f t="shared" si="267"/>
        <v>1230</v>
      </c>
      <c r="R4287" s="2" t="s">
        <v>28</v>
      </c>
      <c r="S4287" s="9">
        <f>VLOOKUP(P4287,$T$2:U4284,2,1)</f>
        <v>0.02</v>
      </c>
    </row>
    <row r="4288" spans="1:19" x14ac:dyDescent="0.25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e">
        <f>VLOOKUP(F4288,'Customer Info'!A4280:I4779,2,0)</f>
        <v>#N/A</v>
      </c>
      <c r="H4288" s="6" t="e">
        <f>VLOOKUP(F4288,'Customer Info'!A4280:I4779,3,0)</f>
        <v>#N/A</v>
      </c>
      <c r="I4288" s="6" t="e">
        <f>VLOOKUP(F4288,'Customer Info'!A4280:I4779,5,0)</f>
        <v>#N/A</v>
      </c>
      <c r="J4288" s="2">
        <v>2078</v>
      </c>
      <c r="K4288" s="2">
        <v>1871</v>
      </c>
      <c r="L4288" s="2">
        <v>3</v>
      </c>
      <c r="M4288" s="7">
        <f t="shared" si="264"/>
        <v>5613</v>
      </c>
      <c r="N4288" s="7">
        <f t="shared" si="265"/>
        <v>6234</v>
      </c>
      <c r="O4288" s="2">
        <v>45</v>
      </c>
      <c r="P4288" s="8">
        <f t="shared" si="266"/>
        <v>6279</v>
      </c>
      <c r="Q4288" s="8">
        <f t="shared" si="267"/>
        <v>6189</v>
      </c>
      <c r="R4288" s="2" t="s">
        <v>50</v>
      </c>
      <c r="S4288" s="9">
        <f>VLOOKUP(P4288,$T$2:U4285,2,1)</f>
        <v>0.05</v>
      </c>
    </row>
    <row r="4289" spans="1:19" x14ac:dyDescent="0.25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e">
        <f>VLOOKUP(F4289,'Customer Info'!A4281:I4780,2,0)</f>
        <v>#N/A</v>
      </c>
      <c r="H4289" s="6" t="e">
        <f>VLOOKUP(F4289,'Customer Info'!A4281:I4780,3,0)</f>
        <v>#N/A</v>
      </c>
      <c r="I4289" s="6" t="e">
        <f>VLOOKUP(F4289,'Customer Info'!A4281:I4780,5,0)</f>
        <v>#N/A</v>
      </c>
      <c r="J4289" s="2">
        <v>511</v>
      </c>
      <c r="K4289" s="2">
        <v>468</v>
      </c>
      <c r="L4289" s="2">
        <v>1</v>
      </c>
      <c r="M4289" s="7">
        <f t="shared" si="264"/>
        <v>468</v>
      </c>
      <c r="N4289" s="7">
        <f t="shared" si="265"/>
        <v>511</v>
      </c>
      <c r="O4289" s="2">
        <v>58</v>
      </c>
      <c r="P4289" s="8">
        <f t="shared" si="266"/>
        <v>569</v>
      </c>
      <c r="Q4289" s="8">
        <f t="shared" si="267"/>
        <v>453</v>
      </c>
      <c r="R4289" s="2" t="s">
        <v>28</v>
      </c>
      <c r="S4289" s="9">
        <f>VLOOKUP(P4289,$T$2:U4286,2,1)</f>
        <v>0.02</v>
      </c>
    </row>
    <row r="4290" spans="1:19" x14ac:dyDescent="0.25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e">
        <f>VLOOKUP(F4290,'Customer Info'!A4282:I4781,2,0)</f>
        <v>#N/A</v>
      </c>
      <c r="H4290" s="6" t="e">
        <f>VLOOKUP(F4290,'Customer Info'!A4282:I4781,3,0)</f>
        <v>#N/A</v>
      </c>
      <c r="I4290" s="6" t="e">
        <f>VLOOKUP(F4290,'Customer Info'!A4282:I4781,5,0)</f>
        <v>#N/A</v>
      </c>
      <c r="J4290" s="2">
        <v>1790</v>
      </c>
      <c r="K4290" s="2">
        <v>1706</v>
      </c>
      <c r="L4290" s="2">
        <v>3</v>
      </c>
      <c r="M4290" s="7">
        <f t="shared" si="264"/>
        <v>5118</v>
      </c>
      <c r="N4290" s="7">
        <f t="shared" si="265"/>
        <v>5370</v>
      </c>
      <c r="O4290" s="2">
        <v>60</v>
      </c>
      <c r="P4290" s="8">
        <f t="shared" si="266"/>
        <v>5430</v>
      </c>
      <c r="Q4290" s="8">
        <f t="shared" si="267"/>
        <v>5310</v>
      </c>
      <c r="R4290" s="2" t="s">
        <v>50</v>
      </c>
      <c r="S4290" s="9">
        <f>VLOOKUP(P4290,$T$2:U4287,2,1)</f>
        <v>0.05</v>
      </c>
    </row>
    <row r="4291" spans="1:19" x14ac:dyDescent="0.25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e">
        <f>VLOOKUP(F4291,'Customer Info'!A4283:I4782,2,0)</f>
        <v>#N/A</v>
      </c>
      <c r="H4291" s="6" t="e">
        <f>VLOOKUP(F4291,'Customer Info'!A4283:I4782,3,0)</f>
        <v>#N/A</v>
      </c>
      <c r="I4291" s="6" t="e">
        <f>VLOOKUP(F4291,'Customer Info'!A4283:I4782,5,0)</f>
        <v>#N/A</v>
      </c>
      <c r="J4291" s="2">
        <v>511</v>
      </c>
      <c r="K4291" s="2">
        <v>477</v>
      </c>
      <c r="L4291" s="2">
        <v>1</v>
      </c>
      <c r="M4291" s="7">
        <f t="shared" si="264"/>
        <v>477</v>
      </c>
      <c r="N4291" s="7">
        <f t="shared" si="265"/>
        <v>511</v>
      </c>
      <c r="O4291" s="2">
        <v>77</v>
      </c>
      <c r="P4291" s="8">
        <f t="shared" si="266"/>
        <v>588</v>
      </c>
      <c r="Q4291" s="8">
        <f t="shared" si="267"/>
        <v>434</v>
      </c>
      <c r="R4291" s="2" t="s">
        <v>28</v>
      </c>
      <c r="S4291" s="9">
        <f>VLOOKUP(P4291,$T$2:U4288,2,1)</f>
        <v>0.02</v>
      </c>
    </row>
    <row r="4292" spans="1:19" x14ac:dyDescent="0.25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e">
        <f>VLOOKUP(F4292,'Customer Info'!A4284:I4783,2,0)</f>
        <v>#N/A</v>
      </c>
      <c r="H4292" s="6" t="e">
        <f>VLOOKUP(F4292,'Customer Info'!A4284:I4783,3,0)</f>
        <v>#N/A</v>
      </c>
      <c r="I4292" s="6" t="e">
        <f>VLOOKUP(F4292,'Customer Info'!A4284:I4783,5,0)</f>
        <v>#N/A</v>
      </c>
      <c r="J4292" s="2">
        <v>130</v>
      </c>
      <c r="K4292" s="2">
        <v>122</v>
      </c>
      <c r="L4292" s="2">
        <v>2</v>
      </c>
      <c r="M4292" s="7">
        <f t="shared" si="264"/>
        <v>244</v>
      </c>
      <c r="N4292" s="7">
        <f t="shared" si="265"/>
        <v>260</v>
      </c>
      <c r="O4292" s="2">
        <v>30</v>
      </c>
      <c r="P4292" s="8">
        <f t="shared" si="266"/>
        <v>290</v>
      </c>
      <c r="Q4292" s="8">
        <f t="shared" si="267"/>
        <v>230</v>
      </c>
      <c r="R4292" s="2" t="s">
        <v>50</v>
      </c>
      <c r="S4292" s="9">
        <f>VLOOKUP(P4292,$T$2:U4289,2,1)</f>
        <v>0.02</v>
      </c>
    </row>
    <row r="4293" spans="1:19" x14ac:dyDescent="0.25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e">
        <f>VLOOKUP(F4293,'Customer Info'!A4285:I4784,2,0)</f>
        <v>#N/A</v>
      </c>
      <c r="H4293" s="6" t="e">
        <f>VLOOKUP(F4293,'Customer Info'!A4285:I4784,3,0)</f>
        <v>#N/A</v>
      </c>
      <c r="I4293" s="6" t="e">
        <f>VLOOKUP(F4293,'Customer Info'!A4285:I4784,5,0)</f>
        <v>#N/A</v>
      </c>
      <c r="J4293" s="2">
        <v>1447</v>
      </c>
      <c r="K4293" s="2">
        <v>1326</v>
      </c>
      <c r="L4293" s="2">
        <v>7</v>
      </c>
      <c r="M4293" s="7">
        <f t="shared" si="264"/>
        <v>9282</v>
      </c>
      <c r="N4293" s="7">
        <f t="shared" si="265"/>
        <v>10129</v>
      </c>
      <c r="O4293" s="2">
        <v>34</v>
      </c>
      <c r="P4293" s="8">
        <f t="shared" si="266"/>
        <v>10163</v>
      </c>
      <c r="Q4293" s="8">
        <f t="shared" si="267"/>
        <v>10095</v>
      </c>
      <c r="R4293" s="2" t="s">
        <v>28</v>
      </c>
      <c r="S4293" s="9">
        <f>VLOOKUP(P4293,$T$2:U4290,2,1)</f>
        <v>0.05</v>
      </c>
    </row>
    <row r="4294" spans="1:19" x14ac:dyDescent="0.25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e">
        <f>VLOOKUP(F4294,'Customer Info'!A4286:I4785,2,0)</f>
        <v>#N/A</v>
      </c>
      <c r="H4294" s="6" t="e">
        <f>VLOOKUP(F4294,'Customer Info'!A4286:I4785,3,0)</f>
        <v>#N/A</v>
      </c>
      <c r="I4294" s="6" t="e">
        <f>VLOOKUP(F4294,'Customer Info'!A4286:I4785,5,0)</f>
        <v>#N/A</v>
      </c>
      <c r="J4294" s="2">
        <v>9135</v>
      </c>
      <c r="K4294" s="2">
        <v>8143</v>
      </c>
      <c r="L4294" s="2">
        <v>2</v>
      </c>
      <c r="M4294" s="7">
        <f t="shared" si="264"/>
        <v>16286</v>
      </c>
      <c r="N4294" s="7">
        <f t="shared" si="265"/>
        <v>18270</v>
      </c>
      <c r="O4294" s="2">
        <v>92</v>
      </c>
      <c r="P4294" s="8">
        <f t="shared" si="266"/>
        <v>18362</v>
      </c>
      <c r="Q4294" s="8">
        <f t="shared" si="267"/>
        <v>18178</v>
      </c>
      <c r="R4294" s="2" t="s">
        <v>28</v>
      </c>
      <c r="S4294" s="9">
        <f>VLOOKUP(P4294,$T$2:U4291,2,1)</f>
        <v>0.05</v>
      </c>
    </row>
    <row r="4295" spans="1:19" x14ac:dyDescent="0.25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e">
        <f>VLOOKUP(F4295,'Customer Info'!A4287:I4786,2,0)</f>
        <v>#N/A</v>
      </c>
      <c r="H4295" s="6" t="e">
        <f>VLOOKUP(F4295,'Customer Info'!A4287:I4786,3,0)</f>
        <v>#N/A</v>
      </c>
      <c r="I4295" s="6" t="e">
        <f>VLOOKUP(F4295,'Customer Info'!A4287:I4786,5,0)</f>
        <v>#N/A</v>
      </c>
      <c r="J4295" s="2">
        <v>8781</v>
      </c>
      <c r="K4295" s="2">
        <v>7828</v>
      </c>
      <c r="L4295" s="2">
        <v>5</v>
      </c>
      <c r="M4295" s="7">
        <f t="shared" si="264"/>
        <v>39140</v>
      </c>
      <c r="N4295" s="7">
        <f t="shared" si="265"/>
        <v>43905</v>
      </c>
      <c r="O4295" s="2">
        <v>44</v>
      </c>
      <c r="P4295" s="8">
        <f t="shared" si="266"/>
        <v>43949</v>
      </c>
      <c r="Q4295" s="8">
        <f t="shared" si="267"/>
        <v>43861</v>
      </c>
      <c r="R4295" s="2" t="s">
        <v>28</v>
      </c>
      <c r="S4295" s="9">
        <f>VLOOKUP(P4295,$T$2:U4292,2,1)</f>
        <v>7.0000000000000007E-2</v>
      </c>
    </row>
    <row r="4296" spans="1:19" x14ac:dyDescent="0.25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e">
        <f>VLOOKUP(F4296,'Customer Info'!A4288:I4787,2,0)</f>
        <v>#N/A</v>
      </c>
      <c r="H4296" s="6" t="e">
        <f>VLOOKUP(F4296,'Customer Info'!A4288:I4787,3,0)</f>
        <v>#N/A</v>
      </c>
      <c r="I4296" s="6" t="e">
        <f>VLOOKUP(F4296,'Customer Info'!A4288:I4787,5,0)</f>
        <v>#N/A</v>
      </c>
      <c r="J4296" s="2">
        <v>1774</v>
      </c>
      <c r="K4296" s="2">
        <v>1642</v>
      </c>
      <c r="L4296" s="2">
        <v>5</v>
      </c>
      <c r="M4296" s="7">
        <f t="shared" si="264"/>
        <v>8210</v>
      </c>
      <c r="N4296" s="7">
        <f t="shared" si="265"/>
        <v>8870</v>
      </c>
      <c r="O4296" s="2">
        <v>58</v>
      </c>
      <c r="P4296" s="8">
        <f t="shared" si="266"/>
        <v>8928</v>
      </c>
      <c r="Q4296" s="8">
        <f t="shared" si="267"/>
        <v>8812</v>
      </c>
      <c r="R4296" s="2" t="s">
        <v>28</v>
      </c>
      <c r="S4296" s="9">
        <f>VLOOKUP(P4296,$T$2:U4293,2,1)</f>
        <v>0.05</v>
      </c>
    </row>
    <row r="4297" spans="1:19" x14ac:dyDescent="0.25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e">
        <f>VLOOKUP(F4297,'Customer Info'!A4289:I4788,2,0)</f>
        <v>#N/A</v>
      </c>
      <c r="H4297" s="6" t="e">
        <f>VLOOKUP(F4297,'Customer Info'!A4289:I4788,3,0)</f>
        <v>#N/A</v>
      </c>
      <c r="I4297" s="6" t="e">
        <f>VLOOKUP(F4297,'Customer Info'!A4289:I4788,5,0)</f>
        <v>#N/A</v>
      </c>
      <c r="J4297" s="2">
        <v>2088</v>
      </c>
      <c r="K4297" s="2">
        <v>1970</v>
      </c>
      <c r="L4297" s="2">
        <v>5</v>
      </c>
      <c r="M4297" s="7">
        <f t="shared" si="264"/>
        <v>9850</v>
      </c>
      <c r="N4297" s="7">
        <f t="shared" si="265"/>
        <v>10440</v>
      </c>
      <c r="O4297" s="2">
        <v>56</v>
      </c>
      <c r="P4297" s="8">
        <f t="shared" si="266"/>
        <v>10496</v>
      </c>
      <c r="Q4297" s="8">
        <f t="shared" si="267"/>
        <v>10384</v>
      </c>
      <c r="R4297" s="2" t="s">
        <v>50</v>
      </c>
      <c r="S4297" s="9">
        <f>VLOOKUP(P4297,$T$2:U4294,2,1)</f>
        <v>0.05</v>
      </c>
    </row>
    <row r="4298" spans="1:19" x14ac:dyDescent="0.25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e">
        <f>VLOOKUP(F4298,'Customer Info'!A4290:I4789,2,0)</f>
        <v>#N/A</v>
      </c>
      <c r="H4298" s="6" t="e">
        <f>VLOOKUP(F4298,'Customer Info'!A4290:I4789,3,0)</f>
        <v>#N/A</v>
      </c>
      <c r="I4298" s="6" t="e">
        <f>VLOOKUP(F4298,'Customer Info'!A4290:I4789,5,0)</f>
        <v>#N/A</v>
      </c>
      <c r="J4298" s="2">
        <v>175</v>
      </c>
      <c r="K4298" s="2">
        <v>162</v>
      </c>
      <c r="L4298" s="2">
        <v>2</v>
      </c>
      <c r="M4298" s="7">
        <f t="shared" si="264"/>
        <v>324</v>
      </c>
      <c r="N4298" s="7">
        <f t="shared" si="265"/>
        <v>350</v>
      </c>
      <c r="O4298" s="2">
        <v>30</v>
      </c>
      <c r="P4298" s="8">
        <f t="shared" si="266"/>
        <v>380</v>
      </c>
      <c r="Q4298" s="8">
        <f t="shared" si="267"/>
        <v>320</v>
      </c>
      <c r="R4298" s="2" t="s">
        <v>26</v>
      </c>
      <c r="S4298" s="9">
        <f>VLOOKUP(P4298,$T$2:U4295,2,1)</f>
        <v>0.02</v>
      </c>
    </row>
    <row r="4299" spans="1:19" x14ac:dyDescent="0.25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e">
        <f>VLOOKUP(F4299,'Customer Info'!A4291:I4790,2,0)</f>
        <v>#N/A</v>
      </c>
      <c r="H4299" s="6" t="e">
        <f>VLOOKUP(F4299,'Customer Info'!A4291:I4790,3,0)</f>
        <v>#N/A</v>
      </c>
      <c r="I4299" s="6" t="e">
        <f>VLOOKUP(F4299,'Customer Info'!A4291:I4790,5,0)</f>
        <v>#N/A</v>
      </c>
      <c r="J4299" s="2">
        <v>61</v>
      </c>
      <c r="K4299" s="2">
        <v>57</v>
      </c>
      <c r="L4299" s="2">
        <v>3</v>
      </c>
      <c r="M4299" s="7">
        <f t="shared" ref="M4299:M4362" si="268">K4299*L4299</f>
        <v>171</v>
      </c>
      <c r="N4299" s="7">
        <f t="shared" ref="N4299:N4362" si="269">J4299*L4299</f>
        <v>183</v>
      </c>
      <c r="O4299" s="2">
        <v>10</v>
      </c>
      <c r="P4299" s="8">
        <f t="shared" ref="P4299:P4362" si="270">SUM(N4299,O4299)</f>
        <v>193</v>
      </c>
      <c r="Q4299" s="8">
        <f t="shared" ref="Q4299:Q4362" si="271">N4299-O4299</f>
        <v>173</v>
      </c>
      <c r="R4299" s="2" t="s">
        <v>26</v>
      </c>
      <c r="S4299" s="9">
        <f>VLOOKUP(P4299,$T$2:U4296,2,1)</f>
        <v>0.02</v>
      </c>
    </row>
    <row r="4300" spans="1:19" x14ac:dyDescent="0.25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e">
        <f>VLOOKUP(F4300,'Customer Info'!A4292:I4791,2,0)</f>
        <v>#N/A</v>
      </c>
      <c r="H4300" s="6" t="e">
        <f>VLOOKUP(F4300,'Customer Info'!A4292:I4791,3,0)</f>
        <v>#N/A</v>
      </c>
      <c r="I4300" s="6" t="e">
        <f>VLOOKUP(F4300,'Customer Info'!A4292:I4791,5,0)</f>
        <v>#N/A</v>
      </c>
      <c r="J4300" s="2">
        <v>456</v>
      </c>
      <c r="K4300" s="2">
        <v>430</v>
      </c>
      <c r="L4300" s="2">
        <v>2</v>
      </c>
      <c r="M4300" s="7">
        <f t="shared" si="268"/>
        <v>860</v>
      </c>
      <c r="N4300" s="7">
        <f t="shared" si="269"/>
        <v>912</v>
      </c>
      <c r="O4300" s="2">
        <v>34</v>
      </c>
      <c r="P4300" s="8">
        <f t="shared" si="270"/>
        <v>946</v>
      </c>
      <c r="Q4300" s="8">
        <f t="shared" si="271"/>
        <v>878</v>
      </c>
      <c r="R4300" s="2" t="s">
        <v>50</v>
      </c>
      <c r="S4300" s="9">
        <f>VLOOKUP(P4300,$T$2:U4297,2,1)</f>
        <v>0.02</v>
      </c>
    </row>
    <row r="4301" spans="1:19" x14ac:dyDescent="0.25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e">
        <f>VLOOKUP(F4301,'Customer Info'!A4293:I4792,2,0)</f>
        <v>#N/A</v>
      </c>
      <c r="H4301" s="6" t="e">
        <f>VLOOKUP(F4301,'Customer Info'!A4293:I4792,3,0)</f>
        <v>#N/A</v>
      </c>
      <c r="I4301" s="6" t="e">
        <f>VLOOKUP(F4301,'Customer Info'!A4293:I4792,5,0)</f>
        <v>#N/A</v>
      </c>
      <c r="J4301" s="2">
        <v>4846</v>
      </c>
      <c r="K4301" s="2">
        <v>4492</v>
      </c>
      <c r="L4301" s="2">
        <v>3</v>
      </c>
      <c r="M4301" s="7">
        <f t="shared" si="268"/>
        <v>13476</v>
      </c>
      <c r="N4301" s="7">
        <f t="shared" si="269"/>
        <v>14538</v>
      </c>
      <c r="O4301" s="2">
        <v>31</v>
      </c>
      <c r="P4301" s="8">
        <f t="shared" si="270"/>
        <v>14569</v>
      </c>
      <c r="Q4301" s="8">
        <f t="shared" si="271"/>
        <v>14507</v>
      </c>
      <c r="R4301" s="2" t="s">
        <v>50</v>
      </c>
      <c r="S4301" s="9">
        <f>VLOOKUP(P4301,$T$2:U4298,2,1)</f>
        <v>0.05</v>
      </c>
    </row>
    <row r="4302" spans="1:19" x14ac:dyDescent="0.25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e">
        <f>VLOOKUP(F4302,'Customer Info'!A4294:I4793,2,0)</f>
        <v>#N/A</v>
      </c>
      <c r="H4302" s="6" t="e">
        <f>VLOOKUP(F4302,'Customer Info'!A4294:I4793,3,0)</f>
        <v>#N/A</v>
      </c>
      <c r="I4302" s="6" t="e">
        <f>VLOOKUP(F4302,'Customer Info'!A4294:I4793,5,0)</f>
        <v>#N/A</v>
      </c>
      <c r="J4302" s="2">
        <v>3408</v>
      </c>
      <c r="K4302" s="2">
        <v>3215</v>
      </c>
      <c r="L4302" s="2">
        <v>2</v>
      </c>
      <c r="M4302" s="7">
        <f t="shared" si="268"/>
        <v>6430</v>
      </c>
      <c r="N4302" s="7">
        <f t="shared" si="269"/>
        <v>6816</v>
      </c>
      <c r="O4302" s="2">
        <v>66</v>
      </c>
      <c r="P4302" s="8">
        <f t="shared" si="270"/>
        <v>6882</v>
      </c>
      <c r="Q4302" s="8">
        <f t="shared" si="271"/>
        <v>6750</v>
      </c>
      <c r="R4302" s="2" t="s">
        <v>28</v>
      </c>
      <c r="S4302" s="9">
        <f>VLOOKUP(P4302,$T$2:U4299,2,1)</f>
        <v>0.05</v>
      </c>
    </row>
    <row r="4303" spans="1:19" x14ac:dyDescent="0.25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e">
        <f>VLOOKUP(F4303,'Customer Info'!A4295:I4794,2,0)</f>
        <v>#N/A</v>
      </c>
      <c r="H4303" s="6" t="e">
        <f>VLOOKUP(F4303,'Customer Info'!A4295:I4794,3,0)</f>
        <v>#N/A</v>
      </c>
      <c r="I4303" s="6" t="e">
        <f>VLOOKUP(F4303,'Customer Info'!A4295:I4794,5,0)</f>
        <v>#N/A</v>
      </c>
      <c r="J4303" s="2">
        <v>1668</v>
      </c>
      <c r="K4303" s="2">
        <v>1636</v>
      </c>
      <c r="L4303" s="2">
        <v>1</v>
      </c>
      <c r="M4303" s="7">
        <f t="shared" si="268"/>
        <v>1636</v>
      </c>
      <c r="N4303" s="7">
        <f t="shared" si="269"/>
        <v>1668</v>
      </c>
      <c r="O4303" s="2">
        <v>79</v>
      </c>
      <c r="P4303" s="8">
        <f t="shared" si="270"/>
        <v>1747</v>
      </c>
      <c r="Q4303" s="8">
        <f t="shared" si="271"/>
        <v>1589</v>
      </c>
      <c r="R4303" s="2" t="s">
        <v>28</v>
      </c>
      <c r="S4303" s="9">
        <f>VLOOKUP(P4303,$T$2:U4300,2,1)</f>
        <v>0.02</v>
      </c>
    </row>
    <row r="4304" spans="1:19" x14ac:dyDescent="0.25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e">
        <f>VLOOKUP(F4304,'Customer Info'!A4296:I4795,2,0)</f>
        <v>#N/A</v>
      </c>
      <c r="H4304" s="6" t="e">
        <f>VLOOKUP(F4304,'Customer Info'!A4296:I4795,3,0)</f>
        <v>#N/A</v>
      </c>
      <c r="I4304" s="6" t="e">
        <f>VLOOKUP(F4304,'Customer Info'!A4296:I4795,5,0)</f>
        <v>#N/A</v>
      </c>
      <c r="J4304" s="2">
        <v>1413</v>
      </c>
      <c r="K4304" s="2">
        <v>1334</v>
      </c>
      <c r="L4304" s="2">
        <v>3</v>
      </c>
      <c r="M4304" s="7">
        <f t="shared" si="268"/>
        <v>4002</v>
      </c>
      <c r="N4304" s="7">
        <f t="shared" si="269"/>
        <v>4239</v>
      </c>
      <c r="O4304" s="2">
        <v>84</v>
      </c>
      <c r="P4304" s="8">
        <f t="shared" si="270"/>
        <v>4323</v>
      </c>
      <c r="Q4304" s="8">
        <f t="shared" si="271"/>
        <v>4155</v>
      </c>
      <c r="R4304" s="2" t="s">
        <v>50</v>
      </c>
      <c r="S4304" s="9">
        <f>VLOOKUP(P4304,$T$2:U4301,2,1)</f>
        <v>0.02</v>
      </c>
    </row>
    <row r="4305" spans="1:19" x14ac:dyDescent="0.25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e">
        <f>VLOOKUP(F4305,'Customer Info'!A4297:I4796,2,0)</f>
        <v>#N/A</v>
      </c>
      <c r="H4305" s="6" t="e">
        <f>VLOOKUP(F4305,'Customer Info'!A4297:I4796,3,0)</f>
        <v>#N/A</v>
      </c>
      <c r="I4305" s="6" t="e">
        <f>VLOOKUP(F4305,'Customer Info'!A4297:I4796,5,0)</f>
        <v>#N/A</v>
      </c>
      <c r="J4305" s="2">
        <v>1911</v>
      </c>
      <c r="K4305" s="2">
        <v>1785</v>
      </c>
      <c r="L4305" s="2">
        <v>4</v>
      </c>
      <c r="M4305" s="7">
        <f t="shared" si="268"/>
        <v>7140</v>
      </c>
      <c r="N4305" s="7">
        <f t="shared" si="269"/>
        <v>7644</v>
      </c>
      <c r="O4305" s="2">
        <v>37</v>
      </c>
      <c r="P4305" s="8">
        <f t="shared" si="270"/>
        <v>7681</v>
      </c>
      <c r="Q4305" s="8">
        <f t="shared" si="271"/>
        <v>7607</v>
      </c>
      <c r="R4305" s="2" t="s">
        <v>26</v>
      </c>
      <c r="S4305" s="9">
        <f>VLOOKUP(P4305,$T$2:U4302,2,1)</f>
        <v>0.05</v>
      </c>
    </row>
    <row r="4306" spans="1:19" x14ac:dyDescent="0.25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e">
        <f>VLOOKUP(F4306,'Customer Info'!A4298:I4797,2,0)</f>
        <v>#N/A</v>
      </c>
      <c r="H4306" s="6" t="e">
        <f>VLOOKUP(F4306,'Customer Info'!A4298:I4797,3,0)</f>
        <v>#N/A</v>
      </c>
      <c r="I4306" s="6" t="e">
        <f>VLOOKUP(F4306,'Customer Info'!A4298:I4797,5,0)</f>
        <v>#N/A</v>
      </c>
      <c r="J4306" s="2">
        <v>143</v>
      </c>
      <c r="K4306" s="2">
        <v>137</v>
      </c>
      <c r="L4306" s="2">
        <v>8</v>
      </c>
      <c r="M4306" s="7">
        <f t="shared" si="268"/>
        <v>1096</v>
      </c>
      <c r="N4306" s="7">
        <f t="shared" si="269"/>
        <v>1144</v>
      </c>
      <c r="O4306" s="2">
        <v>30</v>
      </c>
      <c r="P4306" s="8">
        <f t="shared" si="270"/>
        <v>1174</v>
      </c>
      <c r="Q4306" s="8">
        <f t="shared" si="271"/>
        <v>1114</v>
      </c>
      <c r="R4306" s="2" t="s">
        <v>28</v>
      </c>
      <c r="S4306" s="9">
        <f>VLOOKUP(P4306,$T$2:U4303,2,1)</f>
        <v>0.02</v>
      </c>
    </row>
    <row r="4307" spans="1:19" x14ac:dyDescent="0.25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e">
        <f>VLOOKUP(F4307,'Customer Info'!A4299:I4798,2,0)</f>
        <v>#N/A</v>
      </c>
      <c r="H4307" s="6" t="e">
        <f>VLOOKUP(F4307,'Customer Info'!A4299:I4798,3,0)</f>
        <v>#N/A</v>
      </c>
      <c r="I4307" s="6" t="e">
        <f>VLOOKUP(F4307,'Customer Info'!A4299:I4798,5,0)</f>
        <v>#N/A</v>
      </c>
      <c r="J4307" s="2">
        <v>63</v>
      </c>
      <c r="K4307" s="2">
        <v>58</v>
      </c>
      <c r="L4307" s="2">
        <v>9</v>
      </c>
      <c r="M4307" s="7">
        <f t="shared" si="268"/>
        <v>522</v>
      </c>
      <c r="N4307" s="7">
        <f t="shared" si="269"/>
        <v>567</v>
      </c>
      <c r="O4307" s="2">
        <v>10</v>
      </c>
      <c r="P4307" s="8">
        <f t="shared" si="270"/>
        <v>577</v>
      </c>
      <c r="Q4307" s="8">
        <f t="shared" si="271"/>
        <v>557</v>
      </c>
      <c r="R4307" s="2" t="s">
        <v>28</v>
      </c>
      <c r="S4307" s="9">
        <f>VLOOKUP(P4307,$T$2:U4304,2,1)</f>
        <v>0.02</v>
      </c>
    </row>
    <row r="4308" spans="1:19" x14ac:dyDescent="0.25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e">
        <f>VLOOKUP(F4308,'Customer Info'!A4300:I4799,2,0)</f>
        <v>#N/A</v>
      </c>
      <c r="H4308" s="6" t="e">
        <f>VLOOKUP(F4308,'Customer Info'!A4300:I4799,3,0)</f>
        <v>#N/A</v>
      </c>
      <c r="I4308" s="6" t="e">
        <f>VLOOKUP(F4308,'Customer Info'!A4300:I4799,5,0)</f>
        <v>#N/A</v>
      </c>
      <c r="J4308" s="2">
        <v>6012</v>
      </c>
      <c r="K4308" s="2">
        <v>5677</v>
      </c>
      <c r="L4308" s="2">
        <v>2</v>
      </c>
      <c r="M4308" s="7">
        <f t="shared" si="268"/>
        <v>11354</v>
      </c>
      <c r="N4308" s="7">
        <f t="shared" si="269"/>
        <v>12024</v>
      </c>
      <c r="O4308" s="2">
        <v>89</v>
      </c>
      <c r="P4308" s="8">
        <f t="shared" si="270"/>
        <v>12113</v>
      </c>
      <c r="Q4308" s="8">
        <f t="shared" si="271"/>
        <v>11935</v>
      </c>
      <c r="R4308" s="2" t="s">
        <v>28</v>
      </c>
      <c r="S4308" s="9">
        <f>VLOOKUP(P4308,$T$2:U4305,2,1)</f>
        <v>0.05</v>
      </c>
    </row>
    <row r="4309" spans="1:19" x14ac:dyDescent="0.25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e">
        <f>VLOOKUP(F4309,'Customer Info'!A4301:I4800,2,0)</f>
        <v>#N/A</v>
      </c>
      <c r="H4309" s="6" t="e">
        <f>VLOOKUP(F4309,'Customer Info'!A4301:I4800,3,0)</f>
        <v>#N/A</v>
      </c>
      <c r="I4309" s="6" t="e">
        <f>VLOOKUP(F4309,'Customer Info'!A4301:I4800,5,0)</f>
        <v>#N/A</v>
      </c>
      <c r="J4309" s="2">
        <v>69</v>
      </c>
      <c r="K4309" s="2">
        <v>63</v>
      </c>
      <c r="L4309" s="2">
        <v>1</v>
      </c>
      <c r="M4309" s="7">
        <f t="shared" si="268"/>
        <v>63</v>
      </c>
      <c r="N4309" s="7">
        <f t="shared" si="269"/>
        <v>69</v>
      </c>
      <c r="O4309" s="2">
        <v>10</v>
      </c>
      <c r="P4309" s="8">
        <f t="shared" si="270"/>
        <v>79</v>
      </c>
      <c r="Q4309" s="8">
        <f t="shared" si="271"/>
        <v>59</v>
      </c>
      <c r="R4309" s="2" t="s">
        <v>50</v>
      </c>
      <c r="S4309" s="9">
        <f>VLOOKUP(P4309,$T$2:U4306,2,1)</f>
        <v>0.02</v>
      </c>
    </row>
    <row r="4310" spans="1:19" x14ac:dyDescent="0.25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e">
        <f>VLOOKUP(F4310,'Customer Info'!A4302:I4801,2,0)</f>
        <v>#N/A</v>
      </c>
      <c r="H4310" s="6" t="e">
        <f>VLOOKUP(F4310,'Customer Info'!A4302:I4801,3,0)</f>
        <v>#N/A</v>
      </c>
      <c r="I4310" s="6" t="e">
        <f>VLOOKUP(F4310,'Customer Info'!A4302:I4801,5,0)</f>
        <v>#N/A</v>
      </c>
      <c r="J4310" s="2">
        <v>1882</v>
      </c>
      <c r="K4310" s="2">
        <v>1792</v>
      </c>
      <c r="L4310" s="2">
        <v>1</v>
      </c>
      <c r="M4310" s="7">
        <f t="shared" si="268"/>
        <v>1792</v>
      </c>
      <c r="N4310" s="7">
        <f t="shared" si="269"/>
        <v>1882</v>
      </c>
      <c r="O4310" s="2">
        <v>36</v>
      </c>
      <c r="P4310" s="8">
        <f t="shared" si="270"/>
        <v>1918</v>
      </c>
      <c r="Q4310" s="8">
        <f t="shared" si="271"/>
        <v>1846</v>
      </c>
      <c r="R4310" s="2" t="s">
        <v>28</v>
      </c>
      <c r="S4310" s="9">
        <f>VLOOKUP(P4310,$T$2:U4307,2,1)</f>
        <v>0.02</v>
      </c>
    </row>
    <row r="4311" spans="1:19" x14ac:dyDescent="0.25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e">
        <f>VLOOKUP(F4311,'Customer Info'!A4303:I4802,2,0)</f>
        <v>#N/A</v>
      </c>
      <c r="H4311" s="6" t="e">
        <f>VLOOKUP(F4311,'Customer Info'!A4303:I4802,3,0)</f>
        <v>#N/A</v>
      </c>
      <c r="I4311" s="6" t="e">
        <f>VLOOKUP(F4311,'Customer Info'!A4303:I4802,5,0)</f>
        <v>#N/A</v>
      </c>
      <c r="J4311" s="2">
        <v>5051</v>
      </c>
      <c r="K4311" s="2">
        <v>4634</v>
      </c>
      <c r="L4311" s="2">
        <v>4</v>
      </c>
      <c r="M4311" s="7">
        <f t="shared" si="268"/>
        <v>18536</v>
      </c>
      <c r="N4311" s="7">
        <f t="shared" si="269"/>
        <v>20204</v>
      </c>
      <c r="O4311" s="2">
        <v>41</v>
      </c>
      <c r="P4311" s="8">
        <f t="shared" si="270"/>
        <v>20245</v>
      </c>
      <c r="Q4311" s="8">
        <f t="shared" si="271"/>
        <v>20163</v>
      </c>
      <c r="R4311" s="2" t="s">
        <v>28</v>
      </c>
      <c r="S4311" s="9">
        <f>VLOOKUP(P4311,$T$2:U4308,2,1)</f>
        <v>0.05</v>
      </c>
    </row>
    <row r="4312" spans="1:19" x14ac:dyDescent="0.25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e">
        <f>VLOOKUP(F4312,'Customer Info'!A4304:I4803,2,0)</f>
        <v>#N/A</v>
      </c>
      <c r="H4312" s="6" t="e">
        <f>VLOOKUP(F4312,'Customer Info'!A4304:I4803,3,0)</f>
        <v>#N/A</v>
      </c>
      <c r="I4312" s="6" t="e">
        <f>VLOOKUP(F4312,'Customer Info'!A4304:I4803,5,0)</f>
        <v>#N/A</v>
      </c>
      <c r="J4312" s="2">
        <v>7474</v>
      </c>
      <c r="K4312" s="2">
        <v>6858</v>
      </c>
      <c r="L4312" s="2">
        <v>1</v>
      </c>
      <c r="M4312" s="7">
        <f t="shared" si="268"/>
        <v>6858</v>
      </c>
      <c r="N4312" s="7">
        <f t="shared" si="269"/>
        <v>7474</v>
      </c>
      <c r="O4312" s="2">
        <v>39</v>
      </c>
      <c r="P4312" s="8">
        <f t="shared" si="270"/>
        <v>7513</v>
      </c>
      <c r="Q4312" s="8">
        <f t="shared" si="271"/>
        <v>7435</v>
      </c>
      <c r="R4312" s="2" t="s">
        <v>28</v>
      </c>
      <c r="S4312" s="9">
        <f>VLOOKUP(P4312,$T$2:U4309,2,1)</f>
        <v>0.05</v>
      </c>
    </row>
    <row r="4313" spans="1:19" x14ac:dyDescent="0.25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e">
        <f>VLOOKUP(F4313,'Customer Info'!A4305:I4804,2,0)</f>
        <v>#N/A</v>
      </c>
      <c r="H4313" s="6" t="e">
        <f>VLOOKUP(F4313,'Customer Info'!A4305:I4804,3,0)</f>
        <v>#N/A</v>
      </c>
      <c r="I4313" s="6" t="e">
        <f>VLOOKUP(F4313,'Customer Info'!A4305:I4804,5,0)</f>
        <v>#N/A</v>
      </c>
      <c r="J4313" s="2">
        <v>2843</v>
      </c>
      <c r="K4313" s="2">
        <v>2735</v>
      </c>
      <c r="L4313" s="2">
        <v>2</v>
      </c>
      <c r="M4313" s="7">
        <f t="shared" si="268"/>
        <v>5470</v>
      </c>
      <c r="N4313" s="7">
        <f t="shared" si="269"/>
        <v>5686</v>
      </c>
      <c r="O4313" s="2">
        <v>74</v>
      </c>
      <c r="P4313" s="8">
        <f t="shared" si="270"/>
        <v>5760</v>
      </c>
      <c r="Q4313" s="8">
        <f t="shared" si="271"/>
        <v>5612</v>
      </c>
      <c r="R4313" s="2" t="s">
        <v>50</v>
      </c>
      <c r="S4313" s="9">
        <f>VLOOKUP(P4313,$T$2:U4310,2,1)</f>
        <v>0.05</v>
      </c>
    </row>
    <row r="4314" spans="1:19" x14ac:dyDescent="0.25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e">
        <f>VLOOKUP(F4314,'Customer Info'!A4306:I4805,2,0)</f>
        <v>#N/A</v>
      </c>
      <c r="H4314" s="6" t="e">
        <f>VLOOKUP(F4314,'Customer Info'!A4306:I4805,3,0)</f>
        <v>#N/A</v>
      </c>
      <c r="I4314" s="6" t="e">
        <f>VLOOKUP(F4314,'Customer Info'!A4306:I4805,5,0)</f>
        <v>#N/A</v>
      </c>
      <c r="J4314" s="2">
        <v>992</v>
      </c>
      <c r="K4314" s="2">
        <v>928</v>
      </c>
      <c r="L4314" s="2">
        <v>2</v>
      </c>
      <c r="M4314" s="7">
        <f t="shared" si="268"/>
        <v>1856</v>
      </c>
      <c r="N4314" s="7">
        <f t="shared" si="269"/>
        <v>1984</v>
      </c>
      <c r="O4314" s="2">
        <v>92</v>
      </c>
      <c r="P4314" s="8">
        <f t="shared" si="270"/>
        <v>2076</v>
      </c>
      <c r="Q4314" s="8">
        <f t="shared" si="271"/>
        <v>1892</v>
      </c>
      <c r="R4314" s="2" t="s">
        <v>28</v>
      </c>
      <c r="S4314" s="9">
        <f>VLOOKUP(P4314,$T$2:U4311,2,1)</f>
        <v>0.02</v>
      </c>
    </row>
    <row r="4315" spans="1:19" x14ac:dyDescent="0.25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e">
        <f>VLOOKUP(F4315,'Customer Info'!A4307:I4806,2,0)</f>
        <v>#N/A</v>
      </c>
      <c r="H4315" s="6" t="e">
        <f>VLOOKUP(F4315,'Customer Info'!A4307:I4806,3,0)</f>
        <v>#N/A</v>
      </c>
      <c r="I4315" s="6" t="e">
        <f>VLOOKUP(F4315,'Customer Info'!A4307:I4806,5,0)</f>
        <v>#N/A</v>
      </c>
      <c r="J4315" s="2">
        <v>169</v>
      </c>
      <c r="K4315" s="2">
        <v>154</v>
      </c>
      <c r="L4315" s="2">
        <v>3</v>
      </c>
      <c r="M4315" s="7">
        <f t="shared" si="268"/>
        <v>462</v>
      </c>
      <c r="N4315" s="7">
        <f t="shared" si="269"/>
        <v>507</v>
      </c>
      <c r="O4315" s="2">
        <v>30</v>
      </c>
      <c r="P4315" s="8">
        <f t="shared" si="270"/>
        <v>537</v>
      </c>
      <c r="Q4315" s="8">
        <f t="shared" si="271"/>
        <v>477</v>
      </c>
      <c r="R4315" s="2" t="s">
        <v>28</v>
      </c>
      <c r="S4315" s="9">
        <f>VLOOKUP(P4315,$T$2:U4312,2,1)</f>
        <v>0.02</v>
      </c>
    </row>
    <row r="4316" spans="1:19" x14ac:dyDescent="0.25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e">
        <f>VLOOKUP(F4316,'Customer Info'!A4308:I4807,2,0)</f>
        <v>#N/A</v>
      </c>
      <c r="H4316" s="6" t="e">
        <f>VLOOKUP(F4316,'Customer Info'!A4308:I4807,3,0)</f>
        <v>#N/A</v>
      </c>
      <c r="I4316" s="6" t="e">
        <f>VLOOKUP(F4316,'Customer Info'!A4308:I4807,5,0)</f>
        <v>#N/A</v>
      </c>
      <c r="J4316" s="2">
        <v>1882</v>
      </c>
      <c r="K4316" s="2">
        <v>1792</v>
      </c>
      <c r="L4316" s="2">
        <v>5</v>
      </c>
      <c r="M4316" s="7">
        <f t="shared" si="268"/>
        <v>8960</v>
      </c>
      <c r="N4316" s="7">
        <f t="shared" si="269"/>
        <v>9410</v>
      </c>
      <c r="O4316" s="2">
        <v>84</v>
      </c>
      <c r="P4316" s="8">
        <f t="shared" si="270"/>
        <v>9494</v>
      </c>
      <c r="Q4316" s="8">
        <f t="shared" si="271"/>
        <v>9326</v>
      </c>
      <c r="R4316" s="2" t="s">
        <v>28</v>
      </c>
      <c r="S4316" s="9">
        <f>VLOOKUP(P4316,$T$2:U4313,2,1)</f>
        <v>0.05</v>
      </c>
    </row>
    <row r="4317" spans="1:19" x14ac:dyDescent="0.25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e">
        <f>VLOOKUP(F4317,'Customer Info'!A4309:I4808,2,0)</f>
        <v>#N/A</v>
      </c>
      <c r="H4317" s="6" t="e">
        <f>VLOOKUP(F4317,'Customer Info'!A4309:I4808,3,0)</f>
        <v>#N/A</v>
      </c>
      <c r="I4317" s="6" t="e">
        <f>VLOOKUP(F4317,'Customer Info'!A4309:I4808,5,0)</f>
        <v>#N/A</v>
      </c>
      <c r="J4317" s="2">
        <v>658</v>
      </c>
      <c r="K4317" s="2">
        <v>615</v>
      </c>
      <c r="L4317" s="2">
        <v>2</v>
      </c>
      <c r="M4317" s="7">
        <f t="shared" si="268"/>
        <v>1230</v>
      </c>
      <c r="N4317" s="7">
        <f t="shared" si="269"/>
        <v>1316</v>
      </c>
      <c r="O4317" s="2">
        <v>68</v>
      </c>
      <c r="P4317" s="8">
        <f t="shared" si="270"/>
        <v>1384</v>
      </c>
      <c r="Q4317" s="8">
        <f t="shared" si="271"/>
        <v>1248</v>
      </c>
      <c r="R4317" s="2" t="s">
        <v>50</v>
      </c>
      <c r="S4317" s="9">
        <f>VLOOKUP(P4317,$T$2:U4314,2,1)</f>
        <v>0.02</v>
      </c>
    </row>
    <row r="4318" spans="1:19" x14ac:dyDescent="0.25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e">
        <f>VLOOKUP(F4318,'Customer Info'!A4310:I4809,2,0)</f>
        <v>#N/A</v>
      </c>
      <c r="H4318" s="6" t="e">
        <f>VLOOKUP(F4318,'Customer Info'!A4310:I4809,3,0)</f>
        <v>#N/A</v>
      </c>
      <c r="I4318" s="6" t="e">
        <f>VLOOKUP(F4318,'Customer Info'!A4310:I4809,5,0)</f>
        <v>#N/A</v>
      </c>
      <c r="J4318" s="2">
        <v>7922</v>
      </c>
      <c r="K4318" s="2">
        <v>7328</v>
      </c>
      <c r="L4318" s="2">
        <v>1</v>
      </c>
      <c r="M4318" s="7">
        <f t="shared" si="268"/>
        <v>7328</v>
      </c>
      <c r="N4318" s="7">
        <f t="shared" si="269"/>
        <v>7922</v>
      </c>
      <c r="O4318" s="2">
        <v>100</v>
      </c>
      <c r="P4318" s="8">
        <f t="shared" si="270"/>
        <v>8022</v>
      </c>
      <c r="Q4318" s="8">
        <f t="shared" si="271"/>
        <v>7822</v>
      </c>
      <c r="R4318" s="2" t="s">
        <v>28</v>
      </c>
      <c r="S4318" s="9">
        <f>VLOOKUP(P4318,$T$2:U4315,2,1)</f>
        <v>0.05</v>
      </c>
    </row>
    <row r="4319" spans="1:19" x14ac:dyDescent="0.25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e">
        <f>VLOOKUP(F4319,'Customer Info'!A4311:I4810,2,0)</f>
        <v>#N/A</v>
      </c>
      <c r="H4319" s="6" t="e">
        <f>VLOOKUP(F4319,'Customer Info'!A4311:I4810,3,0)</f>
        <v>#N/A</v>
      </c>
      <c r="I4319" s="6" t="e">
        <f>VLOOKUP(F4319,'Customer Info'!A4311:I4810,5,0)</f>
        <v>#N/A</v>
      </c>
      <c r="J4319" s="2">
        <v>456</v>
      </c>
      <c r="K4319" s="2">
        <v>430</v>
      </c>
      <c r="L4319" s="2">
        <v>3</v>
      </c>
      <c r="M4319" s="7">
        <f t="shared" si="268"/>
        <v>1290</v>
      </c>
      <c r="N4319" s="7">
        <f t="shared" si="269"/>
        <v>1368</v>
      </c>
      <c r="O4319" s="2">
        <v>82</v>
      </c>
      <c r="P4319" s="8">
        <f t="shared" si="270"/>
        <v>1450</v>
      </c>
      <c r="Q4319" s="8">
        <f t="shared" si="271"/>
        <v>1286</v>
      </c>
      <c r="R4319" s="2" t="s">
        <v>28</v>
      </c>
      <c r="S4319" s="9">
        <f>VLOOKUP(P4319,$T$2:U4316,2,1)</f>
        <v>0.02</v>
      </c>
    </row>
    <row r="4320" spans="1:19" x14ac:dyDescent="0.25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e">
        <f>VLOOKUP(F4320,'Customer Info'!A4312:I4811,2,0)</f>
        <v>#N/A</v>
      </c>
      <c r="H4320" s="6" t="e">
        <f>VLOOKUP(F4320,'Customer Info'!A4312:I4811,3,0)</f>
        <v>#N/A</v>
      </c>
      <c r="I4320" s="6" t="e">
        <f>VLOOKUP(F4320,'Customer Info'!A4312:I4811,5,0)</f>
        <v>#N/A</v>
      </c>
      <c r="J4320" s="2">
        <v>141</v>
      </c>
      <c r="K4320" s="2">
        <v>131</v>
      </c>
      <c r="L4320" s="2">
        <v>4</v>
      </c>
      <c r="M4320" s="7">
        <f t="shared" si="268"/>
        <v>524</v>
      </c>
      <c r="N4320" s="7">
        <f t="shared" si="269"/>
        <v>564</v>
      </c>
      <c r="O4320" s="2">
        <v>30</v>
      </c>
      <c r="P4320" s="8">
        <f t="shared" si="270"/>
        <v>594</v>
      </c>
      <c r="Q4320" s="8">
        <f t="shared" si="271"/>
        <v>534</v>
      </c>
      <c r="R4320" s="2" t="s">
        <v>28</v>
      </c>
      <c r="S4320" s="9">
        <f>VLOOKUP(P4320,$T$2:U4317,2,1)</f>
        <v>0.02</v>
      </c>
    </row>
    <row r="4321" spans="1:19" x14ac:dyDescent="0.25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e">
        <f>VLOOKUP(F4321,'Customer Info'!A4313:I4812,2,0)</f>
        <v>#N/A</v>
      </c>
      <c r="H4321" s="6" t="e">
        <f>VLOOKUP(F4321,'Customer Info'!A4313:I4812,3,0)</f>
        <v>#N/A</v>
      </c>
      <c r="I4321" s="6" t="e">
        <f>VLOOKUP(F4321,'Customer Info'!A4313:I4812,5,0)</f>
        <v>#N/A</v>
      </c>
      <c r="J4321" s="2">
        <v>222</v>
      </c>
      <c r="K4321" s="2">
        <v>204</v>
      </c>
      <c r="L4321" s="2">
        <v>1</v>
      </c>
      <c r="M4321" s="7">
        <f t="shared" si="268"/>
        <v>204</v>
      </c>
      <c r="N4321" s="7">
        <f t="shared" si="269"/>
        <v>222</v>
      </c>
      <c r="O4321" s="2">
        <v>55</v>
      </c>
      <c r="P4321" s="8">
        <f t="shared" si="270"/>
        <v>277</v>
      </c>
      <c r="Q4321" s="8">
        <f t="shared" si="271"/>
        <v>167</v>
      </c>
      <c r="R4321" s="2" t="s">
        <v>28</v>
      </c>
      <c r="S4321" s="9">
        <f>VLOOKUP(P4321,$T$2:U4318,2,1)</f>
        <v>0.02</v>
      </c>
    </row>
    <row r="4322" spans="1:19" x14ac:dyDescent="0.25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e">
        <f>VLOOKUP(F4322,'Customer Info'!A4314:I4813,2,0)</f>
        <v>#N/A</v>
      </c>
      <c r="H4322" s="6" t="e">
        <f>VLOOKUP(F4322,'Customer Info'!A4314:I4813,3,0)</f>
        <v>#N/A</v>
      </c>
      <c r="I4322" s="6" t="e">
        <f>VLOOKUP(F4322,'Customer Info'!A4314:I4813,5,0)</f>
        <v>#N/A</v>
      </c>
      <c r="J4322" s="2">
        <v>1878</v>
      </c>
      <c r="K4322" s="2">
        <v>1790</v>
      </c>
      <c r="L4322" s="2">
        <v>4</v>
      </c>
      <c r="M4322" s="7">
        <f t="shared" si="268"/>
        <v>7160</v>
      </c>
      <c r="N4322" s="7">
        <f t="shared" si="269"/>
        <v>7512</v>
      </c>
      <c r="O4322" s="2">
        <v>72</v>
      </c>
      <c r="P4322" s="8">
        <f t="shared" si="270"/>
        <v>7584</v>
      </c>
      <c r="Q4322" s="8">
        <f t="shared" si="271"/>
        <v>7440</v>
      </c>
      <c r="R4322" s="2" t="s">
        <v>28</v>
      </c>
      <c r="S4322" s="9">
        <f>VLOOKUP(P4322,$T$2:U4319,2,1)</f>
        <v>0.05</v>
      </c>
    </row>
    <row r="4323" spans="1:19" x14ac:dyDescent="0.25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e">
        <f>VLOOKUP(F4323,'Customer Info'!A4315:I4814,2,0)</f>
        <v>#N/A</v>
      </c>
      <c r="H4323" s="6" t="e">
        <f>VLOOKUP(F4323,'Customer Info'!A4315:I4814,3,0)</f>
        <v>#N/A</v>
      </c>
      <c r="I4323" s="6" t="e">
        <f>VLOOKUP(F4323,'Customer Info'!A4315:I4814,5,0)</f>
        <v>#N/A</v>
      </c>
      <c r="J4323" s="2">
        <v>1039</v>
      </c>
      <c r="K4323" s="2">
        <v>954</v>
      </c>
      <c r="L4323" s="2">
        <v>6</v>
      </c>
      <c r="M4323" s="7">
        <f t="shared" si="268"/>
        <v>5724</v>
      </c>
      <c r="N4323" s="7">
        <f t="shared" si="269"/>
        <v>6234</v>
      </c>
      <c r="O4323" s="2">
        <v>52</v>
      </c>
      <c r="P4323" s="8">
        <f t="shared" si="270"/>
        <v>6286</v>
      </c>
      <c r="Q4323" s="8">
        <f t="shared" si="271"/>
        <v>6182</v>
      </c>
      <c r="R4323" s="2" t="s">
        <v>28</v>
      </c>
      <c r="S4323" s="9">
        <f>VLOOKUP(P4323,$T$2:U4320,2,1)</f>
        <v>0.05</v>
      </c>
    </row>
    <row r="4324" spans="1:19" x14ac:dyDescent="0.25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e">
        <f>VLOOKUP(F4324,'Customer Info'!A4316:I4815,2,0)</f>
        <v>#N/A</v>
      </c>
      <c r="H4324" s="6" t="e">
        <f>VLOOKUP(F4324,'Customer Info'!A4316:I4815,3,0)</f>
        <v>#N/A</v>
      </c>
      <c r="I4324" s="6" t="e">
        <f>VLOOKUP(F4324,'Customer Info'!A4316:I4815,5,0)</f>
        <v>#N/A</v>
      </c>
      <c r="J4324" s="2">
        <v>2222</v>
      </c>
      <c r="K4324" s="2">
        <v>2081</v>
      </c>
      <c r="L4324" s="2">
        <v>2</v>
      </c>
      <c r="M4324" s="7">
        <f t="shared" si="268"/>
        <v>4162</v>
      </c>
      <c r="N4324" s="7">
        <f t="shared" si="269"/>
        <v>4444</v>
      </c>
      <c r="O4324" s="2">
        <v>69</v>
      </c>
      <c r="P4324" s="8">
        <f t="shared" si="270"/>
        <v>4513</v>
      </c>
      <c r="Q4324" s="8">
        <f t="shared" si="271"/>
        <v>4375</v>
      </c>
      <c r="R4324" s="2" t="s">
        <v>28</v>
      </c>
      <c r="S4324" s="9">
        <f>VLOOKUP(P4324,$T$2:U4321,2,1)</f>
        <v>0.02</v>
      </c>
    </row>
    <row r="4325" spans="1:19" x14ac:dyDescent="0.25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e">
        <f>VLOOKUP(F4325,'Customer Info'!A4317:I4816,2,0)</f>
        <v>#N/A</v>
      </c>
      <c r="H4325" s="6" t="e">
        <f>VLOOKUP(F4325,'Customer Info'!A4317:I4816,3,0)</f>
        <v>#N/A</v>
      </c>
      <c r="I4325" s="6" t="e">
        <f>VLOOKUP(F4325,'Customer Info'!A4317:I4816,5,0)</f>
        <v>#N/A</v>
      </c>
      <c r="J4325" s="2">
        <v>4443</v>
      </c>
      <c r="K4325" s="2">
        <v>4079</v>
      </c>
      <c r="L4325" s="2">
        <v>2</v>
      </c>
      <c r="M4325" s="7">
        <f t="shared" si="268"/>
        <v>8158</v>
      </c>
      <c r="N4325" s="7">
        <f t="shared" si="269"/>
        <v>8886</v>
      </c>
      <c r="O4325" s="2">
        <v>76</v>
      </c>
      <c r="P4325" s="8">
        <f t="shared" si="270"/>
        <v>8962</v>
      </c>
      <c r="Q4325" s="8">
        <f t="shared" si="271"/>
        <v>8810</v>
      </c>
      <c r="R4325" s="2" t="s">
        <v>28</v>
      </c>
      <c r="S4325" s="9">
        <f>VLOOKUP(P4325,$T$2:U4322,2,1)</f>
        <v>0.05</v>
      </c>
    </row>
    <row r="4326" spans="1:19" x14ac:dyDescent="0.25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e">
        <f>VLOOKUP(F4326,'Customer Info'!A4318:I4817,2,0)</f>
        <v>#N/A</v>
      </c>
      <c r="H4326" s="6" t="e">
        <f>VLOOKUP(F4326,'Customer Info'!A4318:I4817,3,0)</f>
        <v>#N/A</v>
      </c>
      <c r="I4326" s="6" t="e">
        <f>VLOOKUP(F4326,'Customer Info'!A4318:I4817,5,0)</f>
        <v>#N/A</v>
      </c>
      <c r="J4326" s="2">
        <v>445</v>
      </c>
      <c r="K4326" s="2">
        <v>415</v>
      </c>
      <c r="L4326" s="2">
        <v>4</v>
      </c>
      <c r="M4326" s="7">
        <f t="shared" si="268"/>
        <v>1660</v>
      </c>
      <c r="N4326" s="7">
        <f t="shared" si="269"/>
        <v>1780</v>
      </c>
      <c r="O4326" s="2">
        <v>48</v>
      </c>
      <c r="P4326" s="8">
        <f t="shared" si="270"/>
        <v>1828</v>
      </c>
      <c r="Q4326" s="8">
        <f t="shared" si="271"/>
        <v>1732</v>
      </c>
      <c r="R4326" s="2" t="s">
        <v>26</v>
      </c>
      <c r="S4326" s="9">
        <f>VLOOKUP(P4326,$T$2:U4323,2,1)</f>
        <v>0.02</v>
      </c>
    </row>
    <row r="4327" spans="1:19" x14ac:dyDescent="0.25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e">
        <f>VLOOKUP(F4327,'Customer Info'!A4319:I4818,2,0)</f>
        <v>#N/A</v>
      </c>
      <c r="H4327" s="6" t="e">
        <f>VLOOKUP(F4327,'Customer Info'!A4319:I4818,3,0)</f>
        <v>#N/A</v>
      </c>
      <c r="I4327" s="6" t="e">
        <f>VLOOKUP(F4327,'Customer Info'!A4319:I4818,5,0)</f>
        <v>#N/A</v>
      </c>
      <c r="J4327" s="2">
        <v>4904</v>
      </c>
      <c r="K4327" s="2">
        <v>4499</v>
      </c>
      <c r="L4327" s="2">
        <v>2</v>
      </c>
      <c r="M4327" s="7">
        <f t="shared" si="268"/>
        <v>8998</v>
      </c>
      <c r="N4327" s="7">
        <f t="shared" si="269"/>
        <v>9808</v>
      </c>
      <c r="O4327" s="2">
        <v>74</v>
      </c>
      <c r="P4327" s="8">
        <f t="shared" si="270"/>
        <v>9882</v>
      </c>
      <c r="Q4327" s="8">
        <f t="shared" si="271"/>
        <v>9734</v>
      </c>
      <c r="R4327" s="2" t="s">
        <v>50</v>
      </c>
      <c r="S4327" s="9">
        <f>VLOOKUP(P4327,$T$2:U4324,2,1)</f>
        <v>0.05</v>
      </c>
    </row>
    <row r="4328" spans="1:19" x14ac:dyDescent="0.25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e">
        <f>VLOOKUP(F4328,'Customer Info'!A4320:I4819,2,0)</f>
        <v>#N/A</v>
      </c>
      <c r="H4328" s="6" t="e">
        <f>VLOOKUP(F4328,'Customer Info'!A4320:I4819,3,0)</f>
        <v>#N/A</v>
      </c>
      <c r="I4328" s="6" t="e">
        <f>VLOOKUP(F4328,'Customer Info'!A4320:I4819,5,0)</f>
        <v>#N/A</v>
      </c>
      <c r="J4328" s="2">
        <v>1721</v>
      </c>
      <c r="K4328" s="2">
        <v>1640</v>
      </c>
      <c r="L4328" s="2">
        <v>3</v>
      </c>
      <c r="M4328" s="7">
        <f t="shared" si="268"/>
        <v>4920</v>
      </c>
      <c r="N4328" s="7">
        <f t="shared" si="269"/>
        <v>5163</v>
      </c>
      <c r="O4328" s="2">
        <v>81</v>
      </c>
      <c r="P4328" s="8">
        <f t="shared" si="270"/>
        <v>5244</v>
      </c>
      <c r="Q4328" s="8">
        <f t="shared" si="271"/>
        <v>5082</v>
      </c>
      <c r="R4328" s="2" t="s">
        <v>28</v>
      </c>
      <c r="S4328" s="9">
        <f>VLOOKUP(P4328,$T$2:U4325,2,1)</f>
        <v>0.05</v>
      </c>
    </row>
    <row r="4329" spans="1:19" x14ac:dyDescent="0.25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e">
        <f>VLOOKUP(F4329,'Customer Info'!A4321:I4820,2,0)</f>
        <v>#N/A</v>
      </c>
      <c r="H4329" s="6" t="e">
        <f>VLOOKUP(F4329,'Customer Info'!A4321:I4820,3,0)</f>
        <v>#N/A</v>
      </c>
      <c r="I4329" s="6" t="e">
        <f>VLOOKUP(F4329,'Customer Info'!A4321:I4820,5,0)</f>
        <v>#N/A</v>
      </c>
      <c r="J4329" s="2">
        <v>825</v>
      </c>
      <c r="K4329" s="2">
        <v>793</v>
      </c>
      <c r="L4329" s="2">
        <v>4</v>
      </c>
      <c r="M4329" s="7">
        <f t="shared" si="268"/>
        <v>3172</v>
      </c>
      <c r="N4329" s="7">
        <f t="shared" si="269"/>
        <v>3300</v>
      </c>
      <c r="O4329" s="2">
        <v>45</v>
      </c>
      <c r="P4329" s="8">
        <f t="shared" si="270"/>
        <v>3345</v>
      </c>
      <c r="Q4329" s="8">
        <f t="shared" si="271"/>
        <v>3255</v>
      </c>
      <c r="R4329" s="2" t="s">
        <v>28</v>
      </c>
      <c r="S4329" s="9">
        <f>VLOOKUP(P4329,$T$2:U4326,2,1)</f>
        <v>0.02</v>
      </c>
    </row>
    <row r="4330" spans="1:19" x14ac:dyDescent="0.25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e">
        <f>VLOOKUP(F4330,'Customer Info'!A4322:I4821,2,0)</f>
        <v>#N/A</v>
      </c>
      <c r="H4330" s="6" t="e">
        <f>VLOOKUP(F4330,'Customer Info'!A4322:I4821,3,0)</f>
        <v>#N/A</v>
      </c>
      <c r="I4330" s="6" t="e">
        <f>VLOOKUP(F4330,'Customer Info'!A4322:I4821,5,0)</f>
        <v>#N/A</v>
      </c>
      <c r="J4330" s="2">
        <v>56</v>
      </c>
      <c r="K4330" s="2">
        <v>54</v>
      </c>
      <c r="L4330" s="2">
        <v>1</v>
      </c>
      <c r="M4330" s="7">
        <f t="shared" si="268"/>
        <v>54</v>
      </c>
      <c r="N4330" s="7">
        <f t="shared" si="269"/>
        <v>56</v>
      </c>
      <c r="O4330" s="2">
        <v>10</v>
      </c>
      <c r="P4330" s="8">
        <f t="shared" si="270"/>
        <v>66</v>
      </c>
      <c r="Q4330" s="8">
        <f t="shared" si="271"/>
        <v>46</v>
      </c>
      <c r="R4330" s="2" t="s">
        <v>26</v>
      </c>
      <c r="S4330" s="9">
        <f>VLOOKUP(P4330,$T$2:U4327,2,1)</f>
        <v>0.02</v>
      </c>
    </row>
    <row r="4331" spans="1:19" x14ac:dyDescent="0.25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e">
        <f>VLOOKUP(F4331,'Customer Info'!A4323:I4822,2,0)</f>
        <v>#N/A</v>
      </c>
      <c r="H4331" s="6" t="e">
        <f>VLOOKUP(F4331,'Customer Info'!A4323:I4822,3,0)</f>
        <v>#N/A</v>
      </c>
      <c r="I4331" s="6" t="e">
        <f>VLOOKUP(F4331,'Customer Info'!A4323:I4822,5,0)</f>
        <v>#N/A</v>
      </c>
      <c r="J4331" s="2">
        <v>173</v>
      </c>
      <c r="K4331" s="2">
        <v>155</v>
      </c>
      <c r="L4331" s="2">
        <v>2</v>
      </c>
      <c r="M4331" s="7">
        <f t="shared" si="268"/>
        <v>310</v>
      </c>
      <c r="N4331" s="7">
        <f t="shared" si="269"/>
        <v>346</v>
      </c>
      <c r="O4331" s="2">
        <v>30</v>
      </c>
      <c r="P4331" s="8">
        <f t="shared" si="270"/>
        <v>376</v>
      </c>
      <c r="Q4331" s="8">
        <f t="shared" si="271"/>
        <v>316</v>
      </c>
      <c r="R4331" s="2" t="s">
        <v>56</v>
      </c>
      <c r="S4331" s="9">
        <f>VLOOKUP(P4331,$T$2:U4328,2,1)</f>
        <v>0.02</v>
      </c>
    </row>
    <row r="4332" spans="1:19" x14ac:dyDescent="0.25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e">
        <f>VLOOKUP(F4332,'Customer Info'!A4324:I4823,2,0)</f>
        <v>#N/A</v>
      </c>
      <c r="H4332" s="6" t="e">
        <f>VLOOKUP(F4332,'Customer Info'!A4324:I4823,3,0)</f>
        <v>#N/A</v>
      </c>
      <c r="I4332" s="6" t="e">
        <f>VLOOKUP(F4332,'Customer Info'!A4324:I4823,5,0)</f>
        <v>#N/A</v>
      </c>
      <c r="J4332" s="2">
        <v>8738</v>
      </c>
      <c r="K4332" s="2">
        <v>8162</v>
      </c>
      <c r="L4332" s="2">
        <v>1</v>
      </c>
      <c r="M4332" s="7">
        <f t="shared" si="268"/>
        <v>8162</v>
      </c>
      <c r="N4332" s="7">
        <f t="shared" si="269"/>
        <v>8738</v>
      </c>
      <c r="O4332" s="2">
        <v>41</v>
      </c>
      <c r="P4332" s="8">
        <f t="shared" si="270"/>
        <v>8779</v>
      </c>
      <c r="Q4332" s="8">
        <f t="shared" si="271"/>
        <v>8697</v>
      </c>
      <c r="R4332" s="2" t="s">
        <v>26</v>
      </c>
      <c r="S4332" s="9">
        <f>VLOOKUP(P4332,$T$2:U4329,2,1)</f>
        <v>0.05</v>
      </c>
    </row>
    <row r="4333" spans="1:19" x14ac:dyDescent="0.25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e">
        <f>VLOOKUP(F4333,'Customer Info'!A4325:I4824,2,0)</f>
        <v>#N/A</v>
      </c>
      <c r="H4333" s="6" t="e">
        <f>VLOOKUP(F4333,'Customer Info'!A4325:I4824,3,0)</f>
        <v>#N/A</v>
      </c>
      <c r="I4333" s="6" t="e">
        <f>VLOOKUP(F4333,'Customer Info'!A4325:I4824,5,0)</f>
        <v>#N/A</v>
      </c>
      <c r="J4333" s="2">
        <v>671</v>
      </c>
      <c r="K4333" s="2">
        <v>627</v>
      </c>
      <c r="L4333" s="2">
        <v>2</v>
      </c>
      <c r="M4333" s="7">
        <f t="shared" si="268"/>
        <v>1254</v>
      </c>
      <c r="N4333" s="7">
        <f t="shared" si="269"/>
        <v>1342</v>
      </c>
      <c r="O4333" s="2">
        <v>28</v>
      </c>
      <c r="P4333" s="8">
        <f t="shared" si="270"/>
        <v>1370</v>
      </c>
      <c r="Q4333" s="8">
        <f t="shared" si="271"/>
        <v>1314</v>
      </c>
      <c r="R4333" s="2" t="s">
        <v>28</v>
      </c>
      <c r="S4333" s="9">
        <f>VLOOKUP(P4333,$T$2:U4330,2,1)</f>
        <v>0.02</v>
      </c>
    </row>
    <row r="4334" spans="1:19" x14ac:dyDescent="0.25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e">
        <f>VLOOKUP(F4334,'Customer Info'!A4326:I4825,2,0)</f>
        <v>#N/A</v>
      </c>
      <c r="H4334" s="6" t="e">
        <f>VLOOKUP(F4334,'Customer Info'!A4326:I4825,3,0)</f>
        <v>#N/A</v>
      </c>
      <c r="I4334" s="6" t="e">
        <f>VLOOKUP(F4334,'Customer Info'!A4326:I4825,5,0)</f>
        <v>#N/A</v>
      </c>
      <c r="J4334" s="2">
        <v>1017</v>
      </c>
      <c r="K4334" s="2">
        <v>950</v>
      </c>
      <c r="L4334" s="2">
        <v>9</v>
      </c>
      <c r="M4334" s="7">
        <f t="shared" si="268"/>
        <v>8550</v>
      </c>
      <c r="N4334" s="7">
        <f t="shared" si="269"/>
        <v>9153</v>
      </c>
      <c r="O4334" s="2">
        <v>47</v>
      </c>
      <c r="P4334" s="8">
        <f t="shared" si="270"/>
        <v>9200</v>
      </c>
      <c r="Q4334" s="8">
        <f t="shared" si="271"/>
        <v>9106</v>
      </c>
      <c r="R4334" s="2" t="s">
        <v>28</v>
      </c>
      <c r="S4334" s="9">
        <f>VLOOKUP(P4334,$T$2:U4331,2,1)</f>
        <v>0.05</v>
      </c>
    </row>
    <row r="4335" spans="1:19" x14ac:dyDescent="0.25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e">
        <f>VLOOKUP(F4335,'Customer Info'!A4327:I4826,2,0)</f>
        <v>#N/A</v>
      </c>
      <c r="H4335" s="6" t="e">
        <f>VLOOKUP(F4335,'Customer Info'!A4327:I4826,3,0)</f>
        <v>#N/A</v>
      </c>
      <c r="I4335" s="6" t="e">
        <f>VLOOKUP(F4335,'Customer Info'!A4327:I4826,5,0)</f>
        <v>#N/A</v>
      </c>
      <c r="J4335" s="2">
        <v>2778</v>
      </c>
      <c r="K4335" s="2">
        <v>2573</v>
      </c>
      <c r="L4335" s="2">
        <v>5</v>
      </c>
      <c r="M4335" s="7">
        <f t="shared" si="268"/>
        <v>12865</v>
      </c>
      <c r="N4335" s="7">
        <f t="shared" si="269"/>
        <v>13890</v>
      </c>
      <c r="O4335" s="2">
        <v>59</v>
      </c>
      <c r="P4335" s="8">
        <f t="shared" si="270"/>
        <v>13949</v>
      </c>
      <c r="Q4335" s="8">
        <f t="shared" si="271"/>
        <v>13831</v>
      </c>
      <c r="R4335" s="2" t="s">
        <v>28</v>
      </c>
      <c r="S4335" s="9">
        <f>VLOOKUP(P4335,$T$2:U4332,2,1)</f>
        <v>0.05</v>
      </c>
    </row>
    <row r="4336" spans="1:19" x14ac:dyDescent="0.25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e">
        <f>VLOOKUP(F4336,'Customer Info'!A4328:I4827,2,0)</f>
        <v>#N/A</v>
      </c>
      <c r="H4336" s="6" t="e">
        <f>VLOOKUP(F4336,'Customer Info'!A4328:I4827,3,0)</f>
        <v>#N/A</v>
      </c>
      <c r="I4336" s="6" t="e">
        <f>VLOOKUP(F4336,'Customer Info'!A4328:I4827,5,0)</f>
        <v>#N/A</v>
      </c>
      <c r="J4336" s="2">
        <v>681</v>
      </c>
      <c r="K4336" s="2">
        <v>642</v>
      </c>
      <c r="L4336" s="2">
        <v>4</v>
      </c>
      <c r="M4336" s="7">
        <f t="shared" si="268"/>
        <v>2568</v>
      </c>
      <c r="N4336" s="7">
        <f t="shared" si="269"/>
        <v>2724</v>
      </c>
      <c r="O4336" s="2">
        <v>89</v>
      </c>
      <c r="P4336" s="8">
        <f t="shared" si="270"/>
        <v>2813</v>
      </c>
      <c r="Q4336" s="8">
        <f t="shared" si="271"/>
        <v>2635</v>
      </c>
      <c r="R4336" s="2" t="s">
        <v>28</v>
      </c>
      <c r="S4336" s="9">
        <f>VLOOKUP(P4336,$T$2:U4333,2,1)</f>
        <v>0.02</v>
      </c>
    </row>
    <row r="4337" spans="1:19" x14ac:dyDescent="0.25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e">
        <f>VLOOKUP(F4337,'Customer Info'!A4329:I4828,2,0)</f>
        <v>#N/A</v>
      </c>
      <c r="H4337" s="6" t="e">
        <f>VLOOKUP(F4337,'Customer Info'!A4329:I4828,3,0)</f>
        <v>#N/A</v>
      </c>
      <c r="I4337" s="6" t="e">
        <f>VLOOKUP(F4337,'Customer Info'!A4329:I4828,5,0)</f>
        <v>#N/A</v>
      </c>
      <c r="J4337" s="2">
        <v>729</v>
      </c>
      <c r="K4337" s="2">
        <v>689</v>
      </c>
      <c r="L4337" s="2">
        <v>3</v>
      </c>
      <c r="M4337" s="7">
        <f t="shared" si="268"/>
        <v>2067</v>
      </c>
      <c r="N4337" s="7">
        <f t="shared" si="269"/>
        <v>2187</v>
      </c>
      <c r="O4337" s="2">
        <v>37</v>
      </c>
      <c r="P4337" s="8">
        <f t="shared" si="270"/>
        <v>2224</v>
      </c>
      <c r="Q4337" s="8">
        <f t="shared" si="271"/>
        <v>2150</v>
      </c>
      <c r="R4337" s="2" t="s">
        <v>50</v>
      </c>
      <c r="S4337" s="9">
        <f>VLOOKUP(P4337,$T$2:U4334,2,1)</f>
        <v>0.02</v>
      </c>
    </row>
    <row r="4338" spans="1:19" x14ac:dyDescent="0.25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e">
        <f>VLOOKUP(F4338,'Customer Info'!A4330:I4829,2,0)</f>
        <v>#N/A</v>
      </c>
      <c r="H4338" s="6" t="e">
        <f>VLOOKUP(F4338,'Customer Info'!A4330:I4829,3,0)</f>
        <v>#N/A</v>
      </c>
      <c r="I4338" s="6" t="e">
        <f>VLOOKUP(F4338,'Customer Info'!A4330:I4829,5,0)</f>
        <v>#N/A</v>
      </c>
      <c r="J4338" s="2">
        <v>3341</v>
      </c>
      <c r="K4338" s="2">
        <v>3152</v>
      </c>
      <c r="L4338" s="2">
        <v>4</v>
      </c>
      <c r="M4338" s="7">
        <f t="shared" si="268"/>
        <v>12608</v>
      </c>
      <c r="N4338" s="7">
        <f t="shared" si="269"/>
        <v>13364</v>
      </c>
      <c r="O4338" s="2">
        <v>20</v>
      </c>
      <c r="P4338" s="8">
        <f t="shared" si="270"/>
        <v>13384</v>
      </c>
      <c r="Q4338" s="8">
        <f t="shared" si="271"/>
        <v>13344</v>
      </c>
      <c r="R4338" s="2" t="s">
        <v>28</v>
      </c>
      <c r="S4338" s="9">
        <f>VLOOKUP(P4338,$T$2:U4335,2,1)</f>
        <v>0.05</v>
      </c>
    </row>
    <row r="4339" spans="1:19" x14ac:dyDescent="0.25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e">
        <f>VLOOKUP(F4339,'Customer Info'!A4331:I4830,2,0)</f>
        <v>#N/A</v>
      </c>
      <c r="H4339" s="6" t="e">
        <f>VLOOKUP(F4339,'Customer Info'!A4331:I4830,3,0)</f>
        <v>#N/A</v>
      </c>
      <c r="I4339" s="6" t="e">
        <f>VLOOKUP(F4339,'Customer Info'!A4331:I4830,5,0)</f>
        <v>#N/A</v>
      </c>
      <c r="J4339" s="2">
        <v>4246</v>
      </c>
      <c r="K4339" s="2">
        <v>3857</v>
      </c>
      <c r="L4339" s="2">
        <v>3</v>
      </c>
      <c r="M4339" s="7">
        <f t="shared" si="268"/>
        <v>11571</v>
      </c>
      <c r="N4339" s="7">
        <f t="shared" si="269"/>
        <v>12738</v>
      </c>
      <c r="O4339" s="2">
        <v>48</v>
      </c>
      <c r="P4339" s="8">
        <f t="shared" si="270"/>
        <v>12786</v>
      </c>
      <c r="Q4339" s="8">
        <f t="shared" si="271"/>
        <v>12690</v>
      </c>
      <c r="R4339" s="2" t="s">
        <v>28</v>
      </c>
      <c r="S4339" s="9">
        <f>VLOOKUP(P4339,$T$2:U4336,2,1)</f>
        <v>0.05</v>
      </c>
    </row>
    <row r="4340" spans="1:19" x14ac:dyDescent="0.25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e">
        <f>VLOOKUP(F4340,'Customer Info'!A4332:I4831,2,0)</f>
        <v>#N/A</v>
      </c>
      <c r="H4340" s="6" t="e">
        <f>VLOOKUP(F4340,'Customer Info'!A4332:I4831,3,0)</f>
        <v>#N/A</v>
      </c>
      <c r="I4340" s="6" t="e">
        <f>VLOOKUP(F4340,'Customer Info'!A4332:I4831,5,0)</f>
        <v>#N/A</v>
      </c>
      <c r="J4340" s="2">
        <v>222</v>
      </c>
      <c r="K4340" s="2">
        <v>204</v>
      </c>
      <c r="L4340" s="2">
        <v>3</v>
      </c>
      <c r="M4340" s="7">
        <f t="shared" si="268"/>
        <v>612</v>
      </c>
      <c r="N4340" s="7">
        <f t="shared" si="269"/>
        <v>666</v>
      </c>
      <c r="O4340" s="2">
        <v>68</v>
      </c>
      <c r="P4340" s="8">
        <f t="shared" si="270"/>
        <v>734</v>
      </c>
      <c r="Q4340" s="8">
        <f t="shared" si="271"/>
        <v>598</v>
      </c>
      <c r="R4340" s="2" t="s">
        <v>26</v>
      </c>
      <c r="S4340" s="9">
        <f>VLOOKUP(P4340,$T$2:U4337,2,1)</f>
        <v>0.02</v>
      </c>
    </row>
    <row r="4341" spans="1:19" x14ac:dyDescent="0.25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e">
        <f>VLOOKUP(F4341,'Customer Info'!A4333:I4832,2,0)</f>
        <v>#N/A</v>
      </c>
      <c r="H4341" s="6" t="e">
        <f>VLOOKUP(F4341,'Customer Info'!A4333:I4832,3,0)</f>
        <v>#N/A</v>
      </c>
      <c r="I4341" s="6" t="e">
        <f>VLOOKUP(F4341,'Customer Info'!A4333:I4832,5,0)</f>
        <v>#N/A</v>
      </c>
      <c r="J4341" s="2">
        <v>185</v>
      </c>
      <c r="K4341" s="2">
        <v>171</v>
      </c>
      <c r="L4341" s="2">
        <v>2</v>
      </c>
      <c r="M4341" s="7">
        <f t="shared" si="268"/>
        <v>342</v>
      </c>
      <c r="N4341" s="7">
        <f t="shared" si="269"/>
        <v>370</v>
      </c>
      <c r="O4341" s="2">
        <v>30</v>
      </c>
      <c r="P4341" s="8">
        <f t="shared" si="270"/>
        <v>400</v>
      </c>
      <c r="Q4341" s="8">
        <f t="shared" si="271"/>
        <v>340</v>
      </c>
      <c r="R4341" s="2" t="s">
        <v>28</v>
      </c>
      <c r="S4341" s="9">
        <f>VLOOKUP(P4341,$T$2:U4338,2,1)</f>
        <v>0.02</v>
      </c>
    </row>
    <row r="4342" spans="1:19" x14ac:dyDescent="0.25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e">
        <f>VLOOKUP(F4342,'Customer Info'!A4334:I4833,2,0)</f>
        <v>#N/A</v>
      </c>
      <c r="H4342" s="6" t="e">
        <f>VLOOKUP(F4342,'Customer Info'!A4334:I4833,3,0)</f>
        <v>#N/A</v>
      </c>
      <c r="I4342" s="6" t="e">
        <f>VLOOKUP(F4342,'Customer Info'!A4334:I4833,5,0)</f>
        <v>#N/A</v>
      </c>
      <c r="J4342" s="2">
        <v>954</v>
      </c>
      <c r="K4342" s="2">
        <v>901</v>
      </c>
      <c r="L4342" s="2">
        <v>1</v>
      </c>
      <c r="M4342" s="7">
        <f t="shared" si="268"/>
        <v>901</v>
      </c>
      <c r="N4342" s="7">
        <f t="shared" si="269"/>
        <v>954</v>
      </c>
      <c r="O4342" s="2">
        <v>94</v>
      </c>
      <c r="P4342" s="8">
        <f t="shared" si="270"/>
        <v>1048</v>
      </c>
      <c r="Q4342" s="8">
        <f t="shared" si="271"/>
        <v>860</v>
      </c>
      <c r="R4342" s="2" t="s">
        <v>28</v>
      </c>
      <c r="S4342" s="9">
        <f>VLOOKUP(P4342,$T$2:U4339,2,1)</f>
        <v>0.02</v>
      </c>
    </row>
    <row r="4343" spans="1:19" x14ac:dyDescent="0.25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e">
        <f>VLOOKUP(F4343,'Customer Info'!A4335:I4834,2,0)</f>
        <v>#N/A</v>
      </c>
      <c r="H4343" s="6" t="e">
        <f>VLOOKUP(F4343,'Customer Info'!A4335:I4834,3,0)</f>
        <v>#N/A</v>
      </c>
      <c r="I4343" s="6" t="e">
        <f>VLOOKUP(F4343,'Customer Info'!A4335:I4834,5,0)</f>
        <v>#N/A</v>
      </c>
      <c r="J4343" s="2">
        <v>123</v>
      </c>
      <c r="K4343" s="2">
        <v>115</v>
      </c>
      <c r="L4343" s="2">
        <v>5</v>
      </c>
      <c r="M4343" s="7">
        <f t="shared" si="268"/>
        <v>575</v>
      </c>
      <c r="N4343" s="7">
        <f t="shared" si="269"/>
        <v>615</v>
      </c>
      <c r="O4343" s="2">
        <v>30</v>
      </c>
      <c r="P4343" s="8">
        <f t="shared" si="270"/>
        <v>645</v>
      </c>
      <c r="Q4343" s="8">
        <f t="shared" si="271"/>
        <v>585</v>
      </c>
      <c r="R4343" s="2" t="s">
        <v>28</v>
      </c>
      <c r="S4343" s="9">
        <f>VLOOKUP(P4343,$T$2:U4340,2,1)</f>
        <v>0.02</v>
      </c>
    </row>
    <row r="4344" spans="1:19" x14ac:dyDescent="0.25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e">
        <f>VLOOKUP(F4344,'Customer Info'!A4336:I4835,2,0)</f>
        <v>#N/A</v>
      </c>
      <c r="H4344" s="6" t="e">
        <f>VLOOKUP(F4344,'Customer Info'!A4336:I4835,3,0)</f>
        <v>#N/A</v>
      </c>
      <c r="I4344" s="6" t="e">
        <f>VLOOKUP(F4344,'Customer Info'!A4336:I4835,5,0)</f>
        <v>#N/A</v>
      </c>
      <c r="J4344" s="2">
        <v>458</v>
      </c>
      <c r="K4344" s="2">
        <v>419</v>
      </c>
      <c r="L4344" s="2">
        <v>2</v>
      </c>
      <c r="M4344" s="7">
        <f t="shared" si="268"/>
        <v>838</v>
      </c>
      <c r="N4344" s="7">
        <f t="shared" si="269"/>
        <v>916</v>
      </c>
      <c r="O4344" s="2">
        <v>27</v>
      </c>
      <c r="P4344" s="8">
        <f t="shared" si="270"/>
        <v>943</v>
      </c>
      <c r="Q4344" s="8">
        <f t="shared" si="271"/>
        <v>889</v>
      </c>
      <c r="R4344" s="2" t="s">
        <v>50</v>
      </c>
      <c r="S4344" s="9">
        <f>VLOOKUP(P4344,$T$2:U4341,2,1)</f>
        <v>0.02</v>
      </c>
    </row>
    <row r="4345" spans="1:19" x14ac:dyDescent="0.25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e">
        <f>VLOOKUP(F4345,'Customer Info'!A4337:I4836,2,0)</f>
        <v>#N/A</v>
      </c>
      <c r="H4345" s="6" t="e">
        <f>VLOOKUP(F4345,'Customer Info'!A4337:I4836,3,0)</f>
        <v>#N/A</v>
      </c>
      <c r="I4345" s="6" t="e">
        <f>VLOOKUP(F4345,'Customer Info'!A4337:I4836,5,0)</f>
        <v>#N/A</v>
      </c>
      <c r="J4345" s="2">
        <v>8878</v>
      </c>
      <c r="K4345" s="2">
        <v>7914</v>
      </c>
      <c r="L4345" s="2">
        <v>1</v>
      </c>
      <c r="M4345" s="7">
        <f t="shared" si="268"/>
        <v>7914</v>
      </c>
      <c r="N4345" s="7">
        <f t="shared" si="269"/>
        <v>8878</v>
      </c>
      <c r="O4345" s="2">
        <v>23</v>
      </c>
      <c r="P4345" s="8">
        <f t="shared" si="270"/>
        <v>8901</v>
      </c>
      <c r="Q4345" s="8">
        <f t="shared" si="271"/>
        <v>8855</v>
      </c>
      <c r="R4345" s="2" t="s">
        <v>28</v>
      </c>
      <c r="S4345" s="9">
        <f>VLOOKUP(P4345,$T$2:U4342,2,1)</f>
        <v>0.05</v>
      </c>
    </row>
    <row r="4346" spans="1:19" x14ac:dyDescent="0.25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e">
        <f>VLOOKUP(F4346,'Customer Info'!A4338:I4837,2,0)</f>
        <v>#N/A</v>
      </c>
      <c r="H4346" s="6" t="e">
        <f>VLOOKUP(F4346,'Customer Info'!A4338:I4837,3,0)</f>
        <v>#N/A</v>
      </c>
      <c r="I4346" s="6" t="e">
        <f>VLOOKUP(F4346,'Customer Info'!A4338:I4837,5,0)</f>
        <v>#N/A</v>
      </c>
      <c r="J4346" s="2">
        <v>1925</v>
      </c>
      <c r="K4346" s="2">
        <v>1834</v>
      </c>
      <c r="L4346" s="2">
        <v>3</v>
      </c>
      <c r="M4346" s="7">
        <f t="shared" si="268"/>
        <v>5502</v>
      </c>
      <c r="N4346" s="7">
        <f t="shared" si="269"/>
        <v>5775</v>
      </c>
      <c r="O4346" s="2">
        <v>66</v>
      </c>
      <c r="P4346" s="8">
        <f t="shared" si="270"/>
        <v>5841</v>
      </c>
      <c r="Q4346" s="8">
        <f t="shared" si="271"/>
        <v>5709</v>
      </c>
      <c r="R4346" s="2" t="s">
        <v>50</v>
      </c>
      <c r="S4346" s="9">
        <f>VLOOKUP(P4346,$T$2:U4343,2,1)</f>
        <v>0.05</v>
      </c>
    </row>
    <row r="4347" spans="1:19" x14ac:dyDescent="0.25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e">
        <f>VLOOKUP(F4347,'Customer Info'!A4339:I4838,2,0)</f>
        <v>#N/A</v>
      </c>
      <c r="H4347" s="6" t="e">
        <f>VLOOKUP(F4347,'Customer Info'!A4339:I4838,3,0)</f>
        <v>#N/A</v>
      </c>
      <c r="I4347" s="6" t="e">
        <f>VLOOKUP(F4347,'Customer Info'!A4339:I4838,5,0)</f>
        <v>#N/A</v>
      </c>
      <c r="J4347" s="2">
        <v>60</v>
      </c>
      <c r="K4347" s="2">
        <v>56</v>
      </c>
      <c r="L4347" s="2">
        <v>1</v>
      </c>
      <c r="M4347" s="7">
        <f t="shared" si="268"/>
        <v>56</v>
      </c>
      <c r="N4347" s="7">
        <f t="shared" si="269"/>
        <v>60</v>
      </c>
      <c r="O4347" s="2">
        <v>10</v>
      </c>
      <c r="P4347" s="8">
        <f t="shared" si="270"/>
        <v>70</v>
      </c>
      <c r="Q4347" s="8">
        <f t="shared" si="271"/>
        <v>50</v>
      </c>
      <c r="R4347" s="2" t="s">
        <v>50</v>
      </c>
      <c r="S4347" s="9">
        <f>VLOOKUP(P4347,$T$2:U4344,2,1)</f>
        <v>0.02</v>
      </c>
    </row>
    <row r="4348" spans="1:19" x14ac:dyDescent="0.25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e">
        <f>VLOOKUP(F4348,'Customer Info'!A4340:I4839,2,0)</f>
        <v>#N/A</v>
      </c>
      <c r="H4348" s="6" t="e">
        <f>VLOOKUP(F4348,'Customer Info'!A4340:I4839,3,0)</f>
        <v>#N/A</v>
      </c>
      <c r="I4348" s="6" t="e">
        <f>VLOOKUP(F4348,'Customer Info'!A4340:I4839,5,0)</f>
        <v>#N/A</v>
      </c>
      <c r="J4348" s="2">
        <v>2466</v>
      </c>
      <c r="K4348" s="2">
        <v>2327</v>
      </c>
      <c r="L4348" s="2">
        <v>3</v>
      </c>
      <c r="M4348" s="7">
        <f t="shared" si="268"/>
        <v>6981</v>
      </c>
      <c r="N4348" s="7">
        <f t="shared" si="269"/>
        <v>7398</v>
      </c>
      <c r="O4348" s="2">
        <v>28</v>
      </c>
      <c r="P4348" s="8">
        <f t="shared" si="270"/>
        <v>7426</v>
      </c>
      <c r="Q4348" s="8">
        <f t="shared" si="271"/>
        <v>7370</v>
      </c>
      <c r="R4348" s="2" t="s">
        <v>28</v>
      </c>
      <c r="S4348" s="9">
        <f>VLOOKUP(P4348,$T$2:U4345,2,1)</f>
        <v>0.05</v>
      </c>
    </row>
    <row r="4349" spans="1:19" x14ac:dyDescent="0.25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e">
        <f>VLOOKUP(F4349,'Customer Info'!A4341:I4840,2,0)</f>
        <v>#N/A</v>
      </c>
      <c r="H4349" s="6" t="e">
        <f>VLOOKUP(F4349,'Customer Info'!A4341:I4840,3,0)</f>
        <v>#N/A</v>
      </c>
      <c r="I4349" s="6" t="e">
        <f>VLOOKUP(F4349,'Customer Info'!A4341:I4840,5,0)</f>
        <v>#N/A</v>
      </c>
      <c r="J4349" s="2">
        <v>2177</v>
      </c>
      <c r="K4349" s="2">
        <v>2054</v>
      </c>
      <c r="L4349" s="2">
        <v>3</v>
      </c>
      <c r="M4349" s="7">
        <f t="shared" si="268"/>
        <v>6162</v>
      </c>
      <c r="N4349" s="7">
        <f t="shared" si="269"/>
        <v>6531</v>
      </c>
      <c r="O4349" s="2">
        <v>79</v>
      </c>
      <c r="P4349" s="8">
        <f t="shared" si="270"/>
        <v>6610</v>
      </c>
      <c r="Q4349" s="8">
        <f t="shared" si="271"/>
        <v>6452</v>
      </c>
      <c r="R4349" s="2" t="s">
        <v>28</v>
      </c>
      <c r="S4349" s="9">
        <f>VLOOKUP(P4349,$T$2:U4346,2,1)</f>
        <v>0.05</v>
      </c>
    </row>
    <row r="4350" spans="1:19" x14ac:dyDescent="0.25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e">
        <f>VLOOKUP(F4350,'Customer Info'!A4342:I4841,2,0)</f>
        <v>#N/A</v>
      </c>
      <c r="H4350" s="6" t="e">
        <f>VLOOKUP(F4350,'Customer Info'!A4342:I4841,3,0)</f>
        <v>#N/A</v>
      </c>
      <c r="I4350" s="6" t="e">
        <f>VLOOKUP(F4350,'Customer Info'!A4342:I4841,5,0)</f>
        <v>#N/A</v>
      </c>
      <c r="J4350" s="2">
        <v>171</v>
      </c>
      <c r="K4350" s="2">
        <v>153</v>
      </c>
      <c r="L4350" s="2">
        <v>6</v>
      </c>
      <c r="M4350" s="7">
        <f t="shared" si="268"/>
        <v>918</v>
      </c>
      <c r="N4350" s="7">
        <f t="shared" si="269"/>
        <v>1026</v>
      </c>
      <c r="O4350" s="2">
        <v>30</v>
      </c>
      <c r="P4350" s="8">
        <f t="shared" si="270"/>
        <v>1056</v>
      </c>
      <c r="Q4350" s="8">
        <f t="shared" si="271"/>
        <v>996</v>
      </c>
      <c r="R4350" s="2" t="s">
        <v>28</v>
      </c>
      <c r="S4350" s="9">
        <f>VLOOKUP(P4350,$T$2:U4347,2,1)</f>
        <v>0.02</v>
      </c>
    </row>
    <row r="4351" spans="1:19" x14ac:dyDescent="0.25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e">
        <f>VLOOKUP(F4351,'Customer Info'!A4343:I4842,2,0)</f>
        <v>#N/A</v>
      </c>
      <c r="H4351" s="6" t="e">
        <f>VLOOKUP(F4351,'Customer Info'!A4343:I4842,3,0)</f>
        <v>#N/A</v>
      </c>
      <c r="I4351" s="6" t="e">
        <f>VLOOKUP(F4351,'Customer Info'!A4343:I4842,5,0)</f>
        <v>#N/A</v>
      </c>
      <c r="J4351" s="2">
        <v>896</v>
      </c>
      <c r="K4351" s="2">
        <v>870</v>
      </c>
      <c r="L4351" s="2">
        <v>3</v>
      </c>
      <c r="M4351" s="7">
        <f t="shared" si="268"/>
        <v>2610</v>
      </c>
      <c r="N4351" s="7">
        <f t="shared" si="269"/>
        <v>2688</v>
      </c>
      <c r="O4351" s="2">
        <v>92</v>
      </c>
      <c r="P4351" s="8">
        <f t="shared" si="270"/>
        <v>2780</v>
      </c>
      <c r="Q4351" s="8">
        <f t="shared" si="271"/>
        <v>2596</v>
      </c>
      <c r="R4351" s="2" t="s">
        <v>50</v>
      </c>
      <c r="S4351" s="9">
        <f>VLOOKUP(P4351,$T$2:U4348,2,1)</f>
        <v>0.02</v>
      </c>
    </row>
    <row r="4352" spans="1:19" x14ac:dyDescent="0.25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e">
        <f>VLOOKUP(F4352,'Customer Info'!A4344:I4843,2,0)</f>
        <v>#N/A</v>
      </c>
      <c r="H4352" s="6" t="e">
        <f>VLOOKUP(F4352,'Customer Info'!A4344:I4843,3,0)</f>
        <v>#N/A</v>
      </c>
      <c r="I4352" s="6" t="e">
        <f>VLOOKUP(F4352,'Customer Info'!A4344:I4843,5,0)</f>
        <v>#N/A</v>
      </c>
      <c r="J4352" s="2">
        <v>6027</v>
      </c>
      <c r="K4352" s="2">
        <v>5694</v>
      </c>
      <c r="L4352" s="2">
        <v>1</v>
      </c>
      <c r="M4352" s="7">
        <f t="shared" si="268"/>
        <v>5694</v>
      </c>
      <c r="N4352" s="7">
        <f t="shared" si="269"/>
        <v>6027</v>
      </c>
      <c r="O4352" s="2">
        <v>41</v>
      </c>
      <c r="P4352" s="8">
        <f t="shared" si="270"/>
        <v>6068</v>
      </c>
      <c r="Q4352" s="8">
        <f t="shared" si="271"/>
        <v>5986</v>
      </c>
      <c r="R4352" s="2" t="s">
        <v>28</v>
      </c>
      <c r="S4352" s="9">
        <f>VLOOKUP(P4352,$T$2:U4349,2,1)</f>
        <v>0.05</v>
      </c>
    </row>
    <row r="4353" spans="1:19" x14ac:dyDescent="0.25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e">
        <f>VLOOKUP(F4353,'Customer Info'!A4345:I4844,2,0)</f>
        <v>#N/A</v>
      </c>
      <c r="H4353" s="6" t="e">
        <f>VLOOKUP(F4353,'Customer Info'!A4345:I4844,3,0)</f>
        <v>#N/A</v>
      </c>
      <c r="I4353" s="6" t="e">
        <f>VLOOKUP(F4353,'Customer Info'!A4345:I4844,5,0)</f>
        <v>#N/A</v>
      </c>
      <c r="J4353" s="2">
        <v>1654</v>
      </c>
      <c r="K4353" s="2">
        <v>1577</v>
      </c>
      <c r="L4353" s="2">
        <v>3</v>
      </c>
      <c r="M4353" s="7">
        <f t="shared" si="268"/>
        <v>4731</v>
      </c>
      <c r="N4353" s="7">
        <f t="shared" si="269"/>
        <v>4962</v>
      </c>
      <c r="O4353" s="2">
        <v>37</v>
      </c>
      <c r="P4353" s="8">
        <f t="shared" si="270"/>
        <v>4999</v>
      </c>
      <c r="Q4353" s="8">
        <f t="shared" si="271"/>
        <v>4925</v>
      </c>
      <c r="R4353" s="2" t="s">
        <v>28</v>
      </c>
      <c r="S4353" s="9">
        <f>VLOOKUP(P4353,$T$2:U4350,2,1)</f>
        <v>0.02</v>
      </c>
    </row>
    <row r="4354" spans="1:19" x14ac:dyDescent="0.25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e">
        <f>VLOOKUP(F4354,'Customer Info'!A4346:I4845,2,0)</f>
        <v>#N/A</v>
      </c>
      <c r="H4354" s="6" t="e">
        <f>VLOOKUP(F4354,'Customer Info'!A4346:I4845,3,0)</f>
        <v>#N/A</v>
      </c>
      <c r="I4354" s="6" t="e">
        <f>VLOOKUP(F4354,'Customer Info'!A4346:I4845,5,0)</f>
        <v>#N/A</v>
      </c>
      <c r="J4354" s="2">
        <v>3275</v>
      </c>
      <c r="K4354" s="2">
        <v>3090</v>
      </c>
      <c r="L4354" s="2">
        <v>10</v>
      </c>
      <c r="M4354" s="7">
        <f t="shared" si="268"/>
        <v>30900</v>
      </c>
      <c r="N4354" s="7">
        <f t="shared" si="269"/>
        <v>32750</v>
      </c>
      <c r="O4354" s="2">
        <v>82</v>
      </c>
      <c r="P4354" s="8">
        <f t="shared" si="270"/>
        <v>32832</v>
      </c>
      <c r="Q4354" s="8">
        <f t="shared" si="271"/>
        <v>32668</v>
      </c>
      <c r="R4354" s="2" t="s">
        <v>28</v>
      </c>
      <c r="S4354" s="9">
        <f>VLOOKUP(P4354,$T$2:U4351,2,1)</f>
        <v>7.0000000000000007E-2</v>
      </c>
    </row>
    <row r="4355" spans="1:19" x14ac:dyDescent="0.25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e">
        <f>VLOOKUP(F4355,'Customer Info'!A4347:I4846,2,0)</f>
        <v>#N/A</v>
      </c>
      <c r="H4355" s="6" t="e">
        <f>VLOOKUP(F4355,'Customer Info'!A4347:I4846,3,0)</f>
        <v>#N/A</v>
      </c>
      <c r="I4355" s="6" t="e">
        <f>VLOOKUP(F4355,'Customer Info'!A4347:I4846,5,0)</f>
        <v>#N/A</v>
      </c>
      <c r="J4355" s="2">
        <v>2644</v>
      </c>
      <c r="K4355" s="2">
        <v>2425</v>
      </c>
      <c r="L4355" s="2">
        <v>3</v>
      </c>
      <c r="M4355" s="7">
        <f t="shared" si="268"/>
        <v>7275</v>
      </c>
      <c r="N4355" s="7">
        <f t="shared" si="269"/>
        <v>7932</v>
      </c>
      <c r="O4355" s="2">
        <v>70</v>
      </c>
      <c r="P4355" s="8">
        <f t="shared" si="270"/>
        <v>8002</v>
      </c>
      <c r="Q4355" s="8">
        <f t="shared" si="271"/>
        <v>7862</v>
      </c>
      <c r="R4355" s="2" t="s">
        <v>28</v>
      </c>
      <c r="S4355" s="9">
        <f>VLOOKUP(P4355,$T$2:U4352,2,1)</f>
        <v>0.05</v>
      </c>
    </row>
    <row r="4356" spans="1:19" x14ac:dyDescent="0.25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e">
        <f>VLOOKUP(F4356,'Customer Info'!A4348:I4847,2,0)</f>
        <v>#N/A</v>
      </c>
      <c r="H4356" s="6" t="e">
        <f>VLOOKUP(F4356,'Customer Info'!A4348:I4847,3,0)</f>
        <v>#N/A</v>
      </c>
      <c r="I4356" s="6" t="e">
        <f>VLOOKUP(F4356,'Customer Info'!A4348:I4847,5,0)</f>
        <v>#N/A</v>
      </c>
      <c r="J4356" s="2">
        <v>7315</v>
      </c>
      <c r="K4356" s="2">
        <v>6967</v>
      </c>
      <c r="L4356" s="2">
        <v>2</v>
      </c>
      <c r="M4356" s="7">
        <f t="shared" si="268"/>
        <v>13934</v>
      </c>
      <c r="N4356" s="7">
        <f t="shared" si="269"/>
        <v>14630</v>
      </c>
      <c r="O4356" s="2">
        <v>100</v>
      </c>
      <c r="P4356" s="8">
        <f t="shared" si="270"/>
        <v>14730</v>
      </c>
      <c r="Q4356" s="8">
        <f t="shared" si="271"/>
        <v>14530</v>
      </c>
      <c r="R4356" s="2" t="s">
        <v>26</v>
      </c>
      <c r="S4356" s="9">
        <f>VLOOKUP(P4356,$T$2:U4353,2,1)</f>
        <v>0.05</v>
      </c>
    </row>
    <row r="4357" spans="1:19" x14ac:dyDescent="0.25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e">
        <f>VLOOKUP(F4357,'Customer Info'!A4349:I4848,2,0)</f>
        <v>#N/A</v>
      </c>
      <c r="H4357" s="6" t="e">
        <f>VLOOKUP(F4357,'Customer Info'!A4349:I4848,3,0)</f>
        <v>#N/A</v>
      </c>
      <c r="I4357" s="6" t="e">
        <f>VLOOKUP(F4357,'Customer Info'!A4349:I4848,5,0)</f>
        <v>#N/A</v>
      </c>
      <c r="J4357" s="2">
        <v>5906</v>
      </c>
      <c r="K4357" s="2">
        <v>5266</v>
      </c>
      <c r="L4357" s="2">
        <v>3</v>
      </c>
      <c r="M4357" s="7">
        <f t="shared" si="268"/>
        <v>15798</v>
      </c>
      <c r="N4357" s="7">
        <f t="shared" si="269"/>
        <v>17718</v>
      </c>
      <c r="O4357" s="2">
        <v>93</v>
      </c>
      <c r="P4357" s="8">
        <f t="shared" si="270"/>
        <v>17811</v>
      </c>
      <c r="Q4357" s="8">
        <f t="shared" si="271"/>
        <v>17625</v>
      </c>
      <c r="R4357" s="2" t="s">
        <v>50</v>
      </c>
      <c r="S4357" s="9">
        <f>VLOOKUP(P4357,$T$2:U4354,2,1)</f>
        <v>0.05</v>
      </c>
    </row>
    <row r="4358" spans="1:19" x14ac:dyDescent="0.25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e">
        <f>VLOOKUP(F4358,'Customer Info'!A4350:I4849,2,0)</f>
        <v>#N/A</v>
      </c>
      <c r="H4358" s="6" t="e">
        <f>VLOOKUP(F4358,'Customer Info'!A4350:I4849,3,0)</f>
        <v>#N/A</v>
      </c>
      <c r="I4358" s="6" t="e">
        <f>VLOOKUP(F4358,'Customer Info'!A4350:I4849,5,0)</f>
        <v>#N/A</v>
      </c>
      <c r="J4358" s="2">
        <v>8026</v>
      </c>
      <c r="K4358" s="2">
        <v>7572</v>
      </c>
      <c r="L4358" s="2">
        <v>2</v>
      </c>
      <c r="M4358" s="7">
        <f t="shared" si="268"/>
        <v>15144</v>
      </c>
      <c r="N4358" s="7">
        <f t="shared" si="269"/>
        <v>16052</v>
      </c>
      <c r="O4358" s="2">
        <v>61</v>
      </c>
      <c r="P4358" s="8">
        <f t="shared" si="270"/>
        <v>16113</v>
      </c>
      <c r="Q4358" s="8">
        <f t="shared" si="271"/>
        <v>15991</v>
      </c>
      <c r="R4358" s="2" t="s">
        <v>50</v>
      </c>
      <c r="S4358" s="9">
        <f>VLOOKUP(P4358,$T$2:U4355,2,1)</f>
        <v>0.05</v>
      </c>
    </row>
    <row r="4359" spans="1:19" x14ac:dyDescent="0.25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e">
        <f>VLOOKUP(F4359,'Customer Info'!A4351:I4850,2,0)</f>
        <v>#N/A</v>
      </c>
      <c r="H4359" s="6" t="e">
        <f>VLOOKUP(F4359,'Customer Info'!A4351:I4850,3,0)</f>
        <v>#N/A</v>
      </c>
      <c r="I4359" s="6" t="e">
        <f>VLOOKUP(F4359,'Customer Info'!A4351:I4850,5,0)</f>
        <v>#N/A</v>
      </c>
      <c r="J4359" s="2">
        <v>456</v>
      </c>
      <c r="K4359" s="2">
        <v>430</v>
      </c>
      <c r="L4359" s="2">
        <v>3</v>
      </c>
      <c r="M4359" s="7">
        <f t="shared" si="268"/>
        <v>1290</v>
      </c>
      <c r="N4359" s="7">
        <f t="shared" si="269"/>
        <v>1368</v>
      </c>
      <c r="O4359" s="2">
        <v>74</v>
      </c>
      <c r="P4359" s="8">
        <f t="shared" si="270"/>
        <v>1442</v>
      </c>
      <c r="Q4359" s="8">
        <f t="shared" si="271"/>
        <v>1294</v>
      </c>
      <c r="R4359" s="2" t="s">
        <v>50</v>
      </c>
      <c r="S4359" s="9">
        <f>VLOOKUP(P4359,$T$2:U4356,2,1)</f>
        <v>0.02</v>
      </c>
    </row>
    <row r="4360" spans="1:19" x14ac:dyDescent="0.25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e">
        <f>VLOOKUP(F4360,'Customer Info'!A4352:I4851,2,0)</f>
        <v>#N/A</v>
      </c>
      <c r="H4360" s="6" t="e">
        <f>VLOOKUP(F4360,'Customer Info'!A4352:I4851,3,0)</f>
        <v>#N/A</v>
      </c>
      <c r="I4360" s="6" t="e">
        <f>VLOOKUP(F4360,'Customer Info'!A4352:I4851,5,0)</f>
        <v>#N/A</v>
      </c>
      <c r="J4360" s="2">
        <v>69</v>
      </c>
      <c r="K4360" s="2">
        <v>63</v>
      </c>
      <c r="L4360" s="2">
        <v>4</v>
      </c>
      <c r="M4360" s="7">
        <f t="shared" si="268"/>
        <v>252</v>
      </c>
      <c r="N4360" s="7">
        <f t="shared" si="269"/>
        <v>276</v>
      </c>
      <c r="O4360" s="2">
        <v>10</v>
      </c>
      <c r="P4360" s="8">
        <f t="shared" si="270"/>
        <v>286</v>
      </c>
      <c r="Q4360" s="8">
        <f t="shared" si="271"/>
        <v>266</v>
      </c>
      <c r="R4360" s="2" t="s">
        <v>28</v>
      </c>
      <c r="S4360" s="9">
        <f>VLOOKUP(P4360,$T$2:U4357,2,1)</f>
        <v>0.02</v>
      </c>
    </row>
    <row r="4361" spans="1:19" x14ac:dyDescent="0.25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e">
        <f>VLOOKUP(F4361,'Customer Info'!A4353:I4852,2,0)</f>
        <v>#N/A</v>
      </c>
      <c r="H4361" s="6" t="e">
        <f>VLOOKUP(F4361,'Customer Info'!A4353:I4852,3,0)</f>
        <v>#N/A</v>
      </c>
      <c r="I4361" s="6" t="e">
        <f>VLOOKUP(F4361,'Customer Info'!A4353:I4852,5,0)</f>
        <v>#N/A</v>
      </c>
      <c r="J4361" s="2">
        <v>3256</v>
      </c>
      <c r="K4361" s="2">
        <v>2959</v>
      </c>
      <c r="L4361" s="2">
        <v>5</v>
      </c>
      <c r="M4361" s="7">
        <f t="shared" si="268"/>
        <v>14795</v>
      </c>
      <c r="N4361" s="7">
        <f t="shared" si="269"/>
        <v>16280</v>
      </c>
      <c r="O4361" s="2">
        <v>82</v>
      </c>
      <c r="P4361" s="8">
        <f t="shared" si="270"/>
        <v>16362</v>
      </c>
      <c r="Q4361" s="8">
        <f t="shared" si="271"/>
        <v>16198</v>
      </c>
      <c r="R4361" s="2" t="s">
        <v>50</v>
      </c>
      <c r="S4361" s="9">
        <f>VLOOKUP(P4361,$T$2:U4358,2,1)</f>
        <v>0.05</v>
      </c>
    </row>
    <row r="4362" spans="1:19" x14ac:dyDescent="0.25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e">
        <f>VLOOKUP(F4362,'Customer Info'!A4354:I4853,2,0)</f>
        <v>#N/A</v>
      </c>
      <c r="H4362" s="6" t="e">
        <f>VLOOKUP(F4362,'Customer Info'!A4354:I4853,3,0)</f>
        <v>#N/A</v>
      </c>
      <c r="I4362" s="6" t="e">
        <f>VLOOKUP(F4362,'Customer Info'!A4354:I4853,5,0)</f>
        <v>#N/A</v>
      </c>
      <c r="J4362" s="2">
        <v>1358</v>
      </c>
      <c r="K4362" s="2">
        <v>1270</v>
      </c>
      <c r="L4362" s="2">
        <v>3</v>
      </c>
      <c r="M4362" s="7">
        <f t="shared" si="268"/>
        <v>3810</v>
      </c>
      <c r="N4362" s="7">
        <f t="shared" si="269"/>
        <v>4074</v>
      </c>
      <c r="O4362" s="2">
        <v>23</v>
      </c>
      <c r="P4362" s="8">
        <f t="shared" si="270"/>
        <v>4097</v>
      </c>
      <c r="Q4362" s="8">
        <f t="shared" si="271"/>
        <v>4051</v>
      </c>
      <c r="R4362" s="2" t="s">
        <v>28</v>
      </c>
      <c r="S4362" s="9">
        <f>VLOOKUP(P4362,$T$2:U4359,2,1)</f>
        <v>0.02</v>
      </c>
    </row>
    <row r="4363" spans="1:19" x14ac:dyDescent="0.25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e">
        <f>VLOOKUP(F4363,'Customer Info'!A4355:I4854,2,0)</f>
        <v>#N/A</v>
      </c>
      <c r="H4363" s="6" t="e">
        <f>VLOOKUP(F4363,'Customer Info'!A4355:I4854,3,0)</f>
        <v>#N/A</v>
      </c>
      <c r="I4363" s="6" t="e">
        <f>VLOOKUP(F4363,'Customer Info'!A4355:I4854,5,0)</f>
        <v>#N/A</v>
      </c>
      <c r="J4363" s="2">
        <v>8967</v>
      </c>
      <c r="K4363" s="2">
        <v>8151</v>
      </c>
      <c r="L4363" s="2">
        <v>2</v>
      </c>
      <c r="M4363" s="7">
        <f t="shared" ref="M4363:M4426" si="272">K4363*L4363</f>
        <v>16302</v>
      </c>
      <c r="N4363" s="7">
        <f t="shared" ref="N4363:N4426" si="273">J4363*L4363</f>
        <v>17934</v>
      </c>
      <c r="O4363" s="2">
        <v>88</v>
      </c>
      <c r="P4363" s="8">
        <f t="shared" ref="P4363:P4426" si="274">SUM(N4363,O4363)</f>
        <v>18022</v>
      </c>
      <c r="Q4363" s="8">
        <f t="shared" ref="Q4363:Q4426" si="275">N4363-O4363</f>
        <v>17846</v>
      </c>
      <c r="R4363" s="2" t="s">
        <v>50</v>
      </c>
      <c r="S4363" s="9">
        <f>VLOOKUP(P4363,$T$2:U4360,2,1)</f>
        <v>0.05</v>
      </c>
    </row>
    <row r="4364" spans="1:19" x14ac:dyDescent="0.25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e">
        <f>VLOOKUP(F4364,'Customer Info'!A4356:I4855,2,0)</f>
        <v>#N/A</v>
      </c>
      <c r="H4364" s="6" t="e">
        <f>VLOOKUP(F4364,'Customer Info'!A4356:I4855,3,0)</f>
        <v>#N/A</v>
      </c>
      <c r="I4364" s="6" t="e">
        <f>VLOOKUP(F4364,'Customer Info'!A4356:I4855,5,0)</f>
        <v>#N/A</v>
      </c>
      <c r="J4364" s="2">
        <v>1246</v>
      </c>
      <c r="K4364" s="2">
        <v>1164</v>
      </c>
      <c r="L4364" s="2">
        <v>1</v>
      </c>
      <c r="M4364" s="7">
        <f t="shared" si="272"/>
        <v>1164</v>
      </c>
      <c r="N4364" s="7">
        <f t="shared" si="273"/>
        <v>1246</v>
      </c>
      <c r="O4364" s="2">
        <v>83</v>
      </c>
      <c r="P4364" s="8">
        <f t="shared" si="274"/>
        <v>1329</v>
      </c>
      <c r="Q4364" s="8">
        <f t="shared" si="275"/>
        <v>1163</v>
      </c>
      <c r="R4364" s="2" t="s">
        <v>28</v>
      </c>
      <c r="S4364" s="9">
        <f>VLOOKUP(P4364,$T$2:U4361,2,1)</f>
        <v>0.02</v>
      </c>
    </row>
    <row r="4365" spans="1:19" x14ac:dyDescent="0.25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e">
        <f>VLOOKUP(F4365,'Customer Info'!A4357:I4856,2,0)</f>
        <v>#N/A</v>
      </c>
      <c r="H4365" s="6" t="e">
        <f>VLOOKUP(F4365,'Customer Info'!A4357:I4856,3,0)</f>
        <v>#N/A</v>
      </c>
      <c r="I4365" s="6" t="e">
        <f>VLOOKUP(F4365,'Customer Info'!A4357:I4856,5,0)</f>
        <v>#N/A</v>
      </c>
      <c r="J4365" s="2">
        <v>896</v>
      </c>
      <c r="K4365" s="2">
        <v>870</v>
      </c>
      <c r="L4365" s="2">
        <v>7</v>
      </c>
      <c r="M4365" s="7">
        <f t="shared" si="272"/>
        <v>6090</v>
      </c>
      <c r="N4365" s="7">
        <f t="shared" si="273"/>
        <v>6272</v>
      </c>
      <c r="O4365" s="2">
        <v>67</v>
      </c>
      <c r="P4365" s="8">
        <f t="shared" si="274"/>
        <v>6339</v>
      </c>
      <c r="Q4365" s="8">
        <f t="shared" si="275"/>
        <v>6205</v>
      </c>
      <c r="R4365" s="2" t="s">
        <v>26</v>
      </c>
      <c r="S4365" s="9">
        <f>VLOOKUP(P4365,$T$2:U4362,2,1)</f>
        <v>0.05</v>
      </c>
    </row>
    <row r="4366" spans="1:19" x14ac:dyDescent="0.25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e">
        <f>VLOOKUP(F4366,'Customer Info'!A4358:I4857,2,0)</f>
        <v>#N/A</v>
      </c>
      <c r="H4366" s="6" t="e">
        <f>VLOOKUP(F4366,'Customer Info'!A4358:I4857,3,0)</f>
        <v>#N/A</v>
      </c>
      <c r="I4366" s="6" t="e">
        <f>VLOOKUP(F4366,'Customer Info'!A4358:I4857,5,0)</f>
        <v>#N/A</v>
      </c>
      <c r="J4366" s="2">
        <v>77</v>
      </c>
      <c r="K4366" s="2">
        <v>73</v>
      </c>
      <c r="L4366" s="2">
        <v>10</v>
      </c>
      <c r="M4366" s="7">
        <f t="shared" si="272"/>
        <v>730</v>
      </c>
      <c r="N4366" s="7">
        <f t="shared" si="273"/>
        <v>770</v>
      </c>
      <c r="O4366" s="2">
        <v>10</v>
      </c>
      <c r="P4366" s="8">
        <f t="shared" si="274"/>
        <v>780</v>
      </c>
      <c r="Q4366" s="8">
        <f t="shared" si="275"/>
        <v>760</v>
      </c>
      <c r="R4366" s="2" t="s">
        <v>50</v>
      </c>
      <c r="S4366" s="9">
        <f>VLOOKUP(P4366,$T$2:U4363,2,1)</f>
        <v>0.02</v>
      </c>
    </row>
    <row r="4367" spans="1:19" x14ac:dyDescent="0.25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e">
        <f>VLOOKUP(F4367,'Customer Info'!A4359:I4858,2,0)</f>
        <v>#N/A</v>
      </c>
      <c r="H4367" s="6" t="e">
        <f>VLOOKUP(F4367,'Customer Info'!A4359:I4858,3,0)</f>
        <v>#N/A</v>
      </c>
      <c r="I4367" s="6" t="e">
        <f>VLOOKUP(F4367,'Customer Info'!A4359:I4858,5,0)</f>
        <v>#N/A</v>
      </c>
      <c r="J4367" s="2">
        <v>765</v>
      </c>
      <c r="K4367" s="2">
        <v>701</v>
      </c>
      <c r="L4367" s="2">
        <v>1</v>
      </c>
      <c r="M4367" s="7">
        <f t="shared" si="272"/>
        <v>701</v>
      </c>
      <c r="N4367" s="7">
        <f t="shared" si="273"/>
        <v>765</v>
      </c>
      <c r="O4367" s="2">
        <v>44</v>
      </c>
      <c r="P4367" s="8">
        <f t="shared" si="274"/>
        <v>809</v>
      </c>
      <c r="Q4367" s="8">
        <f t="shared" si="275"/>
        <v>721</v>
      </c>
      <c r="R4367" s="2" t="s">
        <v>28</v>
      </c>
      <c r="S4367" s="9">
        <f>VLOOKUP(P4367,$T$2:U4364,2,1)</f>
        <v>0.02</v>
      </c>
    </row>
    <row r="4368" spans="1:19" x14ac:dyDescent="0.25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e">
        <f>VLOOKUP(F4368,'Customer Info'!A4360:I4859,2,0)</f>
        <v>#N/A</v>
      </c>
      <c r="H4368" s="6" t="e">
        <f>VLOOKUP(F4368,'Customer Info'!A4360:I4859,3,0)</f>
        <v>#N/A</v>
      </c>
      <c r="I4368" s="6" t="e">
        <f>VLOOKUP(F4368,'Customer Info'!A4360:I4859,5,0)</f>
        <v>#N/A</v>
      </c>
      <c r="J4368" s="2">
        <v>87</v>
      </c>
      <c r="K4368" s="2">
        <v>80</v>
      </c>
      <c r="L4368" s="2">
        <v>5</v>
      </c>
      <c r="M4368" s="7">
        <f t="shared" si="272"/>
        <v>400</v>
      </c>
      <c r="N4368" s="7">
        <f t="shared" si="273"/>
        <v>435</v>
      </c>
      <c r="O4368" s="2">
        <v>10</v>
      </c>
      <c r="P4368" s="8">
        <f t="shared" si="274"/>
        <v>445</v>
      </c>
      <c r="Q4368" s="8">
        <f t="shared" si="275"/>
        <v>425</v>
      </c>
      <c r="R4368" s="2" t="s">
        <v>28</v>
      </c>
      <c r="S4368" s="9">
        <f>VLOOKUP(P4368,$T$2:U4365,2,1)</f>
        <v>0.02</v>
      </c>
    </row>
    <row r="4369" spans="1:19" x14ac:dyDescent="0.25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e">
        <f>VLOOKUP(F4369,'Customer Info'!A4361:I4860,2,0)</f>
        <v>#N/A</v>
      </c>
      <c r="H4369" s="6" t="e">
        <f>VLOOKUP(F4369,'Customer Info'!A4361:I4860,3,0)</f>
        <v>#N/A</v>
      </c>
      <c r="I4369" s="6" t="e">
        <f>VLOOKUP(F4369,'Customer Info'!A4361:I4860,5,0)</f>
        <v>#N/A</v>
      </c>
      <c r="J4369" s="2">
        <v>645</v>
      </c>
      <c r="K4369" s="2">
        <v>565</v>
      </c>
      <c r="L4369" s="2">
        <v>4</v>
      </c>
      <c r="M4369" s="7">
        <f t="shared" si="272"/>
        <v>2260</v>
      </c>
      <c r="N4369" s="7">
        <f t="shared" si="273"/>
        <v>2580</v>
      </c>
      <c r="O4369" s="2">
        <v>20</v>
      </c>
      <c r="P4369" s="8">
        <f t="shared" si="274"/>
        <v>2600</v>
      </c>
      <c r="Q4369" s="8">
        <f t="shared" si="275"/>
        <v>2560</v>
      </c>
      <c r="R4369" s="2" t="s">
        <v>28</v>
      </c>
      <c r="S4369" s="9">
        <f>VLOOKUP(P4369,$T$2:U4366,2,1)</f>
        <v>0.02</v>
      </c>
    </row>
    <row r="4370" spans="1:19" x14ac:dyDescent="0.25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e">
        <f>VLOOKUP(F4370,'Customer Info'!A4362:I4861,2,0)</f>
        <v>#N/A</v>
      </c>
      <c r="H4370" s="6" t="e">
        <f>VLOOKUP(F4370,'Customer Info'!A4362:I4861,3,0)</f>
        <v>#N/A</v>
      </c>
      <c r="I4370" s="6" t="e">
        <f>VLOOKUP(F4370,'Customer Info'!A4362:I4861,5,0)</f>
        <v>#N/A</v>
      </c>
      <c r="J4370" s="2">
        <v>8379</v>
      </c>
      <c r="K4370" s="2">
        <v>8061</v>
      </c>
      <c r="L4370" s="2">
        <v>2</v>
      </c>
      <c r="M4370" s="7">
        <f t="shared" si="272"/>
        <v>16122</v>
      </c>
      <c r="N4370" s="7">
        <f t="shared" si="273"/>
        <v>16758</v>
      </c>
      <c r="O4370" s="2">
        <v>82</v>
      </c>
      <c r="P4370" s="8">
        <f t="shared" si="274"/>
        <v>16840</v>
      </c>
      <c r="Q4370" s="8">
        <f t="shared" si="275"/>
        <v>16676</v>
      </c>
      <c r="R4370" s="2" t="s">
        <v>50</v>
      </c>
      <c r="S4370" s="9">
        <f>VLOOKUP(P4370,$T$2:U4367,2,1)</f>
        <v>0.05</v>
      </c>
    </row>
    <row r="4371" spans="1:19" x14ac:dyDescent="0.25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e">
        <f>VLOOKUP(F4371,'Customer Info'!A4363:I4862,2,0)</f>
        <v>#N/A</v>
      </c>
      <c r="H4371" s="6" t="e">
        <f>VLOOKUP(F4371,'Customer Info'!A4363:I4862,3,0)</f>
        <v>#N/A</v>
      </c>
      <c r="I4371" s="6" t="e">
        <f>VLOOKUP(F4371,'Customer Info'!A4363:I4862,5,0)</f>
        <v>#N/A</v>
      </c>
      <c r="J4371" s="2">
        <v>2250</v>
      </c>
      <c r="K4371" s="2">
        <v>2207</v>
      </c>
      <c r="L4371" s="2">
        <v>6</v>
      </c>
      <c r="M4371" s="7">
        <f t="shared" si="272"/>
        <v>13242</v>
      </c>
      <c r="N4371" s="7">
        <f t="shared" si="273"/>
        <v>13500</v>
      </c>
      <c r="O4371" s="2">
        <v>44</v>
      </c>
      <c r="P4371" s="8">
        <f t="shared" si="274"/>
        <v>13544</v>
      </c>
      <c r="Q4371" s="8">
        <f t="shared" si="275"/>
        <v>13456</v>
      </c>
      <c r="R4371" s="2" t="s">
        <v>50</v>
      </c>
      <c r="S4371" s="9">
        <f>VLOOKUP(P4371,$T$2:U4368,2,1)</f>
        <v>0.05</v>
      </c>
    </row>
    <row r="4372" spans="1:19" x14ac:dyDescent="0.25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e">
        <f>VLOOKUP(F4372,'Customer Info'!A4364:I4863,2,0)</f>
        <v>#N/A</v>
      </c>
      <c r="H4372" s="6" t="e">
        <f>VLOOKUP(F4372,'Customer Info'!A4364:I4863,3,0)</f>
        <v>#N/A</v>
      </c>
      <c r="I4372" s="6" t="e">
        <f>VLOOKUP(F4372,'Customer Info'!A4364:I4863,5,0)</f>
        <v>#N/A</v>
      </c>
      <c r="J4372" s="2">
        <v>8686</v>
      </c>
      <c r="K4372" s="2">
        <v>8035</v>
      </c>
      <c r="L4372" s="2">
        <v>2</v>
      </c>
      <c r="M4372" s="7">
        <f t="shared" si="272"/>
        <v>16070</v>
      </c>
      <c r="N4372" s="7">
        <f t="shared" si="273"/>
        <v>17372</v>
      </c>
      <c r="O4372" s="2">
        <v>99</v>
      </c>
      <c r="P4372" s="8">
        <f t="shared" si="274"/>
        <v>17471</v>
      </c>
      <c r="Q4372" s="8">
        <f t="shared" si="275"/>
        <v>17273</v>
      </c>
      <c r="R4372" s="2" t="s">
        <v>50</v>
      </c>
      <c r="S4372" s="9">
        <f>VLOOKUP(P4372,$T$2:U4369,2,1)</f>
        <v>0.05</v>
      </c>
    </row>
    <row r="4373" spans="1:19" x14ac:dyDescent="0.25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e">
        <f>VLOOKUP(F4373,'Customer Info'!A4365:I4864,2,0)</f>
        <v>#N/A</v>
      </c>
      <c r="H4373" s="6" t="e">
        <f>VLOOKUP(F4373,'Customer Info'!A4365:I4864,3,0)</f>
        <v>#N/A</v>
      </c>
      <c r="I4373" s="6" t="e">
        <f>VLOOKUP(F4373,'Customer Info'!A4365:I4864,5,0)</f>
        <v>#N/A</v>
      </c>
      <c r="J4373" s="2">
        <v>2007</v>
      </c>
      <c r="K4373" s="2">
        <v>1839</v>
      </c>
      <c r="L4373" s="2">
        <v>9</v>
      </c>
      <c r="M4373" s="7">
        <f t="shared" si="272"/>
        <v>16551</v>
      </c>
      <c r="N4373" s="7">
        <f t="shared" si="273"/>
        <v>18063</v>
      </c>
      <c r="O4373" s="2">
        <v>63</v>
      </c>
      <c r="P4373" s="8">
        <f t="shared" si="274"/>
        <v>18126</v>
      </c>
      <c r="Q4373" s="8">
        <f t="shared" si="275"/>
        <v>18000</v>
      </c>
      <c r="R4373" s="2" t="s">
        <v>50</v>
      </c>
      <c r="S4373" s="9">
        <f>VLOOKUP(P4373,$T$2:U4370,2,1)</f>
        <v>0.05</v>
      </c>
    </row>
    <row r="4374" spans="1:19" x14ac:dyDescent="0.25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e">
        <f>VLOOKUP(F4374,'Customer Info'!A4366:I4865,2,0)</f>
        <v>#N/A</v>
      </c>
      <c r="H4374" s="6" t="e">
        <f>VLOOKUP(F4374,'Customer Info'!A4366:I4865,3,0)</f>
        <v>#N/A</v>
      </c>
      <c r="I4374" s="6" t="e">
        <f>VLOOKUP(F4374,'Customer Info'!A4366:I4865,5,0)</f>
        <v>#N/A</v>
      </c>
      <c r="J4374" s="2">
        <v>658</v>
      </c>
      <c r="K4374" s="2">
        <v>615</v>
      </c>
      <c r="L4374" s="2">
        <v>4</v>
      </c>
      <c r="M4374" s="7">
        <f t="shared" si="272"/>
        <v>2460</v>
      </c>
      <c r="N4374" s="7">
        <f t="shared" si="273"/>
        <v>2632</v>
      </c>
      <c r="O4374" s="2">
        <v>66</v>
      </c>
      <c r="P4374" s="8">
        <f t="shared" si="274"/>
        <v>2698</v>
      </c>
      <c r="Q4374" s="8">
        <f t="shared" si="275"/>
        <v>2566</v>
      </c>
      <c r="R4374" s="2" t="s">
        <v>28</v>
      </c>
      <c r="S4374" s="9">
        <f>VLOOKUP(P4374,$T$2:U4371,2,1)</f>
        <v>0.02</v>
      </c>
    </row>
    <row r="4375" spans="1:19" x14ac:dyDescent="0.25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e">
        <f>VLOOKUP(F4375,'Customer Info'!A4367:I4866,2,0)</f>
        <v>#N/A</v>
      </c>
      <c r="H4375" s="6" t="e">
        <f>VLOOKUP(F4375,'Customer Info'!A4367:I4866,3,0)</f>
        <v>#N/A</v>
      </c>
      <c r="I4375" s="6" t="e">
        <f>VLOOKUP(F4375,'Customer Info'!A4367:I4866,5,0)</f>
        <v>#N/A</v>
      </c>
      <c r="J4375" s="2">
        <v>87</v>
      </c>
      <c r="K4375" s="2">
        <v>80</v>
      </c>
      <c r="L4375" s="2">
        <v>2</v>
      </c>
      <c r="M4375" s="7">
        <f t="shared" si="272"/>
        <v>160</v>
      </c>
      <c r="N4375" s="7">
        <f t="shared" si="273"/>
        <v>174</v>
      </c>
      <c r="O4375" s="2">
        <v>10</v>
      </c>
      <c r="P4375" s="8">
        <f t="shared" si="274"/>
        <v>184</v>
      </c>
      <c r="Q4375" s="8">
        <f t="shared" si="275"/>
        <v>164</v>
      </c>
      <c r="R4375" s="2" t="s">
        <v>28</v>
      </c>
      <c r="S4375" s="9">
        <f>VLOOKUP(P4375,$T$2:U4372,2,1)</f>
        <v>0.02</v>
      </c>
    </row>
    <row r="4376" spans="1:19" x14ac:dyDescent="0.25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e">
        <f>VLOOKUP(F4376,'Customer Info'!A4368:I4867,2,0)</f>
        <v>#N/A</v>
      </c>
      <c r="H4376" s="6" t="e">
        <f>VLOOKUP(F4376,'Customer Info'!A4368:I4867,3,0)</f>
        <v>#N/A</v>
      </c>
      <c r="I4376" s="6" t="e">
        <f>VLOOKUP(F4376,'Customer Info'!A4368:I4867,5,0)</f>
        <v>#N/A</v>
      </c>
      <c r="J4376" s="2">
        <v>8199</v>
      </c>
      <c r="K4376" s="2">
        <v>7523</v>
      </c>
      <c r="L4376" s="2">
        <v>4</v>
      </c>
      <c r="M4376" s="7">
        <f t="shared" si="272"/>
        <v>30092</v>
      </c>
      <c r="N4376" s="7">
        <f t="shared" si="273"/>
        <v>32796</v>
      </c>
      <c r="O4376" s="2">
        <v>65</v>
      </c>
      <c r="P4376" s="8">
        <f t="shared" si="274"/>
        <v>32861</v>
      </c>
      <c r="Q4376" s="8">
        <f t="shared" si="275"/>
        <v>32731</v>
      </c>
      <c r="R4376" s="2" t="s">
        <v>28</v>
      </c>
      <c r="S4376" s="9">
        <f>VLOOKUP(P4376,$T$2:U4373,2,1)</f>
        <v>7.0000000000000007E-2</v>
      </c>
    </row>
    <row r="4377" spans="1:19" x14ac:dyDescent="0.25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e">
        <f>VLOOKUP(F4377,'Customer Info'!A4369:I4868,2,0)</f>
        <v>#N/A</v>
      </c>
      <c r="H4377" s="6" t="e">
        <f>VLOOKUP(F4377,'Customer Info'!A4369:I4868,3,0)</f>
        <v>#N/A</v>
      </c>
      <c r="I4377" s="6" t="e">
        <f>VLOOKUP(F4377,'Customer Info'!A4369:I4868,5,0)</f>
        <v>#N/A</v>
      </c>
      <c r="J4377" s="2">
        <v>214</v>
      </c>
      <c r="K4377" s="2">
        <v>199</v>
      </c>
      <c r="L4377" s="2">
        <v>2</v>
      </c>
      <c r="M4377" s="7">
        <f t="shared" si="272"/>
        <v>398</v>
      </c>
      <c r="N4377" s="7">
        <f t="shared" si="273"/>
        <v>428</v>
      </c>
      <c r="O4377" s="2">
        <v>25</v>
      </c>
      <c r="P4377" s="8">
        <f t="shared" si="274"/>
        <v>453</v>
      </c>
      <c r="Q4377" s="8">
        <f t="shared" si="275"/>
        <v>403</v>
      </c>
      <c r="R4377" s="2" t="s">
        <v>26</v>
      </c>
      <c r="S4377" s="9">
        <f>VLOOKUP(P4377,$T$2:U4374,2,1)</f>
        <v>0.02</v>
      </c>
    </row>
    <row r="4378" spans="1:19" x14ac:dyDescent="0.25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e">
        <f>VLOOKUP(F4378,'Customer Info'!A4370:I4869,2,0)</f>
        <v>#N/A</v>
      </c>
      <c r="H4378" s="6" t="e">
        <f>VLOOKUP(F4378,'Customer Info'!A4370:I4869,3,0)</f>
        <v>#N/A</v>
      </c>
      <c r="I4378" s="6" t="e">
        <f>VLOOKUP(F4378,'Customer Info'!A4370:I4869,5,0)</f>
        <v>#N/A</v>
      </c>
      <c r="J4378" s="2">
        <v>404</v>
      </c>
      <c r="K4378" s="2">
        <v>371</v>
      </c>
      <c r="L4378" s="2">
        <v>1</v>
      </c>
      <c r="M4378" s="7">
        <f t="shared" si="272"/>
        <v>371</v>
      </c>
      <c r="N4378" s="7">
        <f t="shared" si="273"/>
        <v>404</v>
      </c>
      <c r="O4378" s="2">
        <v>34</v>
      </c>
      <c r="P4378" s="8">
        <f t="shared" si="274"/>
        <v>438</v>
      </c>
      <c r="Q4378" s="8">
        <f t="shared" si="275"/>
        <v>370</v>
      </c>
      <c r="R4378" s="2" t="s">
        <v>28</v>
      </c>
      <c r="S4378" s="9">
        <f>VLOOKUP(P4378,$T$2:U4375,2,1)</f>
        <v>0.02</v>
      </c>
    </row>
    <row r="4379" spans="1:19" x14ac:dyDescent="0.25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e">
        <f>VLOOKUP(F4379,'Customer Info'!A4371:I4870,2,0)</f>
        <v>#N/A</v>
      </c>
      <c r="H4379" s="6" t="e">
        <f>VLOOKUP(F4379,'Customer Info'!A4371:I4870,3,0)</f>
        <v>#N/A</v>
      </c>
      <c r="I4379" s="6" t="e">
        <f>VLOOKUP(F4379,'Customer Info'!A4371:I4870,5,0)</f>
        <v>#N/A</v>
      </c>
      <c r="J4379" s="2">
        <v>5909</v>
      </c>
      <c r="K4379" s="2">
        <v>5528</v>
      </c>
      <c r="L4379" s="2">
        <v>5</v>
      </c>
      <c r="M4379" s="7">
        <f t="shared" si="272"/>
        <v>27640</v>
      </c>
      <c r="N4379" s="7">
        <f t="shared" si="273"/>
        <v>29545</v>
      </c>
      <c r="O4379" s="2">
        <v>99</v>
      </c>
      <c r="P4379" s="8">
        <f t="shared" si="274"/>
        <v>29644</v>
      </c>
      <c r="Q4379" s="8">
        <f t="shared" si="275"/>
        <v>29446</v>
      </c>
      <c r="R4379" s="2" t="s">
        <v>28</v>
      </c>
      <c r="S4379" s="9">
        <f>VLOOKUP(P4379,$T$2:U4376,2,1)</f>
        <v>7.0000000000000007E-2</v>
      </c>
    </row>
    <row r="4380" spans="1:19" x14ac:dyDescent="0.25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e">
        <f>VLOOKUP(F4380,'Customer Info'!A4372:I4871,2,0)</f>
        <v>#N/A</v>
      </c>
      <c r="H4380" s="6" t="e">
        <f>VLOOKUP(F4380,'Customer Info'!A4372:I4871,3,0)</f>
        <v>#N/A</v>
      </c>
      <c r="I4380" s="6" t="e">
        <f>VLOOKUP(F4380,'Customer Info'!A4372:I4871,5,0)</f>
        <v>#N/A</v>
      </c>
      <c r="J4380" s="2">
        <v>1413</v>
      </c>
      <c r="K4380" s="2">
        <v>1334</v>
      </c>
      <c r="L4380" s="2">
        <v>3</v>
      </c>
      <c r="M4380" s="7">
        <f t="shared" si="272"/>
        <v>4002</v>
      </c>
      <c r="N4380" s="7">
        <f t="shared" si="273"/>
        <v>4239</v>
      </c>
      <c r="O4380" s="2">
        <v>35</v>
      </c>
      <c r="P4380" s="8">
        <f t="shared" si="274"/>
        <v>4274</v>
      </c>
      <c r="Q4380" s="8">
        <f t="shared" si="275"/>
        <v>4204</v>
      </c>
      <c r="R4380" s="2" t="s">
        <v>50</v>
      </c>
      <c r="S4380" s="9">
        <f>VLOOKUP(P4380,$T$2:U4377,2,1)</f>
        <v>0.02</v>
      </c>
    </row>
    <row r="4381" spans="1:19" x14ac:dyDescent="0.25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e">
        <f>VLOOKUP(F4381,'Customer Info'!A4373:I4872,2,0)</f>
        <v>#N/A</v>
      </c>
      <c r="H4381" s="6" t="e">
        <f>VLOOKUP(F4381,'Customer Info'!A4373:I4872,3,0)</f>
        <v>#N/A</v>
      </c>
      <c r="I4381" s="6" t="e">
        <f>VLOOKUP(F4381,'Customer Info'!A4373:I4872,5,0)</f>
        <v>#N/A</v>
      </c>
      <c r="J4381" s="2">
        <v>1113</v>
      </c>
      <c r="K4381" s="2">
        <v>1040</v>
      </c>
      <c r="L4381" s="2">
        <v>2</v>
      </c>
      <c r="M4381" s="7">
        <f t="shared" si="272"/>
        <v>2080</v>
      </c>
      <c r="N4381" s="7">
        <f t="shared" si="273"/>
        <v>2226</v>
      </c>
      <c r="O4381" s="2">
        <v>35</v>
      </c>
      <c r="P4381" s="8">
        <f t="shared" si="274"/>
        <v>2261</v>
      </c>
      <c r="Q4381" s="8">
        <f t="shared" si="275"/>
        <v>2191</v>
      </c>
      <c r="R4381" s="2" t="s">
        <v>50</v>
      </c>
      <c r="S4381" s="9">
        <f>VLOOKUP(P4381,$T$2:U4378,2,1)</f>
        <v>0.02</v>
      </c>
    </row>
    <row r="4382" spans="1:19" x14ac:dyDescent="0.25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e">
        <f>VLOOKUP(F4382,'Customer Info'!A4374:I4873,2,0)</f>
        <v>#N/A</v>
      </c>
      <c r="H4382" s="6" t="e">
        <f>VLOOKUP(F4382,'Customer Info'!A4374:I4873,3,0)</f>
        <v>#N/A</v>
      </c>
      <c r="I4382" s="6" t="e">
        <f>VLOOKUP(F4382,'Customer Info'!A4374:I4873,5,0)</f>
        <v>#N/A</v>
      </c>
      <c r="J4382" s="2">
        <v>8199</v>
      </c>
      <c r="K4382" s="2">
        <v>7523</v>
      </c>
      <c r="L4382" s="2">
        <v>3</v>
      </c>
      <c r="M4382" s="7">
        <f t="shared" si="272"/>
        <v>22569</v>
      </c>
      <c r="N4382" s="7">
        <f t="shared" si="273"/>
        <v>24597</v>
      </c>
      <c r="O4382" s="2">
        <v>99</v>
      </c>
      <c r="P4382" s="8">
        <f t="shared" si="274"/>
        <v>24696</v>
      </c>
      <c r="Q4382" s="8">
        <f t="shared" si="275"/>
        <v>24498</v>
      </c>
      <c r="R4382" s="2" t="s">
        <v>28</v>
      </c>
      <c r="S4382" s="9">
        <f>VLOOKUP(P4382,$T$2:U4379,2,1)</f>
        <v>0.05</v>
      </c>
    </row>
    <row r="4383" spans="1:19" x14ac:dyDescent="0.25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e">
        <f>VLOOKUP(F4383,'Customer Info'!A4375:I4874,2,0)</f>
        <v>#N/A</v>
      </c>
      <c r="H4383" s="6" t="e">
        <f>VLOOKUP(F4383,'Customer Info'!A4375:I4874,3,0)</f>
        <v>#N/A</v>
      </c>
      <c r="I4383" s="6" t="e">
        <f>VLOOKUP(F4383,'Customer Info'!A4375:I4874,5,0)</f>
        <v>#N/A</v>
      </c>
      <c r="J4383" s="2">
        <v>1441</v>
      </c>
      <c r="K4383" s="2">
        <v>1360</v>
      </c>
      <c r="L4383" s="2">
        <v>4</v>
      </c>
      <c r="M4383" s="7">
        <f t="shared" si="272"/>
        <v>5440</v>
      </c>
      <c r="N4383" s="7">
        <f t="shared" si="273"/>
        <v>5764</v>
      </c>
      <c r="O4383" s="2">
        <v>21</v>
      </c>
      <c r="P4383" s="8">
        <f t="shared" si="274"/>
        <v>5785</v>
      </c>
      <c r="Q4383" s="8">
        <f t="shared" si="275"/>
        <v>5743</v>
      </c>
      <c r="R4383" s="2" t="s">
        <v>50</v>
      </c>
      <c r="S4383" s="9">
        <f>VLOOKUP(P4383,$T$2:U4380,2,1)</f>
        <v>0.05</v>
      </c>
    </row>
    <row r="4384" spans="1:19" x14ac:dyDescent="0.25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e">
        <f>VLOOKUP(F4384,'Customer Info'!A4376:I4875,2,0)</f>
        <v>#N/A</v>
      </c>
      <c r="H4384" s="6" t="e">
        <f>VLOOKUP(F4384,'Customer Info'!A4376:I4875,3,0)</f>
        <v>#N/A</v>
      </c>
      <c r="I4384" s="6" t="e">
        <f>VLOOKUP(F4384,'Customer Info'!A4376:I4875,5,0)</f>
        <v>#N/A</v>
      </c>
      <c r="J4384" s="2">
        <v>7141</v>
      </c>
      <c r="K4384" s="2">
        <v>6541</v>
      </c>
      <c r="L4384" s="2">
        <v>1</v>
      </c>
      <c r="M4384" s="7">
        <f t="shared" si="272"/>
        <v>6541</v>
      </c>
      <c r="N4384" s="7">
        <f t="shared" si="273"/>
        <v>7141</v>
      </c>
      <c r="O4384" s="2">
        <v>38</v>
      </c>
      <c r="P4384" s="8">
        <f t="shared" si="274"/>
        <v>7179</v>
      </c>
      <c r="Q4384" s="8">
        <f t="shared" si="275"/>
        <v>7103</v>
      </c>
      <c r="R4384" s="2" t="s">
        <v>56</v>
      </c>
      <c r="S4384" s="9">
        <f>VLOOKUP(P4384,$T$2:U4381,2,1)</f>
        <v>0.05</v>
      </c>
    </row>
    <row r="4385" spans="1:19" x14ac:dyDescent="0.25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e">
        <f>VLOOKUP(F4385,'Customer Info'!A4377:I4876,2,0)</f>
        <v>#N/A</v>
      </c>
      <c r="H4385" s="6" t="e">
        <f>VLOOKUP(F4385,'Customer Info'!A4377:I4876,3,0)</f>
        <v>#N/A</v>
      </c>
      <c r="I4385" s="6" t="e">
        <f>VLOOKUP(F4385,'Customer Info'!A4377:I4876,5,0)</f>
        <v>#N/A</v>
      </c>
      <c r="J4385" s="2">
        <v>877</v>
      </c>
      <c r="K4385" s="2">
        <v>788</v>
      </c>
      <c r="L4385" s="2">
        <v>6</v>
      </c>
      <c r="M4385" s="7">
        <f t="shared" si="272"/>
        <v>4728</v>
      </c>
      <c r="N4385" s="7">
        <f t="shared" si="273"/>
        <v>5262</v>
      </c>
      <c r="O4385" s="2">
        <v>79</v>
      </c>
      <c r="P4385" s="8">
        <f t="shared" si="274"/>
        <v>5341</v>
      </c>
      <c r="Q4385" s="8">
        <f t="shared" si="275"/>
        <v>5183</v>
      </c>
      <c r="R4385" s="2" t="s">
        <v>50</v>
      </c>
      <c r="S4385" s="9">
        <f>VLOOKUP(P4385,$T$2:U4382,2,1)</f>
        <v>0.05</v>
      </c>
    </row>
    <row r="4386" spans="1:19" x14ac:dyDescent="0.25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e">
        <f>VLOOKUP(F4386,'Customer Info'!A4378:I4877,2,0)</f>
        <v>#N/A</v>
      </c>
      <c r="H4386" s="6" t="e">
        <f>VLOOKUP(F4386,'Customer Info'!A4378:I4877,3,0)</f>
        <v>#N/A</v>
      </c>
      <c r="I4386" s="6" t="e">
        <f>VLOOKUP(F4386,'Customer Info'!A4378:I4877,5,0)</f>
        <v>#N/A</v>
      </c>
      <c r="J4386" s="2">
        <v>992</v>
      </c>
      <c r="K4386" s="2">
        <v>928</v>
      </c>
      <c r="L4386" s="2">
        <v>1</v>
      </c>
      <c r="M4386" s="7">
        <f t="shared" si="272"/>
        <v>928</v>
      </c>
      <c r="N4386" s="7">
        <f t="shared" si="273"/>
        <v>992</v>
      </c>
      <c r="O4386" s="2">
        <v>94</v>
      </c>
      <c r="P4386" s="8">
        <f t="shared" si="274"/>
        <v>1086</v>
      </c>
      <c r="Q4386" s="8">
        <f t="shared" si="275"/>
        <v>898</v>
      </c>
      <c r="R4386" s="2" t="s">
        <v>50</v>
      </c>
      <c r="S4386" s="9">
        <f>VLOOKUP(P4386,$T$2:U4383,2,1)</f>
        <v>0.02</v>
      </c>
    </row>
    <row r="4387" spans="1:19" x14ac:dyDescent="0.25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e">
        <f>VLOOKUP(F4387,'Customer Info'!A4379:I4878,2,0)</f>
        <v>#N/A</v>
      </c>
      <c r="H4387" s="6" t="e">
        <f>VLOOKUP(F4387,'Customer Info'!A4379:I4878,3,0)</f>
        <v>#N/A</v>
      </c>
      <c r="I4387" s="6" t="e">
        <f>VLOOKUP(F4387,'Customer Info'!A4379:I4878,5,0)</f>
        <v>#N/A</v>
      </c>
      <c r="J4387" s="2">
        <v>3275</v>
      </c>
      <c r="K4387" s="2">
        <v>3090</v>
      </c>
      <c r="L4387" s="2">
        <v>2</v>
      </c>
      <c r="M4387" s="7">
        <f t="shared" si="272"/>
        <v>6180</v>
      </c>
      <c r="N4387" s="7">
        <f t="shared" si="273"/>
        <v>6550</v>
      </c>
      <c r="O4387" s="2">
        <v>61</v>
      </c>
      <c r="P4387" s="8">
        <f t="shared" si="274"/>
        <v>6611</v>
      </c>
      <c r="Q4387" s="8">
        <f t="shared" si="275"/>
        <v>6489</v>
      </c>
      <c r="R4387" s="2" t="s">
        <v>28</v>
      </c>
      <c r="S4387" s="9">
        <f>VLOOKUP(P4387,$T$2:U4384,2,1)</f>
        <v>0.05</v>
      </c>
    </row>
    <row r="4388" spans="1:19" x14ac:dyDescent="0.25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e">
        <f>VLOOKUP(F4388,'Customer Info'!A4380:I4879,2,0)</f>
        <v>#N/A</v>
      </c>
      <c r="H4388" s="6" t="e">
        <f>VLOOKUP(F4388,'Customer Info'!A4380:I4879,3,0)</f>
        <v>#N/A</v>
      </c>
      <c r="I4388" s="6" t="e">
        <f>VLOOKUP(F4388,'Customer Info'!A4380:I4879,5,0)</f>
        <v>#N/A</v>
      </c>
      <c r="J4388" s="2">
        <v>2808</v>
      </c>
      <c r="K4388" s="2">
        <v>2674</v>
      </c>
      <c r="L4388" s="2">
        <v>12</v>
      </c>
      <c r="M4388" s="7">
        <f t="shared" si="272"/>
        <v>32088</v>
      </c>
      <c r="N4388" s="7">
        <f t="shared" si="273"/>
        <v>33696</v>
      </c>
      <c r="O4388" s="2">
        <v>32</v>
      </c>
      <c r="P4388" s="8">
        <f t="shared" si="274"/>
        <v>33728</v>
      </c>
      <c r="Q4388" s="8">
        <f t="shared" si="275"/>
        <v>33664</v>
      </c>
      <c r="R4388" s="2" t="s">
        <v>50</v>
      </c>
      <c r="S4388" s="9">
        <f>VLOOKUP(P4388,$T$2:U4385,2,1)</f>
        <v>7.0000000000000007E-2</v>
      </c>
    </row>
    <row r="4389" spans="1:19" x14ac:dyDescent="0.25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e">
        <f>VLOOKUP(F4389,'Customer Info'!A4381:I4880,2,0)</f>
        <v>#N/A</v>
      </c>
      <c r="H4389" s="6" t="e">
        <f>VLOOKUP(F4389,'Customer Info'!A4381:I4880,3,0)</f>
        <v>#N/A</v>
      </c>
      <c r="I4389" s="6" t="e">
        <f>VLOOKUP(F4389,'Customer Info'!A4381:I4880,5,0)</f>
        <v>#N/A</v>
      </c>
      <c r="J4389" s="2">
        <v>392</v>
      </c>
      <c r="K4389" s="2">
        <v>356</v>
      </c>
      <c r="L4389" s="2">
        <v>1</v>
      </c>
      <c r="M4389" s="7">
        <f t="shared" si="272"/>
        <v>356</v>
      </c>
      <c r="N4389" s="7">
        <f t="shared" si="273"/>
        <v>392</v>
      </c>
      <c r="O4389" s="2">
        <v>27</v>
      </c>
      <c r="P4389" s="8">
        <f t="shared" si="274"/>
        <v>419</v>
      </c>
      <c r="Q4389" s="8">
        <f t="shared" si="275"/>
        <v>365</v>
      </c>
      <c r="R4389" s="2" t="s">
        <v>50</v>
      </c>
      <c r="S4389" s="9">
        <f>VLOOKUP(P4389,$T$2:U4386,2,1)</f>
        <v>0.02</v>
      </c>
    </row>
    <row r="4390" spans="1:19" x14ac:dyDescent="0.25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e">
        <f>VLOOKUP(F4390,'Customer Info'!A4382:I4881,2,0)</f>
        <v>#N/A</v>
      </c>
      <c r="H4390" s="6" t="e">
        <f>VLOOKUP(F4390,'Customer Info'!A4382:I4881,3,0)</f>
        <v>#N/A</v>
      </c>
      <c r="I4390" s="6" t="e">
        <f>VLOOKUP(F4390,'Customer Info'!A4382:I4881,5,0)</f>
        <v>#N/A</v>
      </c>
      <c r="J4390" s="2">
        <v>7136</v>
      </c>
      <c r="K4390" s="2">
        <v>6676</v>
      </c>
      <c r="L4390" s="2">
        <v>4</v>
      </c>
      <c r="M4390" s="7">
        <f t="shared" si="272"/>
        <v>26704</v>
      </c>
      <c r="N4390" s="7">
        <f t="shared" si="273"/>
        <v>28544</v>
      </c>
      <c r="O4390" s="2">
        <v>92</v>
      </c>
      <c r="P4390" s="8">
        <f t="shared" si="274"/>
        <v>28636</v>
      </c>
      <c r="Q4390" s="8">
        <f t="shared" si="275"/>
        <v>28452</v>
      </c>
      <c r="R4390" s="2" t="s">
        <v>28</v>
      </c>
      <c r="S4390" s="9">
        <f>VLOOKUP(P4390,$T$2:U4387,2,1)</f>
        <v>7.0000000000000007E-2</v>
      </c>
    </row>
    <row r="4391" spans="1:19" x14ac:dyDescent="0.25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e">
        <f>VLOOKUP(F4391,'Customer Info'!A4383:I4882,2,0)</f>
        <v>#N/A</v>
      </c>
      <c r="H4391" s="6" t="e">
        <f>VLOOKUP(F4391,'Customer Info'!A4383:I4882,3,0)</f>
        <v>#N/A</v>
      </c>
      <c r="I4391" s="6" t="e">
        <f>VLOOKUP(F4391,'Customer Info'!A4383:I4882,5,0)</f>
        <v>#N/A</v>
      </c>
      <c r="J4391" s="2">
        <v>1364</v>
      </c>
      <c r="K4391" s="2">
        <v>1274</v>
      </c>
      <c r="L4391" s="2">
        <v>4</v>
      </c>
      <c r="M4391" s="7">
        <f t="shared" si="272"/>
        <v>5096</v>
      </c>
      <c r="N4391" s="7">
        <f t="shared" si="273"/>
        <v>5456</v>
      </c>
      <c r="O4391" s="2">
        <v>96</v>
      </c>
      <c r="P4391" s="8">
        <f t="shared" si="274"/>
        <v>5552</v>
      </c>
      <c r="Q4391" s="8">
        <f t="shared" si="275"/>
        <v>5360</v>
      </c>
      <c r="R4391" s="2" t="s">
        <v>50</v>
      </c>
      <c r="S4391" s="9">
        <f>VLOOKUP(P4391,$T$2:U4388,2,1)</f>
        <v>0.05</v>
      </c>
    </row>
    <row r="4392" spans="1:19" x14ac:dyDescent="0.25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e">
        <f>VLOOKUP(F4392,'Customer Info'!A4384:I4883,2,0)</f>
        <v>#N/A</v>
      </c>
      <c r="H4392" s="6" t="e">
        <f>VLOOKUP(F4392,'Customer Info'!A4384:I4883,3,0)</f>
        <v>#N/A</v>
      </c>
      <c r="I4392" s="6" t="e">
        <f>VLOOKUP(F4392,'Customer Info'!A4384:I4883,5,0)</f>
        <v>#N/A</v>
      </c>
      <c r="J4392" s="2">
        <v>183</v>
      </c>
      <c r="K4392" s="2">
        <v>168</v>
      </c>
      <c r="L4392" s="2">
        <v>6</v>
      </c>
      <c r="M4392" s="7">
        <f t="shared" si="272"/>
        <v>1008</v>
      </c>
      <c r="N4392" s="7">
        <f t="shared" si="273"/>
        <v>1098</v>
      </c>
      <c r="O4392" s="2">
        <v>30</v>
      </c>
      <c r="P4392" s="8">
        <f t="shared" si="274"/>
        <v>1128</v>
      </c>
      <c r="Q4392" s="8">
        <f t="shared" si="275"/>
        <v>1068</v>
      </c>
      <c r="R4392" s="2" t="s">
        <v>50</v>
      </c>
      <c r="S4392" s="9">
        <f>VLOOKUP(P4392,$T$2:U4389,2,1)</f>
        <v>0.02</v>
      </c>
    </row>
    <row r="4393" spans="1:19" x14ac:dyDescent="0.25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e">
        <f>VLOOKUP(F4393,'Customer Info'!A4385:I4884,2,0)</f>
        <v>#N/A</v>
      </c>
      <c r="H4393" s="6" t="e">
        <f>VLOOKUP(F4393,'Customer Info'!A4385:I4884,3,0)</f>
        <v>#N/A</v>
      </c>
      <c r="I4393" s="6" t="e">
        <f>VLOOKUP(F4393,'Customer Info'!A4385:I4884,5,0)</f>
        <v>#N/A</v>
      </c>
      <c r="J4393" s="2">
        <v>2874</v>
      </c>
      <c r="K4393" s="2">
        <v>2583</v>
      </c>
      <c r="L4393" s="2">
        <v>3</v>
      </c>
      <c r="M4393" s="7">
        <f t="shared" si="272"/>
        <v>7749</v>
      </c>
      <c r="N4393" s="7">
        <f t="shared" si="273"/>
        <v>8622</v>
      </c>
      <c r="O4393" s="2">
        <v>38</v>
      </c>
      <c r="P4393" s="8">
        <f t="shared" si="274"/>
        <v>8660</v>
      </c>
      <c r="Q4393" s="8">
        <f t="shared" si="275"/>
        <v>8584</v>
      </c>
      <c r="R4393" s="2" t="s">
        <v>56</v>
      </c>
      <c r="S4393" s="9">
        <f>VLOOKUP(P4393,$T$2:U4390,2,1)</f>
        <v>0.05</v>
      </c>
    </row>
    <row r="4394" spans="1:19" x14ac:dyDescent="0.25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e">
        <f>VLOOKUP(F4394,'Customer Info'!A4386:I4885,2,0)</f>
        <v>#N/A</v>
      </c>
      <c r="H4394" s="6" t="e">
        <f>VLOOKUP(F4394,'Customer Info'!A4386:I4885,3,0)</f>
        <v>#N/A</v>
      </c>
      <c r="I4394" s="6" t="e">
        <f>VLOOKUP(F4394,'Customer Info'!A4386:I4885,5,0)</f>
        <v>#N/A</v>
      </c>
      <c r="J4394" s="2">
        <v>1983</v>
      </c>
      <c r="K4394" s="2">
        <v>1908</v>
      </c>
      <c r="L4394" s="2">
        <v>3</v>
      </c>
      <c r="M4394" s="7">
        <f t="shared" si="272"/>
        <v>5724</v>
      </c>
      <c r="N4394" s="7">
        <f t="shared" si="273"/>
        <v>5949</v>
      </c>
      <c r="O4394" s="2">
        <v>74</v>
      </c>
      <c r="P4394" s="8">
        <f t="shared" si="274"/>
        <v>6023</v>
      </c>
      <c r="Q4394" s="8">
        <f t="shared" si="275"/>
        <v>5875</v>
      </c>
      <c r="R4394" s="2" t="s">
        <v>28</v>
      </c>
      <c r="S4394" s="9">
        <f>VLOOKUP(P4394,$T$2:U4391,2,1)</f>
        <v>0.05</v>
      </c>
    </row>
    <row r="4395" spans="1:19" x14ac:dyDescent="0.25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e">
        <f>VLOOKUP(F4395,'Customer Info'!A4387:I4886,2,0)</f>
        <v>#N/A</v>
      </c>
      <c r="H4395" s="6" t="e">
        <f>VLOOKUP(F4395,'Customer Info'!A4387:I4886,3,0)</f>
        <v>#N/A</v>
      </c>
      <c r="I4395" s="6" t="e">
        <f>VLOOKUP(F4395,'Customer Info'!A4387:I4886,5,0)</f>
        <v>#N/A</v>
      </c>
      <c r="J4395" s="2">
        <v>92</v>
      </c>
      <c r="K4395" s="2">
        <v>82</v>
      </c>
      <c r="L4395" s="2">
        <v>2</v>
      </c>
      <c r="M4395" s="7">
        <f t="shared" si="272"/>
        <v>164</v>
      </c>
      <c r="N4395" s="7">
        <f t="shared" si="273"/>
        <v>184</v>
      </c>
      <c r="O4395" s="2">
        <v>10</v>
      </c>
      <c r="P4395" s="8">
        <f t="shared" si="274"/>
        <v>194</v>
      </c>
      <c r="Q4395" s="8">
        <f t="shared" si="275"/>
        <v>174</v>
      </c>
      <c r="R4395" s="2" t="s">
        <v>50</v>
      </c>
      <c r="S4395" s="9">
        <f>VLOOKUP(P4395,$T$2:U4392,2,1)</f>
        <v>0.02</v>
      </c>
    </row>
    <row r="4396" spans="1:19" x14ac:dyDescent="0.25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e">
        <f>VLOOKUP(F4396,'Customer Info'!A4388:I4887,2,0)</f>
        <v>#N/A</v>
      </c>
      <c r="H4396" s="6" t="e">
        <f>VLOOKUP(F4396,'Customer Info'!A4388:I4887,3,0)</f>
        <v>#N/A</v>
      </c>
      <c r="I4396" s="6" t="e">
        <f>VLOOKUP(F4396,'Customer Info'!A4388:I4887,5,0)</f>
        <v>#N/A</v>
      </c>
      <c r="J4396" s="2">
        <v>193</v>
      </c>
      <c r="K4396" s="2">
        <v>173</v>
      </c>
      <c r="L4396" s="2">
        <v>1</v>
      </c>
      <c r="M4396" s="7">
        <f t="shared" si="272"/>
        <v>173</v>
      </c>
      <c r="N4396" s="7">
        <f t="shared" si="273"/>
        <v>193</v>
      </c>
      <c r="O4396" s="2">
        <v>30</v>
      </c>
      <c r="P4396" s="8">
        <f t="shared" si="274"/>
        <v>223</v>
      </c>
      <c r="Q4396" s="8">
        <f t="shared" si="275"/>
        <v>163</v>
      </c>
      <c r="R4396" s="2" t="s">
        <v>28</v>
      </c>
      <c r="S4396" s="9">
        <f>VLOOKUP(P4396,$T$2:U4393,2,1)</f>
        <v>0.02</v>
      </c>
    </row>
    <row r="4397" spans="1:19" x14ac:dyDescent="0.25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e">
        <f>VLOOKUP(F4397,'Customer Info'!A4389:I4888,2,0)</f>
        <v>#N/A</v>
      </c>
      <c r="H4397" s="6" t="e">
        <f>VLOOKUP(F4397,'Customer Info'!A4389:I4888,3,0)</f>
        <v>#N/A</v>
      </c>
      <c r="I4397" s="6" t="e">
        <f>VLOOKUP(F4397,'Customer Info'!A4389:I4888,5,0)</f>
        <v>#N/A</v>
      </c>
      <c r="J4397" s="2">
        <v>143</v>
      </c>
      <c r="K4397" s="2">
        <v>137</v>
      </c>
      <c r="L4397" s="2">
        <v>2</v>
      </c>
      <c r="M4397" s="7">
        <f t="shared" si="272"/>
        <v>274</v>
      </c>
      <c r="N4397" s="7">
        <f t="shared" si="273"/>
        <v>286</v>
      </c>
      <c r="O4397" s="2">
        <v>30</v>
      </c>
      <c r="P4397" s="8">
        <f t="shared" si="274"/>
        <v>316</v>
      </c>
      <c r="Q4397" s="8">
        <f t="shared" si="275"/>
        <v>256</v>
      </c>
      <c r="R4397" s="2" t="s">
        <v>50</v>
      </c>
      <c r="S4397" s="9">
        <f>VLOOKUP(P4397,$T$2:U4394,2,1)</f>
        <v>0.02</v>
      </c>
    </row>
    <row r="4398" spans="1:19" x14ac:dyDescent="0.25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e">
        <f>VLOOKUP(F4398,'Customer Info'!A4390:I4889,2,0)</f>
        <v>#N/A</v>
      </c>
      <c r="H4398" s="6" t="e">
        <f>VLOOKUP(F4398,'Customer Info'!A4390:I4889,3,0)</f>
        <v>#N/A</v>
      </c>
      <c r="I4398" s="6" t="e">
        <f>VLOOKUP(F4398,'Customer Info'!A4390:I4889,5,0)</f>
        <v>#N/A</v>
      </c>
      <c r="J4398" s="2">
        <v>1763</v>
      </c>
      <c r="K4398" s="2">
        <v>1602</v>
      </c>
      <c r="L4398" s="2">
        <v>1</v>
      </c>
      <c r="M4398" s="7">
        <f t="shared" si="272"/>
        <v>1602</v>
      </c>
      <c r="N4398" s="7">
        <f t="shared" si="273"/>
        <v>1763</v>
      </c>
      <c r="O4398" s="2">
        <v>75</v>
      </c>
      <c r="P4398" s="8">
        <f t="shared" si="274"/>
        <v>1838</v>
      </c>
      <c r="Q4398" s="8">
        <f t="shared" si="275"/>
        <v>1688</v>
      </c>
      <c r="R4398" s="2" t="s">
        <v>28</v>
      </c>
      <c r="S4398" s="9">
        <f>VLOOKUP(P4398,$T$2:U4395,2,1)</f>
        <v>0.02</v>
      </c>
    </row>
    <row r="4399" spans="1:19" x14ac:dyDescent="0.25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e">
        <f>VLOOKUP(F4399,'Customer Info'!A4391:I4890,2,0)</f>
        <v>#N/A</v>
      </c>
      <c r="H4399" s="6" t="e">
        <f>VLOOKUP(F4399,'Customer Info'!A4391:I4890,3,0)</f>
        <v>#N/A</v>
      </c>
      <c r="I4399" s="6" t="e">
        <f>VLOOKUP(F4399,'Customer Info'!A4391:I4890,5,0)</f>
        <v>#N/A</v>
      </c>
      <c r="J4399" s="2">
        <v>5051</v>
      </c>
      <c r="K4399" s="2">
        <v>4634</v>
      </c>
      <c r="L4399" s="2">
        <v>11</v>
      </c>
      <c r="M4399" s="7">
        <f t="shared" si="272"/>
        <v>50974</v>
      </c>
      <c r="N4399" s="7">
        <f t="shared" si="273"/>
        <v>55561</v>
      </c>
      <c r="O4399" s="2">
        <v>44</v>
      </c>
      <c r="P4399" s="8">
        <f t="shared" si="274"/>
        <v>55605</v>
      </c>
      <c r="Q4399" s="8">
        <f t="shared" si="275"/>
        <v>55517</v>
      </c>
      <c r="R4399" s="2" t="s">
        <v>26</v>
      </c>
      <c r="S4399" s="9">
        <f>VLOOKUP(P4399,$T$2:U4396,2,1)</f>
        <v>0.09</v>
      </c>
    </row>
    <row r="4400" spans="1:19" x14ac:dyDescent="0.25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e">
        <f>VLOOKUP(F4400,'Customer Info'!A4392:I4891,2,0)</f>
        <v>#N/A</v>
      </c>
      <c r="H4400" s="6" t="e">
        <f>VLOOKUP(F4400,'Customer Info'!A4392:I4891,3,0)</f>
        <v>#N/A</v>
      </c>
      <c r="I4400" s="6" t="e">
        <f>VLOOKUP(F4400,'Customer Info'!A4392:I4891,5,0)</f>
        <v>#N/A</v>
      </c>
      <c r="J4400" s="2">
        <v>6635</v>
      </c>
      <c r="K4400" s="2">
        <v>6321</v>
      </c>
      <c r="L4400" s="2">
        <v>2</v>
      </c>
      <c r="M4400" s="7">
        <f t="shared" si="272"/>
        <v>12642</v>
      </c>
      <c r="N4400" s="7">
        <f t="shared" si="273"/>
        <v>13270</v>
      </c>
      <c r="O4400" s="2">
        <v>60</v>
      </c>
      <c r="P4400" s="8">
        <f t="shared" si="274"/>
        <v>13330</v>
      </c>
      <c r="Q4400" s="8">
        <f t="shared" si="275"/>
        <v>13210</v>
      </c>
      <c r="R4400" s="2" t="s">
        <v>28</v>
      </c>
      <c r="S4400" s="9">
        <f>VLOOKUP(P4400,$T$2:U4397,2,1)</f>
        <v>0.05</v>
      </c>
    </row>
    <row r="4401" spans="1:19" x14ac:dyDescent="0.25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e">
        <f>VLOOKUP(F4401,'Customer Info'!A4393:I4892,2,0)</f>
        <v>#N/A</v>
      </c>
      <c r="H4401" s="6" t="e">
        <f>VLOOKUP(F4401,'Customer Info'!A4393:I4892,3,0)</f>
        <v>#N/A</v>
      </c>
      <c r="I4401" s="6" t="e">
        <f>VLOOKUP(F4401,'Customer Info'!A4393:I4892,5,0)</f>
        <v>#N/A</v>
      </c>
      <c r="J4401" s="2">
        <v>1734</v>
      </c>
      <c r="K4401" s="2">
        <v>1702</v>
      </c>
      <c r="L4401" s="2">
        <v>3</v>
      </c>
      <c r="M4401" s="7">
        <f t="shared" si="272"/>
        <v>5106</v>
      </c>
      <c r="N4401" s="7">
        <f t="shared" si="273"/>
        <v>5202</v>
      </c>
      <c r="O4401" s="2">
        <v>32</v>
      </c>
      <c r="P4401" s="8">
        <f t="shared" si="274"/>
        <v>5234</v>
      </c>
      <c r="Q4401" s="8">
        <f t="shared" si="275"/>
        <v>5170</v>
      </c>
      <c r="R4401" s="2" t="s">
        <v>50</v>
      </c>
      <c r="S4401" s="9">
        <f>VLOOKUP(P4401,$T$2:U4398,2,1)</f>
        <v>0.05</v>
      </c>
    </row>
    <row r="4402" spans="1:19" x14ac:dyDescent="0.25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e">
        <f>VLOOKUP(F4402,'Customer Info'!A4394:I4893,2,0)</f>
        <v>#N/A</v>
      </c>
      <c r="H4402" s="6" t="e">
        <f>VLOOKUP(F4402,'Customer Info'!A4394:I4893,3,0)</f>
        <v>#N/A</v>
      </c>
      <c r="I4402" s="6" t="e">
        <f>VLOOKUP(F4402,'Customer Info'!A4394:I4893,5,0)</f>
        <v>#N/A</v>
      </c>
      <c r="J4402" s="2">
        <v>183</v>
      </c>
      <c r="K4402" s="2">
        <v>168</v>
      </c>
      <c r="L4402" s="2">
        <v>3</v>
      </c>
      <c r="M4402" s="7">
        <f t="shared" si="272"/>
        <v>504</v>
      </c>
      <c r="N4402" s="7">
        <f t="shared" si="273"/>
        <v>549</v>
      </c>
      <c r="O4402" s="2">
        <v>30</v>
      </c>
      <c r="P4402" s="8">
        <f t="shared" si="274"/>
        <v>579</v>
      </c>
      <c r="Q4402" s="8">
        <f t="shared" si="275"/>
        <v>519</v>
      </c>
      <c r="R4402" s="2" t="s">
        <v>28</v>
      </c>
      <c r="S4402" s="9">
        <f>VLOOKUP(P4402,$T$2:U4399,2,1)</f>
        <v>0.02</v>
      </c>
    </row>
    <row r="4403" spans="1:19" x14ac:dyDescent="0.25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e">
        <f>VLOOKUP(F4403,'Customer Info'!A4395:I4894,2,0)</f>
        <v>#N/A</v>
      </c>
      <c r="H4403" s="6" t="e">
        <f>VLOOKUP(F4403,'Customer Info'!A4395:I4894,3,0)</f>
        <v>#N/A</v>
      </c>
      <c r="I4403" s="6" t="e">
        <f>VLOOKUP(F4403,'Customer Info'!A4395:I4894,5,0)</f>
        <v>#N/A</v>
      </c>
      <c r="J4403" s="2">
        <v>1798</v>
      </c>
      <c r="K4403" s="2">
        <v>1650</v>
      </c>
      <c r="L4403" s="2">
        <v>2</v>
      </c>
      <c r="M4403" s="7">
        <f t="shared" si="272"/>
        <v>3300</v>
      </c>
      <c r="N4403" s="7">
        <f t="shared" si="273"/>
        <v>3596</v>
      </c>
      <c r="O4403" s="2">
        <v>71</v>
      </c>
      <c r="P4403" s="8">
        <f t="shared" si="274"/>
        <v>3667</v>
      </c>
      <c r="Q4403" s="8">
        <f t="shared" si="275"/>
        <v>3525</v>
      </c>
      <c r="R4403" s="2" t="s">
        <v>28</v>
      </c>
      <c r="S4403" s="9">
        <f>VLOOKUP(P4403,$T$2:U4400,2,1)</f>
        <v>0.02</v>
      </c>
    </row>
    <row r="4404" spans="1:19" x14ac:dyDescent="0.25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e">
        <f>VLOOKUP(F4404,'Customer Info'!A4396:I4895,2,0)</f>
        <v>#N/A</v>
      </c>
      <c r="H4404" s="6" t="e">
        <f>VLOOKUP(F4404,'Customer Info'!A4396:I4895,3,0)</f>
        <v>#N/A</v>
      </c>
      <c r="I4404" s="6" t="e">
        <f>VLOOKUP(F4404,'Customer Info'!A4396:I4895,5,0)</f>
        <v>#N/A</v>
      </c>
      <c r="J4404" s="2">
        <v>1654</v>
      </c>
      <c r="K4404" s="2">
        <v>1577</v>
      </c>
      <c r="L4404" s="2">
        <v>6</v>
      </c>
      <c r="M4404" s="7">
        <f t="shared" si="272"/>
        <v>9462</v>
      </c>
      <c r="N4404" s="7">
        <f t="shared" si="273"/>
        <v>9924</v>
      </c>
      <c r="O4404" s="2">
        <v>90</v>
      </c>
      <c r="P4404" s="8">
        <f t="shared" si="274"/>
        <v>10014</v>
      </c>
      <c r="Q4404" s="8">
        <f t="shared" si="275"/>
        <v>9834</v>
      </c>
      <c r="R4404" s="2" t="s">
        <v>28</v>
      </c>
      <c r="S4404" s="9">
        <f>VLOOKUP(P4404,$T$2:U4401,2,1)</f>
        <v>0.05</v>
      </c>
    </row>
    <row r="4405" spans="1:19" x14ac:dyDescent="0.25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e">
        <f>VLOOKUP(F4405,'Customer Info'!A4397:I4896,2,0)</f>
        <v>#N/A</v>
      </c>
      <c r="H4405" s="6" t="e">
        <f>VLOOKUP(F4405,'Customer Info'!A4397:I4896,3,0)</f>
        <v>#N/A</v>
      </c>
      <c r="I4405" s="6" t="e">
        <f>VLOOKUP(F4405,'Customer Info'!A4397:I4896,5,0)</f>
        <v>#N/A</v>
      </c>
      <c r="J4405" s="2">
        <v>3017</v>
      </c>
      <c r="K4405" s="2">
        <v>2825</v>
      </c>
      <c r="L4405" s="2">
        <v>1</v>
      </c>
      <c r="M4405" s="7">
        <f t="shared" si="272"/>
        <v>2825</v>
      </c>
      <c r="N4405" s="7">
        <f t="shared" si="273"/>
        <v>3017</v>
      </c>
      <c r="O4405" s="2">
        <v>45</v>
      </c>
      <c r="P4405" s="8">
        <f t="shared" si="274"/>
        <v>3062</v>
      </c>
      <c r="Q4405" s="8">
        <f t="shared" si="275"/>
        <v>2972</v>
      </c>
      <c r="R4405" s="2" t="s">
        <v>28</v>
      </c>
      <c r="S4405" s="9">
        <f>VLOOKUP(P4405,$T$2:U4402,2,1)</f>
        <v>0.02</v>
      </c>
    </row>
    <row r="4406" spans="1:19" x14ac:dyDescent="0.25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e">
        <f>VLOOKUP(F4406,'Customer Info'!A4398:I4897,2,0)</f>
        <v>#N/A</v>
      </c>
      <c r="H4406" s="6" t="e">
        <f>VLOOKUP(F4406,'Customer Info'!A4398:I4897,3,0)</f>
        <v>#N/A</v>
      </c>
      <c r="I4406" s="6" t="e">
        <f>VLOOKUP(F4406,'Customer Info'!A4398:I4897,5,0)</f>
        <v>#N/A</v>
      </c>
      <c r="J4406" s="2">
        <v>127</v>
      </c>
      <c r="K4406" s="2">
        <v>116</v>
      </c>
      <c r="L4406" s="2">
        <v>5</v>
      </c>
      <c r="M4406" s="7">
        <f t="shared" si="272"/>
        <v>580</v>
      </c>
      <c r="N4406" s="7">
        <f t="shared" si="273"/>
        <v>635</v>
      </c>
      <c r="O4406" s="2">
        <v>30</v>
      </c>
      <c r="P4406" s="8">
        <f t="shared" si="274"/>
        <v>665</v>
      </c>
      <c r="Q4406" s="8">
        <f t="shared" si="275"/>
        <v>605</v>
      </c>
      <c r="R4406" s="2" t="s">
        <v>50</v>
      </c>
      <c r="S4406" s="9">
        <f>VLOOKUP(P4406,$T$2:U4403,2,1)</f>
        <v>0.02</v>
      </c>
    </row>
    <row r="4407" spans="1:19" x14ac:dyDescent="0.25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e">
        <f>VLOOKUP(F4407,'Customer Info'!A4399:I4898,2,0)</f>
        <v>#N/A</v>
      </c>
      <c r="H4407" s="6" t="e">
        <f>VLOOKUP(F4407,'Customer Info'!A4399:I4898,3,0)</f>
        <v>#N/A</v>
      </c>
      <c r="I4407" s="6" t="e">
        <f>VLOOKUP(F4407,'Customer Info'!A4399:I4898,5,0)</f>
        <v>#N/A</v>
      </c>
      <c r="J4407" s="2">
        <v>2787</v>
      </c>
      <c r="K4407" s="2">
        <v>2681</v>
      </c>
      <c r="L4407" s="2">
        <v>1</v>
      </c>
      <c r="M4407" s="7">
        <f t="shared" si="272"/>
        <v>2681</v>
      </c>
      <c r="N4407" s="7">
        <f t="shared" si="273"/>
        <v>2787</v>
      </c>
      <c r="O4407" s="2">
        <v>76</v>
      </c>
      <c r="P4407" s="8">
        <f t="shared" si="274"/>
        <v>2863</v>
      </c>
      <c r="Q4407" s="8">
        <f t="shared" si="275"/>
        <v>2711</v>
      </c>
      <c r="R4407" s="2" t="s">
        <v>50</v>
      </c>
      <c r="S4407" s="9">
        <f>VLOOKUP(P4407,$T$2:U4404,2,1)</f>
        <v>0.02</v>
      </c>
    </row>
    <row r="4408" spans="1:19" x14ac:dyDescent="0.25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e">
        <f>VLOOKUP(F4408,'Customer Info'!A4400:I4899,2,0)</f>
        <v>#N/A</v>
      </c>
      <c r="H4408" s="6" t="e">
        <f>VLOOKUP(F4408,'Customer Info'!A4400:I4899,3,0)</f>
        <v>#N/A</v>
      </c>
      <c r="I4408" s="6" t="e">
        <f>VLOOKUP(F4408,'Customer Info'!A4400:I4899,5,0)</f>
        <v>#N/A</v>
      </c>
      <c r="J4408" s="2">
        <v>1482</v>
      </c>
      <c r="K4408" s="2">
        <v>1453</v>
      </c>
      <c r="L4408" s="2">
        <v>2</v>
      </c>
      <c r="M4408" s="7">
        <f t="shared" si="272"/>
        <v>2906</v>
      </c>
      <c r="N4408" s="7">
        <f t="shared" si="273"/>
        <v>2964</v>
      </c>
      <c r="O4408" s="2">
        <v>34</v>
      </c>
      <c r="P4408" s="8">
        <f t="shared" si="274"/>
        <v>2998</v>
      </c>
      <c r="Q4408" s="8">
        <f t="shared" si="275"/>
        <v>2930</v>
      </c>
      <c r="R4408" s="2" t="s">
        <v>28</v>
      </c>
      <c r="S4408" s="9">
        <f>VLOOKUP(P4408,$T$2:U4405,2,1)</f>
        <v>0.02</v>
      </c>
    </row>
    <row r="4409" spans="1:19" x14ac:dyDescent="0.25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e">
        <f>VLOOKUP(F4409,'Customer Info'!A4401:I4900,2,0)</f>
        <v>#N/A</v>
      </c>
      <c r="H4409" s="6" t="e">
        <f>VLOOKUP(F4409,'Customer Info'!A4401:I4900,3,0)</f>
        <v>#N/A</v>
      </c>
      <c r="I4409" s="6" t="e">
        <f>VLOOKUP(F4409,'Customer Info'!A4401:I4900,5,0)</f>
        <v>#N/A</v>
      </c>
      <c r="J4409" s="2">
        <v>2958</v>
      </c>
      <c r="K4409" s="2">
        <v>2743</v>
      </c>
      <c r="L4409" s="2">
        <v>1</v>
      </c>
      <c r="M4409" s="7">
        <f t="shared" si="272"/>
        <v>2743</v>
      </c>
      <c r="N4409" s="7">
        <f t="shared" si="273"/>
        <v>2958</v>
      </c>
      <c r="O4409" s="2">
        <v>56</v>
      </c>
      <c r="P4409" s="8">
        <f t="shared" si="274"/>
        <v>3014</v>
      </c>
      <c r="Q4409" s="8">
        <f t="shared" si="275"/>
        <v>2902</v>
      </c>
      <c r="R4409" s="2" t="s">
        <v>28</v>
      </c>
      <c r="S4409" s="9">
        <f>VLOOKUP(P4409,$T$2:U4406,2,1)</f>
        <v>0.02</v>
      </c>
    </row>
    <row r="4410" spans="1:19" x14ac:dyDescent="0.25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e">
        <f>VLOOKUP(F4410,'Customer Info'!A4402:I4901,2,0)</f>
        <v>#N/A</v>
      </c>
      <c r="H4410" s="6" t="e">
        <f>VLOOKUP(F4410,'Customer Info'!A4402:I4901,3,0)</f>
        <v>#N/A</v>
      </c>
      <c r="I4410" s="6" t="e">
        <f>VLOOKUP(F4410,'Customer Info'!A4402:I4901,5,0)</f>
        <v>#N/A</v>
      </c>
      <c r="J4410" s="2">
        <v>7001</v>
      </c>
      <c r="K4410" s="2">
        <v>6476</v>
      </c>
      <c r="L4410" s="2">
        <v>3</v>
      </c>
      <c r="M4410" s="7">
        <f t="shared" si="272"/>
        <v>19428</v>
      </c>
      <c r="N4410" s="7">
        <f t="shared" si="273"/>
        <v>21003</v>
      </c>
      <c r="O4410" s="2">
        <v>89</v>
      </c>
      <c r="P4410" s="8">
        <f t="shared" si="274"/>
        <v>21092</v>
      </c>
      <c r="Q4410" s="8">
        <f t="shared" si="275"/>
        <v>20914</v>
      </c>
      <c r="R4410" s="2" t="s">
        <v>50</v>
      </c>
      <c r="S4410" s="9">
        <f>VLOOKUP(P4410,$T$2:U4407,2,1)</f>
        <v>0.05</v>
      </c>
    </row>
    <row r="4411" spans="1:19" x14ac:dyDescent="0.25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e">
        <f>VLOOKUP(F4411,'Customer Info'!A4403:I4902,2,0)</f>
        <v>#N/A</v>
      </c>
      <c r="H4411" s="6" t="e">
        <f>VLOOKUP(F4411,'Customer Info'!A4403:I4902,3,0)</f>
        <v>#N/A</v>
      </c>
      <c r="I4411" s="6" t="e">
        <f>VLOOKUP(F4411,'Customer Info'!A4403:I4902,5,0)</f>
        <v>#N/A</v>
      </c>
      <c r="J4411" s="2">
        <v>2965</v>
      </c>
      <c r="K4411" s="2">
        <v>2694</v>
      </c>
      <c r="L4411" s="2">
        <v>1</v>
      </c>
      <c r="M4411" s="7">
        <f t="shared" si="272"/>
        <v>2694</v>
      </c>
      <c r="N4411" s="7">
        <f t="shared" si="273"/>
        <v>2965</v>
      </c>
      <c r="O4411" s="2">
        <v>43</v>
      </c>
      <c r="P4411" s="8">
        <f t="shared" si="274"/>
        <v>3008</v>
      </c>
      <c r="Q4411" s="8">
        <f t="shared" si="275"/>
        <v>2922</v>
      </c>
      <c r="R4411" s="2" t="s">
        <v>50</v>
      </c>
      <c r="S4411" s="9">
        <f>VLOOKUP(P4411,$T$2:U4408,2,1)</f>
        <v>0.02</v>
      </c>
    </row>
    <row r="4412" spans="1:19" x14ac:dyDescent="0.25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e">
        <f>VLOOKUP(F4412,'Customer Info'!A4404:I4903,2,0)</f>
        <v>#N/A</v>
      </c>
      <c r="H4412" s="6" t="e">
        <f>VLOOKUP(F4412,'Customer Info'!A4404:I4903,3,0)</f>
        <v>#N/A</v>
      </c>
      <c r="I4412" s="6" t="e">
        <f>VLOOKUP(F4412,'Customer Info'!A4404:I4903,5,0)</f>
        <v>#N/A</v>
      </c>
      <c r="J4412" s="2">
        <v>193</v>
      </c>
      <c r="K4412" s="2">
        <v>173</v>
      </c>
      <c r="L4412" s="2">
        <v>8</v>
      </c>
      <c r="M4412" s="7">
        <f t="shared" si="272"/>
        <v>1384</v>
      </c>
      <c r="N4412" s="7">
        <f t="shared" si="273"/>
        <v>1544</v>
      </c>
      <c r="O4412" s="2">
        <v>30</v>
      </c>
      <c r="P4412" s="8">
        <f t="shared" si="274"/>
        <v>1574</v>
      </c>
      <c r="Q4412" s="8">
        <f t="shared" si="275"/>
        <v>1514</v>
      </c>
      <c r="R4412" s="2" t="s">
        <v>28</v>
      </c>
      <c r="S4412" s="9">
        <f>VLOOKUP(P4412,$T$2:U4409,2,1)</f>
        <v>0.02</v>
      </c>
    </row>
    <row r="4413" spans="1:19" x14ac:dyDescent="0.25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e">
        <f>VLOOKUP(F4413,'Customer Info'!A4405:I4904,2,0)</f>
        <v>#N/A</v>
      </c>
      <c r="H4413" s="6" t="e">
        <f>VLOOKUP(F4413,'Customer Info'!A4405:I4904,3,0)</f>
        <v>#N/A</v>
      </c>
      <c r="I4413" s="6" t="e">
        <f>VLOOKUP(F4413,'Customer Info'!A4405:I4904,5,0)</f>
        <v>#N/A</v>
      </c>
      <c r="J4413" s="2">
        <v>2442</v>
      </c>
      <c r="K4413" s="2">
        <v>2304</v>
      </c>
      <c r="L4413" s="2">
        <v>1</v>
      </c>
      <c r="M4413" s="7">
        <f t="shared" si="272"/>
        <v>2304</v>
      </c>
      <c r="N4413" s="7">
        <f t="shared" si="273"/>
        <v>2442</v>
      </c>
      <c r="O4413" s="2">
        <v>88</v>
      </c>
      <c r="P4413" s="8">
        <f t="shared" si="274"/>
        <v>2530</v>
      </c>
      <c r="Q4413" s="8">
        <f t="shared" si="275"/>
        <v>2354</v>
      </c>
      <c r="R4413" s="2" t="s">
        <v>28</v>
      </c>
      <c r="S4413" s="9">
        <f>VLOOKUP(P4413,$T$2:U4410,2,1)</f>
        <v>0.02</v>
      </c>
    </row>
    <row r="4414" spans="1:19" x14ac:dyDescent="0.25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e">
        <f>VLOOKUP(F4414,'Customer Info'!A4406:I4905,2,0)</f>
        <v>#N/A</v>
      </c>
      <c r="H4414" s="6" t="e">
        <f>VLOOKUP(F4414,'Customer Info'!A4406:I4905,3,0)</f>
        <v>#N/A</v>
      </c>
      <c r="I4414" s="6" t="e">
        <f>VLOOKUP(F4414,'Customer Info'!A4406:I4905,5,0)</f>
        <v>#N/A</v>
      </c>
      <c r="J4414" s="2">
        <v>954</v>
      </c>
      <c r="K4414" s="2">
        <v>901</v>
      </c>
      <c r="L4414" s="2">
        <v>3</v>
      </c>
      <c r="M4414" s="7">
        <f t="shared" si="272"/>
        <v>2703</v>
      </c>
      <c r="N4414" s="7">
        <f t="shared" si="273"/>
        <v>2862</v>
      </c>
      <c r="O4414" s="2">
        <v>77</v>
      </c>
      <c r="P4414" s="8">
        <f t="shared" si="274"/>
        <v>2939</v>
      </c>
      <c r="Q4414" s="8">
        <f t="shared" si="275"/>
        <v>2785</v>
      </c>
      <c r="R4414" s="2" t="s">
        <v>50</v>
      </c>
      <c r="S4414" s="9">
        <f>VLOOKUP(P4414,$T$2:U4411,2,1)</f>
        <v>0.02</v>
      </c>
    </row>
    <row r="4415" spans="1:19" x14ac:dyDescent="0.25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e">
        <f>VLOOKUP(F4415,'Customer Info'!A4407:I4906,2,0)</f>
        <v>#N/A</v>
      </c>
      <c r="H4415" s="6" t="e">
        <f>VLOOKUP(F4415,'Customer Info'!A4407:I4906,3,0)</f>
        <v>#N/A</v>
      </c>
      <c r="I4415" s="6" t="e">
        <f>VLOOKUP(F4415,'Customer Info'!A4407:I4906,5,0)</f>
        <v>#N/A</v>
      </c>
      <c r="J4415" s="2">
        <v>131</v>
      </c>
      <c r="K4415" s="2">
        <v>124</v>
      </c>
      <c r="L4415" s="2">
        <v>4</v>
      </c>
      <c r="M4415" s="7">
        <f t="shared" si="272"/>
        <v>496</v>
      </c>
      <c r="N4415" s="7">
        <f t="shared" si="273"/>
        <v>524</v>
      </c>
      <c r="O4415" s="2">
        <v>30</v>
      </c>
      <c r="P4415" s="8">
        <f t="shared" si="274"/>
        <v>554</v>
      </c>
      <c r="Q4415" s="8">
        <f t="shared" si="275"/>
        <v>494</v>
      </c>
      <c r="R4415" s="2" t="s">
        <v>28</v>
      </c>
      <c r="S4415" s="9">
        <f>VLOOKUP(P4415,$T$2:U4412,2,1)</f>
        <v>0.02</v>
      </c>
    </row>
    <row r="4416" spans="1:19" x14ac:dyDescent="0.25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e">
        <f>VLOOKUP(F4416,'Customer Info'!A4408:I4907,2,0)</f>
        <v>#N/A</v>
      </c>
      <c r="H4416" s="6" t="e">
        <f>VLOOKUP(F4416,'Customer Info'!A4408:I4907,3,0)</f>
        <v>#N/A</v>
      </c>
      <c r="I4416" s="6" t="e">
        <f>VLOOKUP(F4416,'Customer Info'!A4408:I4907,5,0)</f>
        <v>#N/A</v>
      </c>
      <c r="J4416" s="2">
        <v>6354</v>
      </c>
      <c r="K4416" s="2">
        <v>5769</v>
      </c>
      <c r="L4416" s="2">
        <v>4</v>
      </c>
      <c r="M4416" s="7">
        <f t="shared" si="272"/>
        <v>23076</v>
      </c>
      <c r="N4416" s="7">
        <f t="shared" si="273"/>
        <v>25416</v>
      </c>
      <c r="O4416" s="2">
        <v>66</v>
      </c>
      <c r="P4416" s="8">
        <f t="shared" si="274"/>
        <v>25482</v>
      </c>
      <c r="Q4416" s="8">
        <f t="shared" si="275"/>
        <v>25350</v>
      </c>
      <c r="R4416" s="2" t="s">
        <v>28</v>
      </c>
      <c r="S4416" s="9">
        <f>VLOOKUP(P4416,$T$2:U4413,2,1)</f>
        <v>7.0000000000000007E-2</v>
      </c>
    </row>
    <row r="4417" spans="1:19" x14ac:dyDescent="0.25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e">
        <f>VLOOKUP(F4417,'Customer Info'!A4409:I4908,2,0)</f>
        <v>#N/A</v>
      </c>
      <c r="H4417" s="6" t="e">
        <f>VLOOKUP(F4417,'Customer Info'!A4409:I4908,3,0)</f>
        <v>#N/A</v>
      </c>
      <c r="I4417" s="6" t="e">
        <f>VLOOKUP(F4417,'Customer Info'!A4409:I4908,5,0)</f>
        <v>#N/A</v>
      </c>
      <c r="J4417" s="2">
        <v>1103</v>
      </c>
      <c r="K4417" s="2">
        <v>1030</v>
      </c>
      <c r="L4417" s="2">
        <v>2</v>
      </c>
      <c r="M4417" s="7">
        <f t="shared" si="272"/>
        <v>2060</v>
      </c>
      <c r="N4417" s="7">
        <f t="shared" si="273"/>
        <v>2206</v>
      </c>
      <c r="O4417" s="2">
        <v>24</v>
      </c>
      <c r="P4417" s="8">
        <f t="shared" si="274"/>
        <v>2230</v>
      </c>
      <c r="Q4417" s="8">
        <f t="shared" si="275"/>
        <v>2182</v>
      </c>
      <c r="R4417" s="2" t="s">
        <v>56</v>
      </c>
      <c r="S4417" s="9">
        <f>VLOOKUP(P4417,$T$2:U4414,2,1)</f>
        <v>0.02</v>
      </c>
    </row>
    <row r="4418" spans="1:19" x14ac:dyDescent="0.25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e">
        <f>VLOOKUP(F4418,'Customer Info'!A4410:I4909,2,0)</f>
        <v>#N/A</v>
      </c>
      <c r="H4418" s="6" t="e">
        <f>VLOOKUP(F4418,'Customer Info'!A4410:I4909,3,0)</f>
        <v>#N/A</v>
      </c>
      <c r="I4418" s="6" t="e">
        <f>VLOOKUP(F4418,'Customer Info'!A4410:I4909,5,0)</f>
        <v>#N/A</v>
      </c>
      <c r="J4418" s="2">
        <v>1798</v>
      </c>
      <c r="K4418" s="2">
        <v>1650</v>
      </c>
      <c r="L4418" s="2">
        <v>1</v>
      </c>
      <c r="M4418" s="7">
        <f t="shared" si="272"/>
        <v>1650</v>
      </c>
      <c r="N4418" s="7">
        <f t="shared" si="273"/>
        <v>1798</v>
      </c>
      <c r="O4418" s="2">
        <v>46</v>
      </c>
      <c r="P4418" s="8">
        <f t="shared" si="274"/>
        <v>1844</v>
      </c>
      <c r="Q4418" s="8">
        <f t="shared" si="275"/>
        <v>1752</v>
      </c>
      <c r="R4418" s="2" t="s">
        <v>50</v>
      </c>
      <c r="S4418" s="9">
        <f>VLOOKUP(P4418,$T$2:U4415,2,1)</f>
        <v>0.02</v>
      </c>
    </row>
    <row r="4419" spans="1:19" x14ac:dyDescent="0.25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e">
        <f>VLOOKUP(F4419,'Customer Info'!A4411:I4910,2,0)</f>
        <v>#N/A</v>
      </c>
      <c r="H4419" s="6" t="e">
        <f>VLOOKUP(F4419,'Customer Info'!A4411:I4910,3,0)</f>
        <v>#N/A</v>
      </c>
      <c r="I4419" s="6" t="e">
        <f>VLOOKUP(F4419,'Customer Info'!A4411:I4910,5,0)</f>
        <v>#N/A</v>
      </c>
      <c r="J4419" s="2">
        <v>2602</v>
      </c>
      <c r="K4419" s="2">
        <v>2363</v>
      </c>
      <c r="L4419" s="2">
        <v>2</v>
      </c>
      <c r="M4419" s="7">
        <f t="shared" si="272"/>
        <v>4726</v>
      </c>
      <c r="N4419" s="7">
        <f t="shared" si="273"/>
        <v>5204</v>
      </c>
      <c r="O4419" s="2">
        <v>31</v>
      </c>
      <c r="P4419" s="8">
        <f t="shared" si="274"/>
        <v>5235</v>
      </c>
      <c r="Q4419" s="8">
        <f t="shared" si="275"/>
        <v>5173</v>
      </c>
      <c r="R4419" s="2" t="s">
        <v>50</v>
      </c>
      <c r="S4419" s="9">
        <f>VLOOKUP(P4419,$T$2:U4416,2,1)</f>
        <v>0.05</v>
      </c>
    </row>
    <row r="4420" spans="1:19" x14ac:dyDescent="0.25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e">
        <f>VLOOKUP(F4420,'Customer Info'!A4412:I4911,2,0)</f>
        <v>#N/A</v>
      </c>
      <c r="H4420" s="6" t="e">
        <f>VLOOKUP(F4420,'Customer Info'!A4412:I4911,3,0)</f>
        <v>#N/A</v>
      </c>
      <c r="I4420" s="6" t="e">
        <f>VLOOKUP(F4420,'Customer Info'!A4412:I4911,5,0)</f>
        <v>#N/A</v>
      </c>
      <c r="J4420" s="2">
        <v>393</v>
      </c>
      <c r="K4420" s="2">
        <v>374</v>
      </c>
      <c r="L4420" s="2">
        <v>4</v>
      </c>
      <c r="M4420" s="7">
        <f t="shared" si="272"/>
        <v>1496</v>
      </c>
      <c r="N4420" s="7">
        <f t="shared" si="273"/>
        <v>1572</v>
      </c>
      <c r="O4420" s="2">
        <v>66</v>
      </c>
      <c r="P4420" s="8">
        <f t="shared" si="274"/>
        <v>1638</v>
      </c>
      <c r="Q4420" s="8">
        <f t="shared" si="275"/>
        <v>1506</v>
      </c>
      <c r="R4420" s="2" t="s">
        <v>56</v>
      </c>
      <c r="S4420" s="9">
        <f>VLOOKUP(P4420,$T$2:U4417,2,1)</f>
        <v>0.02</v>
      </c>
    </row>
    <row r="4421" spans="1:19" x14ac:dyDescent="0.25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e">
        <f>VLOOKUP(F4421,'Customer Info'!A4413:I4912,2,0)</f>
        <v>#N/A</v>
      </c>
      <c r="H4421" s="6" t="e">
        <f>VLOOKUP(F4421,'Customer Info'!A4413:I4912,3,0)</f>
        <v>#N/A</v>
      </c>
      <c r="I4421" s="6" t="e">
        <f>VLOOKUP(F4421,'Customer Info'!A4413:I4912,5,0)</f>
        <v>#N/A</v>
      </c>
      <c r="J4421" s="2">
        <v>187</v>
      </c>
      <c r="K4421" s="2">
        <v>176</v>
      </c>
      <c r="L4421" s="2">
        <v>2</v>
      </c>
      <c r="M4421" s="7">
        <f t="shared" si="272"/>
        <v>352</v>
      </c>
      <c r="N4421" s="7">
        <f t="shared" si="273"/>
        <v>374</v>
      </c>
      <c r="O4421" s="2">
        <v>30</v>
      </c>
      <c r="P4421" s="8">
        <f t="shared" si="274"/>
        <v>404</v>
      </c>
      <c r="Q4421" s="8">
        <f t="shared" si="275"/>
        <v>344</v>
      </c>
      <c r="R4421" s="2" t="s">
        <v>28</v>
      </c>
      <c r="S4421" s="9">
        <f>VLOOKUP(P4421,$T$2:U4418,2,1)</f>
        <v>0.02</v>
      </c>
    </row>
    <row r="4422" spans="1:19" x14ac:dyDescent="0.25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e">
        <f>VLOOKUP(F4422,'Customer Info'!A4414:I4913,2,0)</f>
        <v>#N/A</v>
      </c>
      <c r="H4422" s="6" t="e">
        <f>VLOOKUP(F4422,'Customer Info'!A4414:I4913,3,0)</f>
        <v>#N/A</v>
      </c>
      <c r="I4422" s="6" t="e">
        <f>VLOOKUP(F4422,'Customer Info'!A4414:I4913,5,0)</f>
        <v>#N/A</v>
      </c>
      <c r="J4422" s="2">
        <v>2242</v>
      </c>
      <c r="K4422" s="2">
        <v>2075</v>
      </c>
      <c r="L4422" s="2">
        <v>3</v>
      </c>
      <c r="M4422" s="7">
        <f t="shared" si="272"/>
        <v>6225</v>
      </c>
      <c r="N4422" s="7">
        <f t="shared" si="273"/>
        <v>6726</v>
      </c>
      <c r="O4422" s="2">
        <v>82</v>
      </c>
      <c r="P4422" s="8">
        <f t="shared" si="274"/>
        <v>6808</v>
      </c>
      <c r="Q4422" s="8">
        <f t="shared" si="275"/>
        <v>6644</v>
      </c>
      <c r="R4422" s="2" t="s">
        <v>28</v>
      </c>
      <c r="S4422" s="9">
        <f>VLOOKUP(P4422,$T$2:U4419,2,1)</f>
        <v>0.05</v>
      </c>
    </row>
    <row r="4423" spans="1:19" x14ac:dyDescent="0.25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e">
        <f>VLOOKUP(F4423,'Customer Info'!A4415:I4914,2,0)</f>
        <v>#N/A</v>
      </c>
      <c r="H4423" s="6" t="e">
        <f>VLOOKUP(F4423,'Customer Info'!A4415:I4914,3,0)</f>
        <v>#N/A</v>
      </c>
      <c r="I4423" s="6" t="e">
        <f>VLOOKUP(F4423,'Customer Info'!A4415:I4914,5,0)</f>
        <v>#N/A</v>
      </c>
      <c r="J4423" s="2">
        <v>691</v>
      </c>
      <c r="K4423" s="2">
        <v>646</v>
      </c>
      <c r="L4423" s="2">
        <v>1</v>
      </c>
      <c r="M4423" s="7">
        <f t="shared" si="272"/>
        <v>646</v>
      </c>
      <c r="N4423" s="7">
        <f t="shared" si="273"/>
        <v>691</v>
      </c>
      <c r="O4423" s="2">
        <v>63</v>
      </c>
      <c r="P4423" s="8">
        <f t="shared" si="274"/>
        <v>754</v>
      </c>
      <c r="Q4423" s="8">
        <f t="shared" si="275"/>
        <v>628</v>
      </c>
      <c r="R4423" s="2" t="s">
        <v>28</v>
      </c>
      <c r="S4423" s="9">
        <f>VLOOKUP(P4423,$T$2:U4420,2,1)</f>
        <v>0.02</v>
      </c>
    </row>
    <row r="4424" spans="1:19" x14ac:dyDescent="0.25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e">
        <f>VLOOKUP(F4424,'Customer Info'!A4416:I4915,2,0)</f>
        <v>#N/A</v>
      </c>
      <c r="H4424" s="6" t="e">
        <f>VLOOKUP(F4424,'Customer Info'!A4416:I4915,3,0)</f>
        <v>#N/A</v>
      </c>
      <c r="I4424" s="6" t="e">
        <f>VLOOKUP(F4424,'Customer Info'!A4416:I4915,5,0)</f>
        <v>#N/A</v>
      </c>
      <c r="J4424" s="2">
        <v>164</v>
      </c>
      <c r="K4424" s="2">
        <v>152</v>
      </c>
      <c r="L4424" s="2">
        <v>6</v>
      </c>
      <c r="M4424" s="7">
        <f t="shared" si="272"/>
        <v>912</v>
      </c>
      <c r="N4424" s="7">
        <f t="shared" si="273"/>
        <v>984</v>
      </c>
      <c r="O4424" s="2">
        <v>30</v>
      </c>
      <c r="P4424" s="8">
        <f t="shared" si="274"/>
        <v>1014</v>
      </c>
      <c r="Q4424" s="8">
        <f t="shared" si="275"/>
        <v>954</v>
      </c>
      <c r="R4424" s="2" t="s">
        <v>26</v>
      </c>
      <c r="S4424" s="9">
        <f>VLOOKUP(P4424,$T$2:U4421,2,1)</f>
        <v>0.02</v>
      </c>
    </row>
    <row r="4425" spans="1:19" x14ac:dyDescent="0.25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e">
        <f>VLOOKUP(F4425,'Customer Info'!A4417:I4916,2,0)</f>
        <v>#N/A</v>
      </c>
      <c r="H4425" s="6" t="e">
        <f>VLOOKUP(F4425,'Customer Info'!A4417:I4916,3,0)</f>
        <v>#N/A</v>
      </c>
      <c r="I4425" s="6" t="e">
        <f>VLOOKUP(F4425,'Customer Info'!A4417:I4916,5,0)</f>
        <v>#N/A</v>
      </c>
      <c r="J4425" s="2">
        <v>166</v>
      </c>
      <c r="K4425" s="2">
        <v>149</v>
      </c>
      <c r="L4425" s="2">
        <v>3</v>
      </c>
      <c r="M4425" s="7">
        <f t="shared" si="272"/>
        <v>447</v>
      </c>
      <c r="N4425" s="7">
        <f t="shared" si="273"/>
        <v>498</v>
      </c>
      <c r="O4425" s="2">
        <v>30</v>
      </c>
      <c r="P4425" s="8">
        <f t="shared" si="274"/>
        <v>528</v>
      </c>
      <c r="Q4425" s="8">
        <f t="shared" si="275"/>
        <v>468</v>
      </c>
      <c r="R4425" s="2" t="s">
        <v>28</v>
      </c>
      <c r="S4425" s="9">
        <f>VLOOKUP(P4425,$T$2:U4422,2,1)</f>
        <v>0.02</v>
      </c>
    </row>
    <row r="4426" spans="1:19" x14ac:dyDescent="0.25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e">
        <f>VLOOKUP(F4426,'Customer Info'!A4418:I4917,2,0)</f>
        <v>#N/A</v>
      </c>
      <c r="H4426" s="6" t="e">
        <f>VLOOKUP(F4426,'Customer Info'!A4418:I4917,3,0)</f>
        <v>#N/A</v>
      </c>
      <c r="I4426" s="6" t="e">
        <f>VLOOKUP(F4426,'Customer Info'!A4418:I4917,5,0)</f>
        <v>#N/A</v>
      </c>
      <c r="J4426" s="2">
        <v>1816</v>
      </c>
      <c r="K4426" s="2">
        <v>1700</v>
      </c>
      <c r="L4426" s="2">
        <v>2</v>
      </c>
      <c r="M4426" s="7">
        <f t="shared" si="272"/>
        <v>3400</v>
      </c>
      <c r="N4426" s="7">
        <f t="shared" si="273"/>
        <v>3632</v>
      </c>
      <c r="O4426" s="2">
        <v>58</v>
      </c>
      <c r="P4426" s="8">
        <f t="shared" si="274"/>
        <v>3690</v>
      </c>
      <c r="Q4426" s="8">
        <f t="shared" si="275"/>
        <v>3574</v>
      </c>
      <c r="R4426" s="2" t="s">
        <v>50</v>
      </c>
      <c r="S4426" s="9">
        <f>VLOOKUP(P4426,$T$2:U4423,2,1)</f>
        <v>0.02</v>
      </c>
    </row>
    <row r="4427" spans="1:19" x14ac:dyDescent="0.25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e">
        <f>VLOOKUP(F4427,'Customer Info'!A4419:I4918,2,0)</f>
        <v>#N/A</v>
      </c>
      <c r="H4427" s="6" t="e">
        <f>VLOOKUP(F4427,'Customer Info'!A4419:I4918,3,0)</f>
        <v>#N/A</v>
      </c>
      <c r="I4427" s="6" t="e">
        <f>VLOOKUP(F4427,'Customer Info'!A4419:I4918,5,0)</f>
        <v>#N/A</v>
      </c>
      <c r="J4427" s="2">
        <v>1332</v>
      </c>
      <c r="K4427" s="2">
        <v>1209</v>
      </c>
      <c r="L4427" s="2">
        <v>5</v>
      </c>
      <c r="M4427" s="7">
        <f t="shared" ref="M4427:M4490" si="276">K4427*L4427</f>
        <v>6045</v>
      </c>
      <c r="N4427" s="7">
        <f t="shared" ref="N4427:N4490" si="277">J4427*L4427</f>
        <v>6660</v>
      </c>
      <c r="O4427" s="2">
        <v>43</v>
      </c>
      <c r="P4427" s="8">
        <f t="shared" ref="P4427:P4490" si="278">SUM(N4427,O4427)</f>
        <v>6703</v>
      </c>
      <c r="Q4427" s="8">
        <f t="shared" ref="Q4427:Q4490" si="279">N4427-O4427</f>
        <v>6617</v>
      </c>
      <c r="R4427" s="2" t="s">
        <v>28</v>
      </c>
      <c r="S4427" s="9">
        <f>VLOOKUP(P4427,$T$2:U4424,2,1)</f>
        <v>0.05</v>
      </c>
    </row>
    <row r="4428" spans="1:19" x14ac:dyDescent="0.25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e">
        <f>VLOOKUP(F4428,'Customer Info'!A4420:I4919,2,0)</f>
        <v>#N/A</v>
      </c>
      <c r="H4428" s="6" t="e">
        <f>VLOOKUP(F4428,'Customer Info'!A4420:I4919,3,0)</f>
        <v>#N/A</v>
      </c>
      <c r="I4428" s="6" t="e">
        <f>VLOOKUP(F4428,'Customer Info'!A4420:I4919,5,0)</f>
        <v>#N/A</v>
      </c>
      <c r="J4428" s="2">
        <v>92</v>
      </c>
      <c r="K4428" s="2">
        <v>82</v>
      </c>
      <c r="L4428" s="2">
        <v>5</v>
      </c>
      <c r="M4428" s="7">
        <f t="shared" si="276"/>
        <v>410</v>
      </c>
      <c r="N4428" s="7">
        <f t="shared" si="277"/>
        <v>460</v>
      </c>
      <c r="O4428" s="2">
        <v>10</v>
      </c>
      <c r="P4428" s="8">
        <f t="shared" si="278"/>
        <v>470</v>
      </c>
      <c r="Q4428" s="8">
        <f t="shared" si="279"/>
        <v>450</v>
      </c>
      <c r="R4428" s="2" t="s">
        <v>28</v>
      </c>
      <c r="S4428" s="9">
        <f>VLOOKUP(P4428,$T$2:U4425,2,1)</f>
        <v>0.02</v>
      </c>
    </row>
    <row r="4429" spans="1:19" x14ac:dyDescent="0.25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e">
        <f>VLOOKUP(F4429,'Customer Info'!A4421:I4920,2,0)</f>
        <v>#N/A</v>
      </c>
      <c r="H4429" s="6" t="e">
        <f>VLOOKUP(F4429,'Customer Info'!A4421:I4920,3,0)</f>
        <v>#N/A</v>
      </c>
      <c r="I4429" s="6" t="e">
        <f>VLOOKUP(F4429,'Customer Info'!A4421:I4920,5,0)</f>
        <v>#N/A</v>
      </c>
      <c r="J4429" s="2">
        <v>765</v>
      </c>
      <c r="K4429" s="2">
        <v>701</v>
      </c>
      <c r="L4429" s="2">
        <v>4</v>
      </c>
      <c r="M4429" s="7">
        <f t="shared" si="276"/>
        <v>2804</v>
      </c>
      <c r="N4429" s="7">
        <f t="shared" si="277"/>
        <v>3060</v>
      </c>
      <c r="O4429" s="2">
        <v>86</v>
      </c>
      <c r="P4429" s="8">
        <f t="shared" si="278"/>
        <v>3146</v>
      </c>
      <c r="Q4429" s="8">
        <f t="shared" si="279"/>
        <v>2974</v>
      </c>
      <c r="R4429" s="2" t="s">
        <v>26</v>
      </c>
      <c r="S4429" s="9">
        <f>VLOOKUP(P4429,$T$2:U4426,2,1)</f>
        <v>0.02</v>
      </c>
    </row>
    <row r="4430" spans="1:19" x14ac:dyDescent="0.25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e">
        <f>VLOOKUP(F4430,'Customer Info'!A4422:I4921,2,0)</f>
        <v>#N/A</v>
      </c>
      <c r="H4430" s="6" t="e">
        <f>VLOOKUP(F4430,'Customer Info'!A4422:I4921,3,0)</f>
        <v>#N/A</v>
      </c>
      <c r="I4430" s="6" t="e">
        <f>VLOOKUP(F4430,'Customer Info'!A4422:I4921,5,0)</f>
        <v>#N/A</v>
      </c>
      <c r="J4430" s="2">
        <v>2843</v>
      </c>
      <c r="K4430" s="2">
        <v>2735</v>
      </c>
      <c r="L4430" s="2">
        <v>2</v>
      </c>
      <c r="M4430" s="7">
        <f t="shared" si="276"/>
        <v>5470</v>
      </c>
      <c r="N4430" s="7">
        <f t="shared" si="277"/>
        <v>5686</v>
      </c>
      <c r="O4430" s="2">
        <v>34</v>
      </c>
      <c r="P4430" s="8">
        <f t="shared" si="278"/>
        <v>5720</v>
      </c>
      <c r="Q4430" s="8">
        <f t="shared" si="279"/>
        <v>5652</v>
      </c>
      <c r="R4430" s="2" t="s">
        <v>28</v>
      </c>
      <c r="S4430" s="9">
        <f>VLOOKUP(P4430,$T$2:U4427,2,1)</f>
        <v>0.05</v>
      </c>
    </row>
    <row r="4431" spans="1:19" x14ac:dyDescent="0.25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e">
        <f>VLOOKUP(F4431,'Customer Info'!A4423:I4922,2,0)</f>
        <v>#N/A</v>
      </c>
      <c r="H4431" s="6" t="e">
        <f>VLOOKUP(F4431,'Customer Info'!A4423:I4922,3,0)</f>
        <v>#N/A</v>
      </c>
      <c r="I4431" s="6" t="e">
        <f>VLOOKUP(F4431,'Customer Info'!A4423:I4922,5,0)</f>
        <v>#N/A</v>
      </c>
      <c r="J4431" s="2">
        <v>1653</v>
      </c>
      <c r="K4431" s="2">
        <v>1560</v>
      </c>
      <c r="L4431" s="2">
        <v>2</v>
      </c>
      <c r="M4431" s="7">
        <f t="shared" si="276"/>
        <v>3120</v>
      </c>
      <c r="N4431" s="7">
        <f t="shared" si="277"/>
        <v>3306</v>
      </c>
      <c r="O4431" s="2">
        <v>96</v>
      </c>
      <c r="P4431" s="8">
        <f t="shared" si="278"/>
        <v>3402</v>
      </c>
      <c r="Q4431" s="8">
        <f t="shared" si="279"/>
        <v>3210</v>
      </c>
      <c r="R4431" s="2" t="s">
        <v>28</v>
      </c>
      <c r="S4431" s="9">
        <f>VLOOKUP(P4431,$T$2:U4428,2,1)</f>
        <v>0.02</v>
      </c>
    </row>
    <row r="4432" spans="1:19" x14ac:dyDescent="0.25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e">
        <f>VLOOKUP(F4432,'Customer Info'!A4424:I4923,2,0)</f>
        <v>#N/A</v>
      </c>
      <c r="H4432" s="6" t="e">
        <f>VLOOKUP(F4432,'Customer Info'!A4424:I4923,3,0)</f>
        <v>#N/A</v>
      </c>
      <c r="I4432" s="6" t="e">
        <f>VLOOKUP(F4432,'Customer Info'!A4424:I4923,5,0)</f>
        <v>#N/A</v>
      </c>
      <c r="J4432" s="2">
        <v>139</v>
      </c>
      <c r="K4432" s="2">
        <v>133</v>
      </c>
      <c r="L4432" s="2">
        <v>3</v>
      </c>
      <c r="M4432" s="7">
        <f t="shared" si="276"/>
        <v>399</v>
      </c>
      <c r="N4432" s="7">
        <f t="shared" si="277"/>
        <v>417</v>
      </c>
      <c r="O4432" s="2">
        <v>30</v>
      </c>
      <c r="P4432" s="8">
        <f t="shared" si="278"/>
        <v>447</v>
      </c>
      <c r="Q4432" s="8">
        <f t="shared" si="279"/>
        <v>387</v>
      </c>
      <c r="R4432" s="2" t="s">
        <v>28</v>
      </c>
      <c r="S4432" s="9">
        <f>VLOOKUP(P4432,$T$2:U4429,2,1)</f>
        <v>0.02</v>
      </c>
    </row>
    <row r="4433" spans="1:19" x14ac:dyDescent="0.25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e">
        <f>VLOOKUP(F4433,'Customer Info'!A4425:I4924,2,0)</f>
        <v>#N/A</v>
      </c>
      <c r="H4433" s="6" t="e">
        <f>VLOOKUP(F4433,'Customer Info'!A4425:I4924,3,0)</f>
        <v>#N/A</v>
      </c>
      <c r="I4433" s="6" t="e">
        <f>VLOOKUP(F4433,'Customer Info'!A4425:I4924,5,0)</f>
        <v>#N/A</v>
      </c>
      <c r="J4433" s="2">
        <v>7534</v>
      </c>
      <c r="K4433" s="2">
        <v>7106</v>
      </c>
      <c r="L4433" s="2">
        <v>2</v>
      </c>
      <c r="M4433" s="7">
        <f t="shared" si="276"/>
        <v>14212</v>
      </c>
      <c r="N4433" s="7">
        <f t="shared" si="277"/>
        <v>15068</v>
      </c>
      <c r="O4433" s="2">
        <v>78</v>
      </c>
      <c r="P4433" s="8">
        <f t="shared" si="278"/>
        <v>15146</v>
      </c>
      <c r="Q4433" s="8">
        <f t="shared" si="279"/>
        <v>14990</v>
      </c>
      <c r="R4433" s="2" t="s">
        <v>50</v>
      </c>
      <c r="S4433" s="9">
        <f>VLOOKUP(P4433,$T$2:U4430,2,1)</f>
        <v>0.05</v>
      </c>
    </row>
    <row r="4434" spans="1:19" x14ac:dyDescent="0.25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e">
        <f>VLOOKUP(F4434,'Customer Info'!A4426:I4925,2,0)</f>
        <v>#N/A</v>
      </c>
      <c r="H4434" s="6" t="e">
        <f>VLOOKUP(F4434,'Customer Info'!A4426:I4925,3,0)</f>
        <v>#N/A</v>
      </c>
      <c r="I4434" s="6" t="e">
        <f>VLOOKUP(F4434,'Customer Info'!A4426:I4925,5,0)</f>
        <v>#N/A</v>
      </c>
      <c r="J4434" s="2">
        <v>9214</v>
      </c>
      <c r="K4434" s="2">
        <v>8295</v>
      </c>
      <c r="L4434" s="2">
        <v>4</v>
      </c>
      <c r="M4434" s="7">
        <f t="shared" si="276"/>
        <v>33180</v>
      </c>
      <c r="N4434" s="7">
        <f t="shared" si="277"/>
        <v>36856</v>
      </c>
      <c r="O4434" s="2">
        <v>20</v>
      </c>
      <c r="P4434" s="8">
        <f t="shared" si="278"/>
        <v>36876</v>
      </c>
      <c r="Q4434" s="8">
        <f t="shared" si="279"/>
        <v>36836</v>
      </c>
      <c r="R4434" s="2" t="s">
        <v>28</v>
      </c>
      <c r="S4434" s="9">
        <f>VLOOKUP(P4434,$T$2:U4431,2,1)</f>
        <v>7.0000000000000007E-2</v>
      </c>
    </row>
    <row r="4435" spans="1:19" x14ac:dyDescent="0.25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e">
        <f>VLOOKUP(F4435,'Customer Info'!A4427:I4926,2,0)</f>
        <v>#N/A</v>
      </c>
      <c r="H4435" s="6" t="e">
        <f>VLOOKUP(F4435,'Customer Info'!A4427:I4926,3,0)</f>
        <v>#N/A</v>
      </c>
      <c r="I4435" s="6" t="e">
        <f>VLOOKUP(F4435,'Customer Info'!A4427:I4926,5,0)</f>
        <v>#N/A</v>
      </c>
      <c r="J4435" s="2">
        <v>1482</v>
      </c>
      <c r="K4435" s="2">
        <v>1453</v>
      </c>
      <c r="L4435" s="2">
        <v>5</v>
      </c>
      <c r="M4435" s="7">
        <f t="shared" si="276"/>
        <v>7265</v>
      </c>
      <c r="N4435" s="7">
        <f t="shared" si="277"/>
        <v>7410</v>
      </c>
      <c r="O4435" s="2">
        <v>70</v>
      </c>
      <c r="P4435" s="8">
        <f t="shared" si="278"/>
        <v>7480</v>
      </c>
      <c r="Q4435" s="8">
        <f t="shared" si="279"/>
        <v>7340</v>
      </c>
      <c r="R4435" s="2" t="s">
        <v>50</v>
      </c>
      <c r="S4435" s="9">
        <f>VLOOKUP(P4435,$T$2:U4432,2,1)</f>
        <v>0.05</v>
      </c>
    </row>
    <row r="4436" spans="1:19" x14ac:dyDescent="0.25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e">
        <f>VLOOKUP(F4436,'Customer Info'!A4428:I4927,2,0)</f>
        <v>#N/A</v>
      </c>
      <c r="H4436" s="6" t="e">
        <f>VLOOKUP(F4436,'Customer Info'!A4428:I4927,3,0)</f>
        <v>#N/A</v>
      </c>
      <c r="I4436" s="6" t="e">
        <f>VLOOKUP(F4436,'Customer Info'!A4428:I4927,5,0)</f>
        <v>#N/A</v>
      </c>
      <c r="J4436" s="2">
        <v>505</v>
      </c>
      <c r="K4436" s="2">
        <v>463</v>
      </c>
      <c r="L4436" s="2">
        <v>1</v>
      </c>
      <c r="M4436" s="7">
        <f t="shared" si="276"/>
        <v>463</v>
      </c>
      <c r="N4436" s="7">
        <f t="shared" si="277"/>
        <v>505</v>
      </c>
      <c r="O4436" s="2">
        <v>46</v>
      </c>
      <c r="P4436" s="8">
        <f t="shared" si="278"/>
        <v>551</v>
      </c>
      <c r="Q4436" s="8">
        <f t="shared" si="279"/>
        <v>459</v>
      </c>
      <c r="R4436" s="2" t="s">
        <v>28</v>
      </c>
      <c r="S4436" s="9">
        <f>VLOOKUP(P4436,$T$2:U4433,2,1)</f>
        <v>0.02</v>
      </c>
    </row>
    <row r="4437" spans="1:19" x14ac:dyDescent="0.25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e">
        <f>VLOOKUP(F4437,'Customer Info'!A4429:I4928,2,0)</f>
        <v>#N/A</v>
      </c>
      <c r="H4437" s="6" t="e">
        <f>VLOOKUP(F4437,'Customer Info'!A4429:I4928,3,0)</f>
        <v>#N/A</v>
      </c>
      <c r="I4437" s="6" t="e">
        <f>VLOOKUP(F4437,'Customer Info'!A4429:I4928,5,0)</f>
        <v>#N/A</v>
      </c>
      <c r="J4437" s="2">
        <v>2644</v>
      </c>
      <c r="K4437" s="2">
        <v>2425</v>
      </c>
      <c r="L4437" s="2">
        <v>2</v>
      </c>
      <c r="M4437" s="7">
        <f t="shared" si="276"/>
        <v>4850</v>
      </c>
      <c r="N4437" s="7">
        <f t="shared" si="277"/>
        <v>5288</v>
      </c>
      <c r="O4437" s="2">
        <v>66</v>
      </c>
      <c r="P4437" s="8">
        <f t="shared" si="278"/>
        <v>5354</v>
      </c>
      <c r="Q4437" s="8">
        <f t="shared" si="279"/>
        <v>5222</v>
      </c>
      <c r="R4437" s="2" t="s">
        <v>26</v>
      </c>
      <c r="S4437" s="9">
        <f>VLOOKUP(P4437,$T$2:U4434,2,1)</f>
        <v>0.05</v>
      </c>
    </row>
    <row r="4438" spans="1:19" x14ac:dyDescent="0.25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e">
        <f>VLOOKUP(F4438,'Customer Info'!A4430:I4929,2,0)</f>
        <v>#N/A</v>
      </c>
      <c r="H4438" s="6" t="e">
        <f>VLOOKUP(F4438,'Customer Info'!A4430:I4929,3,0)</f>
        <v>#N/A</v>
      </c>
      <c r="I4438" s="6" t="e">
        <f>VLOOKUP(F4438,'Customer Info'!A4430:I4929,5,0)</f>
        <v>#N/A</v>
      </c>
      <c r="J4438" s="2">
        <v>8160</v>
      </c>
      <c r="K4438" s="2">
        <v>7475</v>
      </c>
      <c r="L4438" s="2">
        <v>2</v>
      </c>
      <c r="M4438" s="7">
        <f t="shared" si="276"/>
        <v>14950</v>
      </c>
      <c r="N4438" s="7">
        <f t="shared" si="277"/>
        <v>16320</v>
      </c>
      <c r="O4438" s="2">
        <v>37</v>
      </c>
      <c r="P4438" s="8">
        <f t="shared" si="278"/>
        <v>16357</v>
      </c>
      <c r="Q4438" s="8">
        <f t="shared" si="279"/>
        <v>16283</v>
      </c>
      <c r="R4438" s="2" t="s">
        <v>28</v>
      </c>
      <c r="S4438" s="9">
        <f>VLOOKUP(P4438,$T$2:U4435,2,1)</f>
        <v>0.05</v>
      </c>
    </row>
    <row r="4439" spans="1:19" x14ac:dyDescent="0.25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e">
        <f>VLOOKUP(F4439,'Customer Info'!A4431:I4930,2,0)</f>
        <v>#N/A</v>
      </c>
      <c r="H4439" s="6" t="e">
        <f>VLOOKUP(F4439,'Customer Info'!A4431:I4930,3,0)</f>
        <v>#N/A</v>
      </c>
      <c r="I4439" s="6" t="e">
        <f>VLOOKUP(F4439,'Customer Info'!A4431:I4930,5,0)</f>
        <v>#N/A</v>
      </c>
      <c r="J4439" s="2">
        <v>179</v>
      </c>
      <c r="K4439" s="2">
        <v>171</v>
      </c>
      <c r="L4439" s="2">
        <v>3</v>
      </c>
      <c r="M4439" s="7">
        <f t="shared" si="276"/>
        <v>513</v>
      </c>
      <c r="N4439" s="7">
        <f t="shared" si="277"/>
        <v>537</v>
      </c>
      <c r="O4439" s="2">
        <v>30</v>
      </c>
      <c r="P4439" s="8">
        <f t="shared" si="278"/>
        <v>567</v>
      </c>
      <c r="Q4439" s="8">
        <f t="shared" si="279"/>
        <v>507</v>
      </c>
      <c r="R4439" s="2" t="s">
        <v>50</v>
      </c>
      <c r="S4439" s="9">
        <f>VLOOKUP(P4439,$T$2:U4436,2,1)</f>
        <v>0.02</v>
      </c>
    </row>
    <row r="4440" spans="1:19" x14ac:dyDescent="0.25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e">
        <f>VLOOKUP(F4440,'Customer Info'!A4432:I4931,2,0)</f>
        <v>#N/A</v>
      </c>
      <c r="H4440" s="6" t="e">
        <f>VLOOKUP(F4440,'Customer Info'!A4432:I4931,3,0)</f>
        <v>#N/A</v>
      </c>
      <c r="I4440" s="6" t="e">
        <f>VLOOKUP(F4440,'Customer Info'!A4432:I4931,5,0)</f>
        <v>#N/A</v>
      </c>
      <c r="J4440" s="2">
        <v>165</v>
      </c>
      <c r="K4440" s="2">
        <v>149</v>
      </c>
      <c r="L4440" s="2">
        <v>1</v>
      </c>
      <c r="M4440" s="7">
        <f t="shared" si="276"/>
        <v>149</v>
      </c>
      <c r="N4440" s="7">
        <f t="shared" si="277"/>
        <v>165</v>
      </c>
      <c r="O4440" s="2">
        <v>30</v>
      </c>
      <c r="P4440" s="8">
        <f t="shared" si="278"/>
        <v>195</v>
      </c>
      <c r="Q4440" s="8">
        <f t="shared" si="279"/>
        <v>135</v>
      </c>
      <c r="R4440" s="2" t="s">
        <v>50</v>
      </c>
      <c r="S4440" s="9">
        <f>VLOOKUP(P4440,$T$2:U4437,2,1)</f>
        <v>0.02</v>
      </c>
    </row>
    <row r="4441" spans="1:19" x14ac:dyDescent="0.25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e">
        <f>VLOOKUP(F4441,'Customer Info'!A4433:I4932,2,0)</f>
        <v>#N/A</v>
      </c>
      <c r="H4441" s="6" t="e">
        <f>VLOOKUP(F4441,'Customer Info'!A4433:I4932,3,0)</f>
        <v>#N/A</v>
      </c>
      <c r="I4441" s="6" t="e">
        <f>VLOOKUP(F4441,'Customer Info'!A4433:I4932,5,0)</f>
        <v>#N/A</v>
      </c>
      <c r="J4441" s="2">
        <v>1925</v>
      </c>
      <c r="K4441" s="2">
        <v>1834</v>
      </c>
      <c r="L4441" s="2">
        <v>3</v>
      </c>
      <c r="M4441" s="7">
        <f t="shared" si="276"/>
        <v>5502</v>
      </c>
      <c r="N4441" s="7">
        <f t="shared" si="277"/>
        <v>5775</v>
      </c>
      <c r="O4441" s="2">
        <v>80</v>
      </c>
      <c r="P4441" s="8">
        <f t="shared" si="278"/>
        <v>5855</v>
      </c>
      <c r="Q4441" s="8">
        <f t="shared" si="279"/>
        <v>5695</v>
      </c>
      <c r="R4441" s="2" t="s">
        <v>28</v>
      </c>
      <c r="S4441" s="9">
        <f>VLOOKUP(P4441,$T$2:U4438,2,1)</f>
        <v>0.05</v>
      </c>
    </row>
    <row r="4442" spans="1:19" x14ac:dyDescent="0.25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e">
        <f>VLOOKUP(F4442,'Customer Info'!A4434:I4933,2,0)</f>
        <v>#N/A</v>
      </c>
      <c r="H4442" s="6" t="e">
        <f>VLOOKUP(F4442,'Customer Info'!A4434:I4933,3,0)</f>
        <v>#N/A</v>
      </c>
      <c r="I4442" s="6" t="e">
        <f>VLOOKUP(F4442,'Customer Info'!A4434:I4933,5,0)</f>
        <v>#N/A</v>
      </c>
      <c r="J4442" s="2">
        <v>2759</v>
      </c>
      <c r="K4442" s="2">
        <v>2628</v>
      </c>
      <c r="L4442" s="2">
        <v>2</v>
      </c>
      <c r="M4442" s="7">
        <f t="shared" si="276"/>
        <v>5256</v>
      </c>
      <c r="N4442" s="7">
        <f t="shared" si="277"/>
        <v>5518</v>
      </c>
      <c r="O4442" s="2">
        <v>82</v>
      </c>
      <c r="P4442" s="8">
        <f t="shared" si="278"/>
        <v>5600</v>
      </c>
      <c r="Q4442" s="8">
        <f t="shared" si="279"/>
        <v>5436</v>
      </c>
      <c r="R4442" s="2" t="s">
        <v>28</v>
      </c>
      <c r="S4442" s="9">
        <f>VLOOKUP(P4442,$T$2:U4439,2,1)</f>
        <v>0.05</v>
      </c>
    </row>
    <row r="4443" spans="1:19" x14ac:dyDescent="0.25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e">
        <f>VLOOKUP(F4443,'Customer Info'!A4435:I4934,2,0)</f>
        <v>#N/A</v>
      </c>
      <c r="H4443" s="6" t="e">
        <f>VLOOKUP(F4443,'Customer Info'!A4435:I4934,3,0)</f>
        <v>#N/A</v>
      </c>
      <c r="I4443" s="6" t="e">
        <f>VLOOKUP(F4443,'Customer Info'!A4435:I4934,5,0)</f>
        <v>#N/A</v>
      </c>
      <c r="J4443" s="2">
        <v>693</v>
      </c>
      <c r="K4443" s="2">
        <v>667</v>
      </c>
      <c r="L4443" s="2">
        <v>11</v>
      </c>
      <c r="M4443" s="7">
        <f t="shared" si="276"/>
        <v>7337</v>
      </c>
      <c r="N4443" s="7">
        <f t="shared" si="277"/>
        <v>7623</v>
      </c>
      <c r="O4443" s="2">
        <v>98</v>
      </c>
      <c r="P4443" s="8">
        <f t="shared" si="278"/>
        <v>7721</v>
      </c>
      <c r="Q4443" s="8">
        <f t="shared" si="279"/>
        <v>7525</v>
      </c>
      <c r="R4443" s="2" t="s">
        <v>28</v>
      </c>
      <c r="S4443" s="9">
        <f>VLOOKUP(P4443,$T$2:U4440,2,1)</f>
        <v>0.05</v>
      </c>
    </row>
    <row r="4444" spans="1:19" x14ac:dyDescent="0.25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e">
        <f>VLOOKUP(F4444,'Customer Info'!A4436:I4935,2,0)</f>
        <v>#N/A</v>
      </c>
      <c r="H4444" s="6" t="e">
        <f>VLOOKUP(F4444,'Customer Info'!A4436:I4935,3,0)</f>
        <v>#N/A</v>
      </c>
      <c r="I4444" s="6" t="e">
        <f>VLOOKUP(F4444,'Customer Info'!A4436:I4935,5,0)</f>
        <v>#N/A</v>
      </c>
      <c r="J4444" s="2">
        <v>5906</v>
      </c>
      <c r="K4444" s="2">
        <v>5266</v>
      </c>
      <c r="L4444" s="2">
        <v>3</v>
      </c>
      <c r="M4444" s="7">
        <f t="shared" si="276"/>
        <v>15798</v>
      </c>
      <c r="N4444" s="7">
        <f t="shared" si="277"/>
        <v>17718</v>
      </c>
      <c r="O4444" s="2">
        <v>30</v>
      </c>
      <c r="P4444" s="8">
        <f t="shared" si="278"/>
        <v>17748</v>
      </c>
      <c r="Q4444" s="8">
        <f t="shared" si="279"/>
        <v>17688</v>
      </c>
      <c r="R4444" s="2" t="s">
        <v>50</v>
      </c>
      <c r="S4444" s="9">
        <f>VLOOKUP(P4444,$T$2:U4441,2,1)</f>
        <v>0.05</v>
      </c>
    </row>
    <row r="4445" spans="1:19" x14ac:dyDescent="0.25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e">
        <f>VLOOKUP(F4445,'Customer Info'!A4437:I4936,2,0)</f>
        <v>#N/A</v>
      </c>
      <c r="H4445" s="6" t="e">
        <f>VLOOKUP(F4445,'Customer Info'!A4437:I4936,3,0)</f>
        <v>#N/A</v>
      </c>
      <c r="I4445" s="6" t="e">
        <f>VLOOKUP(F4445,'Customer Info'!A4437:I4936,5,0)</f>
        <v>#N/A</v>
      </c>
      <c r="J4445" s="2">
        <v>1498</v>
      </c>
      <c r="K4445" s="2">
        <v>1335</v>
      </c>
      <c r="L4445" s="2">
        <v>1</v>
      </c>
      <c r="M4445" s="7">
        <f t="shared" si="276"/>
        <v>1335</v>
      </c>
      <c r="N4445" s="7">
        <f t="shared" si="277"/>
        <v>1498</v>
      </c>
      <c r="O4445" s="2">
        <v>86</v>
      </c>
      <c r="P4445" s="8">
        <f t="shared" si="278"/>
        <v>1584</v>
      </c>
      <c r="Q4445" s="8">
        <f t="shared" si="279"/>
        <v>1412</v>
      </c>
      <c r="R4445" s="2" t="s">
        <v>28</v>
      </c>
      <c r="S4445" s="9">
        <f>VLOOKUP(P4445,$T$2:U4442,2,1)</f>
        <v>0.02</v>
      </c>
    </row>
    <row r="4446" spans="1:19" x14ac:dyDescent="0.25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e">
        <f>VLOOKUP(F4446,'Customer Info'!A4438:I4937,2,0)</f>
        <v>#N/A</v>
      </c>
      <c r="H4446" s="6" t="e">
        <f>VLOOKUP(F4446,'Customer Info'!A4438:I4937,3,0)</f>
        <v>#N/A</v>
      </c>
      <c r="I4446" s="6" t="e">
        <f>VLOOKUP(F4446,'Customer Info'!A4438:I4937,5,0)</f>
        <v>#N/A</v>
      </c>
      <c r="J4446" s="2">
        <v>1845</v>
      </c>
      <c r="K4446" s="2">
        <v>1742</v>
      </c>
      <c r="L4446" s="2">
        <v>6</v>
      </c>
      <c r="M4446" s="7">
        <f t="shared" si="276"/>
        <v>10452</v>
      </c>
      <c r="N4446" s="7">
        <f t="shared" si="277"/>
        <v>11070</v>
      </c>
      <c r="O4446" s="2">
        <v>77</v>
      </c>
      <c r="P4446" s="8">
        <f t="shared" si="278"/>
        <v>11147</v>
      </c>
      <c r="Q4446" s="8">
        <f t="shared" si="279"/>
        <v>10993</v>
      </c>
      <c r="R4446" s="2" t="s">
        <v>50</v>
      </c>
      <c r="S4446" s="9">
        <f>VLOOKUP(P4446,$T$2:U4443,2,1)</f>
        <v>0.05</v>
      </c>
    </row>
    <row r="4447" spans="1:19" x14ac:dyDescent="0.25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e">
        <f>VLOOKUP(F4447,'Customer Info'!A4439:I4938,2,0)</f>
        <v>#N/A</v>
      </c>
      <c r="H4447" s="6" t="e">
        <f>VLOOKUP(F4447,'Customer Info'!A4439:I4938,3,0)</f>
        <v>#N/A</v>
      </c>
      <c r="I4447" s="6" t="e">
        <f>VLOOKUP(F4447,'Customer Info'!A4439:I4938,5,0)</f>
        <v>#N/A</v>
      </c>
      <c r="J4447" s="2">
        <v>35350</v>
      </c>
      <c r="K4447" s="2">
        <v>33037</v>
      </c>
      <c r="L4447" s="2">
        <v>2</v>
      </c>
      <c r="M4447" s="7">
        <f t="shared" si="276"/>
        <v>66074</v>
      </c>
      <c r="N4447" s="7">
        <f t="shared" si="277"/>
        <v>70700</v>
      </c>
      <c r="O4447" s="2">
        <v>51</v>
      </c>
      <c r="P4447" s="8">
        <f t="shared" si="278"/>
        <v>70751</v>
      </c>
      <c r="Q4447" s="8">
        <f t="shared" si="279"/>
        <v>70649</v>
      </c>
      <c r="R4447" s="2" t="s">
        <v>28</v>
      </c>
      <c r="S4447" s="9">
        <f>VLOOKUP(P4447,$T$2:U4444,2,1)</f>
        <v>0.09</v>
      </c>
    </row>
    <row r="4448" spans="1:19" x14ac:dyDescent="0.25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e">
        <f>VLOOKUP(F4448,'Customer Info'!A4440:I4939,2,0)</f>
        <v>#N/A</v>
      </c>
      <c r="H4448" s="6" t="e">
        <f>VLOOKUP(F4448,'Customer Info'!A4440:I4939,3,0)</f>
        <v>#N/A</v>
      </c>
      <c r="I4448" s="6" t="e">
        <f>VLOOKUP(F4448,'Customer Info'!A4440:I4939,5,0)</f>
        <v>#N/A</v>
      </c>
      <c r="J4448" s="2">
        <v>1441</v>
      </c>
      <c r="K4448" s="2">
        <v>1360</v>
      </c>
      <c r="L4448" s="2">
        <v>2</v>
      </c>
      <c r="M4448" s="7">
        <f t="shared" si="276"/>
        <v>2720</v>
      </c>
      <c r="N4448" s="7">
        <f t="shared" si="277"/>
        <v>2882</v>
      </c>
      <c r="O4448" s="2">
        <v>42</v>
      </c>
      <c r="P4448" s="8">
        <f t="shared" si="278"/>
        <v>2924</v>
      </c>
      <c r="Q4448" s="8">
        <f t="shared" si="279"/>
        <v>2840</v>
      </c>
      <c r="R4448" s="2" t="s">
        <v>28</v>
      </c>
      <c r="S4448" s="9">
        <f>VLOOKUP(P4448,$T$2:U4445,2,1)</f>
        <v>0.02</v>
      </c>
    </row>
    <row r="4449" spans="1:19" x14ac:dyDescent="0.25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e">
        <f>VLOOKUP(F4449,'Customer Info'!A4441:I4940,2,0)</f>
        <v>#N/A</v>
      </c>
      <c r="H4449" s="6" t="e">
        <f>VLOOKUP(F4449,'Customer Info'!A4441:I4940,3,0)</f>
        <v>#N/A</v>
      </c>
      <c r="I4449" s="6" t="e">
        <f>VLOOKUP(F4449,'Customer Info'!A4441:I4940,5,0)</f>
        <v>#N/A</v>
      </c>
      <c r="J4449" s="2">
        <v>1703</v>
      </c>
      <c r="K4449" s="2">
        <v>1639</v>
      </c>
      <c r="L4449" s="2">
        <v>2</v>
      </c>
      <c r="M4449" s="7">
        <f t="shared" si="276"/>
        <v>3278</v>
      </c>
      <c r="N4449" s="7">
        <f t="shared" si="277"/>
        <v>3406</v>
      </c>
      <c r="O4449" s="2">
        <v>72</v>
      </c>
      <c r="P4449" s="8">
        <f t="shared" si="278"/>
        <v>3478</v>
      </c>
      <c r="Q4449" s="8">
        <f t="shared" si="279"/>
        <v>3334</v>
      </c>
      <c r="R4449" s="2" t="s">
        <v>28</v>
      </c>
      <c r="S4449" s="9">
        <f>VLOOKUP(P4449,$T$2:U4446,2,1)</f>
        <v>0.02</v>
      </c>
    </row>
    <row r="4450" spans="1:19" x14ac:dyDescent="0.25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e">
        <f>VLOOKUP(F4450,'Customer Info'!A4442:I4941,2,0)</f>
        <v>#N/A</v>
      </c>
      <c r="H4450" s="6" t="e">
        <f>VLOOKUP(F4450,'Customer Info'!A4442:I4941,3,0)</f>
        <v>#N/A</v>
      </c>
      <c r="I4450" s="6" t="e">
        <f>VLOOKUP(F4450,'Customer Info'!A4442:I4941,5,0)</f>
        <v>#N/A</v>
      </c>
      <c r="J4450" s="2">
        <v>3145</v>
      </c>
      <c r="K4450" s="2">
        <v>3025</v>
      </c>
      <c r="L4450" s="2">
        <v>4</v>
      </c>
      <c r="M4450" s="7">
        <f t="shared" si="276"/>
        <v>12100</v>
      </c>
      <c r="N4450" s="7">
        <f t="shared" si="277"/>
        <v>12580</v>
      </c>
      <c r="O4450" s="2">
        <v>81</v>
      </c>
      <c r="P4450" s="8">
        <f t="shared" si="278"/>
        <v>12661</v>
      </c>
      <c r="Q4450" s="8">
        <f t="shared" si="279"/>
        <v>12499</v>
      </c>
      <c r="R4450" s="2" t="s">
        <v>28</v>
      </c>
      <c r="S4450" s="9">
        <f>VLOOKUP(P4450,$T$2:U4447,2,1)</f>
        <v>0.05</v>
      </c>
    </row>
    <row r="4451" spans="1:19" x14ac:dyDescent="0.25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e">
        <f>VLOOKUP(F4451,'Customer Info'!A4443:I4942,2,0)</f>
        <v>#N/A</v>
      </c>
      <c r="H4451" s="6" t="e">
        <f>VLOOKUP(F4451,'Customer Info'!A4443:I4942,3,0)</f>
        <v>#N/A</v>
      </c>
      <c r="I4451" s="6" t="e">
        <f>VLOOKUP(F4451,'Customer Info'!A4443:I4942,5,0)</f>
        <v>#N/A</v>
      </c>
      <c r="J4451" s="2">
        <v>8351</v>
      </c>
      <c r="K4451" s="2">
        <v>8033</v>
      </c>
      <c r="L4451" s="2">
        <v>2</v>
      </c>
      <c r="M4451" s="7">
        <f t="shared" si="276"/>
        <v>16066</v>
      </c>
      <c r="N4451" s="7">
        <f t="shared" si="277"/>
        <v>16702</v>
      </c>
      <c r="O4451" s="2">
        <v>46</v>
      </c>
      <c r="P4451" s="8">
        <f t="shared" si="278"/>
        <v>16748</v>
      </c>
      <c r="Q4451" s="8">
        <f t="shared" si="279"/>
        <v>16656</v>
      </c>
      <c r="R4451" s="2" t="s">
        <v>28</v>
      </c>
      <c r="S4451" s="9">
        <f>VLOOKUP(P4451,$T$2:U4448,2,1)</f>
        <v>0.05</v>
      </c>
    </row>
    <row r="4452" spans="1:19" x14ac:dyDescent="0.25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e">
        <f>VLOOKUP(F4452,'Customer Info'!A4444:I4943,2,0)</f>
        <v>#N/A</v>
      </c>
      <c r="H4452" s="6" t="e">
        <f>VLOOKUP(F4452,'Customer Info'!A4444:I4943,3,0)</f>
        <v>#N/A</v>
      </c>
      <c r="I4452" s="6" t="e">
        <f>VLOOKUP(F4452,'Customer Info'!A4444:I4943,5,0)</f>
        <v>#N/A</v>
      </c>
      <c r="J4452" s="2">
        <v>3053</v>
      </c>
      <c r="K4452" s="2">
        <v>2937</v>
      </c>
      <c r="L4452" s="2">
        <v>7</v>
      </c>
      <c r="M4452" s="7">
        <f t="shared" si="276"/>
        <v>20559</v>
      </c>
      <c r="N4452" s="7">
        <f t="shared" si="277"/>
        <v>21371</v>
      </c>
      <c r="O4452" s="2">
        <v>24</v>
      </c>
      <c r="P4452" s="8">
        <f t="shared" si="278"/>
        <v>21395</v>
      </c>
      <c r="Q4452" s="8">
        <f t="shared" si="279"/>
        <v>21347</v>
      </c>
      <c r="R4452" s="2" t="s">
        <v>28</v>
      </c>
      <c r="S4452" s="9">
        <f>VLOOKUP(P4452,$T$2:U4449,2,1)</f>
        <v>0.05</v>
      </c>
    </row>
    <row r="4453" spans="1:19" x14ac:dyDescent="0.25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e">
        <f>VLOOKUP(F4453,'Customer Info'!A4445:I4944,2,0)</f>
        <v>#N/A</v>
      </c>
      <c r="H4453" s="6" t="e">
        <f>VLOOKUP(F4453,'Customer Info'!A4445:I4944,3,0)</f>
        <v>#N/A</v>
      </c>
      <c r="I4453" s="6" t="e">
        <f>VLOOKUP(F4453,'Customer Info'!A4445:I4944,5,0)</f>
        <v>#N/A</v>
      </c>
      <c r="J4453" s="2">
        <v>185</v>
      </c>
      <c r="K4453" s="2">
        <v>171</v>
      </c>
      <c r="L4453" s="2">
        <v>4</v>
      </c>
      <c r="M4453" s="7">
        <f t="shared" si="276"/>
        <v>684</v>
      </c>
      <c r="N4453" s="7">
        <f t="shared" si="277"/>
        <v>740</v>
      </c>
      <c r="O4453" s="2">
        <v>30</v>
      </c>
      <c r="P4453" s="8">
        <f t="shared" si="278"/>
        <v>770</v>
      </c>
      <c r="Q4453" s="8">
        <f t="shared" si="279"/>
        <v>710</v>
      </c>
      <c r="R4453" s="2" t="s">
        <v>28</v>
      </c>
      <c r="S4453" s="9">
        <f>VLOOKUP(P4453,$T$2:U4450,2,1)</f>
        <v>0.02</v>
      </c>
    </row>
    <row r="4454" spans="1:19" x14ac:dyDescent="0.25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e">
        <f>VLOOKUP(F4454,'Customer Info'!A4446:I4945,2,0)</f>
        <v>#N/A</v>
      </c>
      <c r="H4454" s="6" t="e">
        <f>VLOOKUP(F4454,'Customer Info'!A4446:I4945,3,0)</f>
        <v>#N/A</v>
      </c>
      <c r="I4454" s="6" t="e">
        <f>VLOOKUP(F4454,'Customer Info'!A4446:I4945,5,0)</f>
        <v>#N/A</v>
      </c>
      <c r="J4454" s="2">
        <v>3354</v>
      </c>
      <c r="K4454" s="2">
        <v>3102</v>
      </c>
      <c r="L4454" s="2">
        <v>8</v>
      </c>
      <c r="M4454" s="7">
        <f t="shared" si="276"/>
        <v>24816</v>
      </c>
      <c r="N4454" s="7">
        <f t="shared" si="277"/>
        <v>26832</v>
      </c>
      <c r="O4454" s="2">
        <v>73</v>
      </c>
      <c r="P4454" s="8">
        <f t="shared" si="278"/>
        <v>26905</v>
      </c>
      <c r="Q4454" s="8">
        <f t="shared" si="279"/>
        <v>26759</v>
      </c>
      <c r="R4454" s="2" t="s">
        <v>56</v>
      </c>
      <c r="S4454" s="9">
        <f>VLOOKUP(P4454,$T$2:U4451,2,1)</f>
        <v>7.0000000000000007E-2</v>
      </c>
    </row>
    <row r="4455" spans="1:19" x14ac:dyDescent="0.25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e">
        <f>VLOOKUP(F4455,'Customer Info'!A4447:I4946,2,0)</f>
        <v>#N/A</v>
      </c>
      <c r="H4455" s="6" t="e">
        <f>VLOOKUP(F4455,'Customer Info'!A4447:I4946,3,0)</f>
        <v>#N/A</v>
      </c>
      <c r="I4455" s="6" t="e">
        <f>VLOOKUP(F4455,'Customer Info'!A4447:I4946,5,0)</f>
        <v>#N/A</v>
      </c>
      <c r="J4455" s="2">
        <v>1169</v>
      </c>
      <c r="K4455" s="2">
        <v>1072</v>
      </c>
      <c r="L4455" s="2">
        <v>4</v>
      </c>
      <c r="M4455" s="7">
        <f t="shared" si="276"/>
        <v>4288</v>
      </c>
      <c r="N4455" s="7">
        <f t="shared" si="277"/>
        <v>4676</v>
      </c>
      <c r="O4455" s="2">
        <v>75</v>
      </c>
      <c r="P4455" s="8">
        <f t="shared" si="278"/>
        <v>4751</v>
      </c>
      <c r="Q4455" s="8">
        <f t="shared" si="279"/>
        <v>4601</v>
      </c>
      <c r="R4455" s="2" t="s">
        <v>26</v>
      </c>
      <c r="S4455" s="9">
        <f>VLOOKUP(P4455,$T$2:U4452,2,1)</f>
        <v>0.02</v>
      </c>
    </row>
    <row r="4456" spans="1:19" x14ac:dyDescent="0.25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e">
        <f>VLOOKUP(F4456,'Customer Info'!A4448:I4947,2,0)</f>
        <v>#N/A</v>
      </c>
      <c r="H4456" s="6" t="e">
        <f>VLOOKUP(F4456,'Customer Info'!A4448:I4947,3,0)</f>
        <v>#N/A</v>
      </c>
      <c r="I4456" s="6" t="e">
        <f>VLOOKUP(F4456,'Customer Info'!A4448:I4947,5,0)</f>
        <v>#N/A</v>
      </c>
      <c r="J4456" s="2">
        <v>829</v>
      </c>
      <c r="K4456" s="2">
        <v>761</v>
      </c>
      <c r="L4456" s="2">
        <v>4</v>
      </c>
      <c r="M4456" s="7">
        <f t="shared" si="276"/>
        <v>3044</v>
      </c>
      <c r="N4456" s="7">
        <f t="shared" si="277"/>
        <v>3316</v>
      </c>
      <c r="O4456" s="2">
        <v>79</v>
      </c>
      <c r="P4456" s="8">
        <f t="shared" si="278"/>
        <v>3395</v>
      </c>
      <c r="Q4456" s="8">
        <f t="shared" si="279"/>
        <v>3237</v>
      </c>
      <c r="R4456" s="2" t="s">
        <v>28</v>
      </c>
      <c r="S4456" s="9">
        <f>VLOOKUP(P4456,$T$2:U4453,2,1)</f>
        <v>0.02</v>
      </c>
    </row>
    <row r="4457" spans="1:19" x14ac:dyDescent="0.25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e">
        <f>VLOOKUP(F4457,'Customer Info'!A4449:I4948,2,0)</f>
        <v>#N/A</v>
      </c>
      <c r="H4457" s="6" t="e">
        <f>VLOOKUP(F4457,'Customer Info'!A4449:I4948,3,0)</f>
        <v>#N/A</v>
      </c>
      <c r="I4457" s="6" t="e">
        <f>VLOOKUP(F4457,'Customer Info'!A4449:I4948,5,0)</f>
        <v>#N/A</v>
      </c>
      <c r="J4457" s="2">
        <v>1770</v>
      </c>
      <c r="K4457" s="2">
        <v>1592</v>
      </c>
      <c r="L4457" s="2">
        <v>1</v>
      </c>
      <c r="M4457" s="7">
        <f t="shared" si="276"/>
        <v>1592</v>
      </c>
      <c r="N4457" s="7">
        <f t="shared" si="277"/>
        <v>1770</v>
      </c>
      <c r="O4457" s="2">
        <v>53</v>
      </c>
      <c r="P4457" s="8">
        <f t="shared" si="278"/>
        <v>1823</v>
      </c>
      <c r="Q4457" s="8">
        <f t="shared" si="279"/>
        <v>1717</v>
      </c>
      <c r="R4457" s="2" t="s">
        <v>28</v>
      </c>
      <c r="S4457" s="9">
        <f>VLOOKUP(P4457,$T$2:U4454,2,1)</f>
        <v>0.02</v>
      </c>
    </row>
    <row r="4458" spans="1:19" x14ac:dyDescent="0.25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e">
        <f>VLOOKUP(F4458,'Customer Info'!A4450:I4949,2,0)</f>
        <v>#N/A</v>
      </c>
      <c r="H4458" s="6" t="e">
        <f>VLOOKUP(F4458,'Customer Info'!A4450:I4949,3,0)</f>
        <v>#N/A</v>
      </c>
      <c r="I4458" s="6" t="e">
        <f>VLOOKUP(F4458,'Customer Info'!A4450:I4949,5,0)</f>
        <v>#N/A</v>
      </c>
      <c r="J4458" s="2">
        <v>7623</v>
      </c>
      <c r="K4458" s="2">
        <v>7064</v>
      </c>
      <c r="L4458" s="2">
        <v>3</v>
      </c>
      <c r="M4458" s="7">
        <f t="shared" si="276"/>
        <v>21192</v>
      </c>
      <c r="N4458" s="7">
        <f t="shared" si="277"/>
        <v>22869</v>
      </c>
      <c r="O4458" s="2">
        <v>63</v>
      </c>
      <c r="P4458" s="8">
        <f t="shared" si="278"/>
        <v>22932</v>
      </c>
      <c r="Q4458" s="8">
        <f t="shared" si="279"/>
        <v>22806</v>
      </c>
      <c r="R4458" s="2" t="s">
        <v>28</v>
      </c>
      <c r="S4458" s="9">
        <f>VLOOKUP(P4458,$T$2:U4455,2,1)</f>
        <v>0.05</v>
      </c>
    </row>
    <row r="4459" spans="1:19" x14ac:dyDescent="0.25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e">
        <f>VLOOKUP(F4459,'Customer Info'!A4451:I4950,2,0)</f>
        <v>#N/A</v>
      </c>
      <c r="H4459" s="6" t="e">
        <f>VLOOKUP(F4459,'Customer Info'!A4451:I4950,3,0)</f>
        <v>#N/A</v>
      </c>
      <c r="I4459" s="6" t="e">
        <f>VLOOKUP(F4459,'Customer Info'!A4451:I4950,5,0)</f>
        <v>#N/A</v>
      </c>
      <c r="J4459" s="2">
        <v>6768</v>
      </c>
      <c r="K4459" s="2">
        <v>6512</v>
      </c>
      <c r="L4459" s="2">
        <v>4</v>
      </c>
      <c r="M4459" s="7">
        <f t="shared" si="276"/>
        <v>26048</v>
      </c>
      <c r="N4459" s="7">
        <f t="shared" si="277"/>
        <v>27072</v>
      </c>
      <c r="O4459" s="2">
        <v>63</v>
      </c>
      <c r="P4459" s="8">
        <f t="shared" si="278"/>
        <v>27135</v>
      </c>
      <c r="Q4459" s="8">
        <f t="shared" si="279"/>
        <v>27009</v>
      </c>
      <c r="R4459" s="2" t="s">
        <v>28</v>
      </c>
      <c r="S4459" s="9">
        <f>VLOOKUP(P4459,$T$2:U4456,2,1)</f>
        <v>7.0000000000000007E-2</v>
      </c>
    </row>
    <row r="4460" spans="1:19" x14ac:dyDescent="0.25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e">
        <f>VLOOKUP(F4460,'Customer Info'!A4452:I4951,2,0)</f>
        <v>#N/A</v>
      </c>
      <c r="H4460" s="6" t="e">
        <f>VLOOKUP(F4460,'Customer Info'!A4452:I4951,3,0)</f>
        <v>#N/A</v>
      </c>
      <c r="I4460" s="6" t="e">
        <f>VLOOKUP(F4460,'Customer Info'!A4452:I4951,5,0)</f>
        <v>#N/A</v>
      </c>
      <c r="J4460" s="2">
        <v>751</v>
      </c>
      <c r="K4460" s="2">
        <v>696</v>
      </c>
      <c r="L4460" s="2">
        <v>2</v>
      </c>
      <c r="M4460" s="7">
        <f t="shared" si="276"/>
        <v>1392</v>
      </c>
      <c r="N4460" s="7">
        <f t="shared" si="277"/>
        <v>1502</v>
      </c>
      <c r="O4460" s="2">
        <v>26</v>
      </c>
      <c r="P4460" s="8">
        <f t="shared" si="278"/>
        <v>1528</v>
      </c>
      <c r="Q4460" s="8">
        <f t="shared" si="279"/>
        <v>1476</v>
      </c>
      <c r="R4460" s="2" t="s">
        <v>28</v>
      </c>
      <c r="S4460" s="9">
        <f>VLOOKUP(P4460,$T$2:U4457,2,1)</f>
        <v>0.02</v>
      </c>
    </row>
    <row r="4461" spans="1:19" x14ac:dyDescent="0.25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e">
        <f>VLOOKUP(F4461,'Customer Info'!A4453:I4952,2,0)</f>
        <v>#N/A</v>
      </c>
      <c r="H4461" s="6" t="e">
        <f>VLOOKUP(F4461,'Customer Info'!A4453:I4952,3,0)</f>
        <v>#N/A</v>
      </c>
      <c r="I4461" s="6" t="e">
        <f>VLOOKUP(F4461,'Customer Info'!A4453:I4952,5,0)</f>
        <v>#N/A</v>
      </c>
      <c r="J4461" s="2">
        <v>7658</v>
      </c>
      <c r="K4461" s="2">
        <v>7026</v>
      </c>
      <c r="L4461" s="2">
        <v>1</v>
      </c>
      <c r="M4461" s="7">
        <f t="shared" si="276"/>
        <v>7026</v>
      </c>
      <c r="N4461" s="7">
        <f t="shared" si="277"/>
        <v>7658</v>
      </c>
      <c r="O4461" s="2">
        <v>44</v>
      </c>
      <c r="P4461" s="8">
        <f t="shared" si="278"/>
        <v>7702</v>
      </c>
      <c r="Q4461" s="8">
        <f t="shared" si="279"/>
        <v>7614</v>
      </c>
      <c r="R4461" s="2" t="s">
        <v>28</v>
      </c>
      <c r="S4461" s="9">
        <f>VLOOKUP(P4461,$T$2:U4458,2,1)</f>
        <v>0.05</v>
      </c>
    </row>
    <row r="4462" spans="1:19" x14ac:dyDescent="0.25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e">
        <f>VLOOKUP(F4462,'Customer Info'!A4454:I4953,2,0)</f>
        <v>#N/A</v>
      </c>
      <c r="H4462" s="6" t="e">
        <f>VLOOKUP(F4462,'Customer Info'!A4454:I4953,3,0)</f>
        <v>#N/A</v>
      </c>
      <c r="I4462" s="6" t="e">
        <f>VLOOKUP(F4462,'Customer Info'!A4454:I4953,5,0)</f>
        <v>#N/A</v>
      </c>
      <c r="J4462" s="2">
        <v>8752</v>
      </c>
      <c r="K4462" s="2">
        <v>7877</v>
      </c>
      <c r="L4462" s="2">
        <v>2</v>
      </c>
      <c r="M4462" s="7">
        <f t="shared" si="276"/>
        <v>15754</v>
      </c>
      <c r="N4462" s="7">
        <f t="shared" si="277"/>
        <v>17504</v>
      </c>
      <c r="O4462" s="2">
        <v>100</v>
      </c>
      <c r="P4462" s="8">
        <f t="shared" si="278"/>
        <v>17604</v>
      </c>
      <c r="Q4462" s="8">
        <f t="shared" si="279"/>
        <v>17404</v>
      </c>
      <c r="R4462" s="2" t="s">
        <v>26</v>
      </c>
      <c r="S4462" s="9">
        <f>VLOOKUP(P4462,$T$2:U4459,2,1)</f>
        <v>0.05</v>
      </c>
    </row>
    <row r="4463" spans="1:19" x14ac:dyDescent="0.25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e">
        <f>VLOOKUP(F4463,'Customer Info'!A4455:I4954,2,0)</f>
        <v>#N/A</v>
      </c>
      <c r="H4463" s="6" t="e">
        <f>VLOOKUP(F4463,'Customer Info'!A4455:I4954,3,0)</f>
        <v>#N/A</v>
      </c>
      <c r="I4463" s="6" t="e">
        <f>VLOOKUP(F4463,'Customer Info'!A4455:I4954,5,0)</f>
        <v>#N/A</v>
      </c>
      <c r="J4463" s="2">
        <v>8630</v>
      </c>
      <c r="K4463" s="2">
        <v>8303</v>
      </c>
      <c r="L4463" s="2">
        <v>3</v>
      </c>
      <c r="M4463" s="7">
        <f t="shared" si="276"/>
        <v>24909</v>
      </c>
      <c r="N4463" s="7">
        <f t="shared" si="277"/>
        <v>25890</v>
      </c>
      <c r="O4463" s="2">
        <v>70</v>
      </c>
      <c r="P4463" s="8">
        <f t="shared" si="278"/>
        <v>25960</v>
      </c>
      <c r="Q4463" s="8">
        <f t="shared" si="279"/>
        <v>25820</v>
      </c>
      <c r="R4463" s="2" t="s">
        <v>50</v>
      </c>
      <c r="S4463" s="9">
        <f>VLOOKUP(P4463,$T$2:U4460,2,1)</f>
        <v>7.0000000000000007E-2</v>
      </c>
    </row>
    <row r="4464" spans="1:19" x14ac:dyDescent="0.25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e">
        <f>VLOOKUP(F4464,'Customer Info'!A4456:I4955,2,0)</f>
        <v>#N/A</v>
      </c>
      <c r="H4464" s="6" t="e">
        <f>VLOOKUP(F4464,'Customer Info'!A4456:I4955,3,0)</f>
        <v>#N/A</v>
      </c>
      <c r="I4464" s="6" t="e">
        <f>VLOOKUP(F4464,'Customer Info'!A4456:I4955,5,0)</f>
        <v>#N/A</v>
      </c>
      <c r="J4464" s="2">
        <v>458</v>
      </c>
      <c r="K4464" s="2">
        <v>419</v>
      </c>
      <c r="L4464" s="2">
        <v>7</v>
      </c>
      <c r="M4464" s="7">
        <f t="shared" si="276"/>
        <v>2933</v>
      </c>
      <c r="N4464" s="7">
        <f t="shared" si="277"/>
        <v>3206</v>
      </c>
      <c r="O4464" s="2">
        <v>70</v>
      </c>
      <c r="P4464" s="8">
        <f t="shared" si="278"/>
        <v>3276</v>
      </c>
      <c r="Q4464" s="8">
        <f t="shared" si="279"/>
        <v>3136</v>
      </c>
      <c r="R4464" s="2" t="s">
        <v>56</v>
      </c>
      <c r="S4464" s="9">
        <f>VLOOKUP(P4464,$T$2:U4461,2,1)</f>
        <v>0.02</v>
      </c>
    </row>
    <row r="4465" spans="1:19" x14ac:dyDescent="0.25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e">
        <f>VLOOKUP(F4465,'Customer Info'!A4457:I4956,2,0)</f>
        <v>#N/A</v>
      </c>
      <c r="H4465" s="6" t="e">
        <f>VLOOKUP(F4465,'Customer Info'!A4457:I4956,3,0)</f>
        <v>#N/A</v>
      </c>
      <c r="I4465" s="6" t="e">
        <f>VLOOKUP(F4465,'Customer Info'!A4457:I4956,5,0)</f>
        <v>#N/A</v>
      </c>
      <c r="J4465" s="2">
        <v>97</v>
      </c>
      <c r="K4465" s="2">
        <v>92</v>
      </c>
      <c r="L4465" s="2">
        <v>2</v>
      </c>
      <c r="M4465" s="7">
        <f t="shared" si="276"/>
        <v>184</v>
      </c>
      <c r="N4465" s="7">
        <f t="shared" si="277"/>
        <v>194</v>
      </c>
      <c r="O4465" s="2">
        <v>10</v>
      </c>
      <c r="P4465" s="8">
        <f t="shared" si="278"/>
        <v>204</v>
      </c>
      <c r="Q4465" s="8">
        <f t="shared" si="279"/>
        <v>184</v>
      </c>
      <c r="R4465" s="2" t="s">
        <v>28</v>
      </c>
      <c r="S4465" s="9">
        <f>VLOOKUP(P4465,$T$2:U4462,2,1)</f>
        <v>0.02</v>
      </c>
    </row>
    <row r="4466" spans="1:19" x14ac:dyDescent="0.25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e">
        <f>VLOOKUP(F4466,'Customer Info'!A4458:I4957,2,0)</f>
        <v>#N/A</v>
      </c>
      <c r="H4466" s="6" t="e">
        <f>VLOOKUP(F4466,'Customer Info'!A4458:I4957,3,0)</f>
        <v>#N/A</v>
      </c>
      <c r="I4466" s="6" t="e">
        <f>VLOOKUP(F4466,'Customer Info'!A4458:I4957,5,0)</f>
        <v>#N/A</v>
      </c>
      <c r="J4466" s="2">
        <v>1585</v>
      </c>
      <c r="K4466" s="2">
        <v>1495</v>
      </c>
      <c r="L4466" s="2">
        <v>6</v>
      </c>
      <c r="M4466" s="7">
        <f t="shared" si="276"/>
        <v>8970</v>
      </c>
      <c r="N4466" s="7">
        <f t="shared" si="277"/>
        <v>9510</v>
      </c>
      <c r="O4466" s="2">
        <v>48</v>
      </c>
      <c r="P4466" s="8">
        <f t="shared" si="278"/>
        <v>9558</v>
      </c>
      <c r="Q4466" s="8">
        <f t="shared" si="279"/>
        <v>9462</v>
      </c>
      <c r="R4466" s="2" t="s">
        <v>28</v>
      </c>
      <c r="S4466" s="9">
        <f>VLOOKUP(P4466,$T$2:U4463,2,1)</f>
        <v>0.05</v>
      </c>
    </row>
    <row r="4467" spans="1:19" x14ac:dyDescent="0.25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e">
        <f>VLOOKUP(F4467,'Customer Info'!A4459:I4958,2,0)</f>
        <v>#N/A</v>
      </c>
      <c r="H4467" s="6" t="e">
        <f>VLOOKUP(F4467,'Customer Info'!A4459:I4958,3,0)</f>
        <v>#N/A</v>
      </c>
      <c r="I4467" s="6" t="e">
        <f>VLOOKUP(F4467,'Customer Info'!A4459:I4958,5,0)</f>
        <v>#N/A</v>
      </c>
      <c r="J4467" s="2">
        <v>6274</v>
      </c>
      <c r="K4467" s="2">
        <v>6093</v>
      </c>
      <c r="L4467" s="2">
        <v>4</v>
      </c>
      <c r="M4467" s="7">
        <f t="shared" si="276"/>
        <v>24372</v>
      </c>
      <c r="N4467" s="7">
        <f t="shared" si="277"/>
        <v>25096</v>
      </c>
      <c r="O4467" s="2">
        <v>78</v>
      </c>
      <c r="P4467" s="8">
        <f t="shared" si="278"/>
        <v>25174</v>
      </c>
      <c r="Q4467" s="8">
        <f t="shared" si="279"/>
        <v>25018</v>
      </c>
      <c r="R4467" s="2" t="s">
        <v>56</v>
      </c>
      <c r="S4467" s="9">
        <f>VLOOKUP(P4467,$T$2:U4464,2,1)</f>
        <v>7.0000000000000007E-2</v>
      </c>
    </row>
    <row r="4468" spans="1:19" x14ac:dyDescent="0.25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e">
        <f>VLOOKUP(F4468,'Customer Info'!A4460:I4959,2,0)</f>
        <v>#N/A</v>
      </c>
      <c r="H4468" s="6" t="e">
        <f>VLOOKUP(F4468,'Customer Info'!A4460:I4959,3,0)</f>
        <v>#N/A</v>
      </c>
      <c r="I4468" s="6" t="e">
        <f>VLOOKUP(F4468,'Customer Info'!A4460:I4959,5,0)</f>
        <v>#N/A</v>
      </c>
      <c r="J4468" s="2">
        <v>1878</v>
      </c>
      <c r="K4468" s="2">
        <v>1790</v>
      </c>
      <c r="L4468" s="2">
        <v>1</v>
      </c>
      <c r="M4468" s="7">
        <f t="shared" si="276"/>
        <v>1790</v>
      </c>
      <c r="N4468" s="7">
        <f t="shared" si="277"/>
        <v>1878</v>
      </c>
      <c r="O4468" s="2">
        <v>48</v>
      </c>
      <c r="P4468" s="8">
        <f t="shared" si="278"/>
        <v>1926</v>
      </c>
      <c r="Q4468" s="8">
        <f t="shared" si="279"/>
        <v>1830</v>
      </c>
      <c r="R4468" s="2" t="s">
        <v>50</v>
      </c>
      <c r="S4468" s="9">
        <f>VLOOKUP(P4468,$T$2:U4465,2,1)</f>
        <v>0.02</v>
      </c>
    </row>
    <row r="4469" spans="1:19" x14ac:dyDescent="0.25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e">
        <f>VLOOKUP(F4469,'Customer Info'!A4461:I4960,2,0)</f>
        <v>#N/A</v>
      </c>
      <c r="H4469" s="6" t="e">
        <f>VLOOKUP(F4469,'Customer Info'!A4461:I4960,3,0)</f>
        <v>#N/A</v>
      </c>
      <c r="I4469" s="6" t="e">
        <f>VLOOKUP(F4469,'Customer Info'!A4461:I4960,5,0)</f>
        <v>#N/A</v>
      </c>
      <c r="J4469" s="2">
        <v>8399</v>
      </c>
      <c r="K4469" s="2">
        <v>8001</v>
      </c>
      <c r="L4469" s="2">
        <v>4</v>
      </c>
      <c r="M4469" s="7">
        <f t="shared" si="276"/>
        <v>32004</v>
      </c>
      <c r="N4469" s="7">
        <f t="shared" si="277"/>
        <v>33596</v>
      </c>
      <c r="O4469" s="2">
        <v>72</v>
      </c>
      <c r="P4469" s="8">
        <f t="shared" si="278"/>
        <v>33668</v>
      </c>
      <c r="Q4469" s="8">
        <f t="shared" si="279"/>
        <v>33524</v>
      </c>
      <c r="R4469" s="2" t="s">
        <v>28</v>
      </c>
      <c r="S4469" s="9">
        <f>VLOOKUP(P4469,$T$2:U4466,2,1)</f>
        <v>7.0000000000000007E-2</v>
      </c>
    </row>
    <row r="4470" spans="1:19" x14ac:dyDescent="0.25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e">
        <f>VLOOKUP(F4470,'Customer Info'!A4462:I4961,2,0)</f>
        <v>#N/A</v>
      </c>
      <c r="H4470" s="6" t="e">
        <f>VLOOKUP(F4470,'Customer Info'!A4462:I4961,3,0)</f>
        <v>#N/A</v>
      </c>
      <c r="I4470" s="6" t="e">
        <f>VLOOKUP(F4470,'Customer Info'!A4462:I4961,5,0)</f>
        <v>#N/A</v>
      </c>
      <c r="J4470" s="2">
        <v>1441</v>
      </c>
      <c r="K4470" s="2">
        <v>1360</v>
      </c>
      <c r="L4470" s="2">
        <v>3</v>
      </c>
      <c r="M4470" s="7">
        <f t="shared" si="276"/>
        <v>4080</v>
      </c>
      <c r="N4470" s="7">
        <f t="shared" si="277"/>
        <v>4323</v>
      </c>
      <c r="O4470" s="2">
        <v>28</v>
      </c>
      <c r="P4470" s="8">
        <f t="shared" si="278"/>
        <v>4351</v>
      </c>
      <c r="Q4470" s="8">
        <f t="shared" si="279"/>
        <v>4295</v>
      </c>
      <c r="R4470" s="2" t="s">
        <v>28</v>
      </c>
      <c r="S4470" s="9">
        <f>VLOOKUP(P4470,$T$2:U4467,2,1)</f>
        <v>0.02</v>
      </c>
    </row>
    <row r="4471" spans="1:19" x14ac:dyDescent="0.25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e">
        <f>VLOOKUP(F4471,'Customer Info'!A4463:I4962,2,0)</f>
        <v>#N/A</v>
      </c>
      <c r="H4471" s="6" t="e">
        <f>VLOOKUP(F4471,'Customer Info'!A4463:I4962,3,0)</f>
        <v>#N/A</v>
      </c>
      <c r="I4471" s="6" t="e">
        <f>VLOOKUP(F4471,'Customer Info'!A4463:I4962,5,0)</f>
        <v>#N/A</v>
      </c>
      <c r="J4471" s="2">
        <v>7141</v>
      </c>
      <c r="K4471" s="2">
        <v>6541</v>
      </c>
      <c r="L4471" s="2">
        <v>4</v>
      </c>
      <c r="M4471" s="7">
        <f t="shared" si="276"/>
        <v>26164</v>
      </c>
      <c r="N4471" s="7">
        <f t="shared" si="277"/>
        <v>28564</v>
      </c>
      <c r="O4471" s="2">
        <v>88</v>
      </c>
      <c r="P4471" s="8">
        <f t="shared" si="278"/>
        <v>28652</v>
      </c>
      <c r="Q4471" s="8">
        <f t="shared" si="279"/>
        <v>28476</v>
      </c>
      <c r="R4471" s="2" t="s">
        <v>28</v>
      </c>
      <c r="S4471" s="9">
        <f>VLOOKUP(P4471,$T$2:U4468,2,1)</f>
        <v>7.0000000000000007E-2</v>
      </c>
    </row>
    <row r="4472" spans="1:19" x14ac:dyDescent="0.25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e">
        <f>VLOOKUP(F4472,'Customer Info'!A4464:I4963,2,0)</f>
        <v>#N/A</v>
      </c>
      <c r="H4472" s="6" t="e">
        <f>VLOOKUP(F4472,'Customer Info'!A4464:I4963,3,0)</f>
        <v>#N/A</v>
      </c>
      <c r="I4472" s="6" t="e">
        <f>VLOOKUP(F4472,'Customer Info'!A4464:I4963,5,0)</f>
        <v>#N/A</v>
      </c>
      <c r="J4472" s="2">
        <v>2027</v>
      </c>
      <c r="K4472" s="2">
        <v>1913</v>
      </c>
      <c r="L4472" s="2">
        <v>5</v>
      </c>
      <c r="M4472" s="7">
        <f t="shared" si="276"/>
        <v>9565</v>
      </c>
      <c r="N4472" s="7">
        <f t="shared" si="277"/>
        <v>10135</v>
      </c>
      <c r="O4472" s="2">
        <v>55</v>
      </c>
      <c r="P4472" s="8">
        <f t="shared" si="278"/>
        <v>10190</v>
      </c>
      <c r="Q4472" s="8">
        <f t="shared" si="279"/>
        <v>10080</v>
      </c>
      <c r="R4472" s="2" t="s">
        <v>28</v>
      </c>
      <c r="S4472" s="9">
        <f>VLOOKUP(P4472,$T$2:U4469,2,1)</f>
        <v>0.05</v>
      </c>
    </row>
    <row r="4473" spans="1:19" x14ac:dyDescent="0.25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e">
        <f>VLOOKUP(F4473,'Customer Info'!A4465:I4964,2,0)</f>
        <v>#N/A</v>
      </c>
      <c r="H4473" s="6" t="e">
        <f>VLOOKUP(F4473,'Customer Info'!A4465:I4964,3,0)</f>
        <v>#N/A</v>
      </c>
      <c r="I4473" s="6" t="e">
        <f>VLOOKUP(F4473,'Customer Info'!A4465:I4964,5,0)</f>
        <v>#N/A</v>
      </c>
      <c r="J4473" s="2">
        <v>531</v>
      </c>
      <c r="K4473" s="2">
        <v>487</v>
      </c>
      <c r="L4473" s="2">
        <v>2</v>
      </c>
      <c r="M4473" s="7">
        <f t="shared" si="276"/>
        <v>974</v>
      </c>
      <c r="N4473" s="7">
        <f t="shared" si="277"/>
        <v>1062</v>
      </c>
      <c r="O4473" s="2">
        <v>35</v>
      </c>
      <c r="P4473" s="8">
        <f t="shared" si="278"/>
        <v>1097</v>
      </c>
      <c r="Q4473" s="8">
        <f t="shared" si="279"/>
        <v>1027</v>
      </c>
      <c r="R4473" s="2" t="s">
        <v>28</v>
      </c>
      <c r="S4473" s="9">
        <f>VLOOKUP(P4473,$T$2:U4470,2,1)</f>
        <v>0.02</v>
      </c>
    </row>
    <row r="4474" spans="1:19" x14ac:dyDescent="0.25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e">
        <f>VLOOKUP(F4474,'Customer Info'!A4466:I4965,2,0)</f>
        <v>#N/A</v>
      </c>
      <c r="H4474" s="6" t="e">
        <f>VLOOKUP(F4474,'Customer Info'!A4466:I4965,3,0)</f>
        <v>#N/A</v>
      </c>
      <c r="I4474" s="6" t="e">
        <f>VLOOKUP(F4474,'Customer Info'!A4466:I4965,5,0)</f>
        <v>#N/A</v>
      </c>
      <c r="J4474" s="2">
        <v>285</v>
      </c>
      <c r="K4474" s="2">
        <v>259</v>
      </c>
      <c r="L4474" s="2">
        <v>8</v>
      </c>
      <c r="M4474" s="7">
        <f t="shared" si="276"/>
        <v>2072</v>
      </c>
      <c r="N4474" s="7">
        <f t="shared" si="277"/>
        <v>2280</v>
      </c>
      <c r="O4474" s="2">
        <v>53</v>
      </c>
      <c r="P4474" s="8">
        <f t="shared" si="278"/>
        <v>2333</v>
      </c>
      <c r="Q4474" s="8">
        <f t="shared" si="279"/>
        <v>2227</v>
      </c>
      <c r="R4474" s="2" t="s">
        <v>28</v>
      </c>
      <c r="S4474" s="9">
        <f>VLOOKUP(P4474,$T$2:U4471,2,1)</f>
        <v>0.02</v>
      </c>
    </row>
    <row r="4475" spans="1:19" x14ac:dyDescent="0.25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e">
        <f>VLOOKUP(F4475,'Customer Info'!A4467:I4966,2,0)</f>
        <v>#N/A</v>
      </c>
      <c r="H4475" s="6" t="e">
        <f>VLOOKUP(F4475,'Customer Info'!A4467:I4966,3,0)</f>
        <v>#N/A</v>
      </c>
      <c r="I4475" s="6" t="e">
        <f>VLOOKUP(F4475,'Customer Info'!A4467:I4966,5,0)</f>
        <v>#N/A</v>
      </c>
      <c r="J4475" s="2">
        <v>1518</v>
      </c>
      <c r="K4475" s="2">
        <v>1392</v>
      </c>
      <c r="L4475" s="2">
        <v>2</v>
      </c>
      <c r="M4475" s="7">
        <f t="shared" si="276"/>
        <v>2784</v>
      </c>
      <c r="N4475" s="7">
        <f t="shared" si="277"/>
        <v>3036</v>
      </c>
      <c r="O4475" s="2">
        <v>23</v>
      </c>
      <c r="P4475" s="8">
        <f t="shared" si="278"/>
        <v>3059</v>
      </c>
      <c r="Q4475" s="8">
        <f t="shared" si="279"/>
        <v>3013</v>
      </c>
      <c r="R4475" s="2" t="s">
        <v>28</v>
      </c>
      <c r="S4475" s="9">
        <f>VLOOKUP(P4475,$T$2:U4472,2,1)</f>
        <v>0.02</v>
      </c>
    </row>
    <row r="4476" spans="1:19" x14ac:dyDescent="0.25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e">
        <f>VLOOKUP(F4476,'Customer Info'!A4468:I4967,2,0)</f>
        <v>#N/A</v>
      </c>
      <c r="H4476" s="6" t="e">
        <f>VLOOKUP(F4476,'Customer Info'!A4468:I4967,3,0)</f>
        <v>#N/A</v>
      </c>
      <c r="I4476" s="6" t="e">
        <f>VLOOKUP(F4476,'Customer Info'!A4468:I4967,5,0)</f>
        <v>#N/A</v>
      </c>
      <c r="J4476" s="2">
        <v>69</v>
      </c>
      <c r="K4476" s="2">
        <v>64</v>
      </c>
      <c r="L4476" s="2">
        <v>7</v>
      </c>
      <c r="M4476" s="7">
        <f t="shared" si="276"/>
        <v>448</v>
      </c>
      <c r="N4476" s="7">
        <f t="shared" si="277"/>
        <v>483</v>
      </c>
      <c r="O4476" s="2">
        <v>10</v>
      </c>
      <c r="P4476" s="8">
        <f t="shared" si="278"/>
        <v>493</v>
      </c>
      <c r="Q4476" s="8">
        <f t="shared" si="279"/>
        <v>473</v>
      </c>
      <c r="R4476" s="2" t="s">
        <v>28</v>
      </c>
      <c r="S4476" s="9">
        <f>VLOOKUP(P4476,$T$2:U4473,2,1)</f>
        <v>0.02</v>
      </c>
    </row>
    <row r="4477" spans="1:19" x14ac:dyDescent="0.25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e">
        <f>VLOOKUP(F4477,'Customer Info'!A4469:I4968,2,0)</f>
        <v>#N/A</v>
      </c>
      <c r="H4477" s="6" t="e">
        <f>VLOOKUP(F4477,'Customer Info'!A4469:I4968,3,0)</f>
        <v>#N/A</v>
      </c>
      <c r="I4477" s="6" t="e">
        <f>VLOOKUP(F4477,'Customer Info'!A4469:I4968,5,0)</f>
        <v>#N/A</v>
      </c>
      <c r="J4477" s="2">
        <v>162</v>
      </c>
      <c r="K4477" s="2">
        <v>148</v>
      </c>
      <c r="L4477" s="2">
        <v>1</v>
      </c>
      <c r="M4477" s="7">
        <f t="shared" si="276"/>
        <v>148</v>
      </c>
      <c r="N4477" s="7">
        <f t="shared" si="277"/>
        <v>162</v>
      </c>
      <c r="O4477" s="2">
        <v>30</v>
      </c>
      <c r="P4477" s="8">
        <f t="shared" si="278"/>
        <v>192</v>
      </c>
      <c r="Q4477" s="8">
        <f t="shared" si="279"/>
        <v>132</v>
      </c>
      <c r="R4477" s="2" t="s">
        <v>28</v>
      </c>
      <c r="S4477" s="9">
        <f>VLOOKUP(P4477,$T$2:U4474,2,1)</f>
        <v>0.02</v>
      </c>
    </row>
    <row r="4478" spans="1:19" x14ac:dyDescent="0.25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e">
        <f>VLOOKUP(F4478,'Customer Info'!A4470:I4969,2,0)</f>
        <v>#N/A</v>
      </c>
      <c r="H4478" s="6" t="e">
        <f>VLOOKUP(F4478,'Customer Info'!A4470:I4969,3,0)</f>
        <v>#N/A</v>
      </c>
      <c r="I4478" s="6" t="e">
        <f>VLOOKUP(F4478,'Customer Info'!A4470:I4969,5,0)</f>
        <v>#N/A</v>
      </c>
      <c r="J4478" s="2">
        <v>5848</v>
      </c>
      <c r="K4478" s="2">
        <v>5214</v>
      </c>
      <c r="L4478" s="2">
        <v>6</v>
      </c>
      <c r="M4478" s="7">
        <f t="shared" si="276"/>
        <v>31284</v>
      </c>
      <c r="N4478" s="7">
        <f t="shared" si="277"/>
        <v>35088</v>
      </c>
      <c r="O4478" s="2">
        <v>36</v>
      </c>
      <c r="P4478" s="8">
        <f t="shared" si="278"/>
        <v>35124</v>
      </c>
      <c r="Q4478" s="8">
        <f t="shared" si="279"/>
        <v>35052</v>
      </c>
      <c r="R4478" s="2" t="s">
        <v>28</v>
      </c>
      <c r="S4478" s="9">
        <f>VLOOKUP(P4478,$T$2:U4475,2,1)</f>
        <v>7.0000000000000007E-2</v>
      </c>
    </row>
    <row r="4479" spans="1:19" x14ac:dyDescent="0.25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e">
        <f>VLOOKUP(F4479,'Customer Info'!A4471:I4970,2,0)</f>
        <v>#N/A</v>
      </c>
      <c r="H4479" s="6" t="e">
        <f>VLOOKUP(F4479,'Customer Info'!A4471:I4970,3,0)</f>
        <v>#N/A</v>
      </c>
      <c r="I4479" s="6" t="e">
        <f>VLOOKUP(F4479,'Customer Info'!A4471:I4970,5,0)</f>
        <v>#N/A</v>
      </c>
      <c r="J4479" s="2">
        <v>6274</v>
      </c>
      <c r="K4479" s="2">
        <v>6093</v>
      </c>
      <c r="L4479" s="2">
        <v>3</v>
      </c>
      <c r="M4479" s="7">
        <f t="shared" si="276"/>
        <v>18279</v>
      </c>
      <c r="N4479" s="7">
        <f t="shared" si="277"/>
        <v>18822</v>
      </c>
      <c r="O4479" s="2">
        <v>48</v>
      </c>
      <c r="P4479" s="8">
        <f t="shared" si="278"/>
        <v>18870</v>
      </c>
      <c r="Q4479" s="8">
        <f t="shared" si="279"/>
        <v>18774</v>
      </c>
      <c r="R4479" s="2" t="s">
        <v>28</v>
      </c>
      <c r="S4479" s="9">
        <f>VLOOKUP(P4479,$T$2:U4476,2,1)</f>
        <v>0.05</v>
      </c>
    </row>
    <row r="4480" spans="1:19" x14ac:dyDescent="0.25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e">
        <f>VLOOKUP(F4480,'Customer Info'!A4472:I4971,2,0)</f>
        <v>#N/A</v>
      </c>
      <c r="H4480" s="6" t="e">
        <f>VLOOKUP(F4480,'Customer Info'!A4472:I4971,3,0)</f>
        <v>#N/A</v>
      </c>
      <c r="I4480" s="6" t="e">
        <f>VLOOKUP(F4480,'Customer Info'!A4472:I4971,5,0)</f>
        <v>#N/A</v>
      </c>
      <c r="J4480" s="2">
        <v>1637</v>
      </c>
      <c r="K4480" s="2">
        <v>1532</v>
      </c>
      <c r="L4480" s="2">
        <v>3</v>
      </c>
      <c r="M4480" s="7">
        <f t="shared" si="276"/>
        <v>4596</v>
      </c>
      <c r="N4480" s="7">
        <f t="shared" si="277"/>
        <v>4911</v>
      </c>
      <c r="O4480" s="2">
        <v>76</v>
      </c>
      <c r="P4480" s="8">
        <f t="shared" si="278"/>
        <v>4987</v>
      </c>
      <c r="Q4480" s="8">
        <f t="shared" si="279"/>
        <v>4835</v>
      </c>
      <c r="R4480" s="2" t="s">
        <v>50</v>
      </c>
      <c r="S4480" s="9">
        <f>VLOOKUP(P4480,$T$2:U4477,2,1)</f>
        <v>0.02</v>
      </c>
    </row>
    <row r="4481" spans="1:19" x14ac:dyDescent="0.25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e">
        <f>VLOOKUP(F4481,'Customer Info'!A4473:I4972,2,0)</f>
        <v>#N/A</v>
      </c>
      <c r="H4481" s="6" t="e">
        <f>VLOOKUP(F4481,'Customer Info'!A4473:I4972,3,0)</f>
        <v>#N/A</v>
      </c>
      <c r="I4481" s="6" t="e">
        <f>VLOOKUP(F4481,'Customer Info'!A4473:I4972,5,0)</f>
        <v>#N/A</v>
      </c>
      <c r="J4481" s="2">
        <v>3288</v>
      </c>
      <c r="K4481" s="2">
        <v>3041</v>
      </c>
      <c r="L4481" s="2">
        <v>2</v>
      </c>
      <c r="M4481" s="7">
        <f t="shared" si="276"/>
        <v>6082</v>
      </c>
      <c r="N4481" s="7">
        <f t="shared" si="277"/>
        <v>6576</v>
      </c>
      <c r="O4481" s="2">
        <v>47</v>
      </c>
      <c r="P4481" s="8">
        <f t="shared" si="278"/>
        <v>6623</v>
      </c>
      <c r="Q4481" s="8">
        <f t="shared" si="279"/>
        <v>6529</v>
      </c>
      <c r="R4481" s="2" t="s">
        <v>28</v>
      </c>
      <c r="S4481" s="9">
        <f>VLOOKUP(P4481,$T$2:U4478,2,1)</f>
        <v>0.05</v>
      </c>
    </row>
    <row r="4482" spans="1:19" x14ac:dyDescent="0.25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e">
        <f>VLOOKUP(F4482,'Customer Info'!A4474:I4973,2,0)</f>
        <v>#N/A</v>
      </c>
      <c r="H4482" s="6" t="e">
        <f>VLOOKUP(F4482,'Customer Info'!A4474:I4973,3,0)</f>
        <v>#N/A</v>
      </c>
      <c r="I4482" s="6" t="e">
        <f>VLOOKUP(F4482,'Customer Info'!A4474:I4973,5,0)</f>
        <v>#N/A</v>
      </c>
      <c r="J4482" s="2">
        <v>7141</v>
      </c>
      <c r="K4482" s="2">
        <v>6541</v>
      </c>
      <c r="L4482" s="2">
        <v>2</v>
      </c>
      <c r="M4482" s="7">
        <f t="shared" si="276"/>
        <v>13082</v>
      </c>
      <c r="N4482" s="7">
        <f t="shared" si="277"/>
        <v>14282</v>
      </c>
      <c r="O4482" s="2">
        <v>21</v>
      </c>
      <c r="P4482" s="8">
        <f t="shared" si="278"/>
        <v>14303</v>
      </c>
      <c r="Q4482" s="8">
        <f t="shared" si="279"/>
        <v>14261</v>
      </c>
      <c r="R4482" s="2" t="s">
        <v>50</v>
      </c>
      <c r="S4482" s="9">
        <f>VLOOKUP(P4482,$T$2:U4479,2,1)</f>
        <v>0.05</v>
      </c>
    </row>
    <row r="4483" spans="1:19" x14ac:dyDescent="0.25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e">
        <f>VLOOKUP(F4483,'Customer Info'!A4475:I4974,2,0)</f>
        <v>#N/A</v>
      </c>
      <c r="H4483" s="6" t="e">
        <f>VLOOKUP(F4483,'Customer Info'!A4475:I4974,3,0)</f>
        <v>#N/A</v>
      </c>
      <c r="I4483" s="6" t="e">
        <f>VLOOKUP(F4483,'Customer Info'!A4475:I4974,5,0)</f>
        <v>#N/A</v>
      </c>
      <c r="J4483" s="2">
        <v>2540</v>
      </c>
      <c r="K4483" s="2">
        <v>2397</v>
      </c>
      <c r="L4483" s="2">
        <v>3</v>
      </c>
      <c r="M4483" s="7">
        <f t="shared" si="276"/>
        <v>7191</v>
      </c>
      <c r="N4483" s="7">
        <f t="shared" si="277"/>
        <v>7620</v>
      </c>
      <c r="O4483" s="2">
        <v>57</v>
      </c>
      <c r="P4483" s="8">
        <f t="shared" si="278"/>
        <v>7677</v>
      </c>
      <c r="Q4483" s="8">
        <f t="shared" si="279"/>
        <v>7563</v>
      </c>
      <c r="R4483" s="2" t="s">
        <v>26</v>
      </c>
      <c r="S4483" s="9">
        <f>VLOOKUP(P4483,$T$2:U4480,2,1)</f>
        <v>0.05</v>
      </c>
    </row>
    <row r="4484" spans="1:19" x14ac:dyDescent="0.25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e">
        <f>VLOOKUP(F4484,'Customer Info'!A4476:I4975,2,0)</f>
        <v>#N/A</v>
      </c>
      <c r="H4484" s="6" t="e">
        <f>VLOOKUP(F4484,'Customer Info'!A4476:I4975,3,0)</f>
        <v>#N/A</v>
      </c>
      <c r="I4484" s="6" t="e">
        <f>VLOOKUP(F4484,'Customer Info'!A4476:I4975,5,0)</f>
        <v>#N/A</v>
      </c>
      <c r="J4484" s="2">
        <v>626</v>
      </c>
      <c r="K4484" s="2">
        <v>559</v>
      </c>
      <c r="L4484" s="2">
        <v>4</v>
      </c>
      <c r="M4484" s="7">
        <f t="shared" si="276"/>
        <v>2236</v>
      </c>
      <c r="N4484" s="7">
        <f t="shared" si="277"/>
        <v>2504</v>
      </c>
      <c r="O4484" s="2">
        <v>89</v>
      </c>
      <c r="P4484" s="8">
        <f t="shared" si="278"/>
        <v>2593</v>
      </c>
      <c r="Q4484" s="8">
        <f t="shared" si="279"/>
        <v>2415</v>
      </c>
      <c r="R4484" s="2" t="s">
        <v>50</v>
      </c>
      <c r="S4484" s="9">
        <f>VLOOKUP(P4484,$T$2:U4481,2,1)</f>
        <v>0.02</v>
      </c>
    </row>
    <row r="4485" spans="1:19" x14ac:dyDescent="0.25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e">
        <f>VLOOKUP(F4485,'Customer Info'!A4477:I4976,2,0)</f>
        <v>#N/A</v>
      </c>
      <c r="H4485" s="6" t="e">
        <f>VLOOKUP(F4485,'Customer Info'!A4477:I4976,3,0)</f>
        <v>#N/A</v>
      </c>
      <c r="I4485" s="6" t="e">
        <f>VLOOKUP(F4485,'Customer Info'!A4477:I4976,5,0)</f>
        <v>#N/A</v>
      </c>
      <c r="J4485" s="2">
        <v>1653</v>
      </c>
      <c r="K4485" s="2">
        <v>1560</v>
      </c>
      <c r="L4485" s="2">
        <v>7</v>
      </c>
      <c r="M4485" s="7">
        <f t="shared" si="276"/>
        <v>10920</v>
      </c>
      <c r="N4485" s="7">
        <f t="shared" si="277"/>
        <v>11571</v>
      </c>
      <c r="O4485" s="2">
        <v>35</v>
      </c>
      <c r="P4485" s="8">
        <f t="shared" si="278"/>
        <v>11606</v>
      </c>
      <c r="Q4485" s="8">
        <f t="shared" si="279"/>
        <v>11536</v>
      </c>
      <c r="R4485" s="2" t="s">
        <v>28</v>
      </c>
      <c r="S4485" s="9">
        <f>VLOOKUP(P4485,$T$2:U4482,2,1)</f>
        <v>0.05</v>
      </c>
    </row>
    <row r="4486" spans="1:19" x14ac:dyDescent="0.25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e">
        <f>VLOOKUP(F4486,'Customer Info'!A4478:I4977,2,0)</f>
        <v>#N/A</v>
      </c>
      <c r="H4486" s="6" t="e">
        <f>VLOOKUP(F4486,'Customer Info'!A4478:I4977,3,0)</f>
        <v>#N/A</v>
      </c>
      <c r="I4486" s="6" t="e">
        <f>VLOOKUP(F4486,'Customer Info'!A4478:I4977,5,0)</f>
        <v>#N/A</v>
      </c>
      <c r="J4486" s="2">
        <v>666</v>
      </c>
      <c r="K4486" s="2">
        <v>641</v>
      </c>
      <c r="L4486" s="2">
        <v>2</v>
      </c>
      <c r="M4486" s="7">
        <f t="shared" si="276"/>
        <v>1282</v>
      </c>
      <c r="N4486" s="7">
        <f t="shared" si="277"/>
        <v>1332</v>
      </c>
      <c r="O4486" s="2">
        <v>22</v>
      </c>
      <c r="P4486" s="8">
        <f t="shared" si="278"/>
        <v>1354</v>
      </c>
      <c r="Q4486" s="8">
        <f t="shared" si="279"/>
        <v>1310</v>
      </c>
      <c r="R4486" s="2" t="s">
        <v>28</v>
      </c>
      <c r="S4486" s="9">
        <f>VLOOKUP(P4486,$T$2:U4483,2,1)</f>
        <v>0.02</v>
      </c>
    </row>
    <row r="4487" spans="1:19" x14ac:dyDescent="0.25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e">
        <f>VLOOKUP(F4487,'Customer Info'!A4479:I4978,2,0)</f>
        <v>#N/A</v>
      </c>
      <c r="H4487" s="6" t="e">
        <f>VLOOKUP(F4487,'Customer Info'!A4479:I4978,3,0)</f>
        <v>#N/A</v>
      </c>
      <c r="I4487" s="6" t="e">
        <f>VLOOKUP(F4487,'Customer Info'!A4479:I4978,5,0)</f>
        <v>#N/A</v>
      </c>
      <c r="J4487" s="2">
        <v>135</v>
      </c>
      <c r="K4487" s="2">
        <v>126</v>
      </c>
      <c r="L4487" s="2">
        <v>5</v>
      </c>
      <c r="M4487" s="7">
        <f t="shared" si="276"/>
        <v>630</v>
      </c>
      <c r="N4487" s="7">
        <f t="shared" si="277"/>
        <v>675</v>
      </c>
      <c r="O4487" s="2">
        <v>30</v>
      </c>
      <c r="P4487" s="8">
        <f t="shared" si="278"/>
        <v>705</v>
      </c>
      <c r="Q4487" s="8">
        <f t="shared" si="279"/>
        <v>645</v>
      </c>
      <c r="R4487" s="2" t="s">
        <v>50</v>
      </c>
      <c r="S4487" s="9">
        <f>VLOOKUP(P4487,$T$2:U4484,2,1)</f>
        <v>0.02</v>
      </c>
    </row>
    <row r="4488" spans="1:19" x14ac:dyDescent="0.25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e">
        <f>VLOOKUP(F4488,'Customer Info'!A4480:I4979,2,0)</f>
        <v>#N/A</v>
      </c>
      <c r="H4488" s="6" t="e">
        <f>VLOOKUP(F4488,'Customer Info'!A4480:I4979,3,0)</f>
        <v>#N/A</v>
      </c>
      <c r="I4488" s="6" t="e">
        <f>VLOOKUP(F4488,'Customer Info'!A4480:I4979,5,0)</f>
        <v>#N/A</v>
      </c>
      <c r="J4488" s="2">
        <v>4761</v>
      </c>
      <c r="K4488" s="2">
        <v>4368</v>
      </c>
      <c r="L4488" s="2">
        <v>4</v>
      </c>
      <c r="M4488" s="7">
        <f t="shared" si="276"/>
        <v>17472</v>
      </c>
      <c r="N4488" s="7">
        <f t="shared" si="277"/>
        <v>19044</v>
      </c>
      <c r="O4488" s="2">
        <v>97</v>
      </c>
      <c r="P4488" s="8">
        <f t="shared" si="278"/>
        <v>19141</v>
      </c>
      <c r="Q4488" s="8">
        <f t="shared" si="279"/>
        <v>18947</v>
      </c>
      <c r="R4488" s="2" t="s">
        <v>50</v>
      </c>
      <c r="S4488" s="9">
        <f>VLOOKUP(P4488,$T$2:U4485,2,1)</f>
        <v>0.05</v>
      </c>
    </row>
    <row r="4489" spans="1:19" x14ac:dyDescent="0.25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e">
        <f>VLOOKUP(F4489,'Customer Info'!A4481:I4980,2,0)</f>
        <v>#N/A</v>
      </c>
      <c r="H4489" s="6" t="e">
        <f>VLOOKUP(F4489,'Customer Info'!A4481:I4980,3,0)</f>
        <v>#N/A</v>
      </c>
      <c r="I4489" s="6" t="e">
        <f>VLOOKUP(F4489,'Customer Info'!A4481:I4980,5,0)</f>
        <v>#N/A</v>
      </c>
      <c r="J4489" s="2">
        <v>6717</v>
      </c>
      <c r="K4489" s="2">
        <v>6288</v>
      </c>
      <c r="L4489" s="2">
        <v>5</v>
      </c>
      <c r="M4489" s="7">
        <f t="shared" si="276"/>
        <v>31440</v>
      </c>
      <c r="N4489" s="7">
        <f t="shared" si="277"/>
        <v>33585</v>
      </c>
      <c r="O4489" s="2">
        <v>62</v>
      </c>
      <c r="P4489" s="8">
        <f t="shared" si="278"/>
        <v>33647</v>
      </c>
      <c r="Q4489" s="8">
        <f t="shared" si="279"/>
        <v>33523</v>
      </c>
      <c r="R4489" s="2" t="s">
        <v>28</v>
      </c>
      <c r="S4489" s="9">
        <f>VLOOKUP(P4489,$T$2:U4486,2,1)</f>
        <v>7.0000000000000007E-2</v>
      </c>
    </row>
    <row r="4490" spans="1:19" x14ac:dyDescent="0.25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e">
        <f>VLOOKUP(F4490,'Customer Info'!A4482:I4981,2,0)</f>
        <v>#N/A</v>
      </c>
      <c r="H4490" s="6" t="e">
        <f>VLOOKUP(F4490,'Customer Info'!A4482:I4981,3,0)</f>
        <v>#N/A</v>
      </c>
      <c r="I4490" s="6" t="e">
        <f>VLOOKUP(F4490,'Customer Info'!A4482:I4981,5,0)</f>
        <v>#N/A</v>
      </c>
      <c r="J4490" s="2">
        <v>80</v>
      </c>
      <c r="K4490" s="2">
        <v>75</v>
      </c>
      <c r="L4490" s="2">
        <v>4</v>
      </c>
      <c r="M4490" s="7">
        <f t="shared" si="276"/>
        <v>300</v>
      </c>
      <c r="N4490" s="7">
        <f t="shared" si="277"/>
        <v>320</v>
      </c>
      <c r="O4490" s="2">
        <v>10</v>
      </c>
      <c r="P4490" s="8">
        <f t="shared" si="278"/>
        <v>330</v>
      </c>
      <c r="Q4490" s="8">
        <f t="shared" si="279"/>
        <v>310</v>
      </c>
      <c r="R4490" s="2" t="s">
        <v>50</v>
      </c>
      <c r="S4490" s="9">
        <f>VLOOKUP(P4490,$T$2:U4487,2,1)</f>
        <v>0.02</v>
      </c>
    </row>
    <row r="4491" spans="1:19" x14ac:dyDescent="0.25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e">
        <f>VLOOKUP(F4491,'Customer Info'!A4483:I4982,2,0)</f>
        <v>#N/A</v>
      </c>
      <c r="H4491" s="6" t="e">
        <f>VLOOKUP(F4491,'Customer Info'!A4483:I4982,3,0)</f>
        <v>#N/A</v>
      </c>
      <c r="I4491" s="6" t="e">
        <f>VLOOKUP(F4491,'Customer Info'!A4483:I4982,5,0)</f>
        <v>#N/A</v>
      </c>
      <c r="J4491" s="2">
        <v>1039</v>
      </c>
      <c r="K4491" s="2">
        <v>954</v>
      </c>
      <c r="L4491" s="2">
        <v>5</v>
      </c>
      <c r="M4491" s="7">
        <f t="shared" ref="M4491:M4554" si="280">K4491*L4491</f>
        <v>4770</v>
      </c>
      <c r="N4491" s="7">
        <f t="shared" ref="N4491:N4554" si="281">J4491*L4491</f>
        <v>5195</v>
      </c>
      <c r="O4491" s="2">
        <v>90</v>
      </c>
      <c r="P4491" s="8">
        <f t="shared" ref="P4491:P4554" si="282">SUM(N4491,O4491)</f>
        <v>5285</v>
      </c>
      <c r="Q4491" s="8">
        <f t="shared" ref="Q4491:Q4554" si="283">N4491-O4491</f>
        <v>5105</v>
      </c>
      <c r="R4491" s="2" t="s">
        <v>28</v>
      </c>
      <c r="S4491" s="9">
        <f>VLOOKUP(P4491,$T$2:U4488,2,1)</f>
        <v>0.05</v>
      </c>
    </row>
    <row r="4492" spans="1:19" x14ac:dyDescent="0.25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e">
        <f>VLOOKUP(F4492,'Customer Info'!A4484:I4983,2,0)</f>
        <v>#N/A</v>
      </c>
      <c r="H4492" s="6" t="e">
        <f>VLOOKUP(F4492,'Customer Info'!A4484:I4983,3,0)</f>
        <v>#N/A</v>
      </c>
      <c r="I4492" s="6" t="e">
        <f>VLOOKUP(F4492,'Customer Info'!A4484:I4983,5,0)</f>
        <v>#N/A</v>
      </c>
      <c r="J4492" s="2">
        <v>69</v>
      </c>
      <c r="K4492" s="2">
        <v>63</v>
      </c>
      <c r="L4492" s="2">
        <v>2</v>
      </c>
      <c r="M4492" s="7">
        <f t="shared" si="280"/>
        <v>126</v>
      </c>
      <c r="N4492" s="7">
        <f t="shared" si="281"/>
        <v>138</v>
      </c>
      <c r="O4492" s="2">
        <v>10</v>
      </c>
      <c r="P4492" s="8">
        <f t="shared" si="282"/>
        <v>148</v>
      </c>
      <c r="Q4492" s="8">
        <f t="shared" si="283"/>
        <v>128</v>
      </c>
      <c r="R4492" s="2" t="s">
        <v>26</v>
      </c>
      <c r="S4492" s="9">
        <f>VLOOKUP(P4492,$T$2:U4489,2,1)</f>
        <v>0.02</v>
      </c>
    </row>
    <row r="4493" spans="1:19" x14ac:dyDescent="0.25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e">
        <f>VLOOKUP(F4493,'Customer Info'!A4485:I4984,2,0)</f>
        <v>#N/A</v>
      </c>
      <c r="H4493" s="6" t="e">
        <f>VLOOKUP(F4493,'Customer Info'!A4485:I4984,3,0)</f>
        <v>#N/A</v>
      </c>
      <c r="I4493" s="6" t="e">
        <f>VLOOKUP(F4493,'Customer Info'!A4485:I4984,5,0)</f>
        <v>#N/A</v>
      </c>
      <c r="J4493" s="2">
        <v>6951</v>
      </c>
      <c r="K4493" s="2">
        <v>6620</v>
      </c>
      <c r="L4493" s="2">
        <v>2</v>
      </c>
      <c r="M4493" s="7">
        <f t="shared" si="280"/>
        <v>13240</v>
      </c>
      <c r="N4493" s="7">
        <f t="shared" si="281"/>
        <v>13902</v>
      </c>
      <c r="O4493" s="2">
        <v>46</v>
      </c>
      <c r="P4493" s="8">
        <f t="shared" si="282"/>
        <v>13948</v>
      </c>
      <c r="Q4493" s="8">
        <f t="shared" si="283"/>
        <v>13856</v>
      </c>
      <c r="R4493" s="2" t="s">
        <v>28</v>
      </c>
      <c r="S4493" s="9">
        <f>VLOOKUP(P4493,$T$2:U4490,2,1)</f>
        <v>0.05</v>
      </c>
    </row>
    <row r="4494" spans="1:19" x14ac:dyDescent="0.25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e">
        <f>VLOOKUP(F4494,'Customer Info'!A4486:I4985,2,0)</f>
        <v>#N/A</v>
      </c>
      <c r="H4494" s="6" t="e">
        <f>VLOOKUP(F4494,'Customer Info'!A4486:I4985,3,0)</f>
        <v>#N/A</v>
      </c>
      <c r="I4494" s="6" t="e">
        <f>VLOOKUP(F4494,'Customer Info'!A4486:I4985,5,0)</f>
        <v>#N/A</v>
      </c>
      <c r="J4494" s="2">
        <v>188</v>
      </c>
      <c r="K4494" s="2">
        <v>173</v>
      </c>
      <c r="L4494" s="2">
        <v>6</v>
      </c>
      <c r="M4494" s="7">
        <f t="shared" si="280"/>
        <v>1038</v>
      </c>
      <c r="N4494" s="7">
        <f t="shared" si="281"/>
        <v>1128</v>
      </c>
      <c r="O4494" s="2">
        <v>30</v>
      </c>
      <c r="P4494" s="8">
        <f t="shared" si="282"/>
        <v>1158</v>
      </c>
      <c r="Q4494" s="8">
        <f t="shared" si="283"/>
        <v>1098</v>
      </c>
      <c r="R4494" s="2" t="s">
        <v>28</v>
      </c>
      <c r="S4494" s="9">
        <f>VLOOKUP(P4494,$T$2:U4491,2,1)</f>
        <v>0.02</v>
      </c>
    </row>
    <row r="4495" spans="1:19" x14ac:dyDescent="0.25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e">
        <f>VLOOKUP(F4495,'Customer Info'!A4487:I4986,2,0)</f>
        <v>#N/A</v>
      </c>
      <c r="H4495" s="6" t="e">
        <f>VLOOKUP(F4495,'Customer Info'!A4487:I4986,3,0)</f>
        <v>#N/A</v>
      </c>
      <c r="I4495" s="6" t="e">
        <f>VLOOKUP(F4495,'Customer Info'!A4487:I4986,5,0)</f>
        <v>#N/A</v>
      </c>
      <c r="J4495" s="2">
        <v>35350</v>
      </c>
      <c r="K4495" s="2">
        <v>33037</v>
      </c>
      <c r="L4495" s="2">
        <v>3</v>
      </c>
      <c r="M4495" s="7">
        <f t="shared" si="280"/>
        <v>99111</v>
      </c>
      <c r="N4495" s="7">
        <f t="shared" si="281"/>
        <v>106050</v>
      </c>
      <c r="O4495" s="2">
        <v>98</v>
      </c>
      <c r="P4495" s="8">
        <f t="shared" si="282"/>
        <v>106148</v>
      </c>
      <c r="Q4495" s="8">
        <f t="shared" si="283"/>
        <v>105952</v>
      </c>
      <c r="R4495" s="2" t="s">
        <v>28</v>
      </c>
      <c r="S4495" s="9">
        <f>VLOOKUP(P4495,$T$2:U4492,2,1)</f>
        <v>0.12</v>
      </c>
    </row>
    <row r="4496" spans="1:19" x14ac:dyDescent="0.25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e">
        <f>VLOOKUP(F4496,'Customer Info'!A4488:I4987,2,0)</f>
        <v>#N/A</v>
      </c>
      <c r="H4496" s="6" t="e">
        <f>VLOOKUP(F4496,'Customer Info'!A4488:I4987,3,0)</f>
        <v>#N/A</v>
      </c>
      <c r="I4496" s="6" t="e">
        <f>VLOOKUP(F4496,'Customer Info'!A4488:I4987,5,0)</f>
        <v>#N/A</v>
      </c>
      <c r="J4496" s="2">
        <v>2442</v>
      </c>
      <c r="K4496" s="2">
        <v>2304</v>
      </c>
      <c r="L4496" s="2">
        <v>2</v>
      </c>
      <c r="M4496" s="7">
        <f t="shared" si="280"/>
        <v>4608</v>
      </c>
      <c r="N4496" s="7">
        <f t="shared" si="281"/>
        <v>4884</v>
      </c>
      <c r="O4496" s="2">
        <v>48</v>
      </c>
      <c r="P4496" s="8">
        <f t="shared" si="282"/>
        <v>4932</v>
      </c>
      <c r="Q4496" s="8">
        <f t="shared" si="283"/>
        <v>4836</v>
      </c>
      <c r="R4496" s="2" t="s">
        <v>50</v>
      </c>
      <c r="S4496" s="9">
        <f>VLOOKUP(P4496,$T$2:U4493,2,1)</f>
        <v>0.02</v>
      </c>
    </row>
    <row r="4497" spans="1:19" x14ac:dyDescent="0.25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e">
        <f>VLOOKUP(F4497,'Customer Info'!A4489:I4988,2,0)</f>
        <v>#N/A</v>
      </c>
      <c r="H4497" s="6" t="e">
        <f>VLOOKUP(F4497,'Customer Info'!A4489:I4988,3,0)</f>
        <v>#N/A</v>
      </c>
      <c r="I4497" s="6" t="e">
        <f>VLOOKUP(F4497,'Customer Info'!A4489:I4988,5,0)</f>
        <v>#N/A</v>
      </c>
      <c r="J4497" s="2">
        <v>38328</v>
      </c>
      <c r="K4497" s="2">
        <v>35164</v>
      </c>
      <c r="L4497" s="2">
        <v>1</v>
      </c>
      <c r="M4497" s="7">
        <f t="shared" si="280"/>
        <v>35164</v>
      </c>
      <c r="N4497" s="7">
        <f t="shared" si="281"/>
        <v>38328</v>
      </c>
      <c r="O4497" s="2">
        <v>86</v>
      </c>
      <c r="P4497" s="8">
        <f t="shared" si="282"/>
        <v>38414</v>
      </c>
      <c r="Q4497" s="8">
        <f t="shared" si="283"/>
        <v>38242</v>
      </c>
      <c r="R4497" s="2" t="s">
        <v>28</v>
      </c>
      <c r="S4497" s="9">
        <f>VLOOKUP(P4497,$T$2:U4494,2,1)</f>
        <v>7.0000000000000007E-2</v>
      </c>
    </row>
    <row r="4498" spans="1:19" x14ac:dyDescent="0.25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e">
        <f>VLOOKUP(F4498,'Customer Info'!A4490:I4989,2,0)</f>
        <v>#N/A</v>
      </c>
      <c r="H4498" s="6" t="e">
        <f>VLOOKUP(F4498,'Customer Info'!A4490:I4989,3,0)</f>
        <v>#N/A</v>
      </c>
      <c r="I4498" s="6" t="e">
        <f>VLOOKUP(F4498,'Customer Info'!A4490:I4989,5,0)</f>
        <v>#N/A</v>
      </c>
      <c r="J4498" s="2">
        <v>142</v>
      </c>
      <c r="K4498" s="2">
        <v>134</v>
      </c>
      <c r="L4498" s="2">
        <v>2</v>
      </c>
      <c r="M4498" s="7">
        <f t="shared" si="280"/>
        <v>268</v>
      </c>
      <c r="N4498" s="7">
        <f t="shared" si="281"/>
        <v>284</v>
      </c>
      <c r="O4498" s="2">
        <v>30</v>
      </c>
      <c r="P4498" s="8">
        <f t="shared" si="282"/>
        <v>314</v>
      </c>
      <c r="Q4498" s="8">
        <f t="shared" si="283"/>
        <v>254</v>
      </c>
      <c r="R4498" s="2" t="s">
        <v>28</v>
      </c>
      <c r="S4498" s="9">
        <f>VLOOKUP(P4498,$T$2:U4495,2,1)</f>
        <v>0.02</v>
      </c>
    </row>
    <row r="4499" spans="1:19" x14ac:dyDescent="0.25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e">
        <f>VLOOKUP(F4499,'Customer Info'!A4491:I4990,2,0)</f>
        <v>#N/A</v>
      </c>
      <c r="H4499" s="6" t="e">
        <f>VLOOKUP(F4499,'Customer Info'!A4491:I4990,3,0)</f>
        <v>#N/A</v>
      </c>
      <c r="I4499" s="6" t="e">
        <f>VLOOKUP(F4499,'Customer Info'!A4491:I4990,5,0)</f>
        <v>#N/A</v>
      </c>
      <c r="J4499" s="2">
        <v>474</v>
      </c>
      <c r="K4499" s="2">
        <v>443</v>
      </c>
      <c r="L4499" s="2">
        <v>2</v>
      </c>
      <c r="M4499" s="7">
        <f t="shared" si="280"/>
        <v>886</v>
      </c>
      <c r="N4499" s="7">
        <f t="shared" si="281"/>
        <v>948</v>
      </c>
      <c r="O4499" s="2">
        <v>21</v>
      </c>
      <c r="P4499" s="8">
        <f t="shared" si="282"/>
        <v>969</v>
      </c>
      <c r="Q4499" s="8">
        <f t="shared" si="283"/>
        <v>927</v>
      </c>
      <c r="R4499" s="2" t="s">
        <v>28</v>
      </c>
      <c r="S4499" s="9">
        <f>VLOOKUP(P4499,$T$2:U4496,2,1)</f>
        <v>0.02</v>
      </c>
    </row>
    <row r="4500" spans="1:19" x14ac:dyDescent="0.25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e">
        <f>VLOOKUP(F4500,'Customer Info'!A4492:I4991,2,0)</f>
        <v>#N/A</v>
      </c>
      <c r="H4500" s="6" t="e">
        <f>VLOOKUP(F4500,'Customer Info'!A4492:I4991,3,0)</f>
        <v>#N/A</v>
      </c>
      <c r="I4500" s="6" t="e">
        <f>VLOOKUP(F4500,'Customer Info'!A4492:I4991,5,0)</f>
        <v>#N/A</v>
      </c>
      <c r="J4500" s="2">
        <v>29378</v>
      </c>
      <c r="K4500" s="2">
        <v>26912</v>
      </c>
      <c r="L4500" s="2">
        <v>6</v>
      </c>
      <c r="M4500" s="7">
        <f t="shared" si="280"/>
        <v>161472</v>
      </c>
      <c r="N4500" s="7">
        <f t="shared" si="281"/>
        <v>176268</v>
      </c>
      <c r="O4500" s="2">
        <v>33</v>
      </c>
      <c r="P4500" s="8">
        <f t="shared" si="282"/>
        <v>176301</v>
      </c>
      <c r="Q4500" s="8">
        <f t="shared" si="283"/>
        <v>176235</v>
      </c>
      <c r="R4500" s="2" t="s">
        <v>50</v>
      </c>
      <c r="S4500" s="9">
        <f>VLOOKUP(P4500,$T$2:U4497,2,1)</f>
        <v>0.12</v>
      </c>
    </row>
    <row r="4501" spans="1:19" x14ac:dyDescent="0.25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e">
        <f>VLOOKUP(F4501,'Customer Info'!A4493:I4992,2,0)</f>
        <v>#N/A</v>
      </c>
      <c r="H4501" s="6" t="e">
        <f>VLOOKUP(F4501,'Customer Info'!A4493:I4992,3,0)</f>
        <v>#N/A</v>
      </c>
      <c r="I4501" s="6" t="e">
        <f>VLOOKUP(F4501,'Customer Info'!A4493:I4992,5,0)</f>
        <v>#N/A</v>
      </c>
      <c r="J4501" s="2">
        <v>8495</v>
      </c>
      <c r="K4501" s="2">
        <v>7647</v>
      </c>
      <c r="L4501" s="2">
        <v>5</v>
      </c>
      <c r="M4501" s="7">
        <f t="shared" si="280"/>
        <v>38235</v>
      </c>
      <c r="N4501" s="7">
        <f t="shared" si="281"/>
        <v>42475</v>
      </c>
      <c r="O4501" s="2">
        <v>69</v>
      </c>
      <c r="P4501" s="8">
        <f t="shared" si="282"/>
        <v>42544</v>
      </c>
      <c r="Q4501" s="8">
        <f t="shared" si="283"/>
        <v>42406</v>
      </c>
      <c r="R4501" s="2" t="s">
        <v>50</v>
      </c>
      <c r="S4501" s="9">
        <f>VLOOKUP(P4501,$T$2:U4498,2,1)</f>
        <v>7.0000000000000007E-2</v>
      </c>
    </row>
    <row r="4502" spans="1:19" x14ac:dyDescent="0.25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e">
        <f>VLOOKUP(F4502,'Customer Info'!A4494:I4993,2,0)</f>
        <v>#N/A</v>
      </c>
      <c r="H4502" s="6" t="e">
        <f>VLOOKUP(F4502,'Customer Info'!A4494:I4993,3,0)</f>
        <v>#N/A</v>
      </c>
      <c r="I4502" s="6" t="e">
        <f>VLOOKUP(F4502,'Customer Info'!A4494:I4993,5,0)</f>
        <v>#N/A</v>
      </c>
      <c r="J4502" s="2">
        <v>882</v>
      </c>
      <c r="K4502" s="2">
        <v>818</v>
      </c>
      <c r="L4502" s="2">
        <v>3</v>
      </c>
      <c r="M4502" s="7">
        <f t="shared" si="280"/>
        <v>2454</v>
      </c>
      <c r="N4502" s="7">
        <f t="shared" si="281"/>
        <v>2646</v>
      </c>
      <c r="O4502" s="2">
        <v>58</v>
      </c>
      <c r="P4502" s="8">
        <f t="shared" si="282"/>
        <v>2704</v>
      </c>
      <c r="Q4502" s="8">
        <f t="shared" si="283"/>
        <v>2588</v>
      </c>
      <c r="R4502" s="2" t="s">
        <v>56</v>
      </c>
      <c r="S4502" s="9">
        <f>VLOOKUP(P4502,$T$2:U4499,2,1)</f>
        <v>0.02</v>
      </c>
    </row>
    <row r="4503" spans="1:19" x14ac:dyDescent="0.25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e">
        <f>VLOOKUP(F4503,'Customer Info'!A4495:I4994,2,0)</f>
        <v>#N/A</v>
      </c>
      <c r="H4503" s="6" t="e">
        <f>VLOOKUP(F4503,'Customer Info'!A4495:I4994,3,0)</f>
        <v>#N/A</v>
      </c>
      <c r="I4503" s="6" t="e">
        <f>VLOOKUP(F4503,'Customer Info'!A4495:I4994,5,0)</f>
        <v>#N/A</v>
      </c>
      <c r="J4503" s="2">
        <v>3248</v>
      </c>
      <c r="K4503" s="2">
        <v>3035</v>
      </c>
      <c r="L4503" s="2">
        <v>2</v>
      </c>
      <c r="M4503" s="7">
        <f t="shared" si="280"/>
        <v>6070</v>
      </c>
      <c r="N4503" s="7">
        <f t="shared" si="281"/>
        <v>6496</v>
      </c>
      <c r="O4503" s="2">
        <v>100</v>
      </c>
      <c r="P4503" s="8">
        <f t="shared" si="282"/>
        <v>6596</v>
      </c>
      <c r="Q4503" s="8">
        <f t="shared" si="283"/>
        <v>6396</v>
      </c>
      <c r="R4503" s="2" t="s">
        <v>50</v>
      </c>
      <c r="S4503" s="9">
        <f>VLOOKUP(P4503,$T$2:U4500,2,1)</f>
        <v>0.05</v>
      </c>
    </row>
    <row r="4504" spans="1:19" x14ac:dyDescent="0.25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e">
        <f>VLOOKUP(F4504,'Customer Info'!A4496:I4995,2,0)</f>
        <v>#N/A</v>
      </c>
      <c r="H4504" s="6" t="e">
        <f>VLOOKUP(F4504,'Customer Info'!A4496:I4995,3,0)</f>
        <v>#N/A</v>
      </c>
      <c r="I4504" s="6" t="e">
        <f>VLOOKUP(F4504,'Customer Info'!A4496:I4995,5,0)</f>
        <v>#N/A</v>
      </c>
      <c r="J4504" s="2">
        <v>5941</v>
      </c>
      <c r="K4504" s="2">
        <v>5827</v>
      </c>
      <c r="L4504" s="2">
        <v>9</v>
      </c>
      <c r="M4504" s="7">
        <f t="shared" si="280"/>
        <v>52443</v>
      </c>
      <c r="N4504" s="7">
        <f t="shared" si="281"/>
        <v>53469</v>
      </c>
      <c r="O4504" s="2">
        <v>62</v>
      </c>
      <c r="P4504" s="8">
        <f t="shared" si="282"/>
        <v>53531</v>
      </c>
      <c r="Q4504" s="8">
        <f t="shared" si="283"/>
        <v>53407</v>
      </c>
      <c r="R4504" s="2" t="s">
        <v>50</v>
      </c>
      <c r="S4504" s="9">
        <f>VLOOKUP(P4504,$T$2:U4501,2,1)</f>
        <v>0.09</v>
      </c>
    </row>
    <row r="4505" spans="1:19" x14ac:dyDescent="0.25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e">
        <f>VLOOKUP(F4505,'Customer Info'!A4497:I4996,2,0)</f>
        <v>#N/A</v>
      </c>
      <c r="H4505" s="6" t="e">
        <f>VLOOKUP(F4505,'Customer Info'!A4497:I4996,3,0)</f>
        <v>#N/A</v>
      </c>
      <c r="I4505" s="6" t="e">
        <f>VLOOKUP(F4505,'Customer Info'!A4497:I4996,5,0)</f>
        <v>#N/A</v>
      </c>
      <c r="J4505" s="2">
        <v>1364</v>
      </c>
      <c r="K4505" s="2">
        <v>1274</v>
      </c>
      <c r="L4505" s="2">
        <v>6</v>
      </c>
      <c r="M4505" s="7">
        <f t="shared" si="280"/>
        <v>7644</v>
      </c>
      <c r="N4505" s="7">
        <f t="shared" si="281"/>
        <v>8184</v>
      </c>
      <c r="O4505" s="2">
        <v>66</v>
      </c>
      <c r="P4505" s="8">
        <f t="shared" si="282"/>
        <v>8250</v>
      </c>
      <c r="Q4505" s="8">
        <f t="shared" si="283"/>
        <v>8118</v>
      </c>
      <c r="R4505" s="2" t="s">
        <v>28</v>
      </c>
      <c r="S4505" s="9">
        <f>VLOOKUP(P4505,$T$2:U4502,2,1)</f>
        <v>0.05</v>
      </c>
    </row>
    <row r="4506" spans="1:19" x14ac:dyDescent="0.25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e">
        <f>VLOOKUP(F4506,'Customer Info'!A4498:I4997,2,0)</f>
        <v>#N/A</v>
      </c>
      <c r="H4506" s="6" t="e">
        <f>VLOOKUP(F4506,'Customer Info'!A4498:I4997,3,0)</f>
        <v>#N/A</v>
      </c>
      <c r="I4506" s="6" t="e">
        <f>VLOOKUP(F4506,'Customer Info'!A4498:I4997,5,0)</f>
        <v>#N/A</v>
      </c>
      <c r="J4506" s="2">
        <v>1763</v>
      </c>
      <c r="K4506" s="2">
        <v>1602</v>
      </c>
      <c r="L4506" s="2">
        <v>2</v>
      </c>
      <c r="M4506" s="7">
        <f t="shared" si="280"/>
        <v>3204</v>
      </c>
      <c r="N4506" s="7">
        <f t="shared" si="281"/>
        <v>3526</v>
      </c>
      <c r="O4506" s="2">
        <v>91</v>
      </c>
      <c r="P4506" s="8">
        <f t="shared" si="282"/>
        <v>3617</v>
      </c>
      <c r="Q4506" s="8">
        <f t="shared" si="283"/>
        <v>3435</v>
      </c>
      <c r="R4506" s="2" t="s">
        <v>50</v>
      </c>
      <c r="S4506" s="9">
        <f>VLOOKUP(P4506,$T$2:U4503,2,1)</f>
        <v>0.02</v>
      </c>
    </row>
    <row r="4507" spans="1:19" x14ac:dyDescent="0.25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e">
        <f>VLOOKUP(F4507,'Customer Info'!A4499:I4998,2,0)</f>
        <v>#N/A</v>
      </c>
      <c r="H4507" s="6" t="e">
        <f>VLOOKUP(F4507,'Customer Info'!A4499:I4998,3,0)</f>
        <v>#N/A</v>
      </c>
      <c r="I4507" s="6" t="e">
        <f>VLOOKUP(F4507,'Customer Info'!A4499:I4998,5,0)</f>
        <v>#N/A</v>
      </c>
      <c r="J4507" s="2">
        <v>2602</v>
      </c>
      <c r="K4507" s="2">
        <v>2363</v>
      </c>
      <c r="L4507" s="2">
        <v>2</v>
      </c>
      <c r="M4507" s="7">
        <f t="shared" si="280"/>
        <v>4726</v>
      </c>
      <c r="N4507" s="7">
        <f t="shared" si="281"/>
        <v>5204</v>
      </c>
      <c r="O4507" s="2">
        <v>97</v>
      </c>
      <c r="P4507" s="8">
        <f t="shared" si="282"/>
        <v>5301</v>
      </c>
      <c r="Q4507" s="8">
        <f t="shared" si="283"/>
        <v>5107</v>
      </c>
      <c r="R4507" s="2" t="s">
        <v>28</v>
      </c>
      <c r="S4507" s="9">
        <f>VLOOKUP(P4507,$T$2:U4504,2,1)</f>
        <v>0.05</v>
      </c>
    </row>
    <row r="4508" spans="1:19" x14ac:dyDescent="0.25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e">
        <f>VLOOKUP(F4508,'Customer Info'!A4500:I4999,2,0)</f>
        <v>#N/A</v>
      </c>
      <c r="H4508" s="6" t="e">
        <f>VLOOKUP(F4508,'Customer Info'!A4500:I4999,3,0)</f>
        <v>#N/A</v>
      </c>
      <c r="I4508" s="6" t="e">
        <f>VLOOKUP(F4508,'Customer Info'!A4500:I4999,5,0)</f>
        <v>#N/A</v>
      </c>
      <c r="J4508" s="2">
        <v>175</v>
      </c>
      <c r="K4508" s="2">
        <v>162</v>
      </c>
      <c r="L4508" s="2">
        <v>3</v>
      </c>
      <c r="M4508" s="7">
        <f t="shared" si="280"/>
        <v>486</v>
      </c>
      <c r="N4508" s="7">
        <f t="shared" si="281"/>
        <v>525</v>
      </c>
      <c r="O4508" s="2">
        <v>30</v>
      </c>
      <c r="P4508" s="8">
        <f t="shared" si="282"/>
        <v>555</v>
      </c>
      <c r="Q4508" s="8">
        <f t="shared" si="283"/>
        <v>495</v>
      </c>
      <c r="R4508" s="2" t="s">
        <v>28</v>
      </c>
      <c r="S4508" s="9">
        <f>VLOOKUP(P4508,$T$2:U4505,2,1)</f>
        <v>0.02</v>
      </c>
    </row>
    <row r="4509" spans="1:19" x14ac:dyDescent="0.25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e">
        <f>VLOOKUP(F4509,'Customer Info'!A4501:I5000,2,0)</f>
        <v>#N/A</v>
      </c>
      <c r="H4509" s="6" t="e">
        <f>VLOOKUP(F4509,'Customer Info'!A4501:I5000,3,0)</f>
        <v>#N/A</v>
      </c>
      <c r="I4509" s="6" t="e">
        <f>VLOOKUP(F4509,'Customer Info'!A4501:I5000,5,0)</f>
        <v>#N/A</v>
      </c>
      <c r="J4509" s="2">
        <v>183</v>
      </c>
      <c r="K4509" s="2">
        <v>168</v>
      </c>
      <c r="L4509" s="2">
        <v>2</v>
      </c>
      <c r="M4509" s="7">
        <f t="shared" si="280"/>
        <v>336</v>
      </c>
      <c r="N4509" s="7">
        <f t="shared" si="281"/>
        <v>366</v>
      </c>
      <c r="O4509" s="2">
        <v>30</v>
      </c>
      <c r="P4509" s="8">
        <f t="shared" si="282"/>
        <v>396</v>
      </c>
      <c r="Q4509" s="8">
        <f t="shared" si="283"/>
        <v>336</v>
      </c>
      <c r="R4509" s="2" t="s">
        <v>28</v>
      </c>
      <c r="S4509" s="9">
        <f>VLOOKUP(P4509,$T$2:U4506,2,1)</f>
        <v>0.02</v>
      </c>
    </row>
    <row r="4510" spans="1:19" x14ac:dyDescent="0.25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e">
        <f>VLOOKUP(F4510,'Customer Info'!A4502:I5001,2,0)</f>
        <v>#N/A</v>
      </c>
      <c r="H4510" s="6" t="e">
        <f>VLOOKUP(F4510,'Customer Info'!A4502:I5001,3,0)</f>
        <v>#N/A</v>
      </c>
      <c r="I4510" s="6" t="e">
        <f>VLOOKUP(F4510,'Customer Info'!A4502:I5001,5,0)</f>
        <v>#N/A</v>
      </c>
      <c r="J4510" s="2">
        <v>1321</v>
      </c>
      <c r="K4510" s="2">
        <v>1211</v>
      </c>
      <c r="L4510" s="2">
        <v>5</v>
      </c>
      <c r="M4510" s="7">
        <f t="shared" si="280"/>
        <v>6055</v>
      </c>
      <c r="N4510" s="7">
        <f t="shared" si="281"/>
        <v>6605</v>
      </c>
      <c r="O4510" s="2">
        <v>77</v>
      </c>
      <c r="P4510" s="8">
        <f t="shared" si="282"/>
        <v>6682</v>
      </c>
      <c r="Q4510" s="8">
        <f t="shared" si="283"/>
        <v>6528</v>
      </c>
      <c r="R4510" s="2" t="s">
        <v>50</v>
      </c>
      <c r="S4510" s="9">
        <f>VLOOKUP(P4510,$T$2:U4507,2,1)</f>
        <v>0.05</v>
      </c>
    </row>
    <row r="4511" spans="1:19" x14ac:dyDescent="0.25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e">
        <f>VLOOKUP(F4511,'Customer Info'!A4503:I5002,2,0)</f>
        <v>#N/A</v>
      </c>
      <c r="H4511" s="6" t="e">
        <f>VLOOKUP(F4511,'Customer Info'!A4503:I5002,3,0)</f>
        <v>#N/A</v>
      </c>
      <c r="I4511" s="6" t="e">
        <f>VLOOKUP(F4511,'Customer Info'!A4503:I5002,5,0)</f>
        <v>#N/A</v>
      </c>
      <c r="J4511" s="2">
        <v>144</v>
      </c>
      <c r="K4511" s="2">
        <v>133</v>
      </c>
      <c r="L4511" s="2">
        <v>3</v>
      </c>
      <c r="M4511" s="7">
        <f t="shared" si="280"/>
        <v>399</v>
      </c>
      <c r="N4511" s="7">
        <f t="shared" si="281"/>
        <v>432</v>
      </c>
      <c r="O4511" s="2">
        <v>30</v>
      </c>
      <c r="P4511" s="8">
        <f t="shared" si="282"/>
        <v>462</v>
      </c>
      <c r="Q4511" s="8">
        <f t="shared" si="283"/>
        <v>402</v>
      </c>
      <c r="R4511" s="2" t="s">
        <v>28</v>
      </c>
      <c r="S4511" s="9">
        <f>VLOOKUP(P4511,$T$2:U4508,2,1)</f>
        <v>0.02</v>
      </c>
    </row>
    <row r="4512" spans="1:19" x14ac:dyDescent="0.25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e">
        <f>VLOOKUP(F4512,'Customer Info'!A4504:I5003,2,0)</f>
        <v>#N/A</v>
      </c>
      <c r="H4512" s="6" t="e">
        <f>VLOOKUP(F4512,'Customer Info'!A4504:I5003,3,0)</f>
        <v>#N/A</v>
      </c>
      <c r="I4512" s="6" t="e">
        <f>VLOOKUP(F4512,'Customer Info'!A4504:I5003,5,0)</f>
        <v>#N/A</v>
      </c>
      <c r="J4512" s="2">
        <v>1568</v>
      </c>
      <c r="K4512" s="2">
        <v>1495</v>
      </c>
      <c r="L4512" s="2">
        <v>5</v>
      </c>
      <c r="M4512" s="7">
        <f t="shared" si="280"/>
        <v>7475</v>
      </c>
      <c r="N4512" s="7">
        <f t="shared" si="281"/>
        <v>7840</v>
      </c>
      <c r="O4512" s="2">
        <v>67</v>
      </c>
      <c r="P4512" s="8">
        <f t="shared" si="282"/>
        <v>7907</v>
      </c>
      <c r="Q4512" s="8">
        <f t="shared" si="283"/>
        <v>7773</v>
      </c>
      <c r="R4512" s="2" t="s">
        <v>28</v>
      </c>
      <c r="S4512" s="9">
        <f>VLOOKUP(P4512,$T$2:U4509,2,1)</f>
        <v>0.05</v>
      </c>
    </row>
    <row r="4513" spans="1:19" x14ac:dyDescent="0.25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e">
        <f>VLOOKUP(F4513,'Customer Info'!A4505:I5004,2,0)</f>
        <v>#N/A</v>
      </c>
      <c r="H4513" s="6" t="e">
        <f>VLOOKUP(F4513,'Customer Info'!A4505:I5004,3,0)</f>
        <v>#N/A</v>
      </c>
      <c r="I4513" s="6" t="e">
        <f>VLOOKUP(F4513,'Customer Info'!A4505:I5004,5,0)</f>
        <v>#N/A</v>
      </c>
      <c r="J4513" s="2">
        <v>6951</v>
      </c>
      <c r="K4513" s="2">
        <v>6620</v>
      </c>
      <c r="L4513" s="2">
        <v>6</v>
      </c>
      <c r="M4513" s="7">
        <f t="shared" si="280"/>
        <v>39720</v>
      </c>
      <c r="N4513" s="7">
        <f t="shared" si="281"/>
        <v>41706</v>
      </c>
      <c r="O4513" s="2">
        <v>29</v>
      </c>
      <c r="P4513" s="8">
        <f t="shared" si="282"/>
        <v>41735</v>
      </c>
      <c r="Q4513" s="8">
        <f t="shared" si="283"/>
        <v>41677</v>
      </c>
      <c r="R4513" s="2" t="s">
        <v>28</v>
      </c>
      <c r="S4513" s="9">
        <f>VLOOKUP(P4513,$T$2:U4510,2,1)</f>
        <v>7.0000000000000007E-2</v>
      </c>
    </row>
    <row r="4514" spans="1:19" x14ac:dyDescent="0.25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e">
        <f>VLOOKUP(F4514,'Customer Info'!A4506:I5005,2,0)</f>
        <v>#N/A</v>
      </c>
      <c r="H4514" s="6" t="e">
        <f>VLOOKUP(F4514,'Customer Info'!A4506:I5005,3,0)</f>
        <v>#N/A</v>
      </c>
      <c r="I4514" s="6" t="e">
        <f>VLOOKUP(F4514,'Customer Info'!A4506:I5005,5,0)</f>
        <v>#N/A</v>
      </c>
      <c r="J4514" s="2">
        <v>2907</v>
      </c>
      <c r="K4514" s="2">
        <v>2667</v>
      </c>
      <c r="L4514" s="2">
        <v>4</v>
      </c>
      <c r="M4514" s="7">
        <f t="shared" si="280"/>
        <v>10668</v>
      </c>
      <c r="N4514" s="7">
        <f t="shared" si="281"/>
        <v>11628</v>
      </c>
      <c r="O4514" s="2">
        <v>54</v>
      </c>
      <c r="P4514" s="8">
        <f t="shared" si="282"/>
        <v>11682</v>
      </c>
      <c r="Q4514" s="8">
        <f t="shared" si="283"/>
        <v>11574</v>
      </c>
      <c r="R4514" s="2" t="s">
        <v>28</v>
      </c>
      <c r="S4514" s="9">
        <f>VLOOKUP(P4514,$T$2:U4511,2,1)</f>
        <v>0.05</v>
      </c>
    </row>
    <row r="4515" spans="1:19" x14ac:dyDescent="0.25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e">
        <f>VLOOKUP(F4515,'Customer Info'!A4507:I5006,2,0)</f>
        <v>#N/A</v>
      </c>
      <c r="H4515" s="6" t="e">
        <f>VLOOKUP(F4515,'Customer Info'!A4507:I5006,3,0)</f>
        <v>#N/A</v>
      </c>
      <c r="I4515" s="6" t="e">
        <f>VLOOKUP(F4515,'Customer Info'!A4507:I5006,5,0)</f>
        <v>#N/A</v>
      </c>
      <c r="J4515" s="2">
        <v>5051</v>
      </c>
      <c r="K4515" s="2">
        <v>4634</v>
      </c>
      <c r="L4515" s="2">
        <v>3</v>
      </c>
      <c r="M4515" s="7">
        <f t="shared" si="280"/>
        <v>13902</v>
      </c>
      <c r="N4515" s="7">
        <f t="shared" si="281"/>
        <v>15153</v>
      </c>
      <c r="O4515" s="2">
        <v>41</v>
      </c>
      <c r="P4515" s="8">
        <f t="shared" si="282"/>
        <v>15194</v>
      </c>
      <c r="Q4515" s="8">
        <f t="shared" si="283"/>
        <v>15112</v>
      </c>
      <c r="R4515" s="2" t="s">
        <v>50</v>
      </c>
      <c r="S4515" s="9">
        <f>VLOOKUP(P4515,$T$2:U4512,2,1)</f>
        <v>0.05</v>
      </c>
    </row>
    <row r="4516" spans="1:19" x14ac:dyDescent="0.25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e">
        <f>VLOOKUP(F4516,'Customer Info'!A4508:I5007,2,0)</f>
        <v>#N/A</v>
      </c>
      <c r="H4516" s="6" t="e">
        <f>VLOOKUP(F4516,'Customer Info'!A4508:I5007,3,0)</f>
        <v>#N/A</v>
      </c>
      <c r="I4516" s="6" t="e">
        <f>VLOOKUP(F4516,'Customer Info'!A4508:I5007,5,0)</f>
        <v>#N/A</v>
      </c>
      <c r="J4516" s="2">
        <v>1552</v>
      </c>
      <c r="K4516" s="2">
        <v>1466</v>
      </c>
      <c r="L4516" s="2">
        <v>5</v>
      </c>
      <c r="M4516" s="7">
        <f t="shared" si="280"/>
        <v>7330</v>
      </c>
      <c r="N4516" s="7">
        <f t="shared" si="281"/>
        <v>7760</v>
      </c>
      <c r="O4516" s="2">
        <v>34</v>
      </c>
      <c r="P4516" s="8">
        <f t="shared" si="282"/>
        <v>7794</v>
      </c>
      <c r="Q4516" s="8">
        <f t="shared" si="283"/>
        <v>7726</v>
      </c>
      <c r="R4516" s="2" t="s">
        <v>50</v>
      </c>
      <c r="S4516" s="9">
        <f>VLOOKUP(P4516,$T$2:U4513,2,1)</f>
        <v>0.05</v>
      </c>
    </row>
    <row r="4517" spans="1:19" x14ac:dyDescent="0.25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e">
        <f>VLOOKUP(F4517,'Customer Info'!A4509:I5008,2,0)</f>
        <v>#N/A</v>
      </c>
      <c r="H4517" s="6" t="e">
        <f>VLOOKUP(F4517,'Customer Info'!A4509:I5008,3,0)</f>
        <v>#N/A</v>
      </c>
      <c r="I4517" s="6" t="e">
        <f>VLOOKUP(F4517,'Customer Info'!A4509:I5008,5,0)</f>
        <v>#N/A</v>
      </c>
      <c r="J4517" s="2">
        <v>2644</v>
      </c>
      <c r="K4517" s="2">
        <v>2425</v>
      </c>
      <c r="L4517" s="2">
        <v>2</v>
      </c>
      <c r="M4517" s="7">
        <f t="shared" si="280"/>
        <v>4850</v>
      </c>
      <c r="N4517" s="7">
        <f t="shared" si="281"/>
        <v>5288</v>
      </c>
      <c r="O4517" s="2">
        <v>76</v>
      </c>
      <c r="P4517" s="8">
        <f t="shared" si="282"/>
        <v>5364</v>
      </c>
      <c r="Q4517" s="8">
        <f t="shared" si="283"/>
        <v>5212</v>
      </c>
      <c r="R4517" s="2" t="s">
        <v>50</v>
      </c>
      <c r="S4517" s="9">
        <f>VLOOKUP(P4517,$T$2:U4514,2,1)</f>
        <v>0.05</v>
      </c>
    </row>
    <row r="4518" spans="1:19" x14ac:dyDescent="0.25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e">
        <f>VLOOKUP(F4518,'Customer Info'!A4510:I5009,2,0)</f>
        <v>#N/A</v>
      </c>
      <c r="H4518" s="6" t="e">
        <f>VLOOKUP(F4518,'Customer Info'!A4510:I5009,3,0)</f>
        <v>#N/A</v>
      </c>
      <c r="I4518" s="6" t="e">
        <f>VLOOKUP(F4518,'Customer Info'!A4510:I5009,5,0)</f>
        <v>#N/A</v>
      </c>
      <c r="J4518" s="2">
        <v>63</v>
      </c>
      <c r="K4518" s="2">
        <v>58</v>
      </c>
      <c r="L4518" s="2">
        <v>6</v>
      </c>
      <c r="M4518" s="7">
        <f t="shared" si="280"/>
        <v>348</v>
      </c>
      <c r="N4518" s="7">
        <f t="shared" si="281"/>
        <v>378</v>
      </c>
      <c r="O4518" s="2">
        <v>10</v>
      </c>
      <c r="P4518" s="8">
        <f t="shared" si="282"/>
        <v>388</v>
      </c>
      <c r="Q4518" s="8">
        <f t="shared" si="283"/>
        <v>368</v>
      </c>
      <c r="R4518" s="2" t="s">
        <v>28</v>
      </c>
      <c r="S4518" s="9">
        <f>VLOOKUP(P4518,$T$2:U4515,2,1)</f>
        <v>0.02</v>
      </c>
    </row>
    <row r="4519" spans="1:19" x14ac:dyDescent="0.25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e">
        <f>VLOOKUP(F4519,'Customer Info'!A4511:I5010,2,0)</f>
        <v>#N/A</v>
      </c>
      <c r="H4519" s="6" t="e">
        <f>VLOOKUP(F4519,'Customer Info'!A4511:I5010,3,0)</f>
        <v>#N/A</v>
      </c>
      <c r="I4519" s="6" t="e">
        <f>VLOOKUP(F4519,'Customer Info'!A4511:I5010,5,0)</f>
        <v>#N/A</v>
      </c>
      <c r="J4519" s="2">
        <v>1859</v>
      </c>
      <c r="K4519" s="2">
        <v>1755</v>
      </c>
      <c r="L4519" s="2">
        <v>4</v>
      </c>
      <c r="M4519" s="7">
        <f t="shared" si="280"/>
        <v>7020</v>
      </c>
      <c r="N4519" s="7">
        <f t="shared" si="281"/>
        <v>7436</v>
      </c>
      <c r="O4519" s="2">
        <v>84</v>
      </c>
      <c r="P4519" s="8">
        <f t="shared" si="282"/>
        <v>7520</v>
      </c>
      <c r="Q4519" s="8">
        <f t="shared" si="283"/>
        <v>7352</v>
      </c>
      <c r="R4519" s="2" t="s">
        <v>28</v>
      </c>
      <c r="S4519" s="9">
        <f>VLOOKUP(P4519,$T$2:U4516,2,1)</f>
        <v>0.05</v>
      </c>
    </row>
    <row r="4520" spans="1:19" x14ac:dyDescent="0.25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e">
        <f>VLOOKUP(F4520,'Customer Info'!A4512:I5011,2,0)</f>
        <v>#N/A</v>
      </c>
      <c r="H4520" s="6" t="e">
        <f>VLOOKUP(F4520,'Customer Info'!A4512:I5011,3,0)</f>
        <v>#N/A</v>
      </c>
      <c r="I4520" s="6" t="e">
        <f>VLOOKUP(F4520,'Customer Info'!A4512:I5011,5,0)</f>
        <v>#N/A</v>
      </c>
      <c r="J4520" s="2">
        <v>1637</v>
      </c>
      <c r="K4520" s="2">
        <v>1591</v>
      </c>
      <c r="L4520" s="2">
        <v>6</v>
      </c>
      <c r="M4520" s="7">
        <f t="shared" si="280"/>
        <v>9546</v>
      </c>
      <c r="N4520" s="7">
        <f t="shared" si="281"/>
        <v>9822</v>
      </c>
      <c r="O4520" s="2">
        <v>72</v>
      </c>
      <c r="P4520" s="8">
        <f t="shared" si="282"/>
        <v>9894</v>
      </c>
      <c r="Q4520" s="8">
        <f t="shared" si="283"/>
        <v>9750</v>
      </c>
      <c r="R4520" s="2" t="s">
        <v>56</v>
      </c>
      <c r="S4520" s="9">
        <f>VLOOKUP(P4520,$T$2:U4517,2,1)</f>
        <v>0.05</v>
      </c>
    </row>
    <row r="4521" spans="1:19" x14ac:dyDescent="0.25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e">
        <f>VLOOKUP(F4521,'Customer Info'!A4513:I5012,2,0)</f>
        <v>#N/A</v>
      </c>
      <c r="H4521" s="6" t="e">
        <f>VLOOKUP(F4521,'Customer Info'!A4513:I5012,3,0)</f>
        <v>#N/A</v>
      </c>
      <c r="I4521" s="6" t="e">
        <f>VLOOKUP(F4521,'Customer Info'!A4513:I5012,5,0)</f>
        <v>#N/A</v>
      </c>
      <c r="J4521" s="2">
        <v>7350</v>
      </c>
      <c r="K4521" s="2">
        <v>6743</v>
      </c>
      <c r="L4521" s="2">
        <v>3</v>
      </c>
      <c r="M4521" s="7">
        <f t="shared" si="280"/>
        <v>20229</v>
      </c>
      <c r="N4521" s="7">
        <f t="shared" si="281"/>
        <v>22050</v>
      </c>
      <c r="O4521" s="2">
        <v>62</v>
      </c>
      <c r="P4521" s="8">
        <f t="shared" si="282"/>
        <v>22112</v>
      </c>
      <c r="Q4521" s="8">
        <f t="shared" si="283"/>
        <v>21988</v>
      </c>
      <c r="R4521" s="2" t="s">
        <v>50</v>
      </c>
      <c r="S4521" s="9">
        <f>VLOOKUP(P4521,$T$2:U4518,2,1)</f>
        <v>0.05</v>
      </c>
    </row>
    <row r="4522" spans="1:19" x14ac:dyDescent="0.25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e">
        <f>VLOOKUP(F4522,'Customer Info'!A4514:I5013,2,0)</f>
        <v>#N/A</v>
      </c>
      <c r="H4522" s="6" t="e">
        <f>VLOOKUP(F4522,'Customer Info'!A4514:I5013,3,0)</f>
        <v>#N/A</v>
      </c>
      <c r="I4522" s="6" t="e">
        <f>VLOOKUP(F4522,'Customer Info'!A4514:I5013,5,0)</f>
        <v>#N/A</v>
      </c>
      <c r="J4522" s="2">
        <v>3408</v>
      </c>
      <c r="K4522" s="2">
        <v>3215</v>
      </c>
      <c r="L4522" s="2">
        <v>1</v>
      </c>
      <c r="M4522" s="7">
        <f t="shared" si="280"/>
        <v>3215</v>
      </c>
      <c r="N4522" s="7">
        <f t="shared" si="281"/>
        <v>3408</v>
      </c>
      <c r="O4522" s="2">
        <v>64</v>
      </c>
      <c r="P4522" s="8">
        <f t="shared" si="282"/>
        <v>3472</v>
      </c>
      <c r="Q4522" s="8">
        <f t="shared" si="283"/>
        <v>3344</v>
      </c>
      <c r="R4522" s="2" t="s">
        <v>28</v>
      </c>
      <c r="S4522" s="9">
        <f>VLOOKUP(P4522,$T$2:U4519,2,1)</f>
        <v>0.02</v>
      </c>
    </row>
    <row r="4523" spans="1:19" x14ac:dyDescent="0.25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e">
        <f>VLOOKUP(F4523,'Customer Info'!A4515:I5014,2,0)</f>
        <v>#N/A</v>
      </c>
      <c r="H4523" s="6" t="e">
        <f>VLOOKUP(F4523,'Customer Info'!A4515:I5014,3,0)</f>
        <v>#N/A</v>
      </c>
      <c r="I4523" s="6" t="e">
        <f>VLOOKUP(F4523,'Customer Info'!A4515:I5014,5,0)</f>
        <v>#N/A</v>
      </c>
      <c r="J4523" s="2">
        <v>81</v>
      </c>
      <c r="K4523" s="2">
        <v>77</v>
      </c>
      <c r="L4523" s="2">
        <v>4</v>
      </c>
      <c r="M4523" s="7">
        <f t="shared" si="280"/>
        <v>308</v>
      </c>
      <c r="N4523" s="7">
        <f t="shared" si="281"/>
        <v>324</v>
      </c>
      <c r="O4523" s="2">
        <v>10</v>
      </c>
      <c r="P4523" s="8">
        <f t="shared" si="282"/>
        <v>334</v>
      </c>
      <c r="Q4523" s="8">
        <f t="shared" si="283"/>
        <v>314</v>
      </c>
      <c r="R4523" s="2" t="s">
        <v>28</v>
      </c>
      <c r="S4523" s="9">
        <f>VLOOKUP(P4523,$T$2:U4520,2,1)</f>
        <v>0.02</v>
      </c>
    </row>
    <row r="4524" spans="1:19" x14ac:dyDescent="0.25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e">
        <f>VLOOKUP(F4524,'Customer Info'!A4516:I5015,2,0)</f>
        <v>#N/A</v>
      </c>
      <c r="H4524" s="6" t="e">
        <f>VLOOKUP(F4524,'Customer Info'!A4516:I5015,3,0)</f>
        <v>#N/A</v>
      </c>
      <c r="I4524" s="6" t="e">
        <f>VLOOKUP(F4524,'Customer Info'!A4516:I5015,5,0)</f>
        <v>#N/A</v>
      </c>
      <c r="J4524" s="2">
        <v>4798</v>
      </c>
      <c r="K4524" s="2">
        <v>4448</v>
      </c>
      <c r="L4524" s="2">
        <v>2</v>
      </c>
      <c r="M4524" s="7">
        <f t="shared" si="280"/>
        <v>8896</v>
      </c>
      <c r="N4524" s="7">
        <f t="shared" si="281"/>
        <v>9596</v>
      </c>
      <c r="O4524" s="2">
        <v>35</v>
      </c>
      <c r="P4524" s="8">
        <f t="shared" si="282"/>
        <v>9631</v>
      </c>
      <c r="Q4524" s="8">
        <f t="shared" si="283"/>
        <v>9561</v>
      </c>
      <c r="R4524" s="2" t="s">
        <v>28</v>
      </c>
      <c r="S4524" s="9">
        <f>VLOOKUP(P4524,$T$2:U4521,2,1)</f>
        <v>0.05</v>
      </c>
    </row>
    <row r="4525" spans="1:19" x14ac:dyDescent="0.25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e">
        <f>VLOOKUP(F4525,'Customer Info'!A4517:I5016,2,0)</f>
        <v>#N/A</v>
      </c>
      <c r="H4525" s="6" t="e">
        <f>VLOOKUP(F4525,'Customer Info'!A4517:I5016,3,0)</f>
        <v>#N/A</v>
      </c>
      <c r="I4525" s="6" t="e">
        <f>VLOOKUP(F4525,'Customer Info'!A4517:I5016,5,0)</f>
        <v>#N/A</v>
      </c>
      <c r="J4525" s="2">
        <v>877</v>
      </c>
      <c r="K4525" s="2">
        <v>788</v>
      </c>
      <c r="L4525" s="2">
        <v>7</v>
      </c>
      <c r="M4525" s="7">
        <f t="shared" si="280"/>
        <v>5516</v>
      </c>
      <c r="N4525" s="7">
        <f t="shared" si="281"/>
        <v>6139</v>
      </c>
      <c r="O4525" s="2">
        <v>96</v>
      </c>
      <c r="P4525" s="8">
        <f t="shared" si="282"/>
        <v>6235</v>
      </c>
      <c r="Q4525" s="8">
        <f t="shared" si="283"/>
        <v>6043</v>
      </c>
      <c r="R4525" s="2" t="s">
        <v>28</v>
      </c>
      <c r="S4525" s="9">
        <f>VLOOKUP(P4525,$T$2:U4522,2,1)</f>
        <v>0.05</v>
      </c>
    </row>
    <row r="4526" spans="1:19" x14ac:dyDescent="0.25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e">
        <f>VLOOKUP(F4526,'Customer Info'!A4518:I5017,2,0)</f>
        <v>#N/A</v>
      </c>
      <c r="H4526" s="6" t="e">
        <f>VLOOKUP(F4526,'Customer Info'!A4518:I5017,3,0)</f>
        <v>#N/A</v>
      </c>
      <c r="I4526" s="6" t="e">
        <f>VLOOKUP(F4526,'Customer Info'!A4518:I5017,5,0)</f>
        <v>#N/A</v>
      </c>
      <c r="J4526" s="2">
        <v>2155</v>
      </c>
      <c r="K4526" s="2">
        <v>2014</v>
      </c>
      <c r="L4526" s="2">
        <v>3</v>
      </c>
      <c r="M4526" s="7">
        <f t="shared" si="280"/>
        <v>6042</v>
      </c>
      <c r="N4526" s="7">
        <f t="shared" si="281"/>
        <v>6465</v>
      </c>
      <c r="O4526" s="2">
        <v>42</v>
      </c>
      <c r="P4526" s="8">
        <f t="shared" si="282"/>
        <v>6507</v>
      </c>
      <c r="Q4526" s="8">
        <f t="shared" si="283"/>
        <v>6423</v>
      </c>
      <c r="R4526" s="2" t="s">
        <v>28</v>
      </c>
      <c r="S4526" s="9">
        <f>VLOOKUP(P4526,$T$2:U4523,2,1)</f>
        <v>0.05</v>
      </c>
    </row>
    <row r="4527" spans="1:19" x14ac:dyDescent="0.25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e">
        <f>VLOOKUP(F4527,'Customer Info'!A4519:I5018,2,0)</f>
        <v>#N/A</v>
      </c>
      <c r="H4527" s="6" t="e">
        <f>VLOOKUP(F4527,'Customer Info'!A4519:I5018,3,0)</f>
        <v>#N/A</v>
      </c>
      <c r="I4527" s="6" t="e">
        <f>VLOOKUP(F4527,'Customer Info'!A4519:I5018,5,0)</f>
        <v>#N/A</v>
      </c>
      <c r="J4527" s="2">
        <v>7864</v>
      </c>
      <c r="K4527" s="2">
        <v>7563</v>
      </c>
      <c r="L4527" s="2">
        <v>2</v>
      </c>
      <c r="M4527" s="7">
        <f t="shared" si="280"/>
        <v>15126</v>
      </c>
      <c r="N4527" s="7">
        <f t="shared" si="281"/>
        <v>15728</v>
      </c>
      <c r="O4527" s="2">
        <v>56</v>
      </c>
      <c r="P4527" s="8">
        <f t="shared" si="282"/>
        <v>15784</v>
      </c>
      <c r="Q4527" s="8">
        <f t="shared" si="283"/>
        <v>15672</v>
      </c>
      <c r="R4527" s="2" t="s">
        <v>28</v>
      </c>
      <c r="S4527" s="9">
        <f>VLOOKUP(P4527,$T$2:U4524,2,1)</f>
        <v>0.05</v>
      </c>
    </row>
    <row r="4528" spans="1:19" x14ac:dyDescent="0.25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e">
        <f>VLOOKUP(F4528,'Customer Info'!A4520:I5019,2,0)</f>
        <v>#N/A</v>
      </c>
      <c r="H4528" s="6" t="e">
        <f>VLOOKUP(F4528,'Customer Info'!A4520:I5019,3,0)</f>
        <v>#N/A</v>
      </c>
      <c r="I4528" s="6" t="e">
        <f>VLOOKUP(F4528,'Customer Info'!A4520:I5019,5,0)</f>
        <v>#N/A</v>
      </c>
      <c r="J4528" s="2">
        <v>35350</v>
      </c>
      <c r="K4528" s="2">
        <v>33037</v>
      </c>
      <c r="L4528" s="2">
        <v>4</v>
      </c>
      <c r="M4528" s="7">
        <f t="shared" si="280"/>
        <v>132148</v>
      </c>
      <c r="N4528" s="7">
        <f t="shared" si="281"/>
        <v>141400</v>
      </c>
      <c r="O4528" s="2">
        <v>33</v>
      </c>
      <c r="P4528" s="8">
        <f t="shared" si="282"/>
        <v>141433</v>
      </c>
      <c r="Q4528" s="8">
        <f t="shared" si="283"/>
        <v>141367</v>
      </c>
      <c r="R4528" s="2" t="s">
        <v>26</v>
      </c>
      <c r="S4528" s="9">
        <f>VLOOKUP(P4528,$T$2:U4525,2,1)</f>
        <v>0.12</v>
      </c>
    </row>
    <row r="4529" spans="1:19" x14ac:dyDescent="0.25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e">
        <f>VLOOKUP(F4529,'Customer Info'!A4521:I5020,2,0)</f>
        <v>#N/A</v>
      </c>
      <c r="H4529" s="6" t="e">
        <f>VLOOKUP(F4529,'Customer Info'!A4521:I5020,3,0)</f>
        <v>#N/A</v>
      </c>
      <c r="I4529" s="6" t="e">
        <f>VLOOKUP(F4529,'Customer Info'!A4521:I5020,5,0)</f>
        <v>#N/A</v>
      </c>
      <c r="J4529" s="2">
        <v>1772</v>
      </c>
      <c r="K4529" s="2">
        <v>1656</v>
      </c>
      <c r="L4529" s="2">
        <v>6</v>
      </c>
      <c r="M4529" s="7">
        <f t="shared" si="280"/>
        <v>9936</v>
      </c>
      <c r="N4529" s="7">
        <f t="shared" si="281"/>
        <v>10632</v>
      </c>
      <c r="O4529" s="2">
        <v>48</v>
      </c>
      <c r="P4529" s="8">
        <f t="shared" si="282"/>
        <v>10680</v>
      </c>
      <c r="Q4529" s="8">
        <f t="shared" si="283"/>
        <v>10584</v>
      </c>
      <c r="R4529" s="2" t="s">
        <v>28</v>
      </c>
      <c r="S4529" s="9">
        <f>VLOOKUP(P4529,$T$2:U4526,2,1)</f>
        <v>0.05</v>
      </c>
    </row>
    <row r="4530" spans="1:19" x14ac:dyDescent="0.25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e">
        <f>VLOOKUP(F4530,'Customer Info'!A4522:I5021,2,0)</f>
        <v>#N/A</v>
      </c>
      <c r="H4530" s="6" t="e">
        <f>VLOOKUP(F4530,'Customer Info'!A4522:I5021,3,0)</f>
        <v>#N/A</v>
      </c>
      <c r="I4530" s="6" t="e">
        <f>VLOOKUP(F4530,'Customer Info'!A4522:I5021,5,0)</f>
        <v>#N/A</v>
      </c>
      <c r="J4530" s="2">
        <v>179</v>
      </c>
      <c r="K4530" s="2">
        <v>166</v>
      </c>
      <c r="L4530" s="2">
        <v>4</v>
      </c>
      <c r="M4530" s="7">
        <f t="shared" si="280"/>
        <v>664</v>
      </c>
      <c r="N4530" s="7">
        <f t="shared" si="281"/>
        <v>716</v>
      </c>
      <c r="O4530" s="2">
        <v>30</v>
      </c>
      <c r="P4530" s="8">
        <f t="shared" si="282"/>
        <v>746</v>
      </c>
      <c r="Q4530" s="8">
        <f t="shared" si="283"/>
        <v>686</v>
      </c>
      <c r="R4530" s="2" t="s">
        <v>50</v>
      </c>
      <c r="S4530" s="9">
        <f>VLOOKUP(P4530,$T$2:U4527,2,1)</f>
        <v>0.02</v>
      </c>
    </row>
    <row r="4531" spans="1:19" x14ac:dyDescent="0.25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e">
        <f>VLOOKUP(F4531,'Customer Info'!A4523:I5022,2,0)</f>
        <v>#N/A</v>
      </c>
      <c r="H4531" s="6" t="e">
        <f>VLOOKUP(F4531,'Customer Info'!A4523:I5022,3,0)</f>
        <v>#N/A</v>
      </c>
      <c r="I4531" s="6" t="e">
        <f>VLOOKUP(F4531,'Customer Info'!A4523:I5022,5,0)</f>
        <v>#N/A</v>
      </c>
      <c r="J4531" s="2">
        <v>1834</v>
      </c>
      <c r="K4531" s="2">
        <v>1716</v>
      </c>
      <c r="L4531" s="2">
        <v>1</v>
      </c>
      <c r="M4531" s="7">
        <f t="shared" si="280"/>
        <v>1716</v>
      </c>
      <c r="N4531" s="7">
        <f t="shared" si="281"/>
        <v>1834</v>
      </c>
      <c r="O4531" s="2">
        <v>99</v>
      </c>
      <c r="P4531" s="8">
        <f t="shared" si="282"/>
        <v>1933</v>
      </c>
      <c r="Q4531" s="8">
        <f t="shared" si="283"/>
        <v>1735</v>
      </c>
      <c r="R4531" s="2" t="s">
        <v>50</v>
      </c>
      <c r="S4531" s="9">
        <f>VLOOKUP(P4531,$T$2:U4528,2,1)</f>
        <v>0.02</v>
      </c>
    </row>
    <row r="4532" spans="1:19" x14ac:dyDescent="0.25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e">
        <f>VLOOKUP(F4532,'Customer Info'!A4524:I5023,2,0)</f>
        <v>#N/A</v>
      </c>
      <c r="H4532" s="6" t="e">
        <f>VLOOKUP(F4532,'Customer Info'!A4524:I5023,3,0)</f>
        <v>#N/A</v>
      </c>
      <c r="I4532" s="6" t="e">
        <f>VLOOKUP(F4532,'Customer Info'!A4524:I5023,5,0)</f>
        <v>#N/A</v>
      </c>
      <c r="J4532" s="2">
        <v>1635</v>
      </c>
      <c r="K4532" s="2">
        <v>1573</v>
      </c>
      <c r="L4532" s="2">
        <v>2</v>
      </c>
      <c r="M4532" s="7">
        <f t="shared" si="280"/>
        <v>3146</v>
      </c>
      <c r="N4532" s="7">
        <f t="shared" si="281"/>
        <v>3270</v>
      </c>
      <c r="O4532" s="2">
        <v>70</v>
      </c>
      <c r="P4532" s="8">
        <f t="shared" si="282"/>
        <v>3340</v>
      </c>
      <c r="Q4532" s="8">
        <f t="shared" si="283"/>
        <v>3200</v>
      </c>
      <c r="R4532" s="2" t="s">
        <v>28</v>
      </c>
      <c r="S4532" s="9">
        <f>VLOOKUP(P4532,$T$2:U4529,2,1)</f>
        <v>0.02</v>
      </c>
    </row>
    <row r="4533" spans="1:19" x14ac:dyDescent="0.25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e">
        <f>VLOOKUP(F4533,'Customer Info'!A4525:I5024,2,0)</f>
        <v>#N/A</v>
      </c>
      <c r="H4533" s="6" t="e">
        <f>VLOOKUP(F4533,'Customer Info'!A4525:I5024,3,0)</f>
        <v>#N/A</v>
      </c>
      <c r="I4533" s="6" t="e">
        <f>VLOOKUP(F4533,'Customer Info'!A4525:I5024,5,0)</f>
        <v>#N/A</v>
      </c>
      <c r="J4533" s="2">
        <v>2333</v>
      </c>
      <c r="K4533" s="2">
        <v>2060</v>
      </c>
      <c r="L4533" s="2">
        <v>3</v>
      </c>
      <c r="M4533" s="7">
        <f t="shared" si="280"/>
        <v>6180</v>
      </c>
      <c r="N4533" s="7">
        <f t="shared" si="281"/>
        <v>6999</v>
      </c>
      <c r="O4533" s="2">
        <v>98</v>
      </c>
      <c r="P4533" s="8">
        <f t="shared" si="282"/>
        <v>7097</v>
      </c>
      <c r="Q4533" s="8">
        <f t="shared" si="283"/>
        <v>6901</v>
      </c>
      <c r="R4533" s="2" t="s">
        <v>50</v>
      </c>
      <c r="S4533" s="9">
        <f>VLOOKUP(P4533,$T$2:U4530,2,1)</f>
        <v>0.05</v>
      </c>
    </row>
    <row r="4534" spans="1:19" x14ac:dyDescent="0.25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e">
        <f>VLOOKUP(F4534,'Customer Info'!A4526:I5025,2,0)</f>
        <v>#N/A</v>
      </c>
      <c r="H4534" s="6" t="e">
        <f>VLOOKUP(F4534,'Customer Info'!A4526:I5025,3,0)</f>
        <v>#N/A</v>
      </c>
      <c r="I4534" s="6" t="e">
        <f>VLOOKUP(F4534,'Customer Info'!A4526:I5025,5,0)</f>
        <v>#N/A</v>
      </c>
      <c r="J4534" s="2">
        <v>3256</v>
      </c>
      <c r="K4534" s="2">
        <v>3044</v>
      </c>
      <c r="L4534" s="2">
        <v>2</v>
      </c>
      <c r="M4534" s="7">
        <f t="shared" si="280"/>
        <v>6088</v>
      </c>
      <c r="N4534" s="7">
        <f t="shared" si="281"/>
        <v>6512</v>
      </c>
      <c r="O4534" s="2">
        <v>39</v>
      </c>
      <c r="P4534" s="8">
        <f t="shared" si="282"/>
        <v>6551</v>
      </c>
      <c r="Q4534" s="8">
        <f t="shared" si="283"/>
        <v>6473</v>
      </c>
      <c r="R4534" s="2" t="s">
        <v>50</v>
      </c>
      <c r="S4534" s="9">
        <f>VLOOKUP(P4534,$T$2:U4531,2,1)</f>
        <v>0.05</v>
      </c>
    </row>
    <row r="4535" spans="1:19" x14ac:dyDescent="0.25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e">
        <f>VLOOKUP(F4535,'Customer Info'!A4527:I5026,2,0)</f>
        <v>#N/A</v>
      </c>
      <c r="H4535" s="6" t="e">
        <f>VLOOKUP(F4535,'Customer Info'!A4527:I5026,3,0)</f>
        <v>#N/A</v>
      </c>
      <c r="I4535" s="6" t="e">
        <f>VLOOKUP(F4535,'Customer Info'!A4527:I5026,5,0)</f>
        <v>#N/A</v>
      </c>
      <c r="J4535" s="2">
        <v>28522</v>
      </c>
      <c r="K4535" s="2">
        <v>26384</v>
      </c>
      <c r="L4535" s="2">
        <v>9</v>
      </c>
      <c r="M4535" s="7">
        <f t="shared" si="280"/>
        <v>237456</v>
      </c>
      <c r="N4535" s="7">
        <f t="shared" si="281"/>
        <v>256698</v>
      </c>
      <c r="O4535" s="2">
        <v>70</v>
      </c>
      <c r="P4535" s="8">
        <f t="shared" si="282"/>
        <v>256768</v>
      </c>
      <c r="Q4535" s="8">
        <f t="shared" si="283"/>
        <v>256628</v>
      </c>
      <c r="R4535" s="2" t="s">
        <v>50</v>
      </c>
      <c r="S4535" s="9">
        <f>VLOOKUP(P4535,$T$2:U4532,2,1)</f>
        <v>0.15</v>
      </c>
    </row>
    <row r="4536" spans="1:19" x14ac:dyDescent="0.25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e">
        <f>VLOOKUP(F4536,'Customer Info'!A4528:I5027,2,0)</f>
        <v>#N/A</v>
      </c>
      <c r="H4536" s="6" t="e">
        <f>VLOOKUP(F4536,'Customer Info'!A4528:I5027,3,0)</f>
        <v>#N/A</v>
      </c>
      <c r="I4536" s="6" t="e">
        <f>VLOOKUP(F4536,'Customer Info'!A4528:I5027,5,0)</f>
        <v>#N/A</v>
      </c>
      <c r="J4536" s="2">
        <v>2205</v>
      </c>
      <c r="K4536" s="2">
        <v>2061</v>
      </c>
      <c r="L4536" s="2">
        <v>2</v>
      </c>
      <c r="M4536" s="7">
        <f t="shared" si="280"/>
        <v>4122</v>
      </c>
      <c r="N4536" s="7">
        <f t="shared" si="281"/>
        <v>4410</v>
      </c>
      <c r="O4536" s="2">
        <v>56</v>
      </c>
      <c r="P4536" s="8">
        <f t="shared" si="282"/>
        <v>4466</v>
      </c>
      <c r="Q4536" s="8">
        <f t="shared" si="283"/>
        <v>4354</v>
      </c>
      <c r="R4536" s="2" t="s">
        <v>50</v>
      </c>
      <c r="S4536" s="9">
        <f>VLOOKUP(P4536,$T$2:U4533,2,1)</f>
        <v>0.02</v>
      </c>
    </row>
    <row r="4537" spans="1:19" x14ac:dyDescent="0.25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e">
        <f>VLOOKUP(F4537,'Customer Info'!A4529:I5028,2,0)</f>
        <v>#N/A</v>
      </c>
      <c r="H4537" s="6" t="e">
        <f>VLOOKUP(F4537,'Customer Info'!A4529:I5028,3,0)</f>
        <v>#N/A</v>
      </c>
      <c r="I4537" s="6" t="e">
        <f>VLOOKUP(F4537,'Customer Info'!A4529:I5028,5,0)</f>
        <v>#N/A</v>
      </c>
      <c r="J4537" s="2">
        <v>8651</v>
      </c>
      <c r="K4537" s="2">
        <v>8081</v>
      </c>
      <c r="L4537" s="2">
        <v>12</v>
      </c>
      <c r="M4537" s="7">
        <f t="shared" si="280"/>
        <v>96972</v>
      </c>
      <c r="N4537" s="7">
        <f t="shared" si="281"/>
        <v>103812</v>
      </c>
      <c r="O4537" s="2">
        <v>91</v>
      </c>
      <c r="P4537" s="8">
        <f t="shared" si="282"/>
        <v>103903</v>
      </c>
      <c r="Q4537" s="8">
        <f t="shared" si="283"/>
        <v>103721</v>
      </c>
      <c r="R4537" s="2" t="s">
        <v>26</v>
      </c>
      <c r="S4537" s="9">
        <f>VLOOKUP(P4537,$T$2:U4534,2,1)</f>
        <v>0.12</v>
      </c>
    </row>
    <row r="4538" spans="1:19" x14ac:dyDescent="0.25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e">
        <f>VLOOKUP(F4538,'Customer Info'!A4530:I5029,2,0)</f>
        <v>#N/A</v>
      </c>
      <c r="H4538" s="6" t="e">
        <f>VLOOKUP(F4538,'Customer Info'!A4530:I5029,3,0)</f>
        <v>#N/A</v>
      </c>
      <c r="I4538" s="6" t="e">
        <f>VLOOKUP(F4538,'Customer Info'!A4530:I5029,5,0)</f>
        <v>#N/A</v>
      </c>
      <c r="J4538" s="2">
        <v>1925</v>
      </c>
      <c r="K4538" s="2">
        <v>1834</v>
      </c>
      <c r="L4538" s="2">
        <v>1</v>
      </c>
      <c r="M4538" s="7">
        <f t="shared" si="280"/>
        <v>1834</v>
      </c>
      <c r="N4538" s="7">
        <f t="shared" si="281"/>
        <v>1925</v>
      </c>
      <c r="O4538" s="2">
        <v>99</v>
      </c>
      <c r="P4538" s="8">
        <f t="shared" si="282"/>
        <v>2024</v>
      </c>
      <c r="Q4538" s="8">
        <f t="shared" si="283"/>
        <v>1826</v>
      </c>
      <c r="R4538" s="2" t="s">
        <v>28</v>
      </c>
      <c r="S4538" s="9">
        <f>VLOOKUP(P4538,$T$2:U4535,2,1)</f>
        <v>0.02</v>
      </c>
    </row>
    <row r="4539" spans="1:19" x14ac:dyDescent="0.25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e">
        <f>VLOOKUP(F4539,'Customer Info'!A4531:I5030,2,0)</f>
        <v>#N/A</v>
      </c>
      <c r="H4539" s="6" t="e">
        <f>VLOOKUP(F4539,'Customer Info'!A4531:I5030,3,0)</f>
        <v>#N/A</v>
      </c>
      <c r="I4539" s="6" t="e">
        <f>VLOOKUP(F4539,'Customer Info'!A4531:I5030,5,0)</f>
        <v>#N/A</v>
      </c>
      <c r="J4539" s="2">
        <v>78</v>
      </c>
      <c r="K4539" s="2">
        <v>74</v>
      </c>
      <c r="L4539" s="2">
        <v>5</v>
      </c>
      <c r="M4539" s="7">
        <f t="shared" si="280"/>
        <v>370</v>
      </c>
      <c r="N4539" s="7">
        <f t="shared" si="281"/>
        <v>390</v>
      </c>
      <c r="O4539" s="2">
        <v>10</v>
      </c>
      <c r="P4539" s="8">
        <f t="shared" si="282"/>
        <v>400</v>
      </c>
      <c r="Q4539" s="8">
        <f t="shared" si="283"/>
        <v>380</v>
      </c>
      <c r="R4539" s="2" t="s">
        <v>50</v>
      </c>
      <c r="S4539" s="9">
        <f>VLOOKUP(P4539,$T$2:U4536,2,1)</f>
        <v>0.02</v>
      </c>
    </row>
    <row r="4540" spans="1:19" x14ac:dyDescent="0.25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e">
        <f>VLOOKUP(F4540,'Customer Info'!A4532:I5031,2,0)</f>
        <v>#N/A</v>
      </c>
      <c r="H4540" s="6" t="e">
        <f>VLOOKUP(F4540,'Customer Info'!A4532:I5031,3,0)</f>
        <v>#N/A</v>
      </c>
      <c r="I4540" s="6" t="e">
        <f>VLOOKUP(F4540,'Customer Info'!A4532:I5031,5,0)</f>
        <v>#N/A</v>
      </c>
      <c r="J4540" s="2">
        <v>2466</v>
      </c>
      <c r="K4540" s="2">
        <v>2327</v>
      </c>
      <c r="L4540" s="2">
        <v>4</v>
      </c>
      <c r="M4540" s="7">
        <f t="shared" si="280"/>
        <v>9308</v>
      </c>
      <c r="N4540" s="7">
        <f t="shared" si="281"/>
        <v>9864</v>
      </c>
      <c r="O4540" s="2">
        <v>99</v>
      </c>
      <c r="P4540" s="8">
        <f t="shared" si="282"/>
        <v>9963</v>
      </c>
      <c r="Q4540" s="8">
        <f t="shared" si="283"/>
        <v>9765</v>
      </c>
      <c r="R4540" s="2" t="s">
        <v>28</v>
      </c>
      <c r="S4540" s="9">
        <f>VLOOKUP(P4540,$T$2:U4537,2,1)</f>
        <v>0.05</v>
      </c>
    </row>
    <row r="4541" spans="1:19" x14ac:dyDescent="0.25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e">
        <f>VLOOKUP(F4541,'Customer Info'!A4533:I5032,2,0)</f>
        <v>#N/A</v>
      </c>
      <c r="H4541" s="6" t="e">
        <f>VLOOKUP(F4541,'Customer Info'!A4533:I5032,3,0)</f>
        <v>#N/A</v>
      </c>
      <c r="I4541" s="6" t="e">
        <f>VLOOKUP(F4541,'Customer Info'!A4533:I5032,5,0)</f>
        <v>#N/A</v>
      </c>
      <c r="J4541" s="2">
        <v>130</v>
      </c>
      <c r="K4541" s="2">
        <v>122</v>
      </c>
      <c r="L4541" s="2">
        <v>1</v>
      </c>
      <c r="M4541" s="7">
        <f t="shared" si="280"/>
        <v>122</v>
      </c>
      <c r="N4541" s="7">
        <f t="shared" si="281"/>
        <v>130</v>
      </c>
      <c r="O4541" s="2">
        <v>30</v>
      </c>
      <c r="P4541" s="8">
        <f t="shared" si="282"/>
        <v>160</v>
      </c>
      <c r="Q4541" s="8">
        <f t="shared" si="283"/>
        <v>100</v>
      </c>
      <c r="R4541" s="2" t="s">
        <v>26</v>
      </c>
      <c r="S4541" s="9">
        <f>VLOOKUP(P4541,$T$2:U4538,2,1)</f>
        <v>0.02</v>
      </c>
    </row>
    <row r="4542" spans="1:19" x14ac:dyDescent="0.25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e">
        <f>VLOOKUP(F4542,'Customer Info'!A4534:I5033,2,0)</f>
        <v>#N/A</v>
      </c>
      <c r="H4542" s="6" t="e">
        <f>VLOOKUP(F4542,'Customer Info'!A4534:I5033,3,0)</f>
        <v>#N/A</v>
      </c>
      <c r="I4542" s="6" t="e">
        <f>VLOOKUP(F4542,'Customer Info'!A4534:I5033,5,0)</f>
        <v>#N/A</v>
      </c>
      <c r="J4542" s="2">
        <v>1574</v>
      </c>
      <c r="K4542" s="2">
        <v>1375</v>
      </c>
      <c r="L4542" s="2">
        <v>4</v>
      </c>
      <c r="M4542" s="7">
        <f t="shared" si="280"/>
        <v>5500</v>
      </c>
      <c r="N4542" s="7">
        <f t="shared" si="281"/>
        <v>6296</v>
      </c>
      <c r="O4542" s="2">
        <v>50</v>
      </c>
      <c r="P4542" s="8">
        <f t="shared" si="282"/>
        <v>6346</v>
      </c>
      <c r="Q4542" s="8">
        <f t="shared" si="283"/>
        <v>6246</v>
      </c>
      <c r="R4542" s="2" t="s">
        <v>50</v>
      </c>
      <c r="S4542" s="9">
        <f>VLOOKUP(P4542,$T$2:U4539,2,1)</f>
        <v>0.05</v>
      </c>
    </row>
    <row r="4543" spans="1:19" x14ac:dyDescent="0.25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e">
        <f>VLOOKUP(F4543,'Customer Info'!A4535:I5034,2,0)</f>
        <v>#N/A</v>
      </c>
      <c r="H4543" s="6" t="e">
        <f>VLOOKUP(F4543,'Customer Info'!A4535:I5034,3,0)</f>
        <v>#N/A</v>
      </c>
      <c r="I4543" s="6" t="e">
        <f>VLOOKUP(F4543,'Customer Info'!A4535:I5034,5,0)</f>
        <v>#N/A</v>
      </c>
      <c r="J4543" s="2">
        <v>8651</v>
      </c>
      <c r="K4543" s="2">
        <v>8081</v>
      </c>
      <c r="L4543" s="2">
        <v>3</v>
      </c>
      <c r="M4543" s="7">
        <f t="shared" si="280"/>
        <v>24243</v>
      </c>
      <c r="N4543" s="7">
        <f t="shared" si="281"/>
        <v>25953</v>
      </c>
      <c r="O4543" s="2">
        <v>32</v>
      </c>
      <c r="P4543" s="8">
        <f t="shared" si="282"/>
        <v>25985</v>
      </c>
      <c r="Q4543" s="8">
        <f t="shared" si="283"/>
        <v>25921</v>
      </c>
      <c r="R4543" s="2" t="s">
        <v>50</v>
      </c>
      <c r="S4543" s="9">
        <f>VLOOKUP(P4543,$T$2:U4540,2,1)</f>
        <v>7.0000000000000007E-2</v>
      </c>
    </row>
    <row r="4544" spans="1:19" x14ac:dyDescent="0.25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e">
        <f>VLOOKUP(F4544,'Customer Info'!A4536:I5035,2,0)</f>
        <v>#N/A</v>
      </c>
      <c r="H4544" s="6" t="e">
        <f>VLOOKUP(F4544,'Customer Info'!A4536:I5035,3,0)</f>
        <v>#N/A</v>
      </c>
      <c r="I4544" s="6" t="e">
        <f>VLOOKUP(F4544,'Customer Info'!A4536:I5035,5,0)</f>
        <v>#N/A</v>
      </c>
      <c r="J4544" s="2">
        <v>954</v>
      </c>
      <c r="K4544" s="2">
        <v>901</v>
      </c>
      <c r="L4544" s="2">
        <v>2</v>
      </c>
      <c r="M4544" s="7">
        <f t="shared" si="280"/>
        <v>1802</v>
      </c>
      <c r="N4544" s="7">
        <f t="shared" si="281"/>
        <v>1908</v>
      </c>
      <c r="O4544" s="2">
        <v>98</v>
      </c>
      <c r="P4544" s="8">
        <f t="shared" si="282"/>
        <v>2006</v>
      </c>
      <c r="Q4544" s="8">
        <f t="shared" si="283"/>
        <v>1810</v>
      </c>
      <c r="R4544" s="2" t="s">
        <v>28</v>
      </c>
      <c r="S4544" s="9">
        <f>VLOOKUP(P4544,$T$2:U4541,2,1)</f>
        <v>0.02</v>
      </c>
    </row>
    <row r="4545" spans="1:19" x14ac:dyDescent="0.25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e">
        <f>VLOOKUP(F4545,'Customer Info'!A4537:I5036,2,0)</f>
        <v>#N/A</v>
      </c>
      <c r="H4545" s="6" t="e">
        <f>VLOOKUP(F4545,'Customer Info'!A4537:I5036,3,0)</f>
        <v>#N/A</v>
      </c>
      <c r="I4545" s="6" t="e">
        <f>VLOOKUP(F4545,'Customer Info'!A4537:I5036,5,0)</f>
        <v>#N/A</v>
      </c>
      <c r="J4545" s="2">
        <v>8351</v>
      </c>
      <c r="K4545" s="2">
        <v>8033</v>
      </c>
      <c r="L4545" s="2">
        <v>1</v>
      </c>
      <c r="M4545" s="7">
        <f t="shared" si="280"/>
        <v>8033</v>
      </c>
      <c r="N4545" s="7">
        <f t="shared" si="281"/>
        <v>8351</v>
      </c>
      <c r="O4545" s="2">
        <v>36</v>
      </c>
      <c r="P4545" s="8">
        <f t="shared" si="282"/>
        <v>8387</v>
      </c>
      <c r="Q4545" s="8">
        <f t="shared" si="283"/>
        <v>8315</v>
      </c>
      <c r="R4545" s="2" t="s">
        <v>50</v>
      </c>
      <c r="S4545" s="9">
        <f>VLOOKUP(P4545,$T$2:U4542,2,1)</f>
        <v>0.05</v>
      </c>
    </row>
    <row r="4546" spans="1:19" x14ac:dyDescent="0.25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e">
        <f>VLOOKUP(F4546,'Customer Info'!A4538:I5037,2,0)</f>
        <v>#N/A</v>
      </c>
      <c r="H4546" s="6" t="e">
        <f>VLOOKUP(F4546,'Customer Info'!A4538:I5037,3,0)</f>
        <v>#N/A</v>
      </c>
      <c r="I4546" s="6" t="e">
        <f>VLOOKUP(F4546,'Customer Info'!A4538:I5037,5,0)</f>
        <v>#N/A</v>
      </c>
      <c r="J4546" s="2">
        <v>1587</v>
      </c>
      <c r="K4546" s="2">
        <v>1428</v>
      </c>
      <c r="L4546" s="2">
        <v>2</v>
      </c>
      <c r="M4546" s="7">
        <f t="shared" si="280"/>
        <v>2856</v>
      </c>
      <c r="N4546" s="7">
        <f t="shared" si="281"/>
        <v>3174</v>
      </c>
      <c r="O4546" s="2">
        <v>37</v>
      </c>
      <c r="P4546" s="8">
        <f t="shared" si="282"/>
        <v>3211</v>
      </c>
      <c r="Q4546" s="8">
        <f t="shared" si="283"/>
        <v>3137</v>
      </c>
      <c r="R4546" s="2" t="s">
        <v>50</v>
      </c>
      <c r="S4546" s="9">
        <f>VLOOKUP(P4546,$T$2:U4543,2,1)</f>
        <v>0.02</v>
      </c>
    </row>
    <row r="4547" spans="1:19" x14ac:dyDescent="0.25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e">
        <f>VLOOKUP(F4547,'Customer Info'!A4539:I5038,2,0)</f>
        <v>#N/A</v>
      </c>
      <c r="H4547" s="6" t="e">
        <f>VLOOKUP(F4547,'Customer Info'!A4539:I5038,3,0)</f>
        <v>#N/A</v>
      </c>
      <c r="I4547" s="6" t="e">
        <f>VLOOKUP(F4547,'Customer Info'!A4539:I5038,5,0)</f>
        <v>#N/A</v>
      </c>
      <c r="J4547" s="2">
        <v>1359</v>
      </c>
      <c r="K4547" s="2">
        <v>1221</v>
      </c>
      <c r="L4547" s="2">
        <v>1</v>
      </c>
      <c r="M4547" s="7">
        <f t="shared" si="280"/>
        <v>1221</v>
      </c>
      <c r="N4547" s="7">
        <f t="shared" si="281"/>
        <v>1359</v>
      </c>
      <c r="O4547" s="2">
        <v>98</v>
      </c>
      <c r="P4547" s="8">
        <f t="shared" si="282"/>
        <v>1457</v>
      </c>
      <c r="Q4547" s="8">
        <f t="shared" si="283"/>
        <v>1261</v>
      </c>
      <c r="R4547" s="2" t="s">
        <v>50</v>
      </c>
      <c r="S4547" s="9">
        <f>VLOOKUP(P4547,$T$2:U4544,2,1)</f>
        <v>0.02</v>
      </c>
    </row>
    <row r="4548" spans="1:19" x14ac:dyDescent="0.25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e">
        <f>VLOOKUP(F4548,'Customer Info'!A4540:I5039,2,0)</f>
        <v>#N/A</v>
      </c>
      <c r="H4548" s="6" t="e">
        <f>VLOOKUP(F4548,'Customer Info'!A4540:I5039,3,0)</f>
        <v>#N/A</v>
      </c>
      <c r="I4548" s="6" t="e">
        <f>VLOOKUP(F4548,'Customer Info'!A4540:I5039,5,0)</f>
        <v>#N/A</v>
      </c>
      <c r="J4548" s="2">
        <v>171</v>
      </c>
      <c r="K4548" s="2">
        <v>153</v>
      </c>
      <c r="L4548" s="2">
        <v>3</v>
      </c>
      <c r="M4548" s="7">
        <f t="shared" si="280"/>
        <v>459</v>
      </c>
      <c r="N4548" s="7">
        <f t="shared" si="281"/>
        <v>513</v>
      </c>
      <c r="O4548" s="2">
        <v>30</v>
      </c>
      <c r="P4548" s="8">
        <f t="shared" si="282"/>
        <v>543</v>
      </c>
      <c r="Q4548" s="8">
        <f t="shared" si="283"/>
        <v>483</v>
      </c>
      <c r="R4548" s="2" t="s">
        <v>26</v>
      </c>
      <c r="S4548" s="9">
        <f>VLOOKUP(P4548,$T$2:U4545,2,1)</f>
        <v>0.02</v>
      </c>
    </row>
    <row r="4549" spans="1:19" x14ac:dyDescent="0.25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e">
        <f>VLOOKUP(F4549,'Customer Info'!A4541:I5040,2,0)</f>
        <v>#N/A</v>
      </c>
      <c r="H4549" s="6" t="e">
        <f>VLOOKUP(F4549,'Customer Info'!A4541:I5040,3,0)</f>
        <v>#N/A</v>
      </c>
      <c r="I4549" s="6" t="e">
        <f>VLOOKUP(F4549,'Customer Info'!A4541:I5040,5,0)</f>
        <v>#N/A</v>
      </c>
      <c r="J4549" s="2">
        <v>68</v>
      </c>
      <c r="K4549" s="2">
        <v>63</v>
      </c>
      <c r="L4549" s="2">
        <v>2</v>
      </c>
      <c r="M4549" s="7">
        <f t="shared" si="280"/>
        <v>126</v>
      </c>
      <c r="N4549" s="7">
        <f t="shared" si="281"/>
        <v>136</v>
      </c>
      <c r="O4549" s="2">
        <v>10</v>
      </c>
      <c r="P4549" s="8">
        <f t="shared" si="282"/>
        <v>146</v>
      </c>
      <c r="Q4549" s="8">
        <f t="shared" si="283"/>
        <v>126</v>
      </c>
      <c r="R4549" s="2" t="s">
        <v>28</v>
      </c>
      <c r="S4549" s="9">
        <f>VLOOKUP(P4549,$T$2:U4546,2,1)</f>
        <v>0.02</v>
      </c>
    </row>
    <row r="4550" spans="1:19" x14ac:dyDescent="0.25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e">
        <f>VLOOKUP(F4550,'Customer Info'!A4542:I5041,2,0)</f>
        <v>#N/A</v>
      </c>
      <c r="H4550" s="6" t="e">
        <f>VLOOKUP(F4550,'Customer Info'!A4542:I5041,3,0)</f>
        <v>#N/A</v>
      </c>
      <c r="I4550" s="6" t="e">
        <f>VLOOKUP(F4550,'Customer Info'!A4542:I5041,5,0)</f>
        <v>#N/A</v>
      </c>
      <c r="J4550" s="2">
        <v>167</v>
      </c>
      <c r="K4550" s="2">
        <v>155</v>
      </c>
      <c r="L4550" s="2">
        <v>3</v>
      </c>
      <c r="M4550" s="7">
        <f t="shared" si="280"/>
        <v>465</v>
      </c>
      <c r="N4550" s="7">
        <f t="shared" si="281"/>
        <v>501</v>
      </c>
      <c r="O4550" s="2">
        <v>30</v>
      </c>
      <c r="P4550" s="8">
        <f t="shared" si="282"/>
        <v>531</v>
      </c>
      <c r="Q4550" s="8">
        <f t="shared" si="283"/>
        <v>471</v>
      </c>
      <c r="R4550" s="2" t="s">
        <v>50</v>
      </c>
      <c r="S4550" s="9">
        <f>VLOOKUP(P4550,$T$2:U4547,2,1)</f>
        <v>0.02</v>
      </c>
    </row>
    <row r="4551" spans="1:19" x14ac:dyDescent="0.25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e">
        <f>VLOOKUP(F4551,'Customer Info'!A4543:I5042,2,0)</f>
        <v>#N/A</v>
      </c>
      <c r="H4551" s="6" t="e">
        <f>VLOOKUP(F4551,'Customer Info'!A4543:I5042,3,0)</f>
        <v>#N/A</v>
      </c>
      <c r="I4551" s="6" t="e">
        <f>VLOOKUP(F4551,'Customer Info'!A4543:I5042,5,0)</f>
        <v>#N/A</v>
      </c>
      <c r="J4551" s="2">
        <v>5848</v>
      </c>
      <c r="K4551" s="2">
        <v>5214</v>
      </c>
      <c r="L4551" s="2">
        <v>4</v>
      </c>
      <c r="M4551" s="7">
        <f t="shared" si="280"/>
        <v>20856</v>
      </c>
      <c r="N4551" s="7">
        <f t="shared" si="281"/>
        <v>23392</v>
      </c>
      <c r="O4551" s="2">
        <v>32</v>
      </c>
      <c r="P4551" s="8">
        <f t="shared" si="282"/>
        <v>23424</v>
      </c>
      <c r="Q4551" s="8">
        <f t="shared" si="283"/>
        <v>23360</v>
      </c>
      <c r="R4551" s="2" t="s">
        <v>50</v>
      </c>
      <c r="S4551" s="9">
        <f>VLOOKUP(P4551,$T$2:U4548,2,1)</f>
        <v>0.05</v>
      </c>
    </row>
    <row r="4552" spans="1:19" x14ac:dyDescent="0.25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e">
        <f>VLOOKUP(F4552,'Customer Info'!A4544:I5043,2,0)</f>
        <v>#N/A</v>
      </c>
      <c r="H4552" s="6" t="e">
        <f>VLOOKUP(F4552,'Customer Info'!A4544:I5043,3,0)</f>
        <v>#N/A</v>
      </c>
      <c r="I4552" s="6" t="e">
        <f>VLOOKUP(F4552,'Customer Info'!A4544:I5043,5,0)</f>
        <v>#N/A</v>
      </c>
      <c r="J4552" s="2">
        <v>1623</v>
      </c>
      <c r="K4552" s="2">
        <v>1546</v>
      </c>
      <c r="L4552" s="2">
        <v>4</v>
      </c>
      <c r="M4552" s="7">
        <f t="shared" si="280"/>
        <v>6184</v>
      </c>
      <c r="N4552" s="7">
        <f t="shared" si="281"/>
        <v>6492</v>
      </c>
      <c r="O4552" s="2">
        <v>80</v>
      </c>
      <c r="P4552" s="8">
        <f t="shared" si="282"/>
        <v>6572</v>
      </c>
      <c r="Q4552" s="8">
        <f t="shared" si="283"/>
        <v>6412</v>
      </c>
      <c r="R4552" s="2" t="s">
        <v>28</v>
      </c>
      <c r="S4552" s="9">
        <f>VLOOKUP(P4552,$T$2:U4549,2,1)</f>
        <v>0.05</v>
      </c>
    </row>
    <row r="4553" spans="1:19" x14ac:dyDescent="0.25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e">
        <f>VLOOKUP(F4553,'Customer Info'!A4545:I5044,2,0)</f>
        <v>#N/A</v>
      </c>
      <c r="H4553" s="6" t="e">
        <f>VLOOKUP(F4553,'Customer Info'!A4545:I5044,3,0)</f>
        <v>#N/A</v>
      </c>
      <c r="I4553" s="6" t="e">
        <f>VLOOKUP(F4553,'Customer Info'!A4545:I5044,5,0)</f>
        <v>#N/A</v>
      </c>
      <c r="J4553" s="2">
        <v>4714</v>
      </c>
      <c r="K4553" s="2">
        <v>4323</v>
      </c>
      <c r="L4553" s="2">
        <v>2</v>
      </c>
      <c r="M4553" s="7">
        <f t="shared" si="280"/>
        <v>8646</v>
      </c>
      <c r="N4553" s="7">
        <f t="shared" si="281"/>
        <v>9428</v>
      </c>
      <c r="O4553" s="2">
        <v>53</v>
      </c>
      <c r="P4553" s="8">
        <f t="shared" si="282"/>
        <v>9481</v>
      </c>
      <c r="Q4553" s="8">
        <f t="shared" si="283"/>
        <v>9375</v>
      </c>
      <c r="R4553" s="2" t="s">
        <v>56</v>
      </c>
      <c r="S4553" s="9">
        <f>VLOOKUP(P4553,$T$2:U4550,2,1)</f>
        <v>0.05</v>
      </c>
    </row>
    <row r="4554" spans="1:19" x14ac:dyDescent="0.25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e">
        <f>VLOOKUP(F4554,'Customer Info'!A4546:I5045,2,0)</f>
        <v>#N/A</v>
      </c>
      <c r="H4554" s="6" t="e">
        <f>VLOOKUP(F4554,'Customer Info'!A4546:I5045,3,0)</f>
        <v>#N/A</v>
      </c>
      <c r="I4554" s="6" t="e">
        <f>VLOOKUP(F4554,'Customer Info'!A4546:I5045,5,0)</f>
        <v>#N/A</v>
      </c>
      <c r="J4554" s="2">
        <v>100</v>
      </c>
      <c r="K4554" s="2">
        <v>95</v>
      </c>
      <c r="L4554" s="2">
        <v>1</v>
      </c>
      <c r="M4554" s="7">
        <f t="shared" si="280"/>
        <v>95</v>
      </c>
      <c r="N4554" s="7">
        <f t="shared" si="281"/>
        <v>100</v>
      </c>
      <c r="O4554" s="2">
        <v>10</v>
      </c>
      <c r="P4554" s="8">
        <f t="shared" si="282"/>
        <v>110</v>
      </c>
      <c r="Q4554" s="8">
        <f t="shared" si="283"/>
        <v>90</v>
      </c>
      <c r="R4554" s="2" t="s">
        <v>50</v>
      </c>
      <c r="S4554" s="9">
        <f>VLOOKUP(P4554,$T$2:U4551,2,1)</f>
        <v>0.02</v>
      </c>
    </row>
    <row r="4555" spans="1:19" x14ac:dyDescent="0.25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e">
        <f>VLOOKUP(F4555,'Customer Info'!A4547:I5046,2,0)</f>
        <v>#N/A</v>
      </c>
      <c r="H4555" s="6" t="e">
        <f>VLOOKUP(F4555,'Customer Info'!A4547:I5046,3,0)</f>
        <v>#N/A</v>
      </c>
      <c r="I4555" s="6" t="e">
        <f>VLOOKUP(F4555,'Customer Info'!A4547:I5046,5,0)</f>
        <v>#N/A</v>
      </c>
      <c r="J4555" s="2">
        <v>25658</v>
      </c>
      <c r="K4555" s="2">
        <v>24466</v>
      </c>
      <c r="L4555" s="2">
        <v>1</v>
      </c>
      <c r="M4555" s="7">
        <f t="shared" ref="M4555:M4618" si="284">K4555*L4555</f>
        <v>24466</v>
      </c>
      <c r="N4555" s="7">
        <f t="shared" ref="N4555:N4618" si="285">J4555*L4555</f>
        <v>25658</v>
      </c>
      <c r="O4555" s="2">
        <v>60</v>
      </c>
      <c r="P4555" s="8">
        <f t="shared" ref="P4555:P4618" si="286">SUM(N4555,O4555)</f>
        <v>25718</v>
      </c>
      <c r="Q4555" s="8">
        <f t="shared" ref="Q4555:Q4618" si="287">N4555-O4555</f>
        <v>25598</v>
      </c>
      <c r="R4555" s="2" t="s">
        <v>28</v>
      </c>
      <c r="S4555" s="9">
        <f>VLOOKUP(P4555,$T$2:U4552,2,1)</f>
        <v>7.0000000000000007E-2</v>
      </c>
    </row>
    <row r="4556" spans="1:19" x14ac:dyDescent="0.25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e">
        <f>VLOOKUP(F4556,'Customer Info'!A4548:I5047,2,0)</f>
        <v>#N/A</v>
      </c>
      <c r="H4556" s="6" t="e">
        <f>VLOOKUP(F4556,'Customer Info'!A4548:I5047,3,0)</f>
        <v>#N/A</v>
      </c>
      <c r="I4556" s="6" t="e">
        <f>VLOOKUP(F4556,'Customer Info'!A4548:I5047,5,0)</f>
        <v>#N/A</v>
      </c>
      <c r="J4556" s="2">
        <v>2551</v>
      </c>
      <c r="K4556" s="2">
        <v>2456</v>
      </c>
      <c r="L4556" s="2">
        <v>3</v>
      </c>
      <c r="M4556" s="7">
        <f t="shared" si="284"/>
        <v>7368</v>
      </c>
      <c r="N4556" s="7">
        <f t="shared" si="285"/>
        <v>7653</v>
      </c>
      <c r="O4556" s="2">
        <v>63</v>
      </c>
      <c r="P4556" s="8">
        <f t="shared" si="286"/>
        <v>7716</v>
      </c>
      <c r="Q4556" s="8">
        <f t="shared" si="287"/>
        <v>7590</v>
      </c>
      <c r="R4556" s="2" t="s">
        <v>28</v>
      </c>
      <c r="S4556" s="9">
        <f>VLOOKUP(P4556,$T$2:U4553,2,1)</f>
        <v>0.05</v>
      </c>
    </row>
    <row r="4557" spans="1:19" x14ac:dyDescent="0.25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e">
        <f>VLOOKUP(F4557,'Customer Info'!A4549:I5048,2,0)</f>
        <v>#N/A</v>
      </c>
      <c r="H4557" s="6" t="e">
        <f>VLOOKUP(F4557,'Customer Info'!A4549:I5048,3,0)</f>
        <v>#N/A</v>
      </c>
      <c r="I4557" s="6" t="e">
        <f>VLOOKUP(F4557,'Customer Info'!A4549:I5048,5,0)</f>
        <v>#N/A</v>
      </c>
      <c r="J4557" s="2">
        <v>2478</v>
      </c>
      <c r="K4557" s="2">
        <v>2406</v>
      </c>
      <c r="L4557" s="2">
        <v>2</v>
      </c>
      <c r="M4557" s="7">
        <f t="shared" si="284"/>
        <v>4812</v>
      </c>
      <c r="N4557" s="7">
        <f t="shared" si="285"/>
        <v>4956</v>
      </c>
      <c r="O4557" s="2">
        <v>57</v>
      </c>
      <c r="P4557" s="8">
        <f t="shared" si="286"/>
        <v>5013</v>
      </c>
      <c r="Q4557" s="8">
        <f t="shared" si="287"/>
        <v>4899</v>
      </c>
      <c r="R4557" s="2" t="s">
        <v>28</v>
      </c>
      <c r="S4557" s="9">
        <f>VLOOKUP(P4557,$T$2:U4554,2,1)</f>
        <v>0.05</v>
      </c>
    </row>
    <row r="4558" spans="1:19" x14ac:dyDescent="0.25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e">
        <f>VLOOKUP(F4558,'Customer Info'!A4550:I5049,2,0)</f>
        <v>#N/A</v>
      </c>
      <c r="H4558" s="6" t="e">
        <f>VLOOKUP(F4558,'Customer Info'!A4550:I5049,3,0)</f>
        <v>#N/A</v>
      </c>
      <c r="I4558" s="6" t="e">
        <f>VLOOKUP(F4558,'Customer Info'!A4550:I5049,5,0)</f>
        <v>#N/A</v>
      </c>
      <c r="J4558" s="2">
        <v>2017</v>
      </c>
      <c r="K4558" s="2">
        <v>1834</v>
      </c>
      <c r="L4558" s="2">
        <v>7</v>
      </c>
      <c r="M4558" s="7">
        <f t="shared" si="284"/>
        <v>12838</v>
      </c>
      <c r="N4558" s="7">
        <f t="shared" si="285"/>
        <v>14119</v>
      </c>
      <c r="O4558" s="2">
        <v>58</v>
      </c>
      <c r="P4558" s="8">
        <f t="shared" si="286"/>
        <v>14177</v>
      </c>
      <c r="Q4558" s="8">
        <f t="shared" si="287"/>
        <v>14061</v>
      </c>
      <c r="R4558" s="2" t="s">
        <v>56</v>
      </c>
      <c r="S4558" s="9">
        <f>VLOOKUP(P4558,$T$2:U4555,2,1)</f>
        <v>0.05</v>
      </c>
    </row>
    <row r="4559" spans="1:19" x14ac:dyDescent="0.25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e">
        <f>VLOOKUP(F4559,'Customer Info'!A4551:I5050,2,0)</f>
        <v>#N/A</v>
      </c>
      <c r="H4559" s="6" t="e">
        <f>VLOOKUP(F4559,'Customer Info'!A4551:I5050,3,0)</f>
        <v>#N/A</v>
      </c>
      <c r="I4559" s="6" t="e">
        <f>VLOOKUP(F4559,'Customer Info'!A4551:I5050,5,0)</f>
        <v>#N/A</v>
      </c>
      <c r="J4559" s="2">
        <v>5848</v>
      </c>
      <c r="K4559" s="2">
        <v>5214</v>
      </c>
      <c r="L4559" s="2">
        <v>3</v>
      </c>
      <c r="M4559" s="7">
        <f t="shared" si="284"/>
        <v>15642</v>
      </c>
      <c r="N4559" s="7">
        <f t="shared" si="285"/>
        <v>17544</v>
      </c>
      <c r="O4559" s="2">
        <v>52</v>
      </c>
      <c r="P4559" s="8">
        <f t="shared" si="286"/>
        <v>17596</v>
      </c>
      <c r="Q4559" s="8">
        <f t="shared" si="287"/>
        <v>17492</v>
      </c>
      <c r="R4559" s="2" t="s">
        <v>50</v>
      </c>
      <c r="S4559" s="9">
        <f>VLOOKUP(P4559,$T$2:U4556,2,1)</f>
        <v>0.05</v>
      </c>
    </row>
    <row r="4560" spans="1:19" x14ac:dyDescent="0.25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e">
        <f>VLOOKUP(F4560,'Customer Info'!A4552:I5051,2,0)</f>
        <v>#N/A</v>
      </c>
      <c r="H4560" s="6" t="e">
        <f>VLOOKUP(F4560,'Customer Info'!A4552:I5051,3,0)</f>
        <v>#N/A</v>
      </c>
      <c r="I4560" s="6" t="e">
        <f>VLOOKUP(F4560,'Customer Info'!A4552:I5051,5,0)</f>
        <v>#N/A</v>
      </c>
      <c r="J4560" s="2">
        <v>6012</v>
      </c>
      <c r="K4560" s="2">
        <v>5677</v>
      </c>
      <c r="L4560" s="2">
        <v>11</v>
      </c>
      <c r="M4560" s="7">
        <f t="shared" si="284"/>
        <v>62447</v>
      </c>
      <c r="N4560" s="7">
        <f t="shared" si="285"/>
        <v>66132</v>
      </c>
      <c r="O4560" s="2">
        <v>99</v>
      </c>
      <c r="P4560" s="8">
        <f t="shared" si="286"/>
        <v>66231</v>
      </c>
      <c r="Q4560" s="8">
        <f t="shared" si="287"/>
        <v>66033</v>
      </c>
      <c r="R4560" s="2" t="s">
        <v>28</v>
      </c>
      <c r="S4560" s="9">
        <f>VLOOKUP(P4560,$T$2:U4557,2,1)</f>
        <v>0.09</v>
      </c>
    </row>
    <row r="4561" spans="1:19" x14ac:dyDescent="0.25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e">
        <f>VLOOKUP(F4561,'Customer Info'!A4553:I5052,2,0)</f>
        <v>#N/A</v>
      </c>
      <c r="H4561" s="6" t="e">
        <f>VLOOKUP(F4561,'Customer Info'!A4553:I5052,3,0)</f>
        <v>#N/A</v>
      </c>
      <c r="I4561" s="6" t="e">
        <f>VLOOKUP(F4561,'Customer Info'!A4553:I5052,5,0)</f>
        <v>#N/A</v>
      </c>
      <c r="J4561" s="2">
        <v>2526</v>
      </c>
      <c r="K4561" s="2">
        <v>2408</v>
      </c>
      <c r="L4561" s="2">
        <v>3</v>
      </c>
      <c r="M4561" s="7">
        <f t="shared" si="284"/>
        <v>7224</v>
      </c>
      <c r="N4561" s="7">
        <f t="shared" si="285"/>
        <v>7578</v>
      </c>
      <c r="O4561" s="2">
        <v>30</v>
      </c>
      <c r="P4561" s="8">
        <f t="shared" si="286"/>
        <v>7608</v>
      </c>
      <c r="Q4561" s="8">
        <f t="shared" si="287"/>
        <v>7548</v>
      </c>
      <c r="R4561" s="2" t="s">
        <v>50</v>
      </c>
      <c r="S4561" s="9">
        <f>VLOOKUP(P4561,$T$2:U4558,2,1)</f>
        <v>0.05</v>
      </c>
    </row>
    <row r="4562" spans="1:19" x14ac:dyDescent="0.25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e">
        <f>VLOOKUP(F4562,'Customer Info'!A4554:I5053,2,0)</f>
        <v>#N/A</v>
      </c>
      <c r="H4562" s="6" t="e">
        <f>VLOOKUP(F4562,'Customer Info'!A4554:I5053,3,0)</f>
        <v>#N/A</v>
      </c>
      <c r="I4562" s="6" t="e">
        <f>VLOOKUP(F4562,'Customer Info'!A4554:I5053,5,0)</f>
        <v>#N/A</v>
      </c>
      <c r="J4562" s="2">
        <v>8026</v>
      </c>
      <c r="K4562" s="2">
        <v>7572</v>
      </c>
      <c r="L4562" s="2">
        <v>3</v>
      </c>
      <c r="M4562" s="7">
        <f t="shared" si="284"/>
        <v>22716</v>
      </c>
      <c r="N4562" s="7">
        <f t="shared" si="285"/>
        <v>24078</v>
      </c>
      <c r="O4562" s="2">
        <v>86</v>
      </c>
      <c r="P4562" s="8">
        <f t="shared" si="286"/>
        <v>24164</v>
      </c>
      <c r="Q4562" s="8">
        <f t="shared" si="287"/>
        <v>23992</v>
      </c>
      <c r="R4562" s="2" t="s">
        <v>28</v>
      </c>
      <c r="S4562" s="9">
        <f>VLOOKUP(P4562,$T$2:U4559,2,1)</f>
        <v>0.05</v>
      </c>
    </row>
    <row r="4563" spans="1:19" x14ac:dyDescent="0.25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e">
        <f>VLOOKUP(F4563,'Customer Info'!A4555:I5054,2,0)</f>
        <v>#N/A</v>
      </c>
      <c r="H4563" s="6" t="e">
        <f>VLOOKUP(F4563,'Customer Info'!A4555:I5054,3,0)</f>
        <v>#N/A</v>
      </c>
      <c r="I4563" s="6" t="e">
        <f>VLOOKUP(F4563,'Customer Info'!A4555:I5054,5,0)</f>
        <v>#N/A</v>
      </c>
      <c r="J4563" s="2">
        <v>1637</v>
      </c>
      <c r="K4563" s="2">
        <v>1591</v>
      </c>
      <c r="L4563" s="2">
        <v>5</v>
      </c>
      <c r="M4563" s="7">
        <f t="shared" si="284"/>
        <v>7955</v>
      </c>
      <c r="N4563" s="7">
        <f t="shared" si="285"/>
        <v>8185</v>
      </c>
      <c r="O4563" s="2">
        <v>100</v>
      </c>
      <c r="P4563" s="8">
        <f t="shared" si="286"/>
        <v>8285</v>
      </c>
      <c r="Q4563" s="8">
        <f t="shared" si="287"/>
        <v>8085</v>
      </c>
      <c r="R4563" s="2" t="s">
        <v>50</v>
      </c>
      <c r="S4563" s="9">
        <f>VLOOKUP(P4563,$T$2:U4560,2,1)</f>
        <v>0.05</v>
      </c>
    </row>
    <row r="4564" spans="1:19" x14ac:dyDescent="0.25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e">
        <f>VLOOKUP(F4564,'Customer Info'!A4556:I5055,2,0)</f>
        <v>#N/A</v>
      </c>
      <c r="H4564" s="6" t="e">
        <f>VLOOKUP(F4564,'Customer Info'!A4556:I5055,3,0)</f>
        <v>#N/A</v>
      </c>
      <c r="I4564" s="6" t="e">
        <f>VLOOKUP(F4564,'Customer Info'!A4556:I5055,5,0)</f>
        <v>#N/A</v>
      </c>
      <c r="J4564" s="2">
        <v>59</v>
      </c>
      <c r="K4564" s="2">
        <v>55</v>
      </c>
      <c r="L4564" s="2">
        <v>3</v>
      </c>
      <c r="M4564" s="7">
        <f t="shared" si="284"/>
        <v>165</v>
      </c>
      <c r="N4564" s="7">
        <f t="shared" si="285"/>
        <v>177</v>
      </c>
      <c r="O4564" s="2">
        <v>10</v>
      </c>
      <c r="P4564" s="8">
        <f t="shared" si="286"/>
        <v>187</v>
      </c>
      <c r="Q4564" s="8">
        <f t="shared" si="287"/>
        <v>167</v>
      </c>
      <c r="R4564" s="2" t="s">
        <v>50</v>
      </c>
      <c r="S4564" s="9">
        <f>VLOOKUP(P4564,$T$2:U4561,2,1)</f>
        <v>0.02</v>
      </c>
    </row>
    <row r="4565" spans="1:19" x14ac:dyDescent="0.25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e">
        <f>VLOOKUP(F4565,'Customer Info'!A4557:I5056,2,0)</f>
        <v>#N/A</v>
      </c>
      <c r="H4565" s="6" t="e">
        <f>VLOOKUP(F4565,'Customer Info'!A4557:I5056,3,0)</f>
        <v>#N/A</v>
      </c>
      <c r="I4565" s="6" t="e">
        <f>VLOOKUP(F4565,'Customer Info'!A4557:I5056,5,0)</f>
        <v>#N/A</v>
      </c>
      <c r="J4565" s="2">
        <v>9135</v>
      </c>
      <c r="K4565" s="2">
        <v>8143</v>
      </c>
      <c r="L4565" s="2">
        <v>3</v>
      </c>
      <c r="M4565" s="7">
        <f t="shared" si="284"/>
        <v>24429</v>
      </c>
      <c r="N4565" s="7">
        <f t="shared" si="285"/>
        <v>27405</v>
      </c>
      <c r="O4565" s="2">
        <v>69</v>
      </c>
      <c r="P4565" s="8">
        <f t="shared" si="286"/>
        <v>27474</v>
      </c>
      <c r="Q4565" s="8">
        <f t="shared" si="287"/>
        <v>27336</v>
      </c>
      <c r="R4565" s="2" t="s">
        <v>28</v>
      </c>
      <c r="S4565" s="9">
        <f>VLOOKUP(P4565,$T$2:U4562,2,1)</f>
        <v>7.0000000000000007E-2</v>
      </c>
    </row>
    <row r="4566" spans="1:19" x14ac:dyDescent="0.25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e">
        <f>VLOOKUP(F4566,'Customer Info'!A4558:I5057,2,0)</f>
        <v>#N/A</v>
      </c>
      <c r="H4566" s="6" t="e">
        <f>VLOOKUP(F4566,'Customer Info'!A4558:I5057,3,0)</f>
        <v>#N/A</v>
      </c>
      <c r="I4566" s="6" t="e">
        <f>VLOOKUP(F4566,'Customer Info'!A4558:I5057,5,0)</f>
        <v>#N/A</v>
      </c>
      <c r="J4566" s="2">
        <v>1734</v>
      </c>
      <c r="K4566" s="2">
        <v>1702</v>
      </c>
      <c r="L4566" s="2">
        <v>4</v>
      </c>
      <c r="M4566" s="7">
        <f t="shared" si="284"/>
        <v>6808</v>
      </c>
      <c r="N4566" s="7">
        <f t="shared" si="285"/>
        <v>6936</v>
      </c>
      <c r="O4566" s="2">
        <v>93</v>
      </c>
      <c r="P4566" s="8">
        <f t="shared" si="286"/>
        <v>7029</v>
      </c>
      <c r="Q4566" s="8">
        <f t="shared" si="287"/>
        <v>6843</v>
      </c>
      <c r="R4566" s="2" t="s">
        <v>50</v>
      </c>
      <c r="S4566" s="9">
        <f>VLOOKUP(P4566,$T$2:U4563,2,1)</f>
        <v>0.05</v>
      </c>
    </row>
    <row r="4567" spans="1:19" x14ac:dyDescent="0.25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e">
        <f>VLOOKUP(F4567,'Customer Info'!A4559:I5058,2,0)</f>
        <v>#N/A</v>
      </c>
      <c r="H4567" s="6" t="e">
        <f>VLOOKUP(F4567,'Customer Info'!A4559:I5058,3,0)</f>
        <v>#N/A</v>
      </c>
      <c r="I4567" s="6" t="e">
        <f>VLOOKUP(F4567,'Customer Info'!A4559:I5058,5,0)</f>
        <v>#N/A</v>
      </c>
      <c r="J4567" s="2">
        <v>1413</v>
      </c>
      <c r="K4567" s="2">
        <v>1334</v>
      </c>
      <c r="L4567" s="2">
        <v>1</v>
      </c>
      <c r="M4567" s="7">
        <f t="shared" si="284"/>
        <v>1334</v>
      </c>
      <c r="N4567" s="7">
        <f t="shared" si="285"/>
        <v>1413</v>
      </c>
      <c r="O4567" s="2">
        <v>22</v>
      </c>
      <c r="P4567" s="8">
        <f t="shared" si="286"/>
        <v>1435</v>
      </c>
      <c r="Q4567" s="8">
        <f t="shared" si="287"/>
        <v>1391</v>
      </c>
      <c r="R4567" s="2" t="s">
        <v>28</v>
      </c>
      <c r="S4567" s="9">
        <f>VLOOKUP(P4567,$T$2:U4564,2,1)</f>
        <v>0.02</v>
      </c>
    </row>
    <row r="4568" spans="1:19" x14ac:dyDescent="0.25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e">
        <f>VLOOKUP(F4568,'Customer Info'!A4560:I5059,2,0)</f>
        <v>#N/A</v>
      </c>
      <c r="H4568" s="6" t="e">
        <f>VLOOKUP(F4568,'Customer Info'!A4560:I5059,3,0)</f>
        <v>#N/A</v>
      </c>
      <c r="I4568" s="6" t="e">
        <f>VLOOKUP(F4568,'Customer Info'!A4560:I5059,5,0)</f>
        <v>#N/A</v>
      </c>
      <c r="J4568" s="2">
        <v>1752</v>
      </c>
      <c r="K4568" s="2">
        <v>1576</v>
      </c>
      <c r="L4568" s="2">
        <v>10</v>
      </c>
      <c r="M4568" s="7">
        <f t="shared" si="284"/>
        <v>15760</v>
      </c>
      <c r="N4568" s="7">
        <f t="shared" si="285"/>
        <v>17520</v>
      </c>
      <c r="O4568" s="2">
        <v>59</v>
      </c>
      <c r="P4568" s="8">
        <f t="shared" si="286"/>
        <v>17579</v>
      </c>
      <c r="Q4568" s="8">
        <f t="shared" si="287"/>
        <v>17461</v>
      </c>
      <c r="R4568" s="2" t="s">
        <v>28</v>
      </c>
      <c r="S4568" s="9">
        <f>VLOOKUP(P4568,$T$2:U4565,2,1)</f>
        <v>0.05</v>
      </c>
    </row>
    <row r="4569" spans="1:19" x14ac:dyDescent="0.25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e">
        <f>VLOOKUP(F4569,'Customer Info'!A4561:I5060,2,0)</f>
        <v>#N/A</v>
      </c>
      <c r="H4569" s="6" t="e">
        <f>VLOOKUP(F4569,'Customer Info'!A4561:I5060,3,0)</f>
        <v>#N/A</v>
      </c>
      <c r="I4569" s="6" t="e">
        <f>VLOOKUP(F4569,'Customer Info'!A4561:I5060,5,0)</f>
        <v>#N/A</v>
      </c>
      <c r="J4569" s="2">
        <v>8433</v>
      </c>
      <c r="K4569" s="2">
        <v>7801</v>
      </c>
      <c r="L4569" s="2">
        <v>3</v>
      </c>
      <c r="M4569" s="7">
        <f t="shared" si="284"/>
        <v>23403</v>
      </c>
      <c r="N4569" s="7">
        <f t="shared" si="285"/>
        <v>25299</v>
      </c>
      <c r="O4569" s="2">
        <v>97</v>
      </c>
      <c r="P4569" s="8">
        <f t="shared" si="286"/>
        <v>25396</v>
      </c>
      <c r="Q4569" s="8">
        <f t="shared" si="287"/>
        <v>25202</v>
      </c>
      <c r="R4569" s="2" t="s">
        <v>28</v>
      </c>
      <c r="S4569" s="9">
        <f>VLOOKUP(P4569,$T$2:U4566,2,1)</f>
        <v>7.0000000000000007E-2</v>
      </c>
    </row>
    <row r="4570" spans="1:19" x14ac:dyDescent="0.25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e">
        <f>VLOOKUP(F4570,'Customer Info'!A4562:I5061,2,0)</f>
        <v>#N/A</v>
      </c>
      <c r="H4570" s="6" t="e">
        <f>VLOOKUP(F4570,'Customer Info'!A4562:I5061,3,0)</f>
        <v>#N/A</v>
      </c>
      <c r="I4570" s="6" t="e">
        <f>VLOOKUP(F4570,'Customer Info'!A4562:I5061,5,0)</f>
        <v>#N/A</v>
      </c>
      <c r="J4570" s="2">
        <v>63</v>
      </c>
      <c r="K4570" s="2">
        <v>58</v>
      </c>
      <c r="L4570" s="2">
        <v>5</v>
      </c>
      <c r="M4570" s="7">
        <f t="shared" si="284"/>
        <v>290</v>
      </c>
      <c r="N4570" s="7">
        <f t="shared" si="285"/>
        <v>315</v>
      </c>
      <c r="O4570" s="2">
        <v>10</v>
      </c>
      <c r="P4570" s="8">
        <f t="shared" si="286"/>
        <v>325</v>
      </c>
      <c r="Q4570" s="8">
        <f t="shared" si="287"/>
        <v>305</v>
      </c>
      <c r="R4570" s="2" t="s">
        <v>28</v>
      </c>
      <c r="S4570" s="9">
        <f>VLOOKUP(P4570,$T$2:U4567,2,1)</f>
        <v>0.02</v>
      </c>
    </row>
    <row r="4571" spans="1:19" x14ac:dyDescent="0.25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e">
        <f>VLOOKUP(F4571,'Customer Info'!A4563:I5062,2,0)</f>
        <v>#N/A</v>
      </c>
      <c r="H4571" s="6" t="e">
        <f>VLOOKUP(F4571,'Customer Info'!A4563:I5062,3,0)</f>
        <v>#N/A</v>
      </c>
      <c r="I4571" s="6" t="e">
        <f>VLOOKUP(F4571,'Customer Info'!A4563:I5062,5,0)</f>
        <v>#N/A</v>
      </c>
      <c r="J4571" s="2">
        <v>531</v>
      </c>
      <c r="K4571" s="2">
        <v>487</v>
      </c>
      <c r="L4571" s="2">
        <v>2</v>
      </c>
      <c r="M4571" s="7">
        <f t="shared" si="284"/>
        <v>974</v>
      </c>
      <c r="N4571" s="7">
        <f t="shared" si="285"/>
        <v>1062</v>
      </c>
      <c r="O4571" s="2">
        <v>88</v>
      </c>
      <c r="P4571" s="8">
        <f t="shared" si="286"/>
        <v>1150</v>
      </c>
      <c r="Q4571" s="8">
        <f t="shared" si="287"/>
        <v>974</v>
      </c>
      <c r="R4571" s="2" t="s">
        <v>28</v>
      </c>
      <c r="S4571" s="9">
        <f>VLOOKUP(P4571,$T$2:U4568,2,1)</f>
        <v>0.02</v>
      </c>
    </row>
    <row r="4572" spans="1:19" x14ac:dyDescent="0.25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e">
        <f>VLOOKUP(F4572,'Customer Info'!A4564:I5063,2,0)</f>
        <v>#N/A</v>
      </c>
      <c r="H4572" s="6" t="e">
        <f>VLOOKUP(F4572,'Customer Info'!A4564:I5063,3,0)</f>
        <v>#N/A</v>
      </c>
      <c r="I4572" s="6" t="e">
        <f>VLOOKUP(F4572,'Customer Info'!A4564:I5063,5,0)</f>
        <v>#N/A</v>
      </c>
      <c r="J4572" s="2">
        <v>3256</v>
      </c>
      <c r="K4572" s="2">
        <v>2959</v>
      </c>
      <c r="L4572" s="2">
        <v>1</v>
      </c>
      <c r="M4572" s="7">
        <f t="shared" si="284"/>
        <v>2959</v>
      </c>
      <c r="N4572" s="7">
        <f t="shared" si="285"/>
        <v>3256</v>
      </c>
      <c r="O4572" s="2">
        <v>46</v>
      </c>
      <c r="P4572" s="8">
        <f t="shared" si="286"/>
        <v>3302</v>
      </c>
      <c r="Q4572" s="8">
        <f t="shared" si="287"/>
        <v>3210</v>
      </c>
      <c r="R4572" s="2" t="s">
        <v>50</v>
      </c>
      <c r="S4572" s="9">
        <f>VLOOKUP(P4572,$T$2:U4569,2,1)</f>
        <v>0.02</v>
      </c>
    </row>
    <row r="4573" spans="1:19" x14ac:dyDescent="0.25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e">
        <f>VLOOKUP(F4573,'Customer Info'!A4565:I5064,2,0)</f>
        <v>#N/A</v>
      </c>
      <c r="H4573" s="6" t="e">
        <f>VLOOKUP(F4573,'Customer Info'!A4565:I5064,3,0)</f>
        <v>#N/A</v>
      </c>
      <c r="I4573" s="6" t="e">
        <f>VLOOKUP(F4573,'Customer Info'!A4565:I5064,5,0)</f>
        <v>#N/A</v>
      </c>
      <c r="J4573" s="2">
        <v>100</v>
      </c>
      <c r="K4573" s="2">
        <v>95</v>
      </c>
      <c r="L4573" s="2">
        <v>7</v>
      </c>
      <c r="M4573" s="7">
        <f t="shared" si="284"/>
        <v>665</v>
      </c>
      <c r="N4573" s="7">
        <f t="shared" si="285"/>
        <v>700</v>
      </c>
      <c r="O4573" s="2">
        <v>10</v>
      </c>
      <c r="P4573" s="8">
        <f t="shared" si="286"/>
        <v>710</v>
      </c>
      <c r="Q4573" s="8">
        <f t="shared" si="287"/>
        <v>690</v>
      </c>
      <c r="R4573" s="2" t="s">
        <v>28</v>
      </c>
      <c r="S4573" s="9">
        <f>VLOOKUP(P4573,$T$2:U4570,2,1)</f>
        <v>0.02</v>
      </c>
    </row>
    <row r="4574" spans="1:19" x14ac:dyDescent="0.25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e">
        <f>VLOOKUP(F4574,'Customer Info'!A4566:I5065,2,0)</f>
        <v>#N/A</v>
      </c>
      <c r="H4574" s="6" t="e">
        <f>VLOOKUP(F4574,'Customer Info'!A4566:I5065,3,0)</f>
        <v>#N/A</v>
      </c>
      <c r="I4574" s="6" t="e">
        <f>VLOOKUP(F4574,'Customer Info'!A4566:I5065,5,0)</f>
        <v>#N/A</v>
      </c>
      <c r="J4574" s="2">
        <v>1574</v>
      </c>
      <c r="K4574" s="2">
        <v>1458</v>
      </c>
      <c r="L4574" s="2">
        <v>2</v>
      </c>
      <c r="M4574" s="7">
        <f t="shared" si="284"/>
        <v>2916</v>
      </c>
      <c r="N4574" s="7">
        <f t="shared" si="285"/>
        <v>3148</v>
      </c>
      <c r="O4574" s="2">
        <v>87</v>
      </c>
      <c r="P4574" s="8">
        <f t="shared" si="286"/>
        <v>3235</v>
      </c>
      <c r="Q4574" s="8">
        <f t="shared" si="287"/>
        <v>3061</v>
      </c>
      <c r="R4574" s="2" t="s">
        <v>50</v>
      </c>
      <c r="S4574" s="9">
        <f>VLOOKUP(P4574,$T$2:U4571,2,1)</f>
        <v>0.02</v>
      </c>
    </row>
    <row r="4575" spans="1:19" x14ac:dyDescent="0.25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e">
        <f>VLOOKUP(F4575,'Customer Info'!A4567:I5066,2,0)</f>
        <v>#N/A</v>
      </c>
      <c r="H4575" s="6" t="e">
        <f>VLOOKUP(F4575,'Customer Info'!A4567:I5066,3,0)</f>
        <v>#N/A</v>
      </c>
      <c r="I4575" s="6" t="e">
        <f>VLOOKUP(F4575,'Customer Info'!A4567:I5066,5,0)</f>
        <v>#N/A</v>
      </c>
      <c r="J4575" s="2">
        <v>2790</v>
      </c>
      <c r="K4575" s="2">
        <v>2557</v>
      </c>
      <c r="L4575" s="2">
        <v>4</v>
      </c>
      <c r="M4575" s="7">
        <f t="shared" si="284"/>
        <v>10228</v>
      </c>
      <c r="N4575" s="7">
        <f t="shared" si="285"/>
        <v>11160</v>
      </c>
      <c r="O4575" s="2">
        <v>55</v>
      </c>
      <c r="P4575" s="8">
        <f t="shared" si="286"/>
        <v>11215</v>
      </c>
      <c r="Q4575" s="8">
        <f t="shared" si="287"/>
        <v>11105</v>
      </c>
      <c r="R4575" s="2" t="s">
        <v>28</v>
      </c>
      <c r="S4575" s="9">
        <f>VLOOKUP(P4575,$T$2:U4572,2,1)</f>
        <v>0.05</v>
      </c>
    </row>
    <row r="4576" spans="1:19" x14ac:dyDescent="0.25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e">
        <f>VLOOKUP(F4576,'Customer Info'!A4568:I5067,2,0)</f>
        <v>#N/A</v>
      </c>
      <c r="H4576" s="6" t="e">
        <f>VLOOKUP(F4576,'Customer Info'!A4568:I5067,3,0)</f>
        <v>#N/A</v>
      </c>
      <c r="I4576" s="6" t="e">
        <f>VLOOKUP(F4576,'Customer Info'!A4568:I5067,5,0)</f>
        <v>#N/A</v>
      </c>
      <c r="J4576" s="2">
        <v>393</v>
      </c>
      <c r="K4576" s="2">
        <v>374</v>
      </c>
      <c r="L4576" s="2">
        <v>4</v>
      </c>
      <c r="M4576" s="7">
        <f t="shared" si="284"/>
        <v>1496</v>
      </c>
      <c r="N4576" s="7">
        <f t="shared" si="285"/>
        <v>1572</v>
      </c>
      <c r="O4576" s="2">
        <v>47</v>
      </c>
      <c r="P4576" s="8">
        <f t="shared" si="286"/>
        <v>1619</v>
      </c>
      <c r="Q4576" s="8">
        <f t="shared" si="287"/>
        <v>1525</v>
      </c>
      <c r="R4576" s="2" t="s">
        <v>28</v>
      </c>
      <c r="S4576" s="9">
        <f>VLOOKUP(P4576,$T$2:U4573,2,1)</f>
        <v>0.02</v>
      </c>
    </row>
    <row r="4577" spans="1:19" x14ac:dyDescent="0.25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e">
        <f>VLOOKUP(F4577,'Customer Info'!A4569:I5068,2,0)</f>
        <v>#N/A</v>
      </c>
      <c r="H4577" s="6" t="e">
        <f>VLOOKUP(F4577,'Customer Info'!A4569:I5068,3,0)</f>
        <v>#N/A</v>
      </c>
      <c r="I4577" s="6" t="e">
        <f>VLOOKUP(F4577,'Customer Info'!A4569:I5068,5,0)</f>
        <v>#N/A</v>
      </c>
      <c r="J4577" s="2">
        <v>2681</v>
      </c>
      <c r="K4577" s="2">
        <v>2458</v>
      </c>
      <c r="L4577" s="2">
        <v>3</v>
      </c>
      <c r="M4577" s="7">
        <f t="shared" si="284"/>
        <v>7374</v>
      </c>
      <c r="N4577" s="7">
        <f t="shared" si="285"/>
        <v>8043</v>
      </c>
      <c r="O4577" s="2">
        <v>68</v>
      </c>
      <c r="P4577" s="8">
        <f t="shared" si="286"/>
        <v>8111</v>
      </c>
      <c r="Q4577" s="8">
        <f t="shared" si="287"/>
        <v>7975</v>
      </c>
      <c r="R4577" s="2" t="s">
        <v>28</v>
      </c>
      <c r="S4577" s="9">
        <f>VLOOKUP(P4577,$T$2:U4574,2,1)</f>
        <v>0.05</v>
      </c>
    </row>
    <row r="4578" spans="1:19" x14ac:dyDescent="0.25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e">
        <f>VLOOKUP(F4578,'Customer Info'!A4570:I5069,2,0)</f>
        <v>#N/A</v>
      </c>
      <c r="H4578" s="6" t="e">
        <f>VLOOKUP(F4578,'Customer Info'!A4570:I5069,3,0)</f>
        <v>#N/A</v>
      </c>
      <c r="I4578" s="6" t="e">
        <f>VLOOKUP(F4578,'Customer Info'!A4570:I5069,5,0)</f>
        <v>#N/A</v>
      </c>
      <c r="J4578" s="2">
        <v>6664</v>
      </c>
      <c r="K4578" s="2">
        <v>6473</v>
      </c>
      <c r="L4578" s="2">
        <v>8</v>
      </c>
      <c r="M4578" s="7">
        <f t="shared" si="284"/>
        <v>51784</v>
      </c>
      <c r="N4578" s="7">
        <f t="shared" si="285"/>
        <v>53312</v>
      </c>
      <c r="O4578" s="2">
        <v>62</v>
      </c>
      <c r="P4578" s="8">
        <f t="shared" si="286"/>
        <v>53374</v>
      </c>
      <c r="Q4578" s="8">
        <f t="shared" si="287"/>
        <v>53250</v>
      </c>
      <c r="R4578" s="2" t="s">
        <v>50</v>
      </c>
      <c r="S4578" s="9">
        <f>VLOOKUP(P4578,$T$2:U4575,2,1)</f>
        <v>0.09</v>
      </c>
    </row>
    <row r="4579" spans="1:19" x14ac:dyDescent="0.25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e">
        <f>VLOOKUP(F4579,'Customer Info'!A4571:I5070,2,0)</f>
        <v>#N/A</v>
      </c>
      <c r="H4579" s="6" t="e">
        <f>VLOOKUP(F4579,'Customer Info'!A4571:I5070,3,0)</f>
        <v>#N/A</v>
      </c>
      <c r="I4579" s="6" t="e">
        <f>VLOOKUP(F4579,'Customer Info'!A4571:I5070,5,0)</f>
        <v>#N/A</v>
      </c>
      <c r="J4579" s="2">
        <v>25658</v>
      </c>
      <c r="K4579" s="2">
        <v>24466</v>
      </c>
      <c r="L4579" s="2">
        <v>1</v>
      </c>
      <c r="M4579" s="7">
        <f t="shared" si="284"/>
        <v>24466</v>
      </c>
      <c r="N4579" s="7">
        <f t="shared" si="285"/>
        <v>25658</v>
      </c>
      <c r="O4579" s="2">
        <v>34</v>
      </c>
      <c r="P4579" s="8">
        <f t="shared" si="286"/>
        <v>25692</v>
      </c>
      <c r="Q4579" s="8">
        <f t="shared" si="287"/>
        <v>25624</v>
      </c>
      <c r="R4579" s="2" t="s">
        <v>28</v>
      </c>
      <c r="S4579" s="9">
        <f>VLOOKUP(P4579,$T$2:U4576,2,1)</f>
        <v>7.0000000000000007E-2</v>
      </c>
    </row>
    <row r="4580" spans="1:19" x14ac:dyDescent="0.25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e">
        <f>VLOOKUP(F4580,'Customer Info'!A4572:I5071,2,0)</f>
        <v>#N/A</v>
      </c>
      <c r="H4580" s="6" t="e">
        <f>VLOOKUP(F4580,'Customer Info'!A4572:I5071,3,0)</f>
        <v>#N/A</v>
      </c>
      <c r="I4580" s="6" t="e">
        <f>VLOOKUP(F4580,'Customer Info'!A4572:I5071,5,0)</f>
        <v>#N/A</v>
      </c>
      <c r="J4580" s="2">
        <v>4808</v>
      </c>
      <c r="K4580" s="2">
        <v>4453</v>
      </c>
      <c r="L4580" s="2">
        <v>6</v>
      </c>
      <c r="M4580" s="7">
        <f t="shared" si="284"/>
        <v>26718</v>
      </c>
      <c r="N4580" s="7">
        <f t="shared" si="285"/>
        <v>28848</v>
      </c>
      <c r="O4580" s="2">
        <v>47</v>
      </c>
      <c r="P4580" s="8">
        <f t="shared" si="286"/>
        <v>28895</v>
      </c>
      <c r="Q4580" s="8">
        <f t="shared" si="287"/>
        <v>28801</v>
      </c>
      <c r="R4580" s="2" t="s">
        <v>28</v>
      </c>
      <c r="S4580" s="9">
        <f>VLOOKUP(P4580,$T$2:U4577,2,1)</f>
        <v>7.0000000000000007E-2</v>
      </c>
    </row>
    <row r="4581" spans="1:19" x14ac:dyDescent="0.25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e">
        <f>VLOOKUP(F4581,'Customer Info'!A4573:I5072,2,0)</f>
        <v>#N/A</v>
      </c>
      <c r="H4581" s="6" t="e">
        <f>VLOOKUP(F4581,'Customer Info'!A4573:I5072,3,0)</f>
        <v>#N/A</v>
      </c>
      <c r="I4581" s="6" t="e">
        <f>VLOOKUP(F4581,'Customer Info'!A4573:I5072,5,0)</f>
        <v>#N/A</v>
      </c>
      <c r="J4581" s="2">
        <v>58</v>
      </c>
      <c r="K4581" s="2">
        <v>56</v>
      </c>
      <c r="L4581" s="2">
        <v>2</v>
      </c>
      <c r="M4581" s="7">
        <f t="shared" si="284"/>
        <v>112</v>
      </c>
      <c r="N4581" s="7">
        <f t="shared" si="285"/>
        <v>116</v>
      </c>
      <c r="O4581" s="2">
        <v>10</v>
      </c>
      <c r="P4581" s="8">
        <f t="shared" si="286"/>
        <v>126</v>
      </c>
      <c r="Q4581" s="8">
        <f t="shared" si="287"/>
        <v>106</v>
      </c>
      <c r="R4581" s="2" t="s">
        <v>28</v>
      </c>
      <c r="S4581" s="9">
        <f>VLOOKUP(P4581,$T$2:U4578,2,1)</f>
        <v>0.02</v>
      </c>
    </row>
    <row r="4582" spans="1:19" x14ac:dyDescent="0.25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e">
        <f>VLOOKUP(F4582,'Customer Info'!A4574:I5073,2,0)</f>
        <v>#N/A</v>
      </c>
      <c r="H4582" s="6" t="e">
        <f>VLOOKUP(F4582,'Customer Info'!A4574:I5073,3,0)</f>
        <v>#N/A</v>
      </c>
      <c r="I4582" s="6" t="e">
        <f>VLOOKUP(F4582,'Customer Info'!A4574:I5073,5,0)</f>
        <v>#N/A</v>
      </c>
      <c r="J4582" s="2">
        <v>1385</v>
      </c>
      <c r="K4582" s="2">
        <v>1295</v>
      </c>
      <c r="L4582" s="2">
        <v>3</v>
      </c>
      <c r="M4582" s="7">
        <f t="shared" si="284"/>
        <v>3885</v>
      </c>
      <c r="N4582" s="7">
        <f t="shared" si="285"/>
        <v>4155</v>
      </c>
      <c r="O4582" s="2">
        <v>55</v>
      </c>
      <c r="P4582" s="8">
        <f t="shared" si="286"/>
        <v>4210</v>
      </c>
      <c r="Q4582" s="8">
        <f t="shared" si="287"/>
        <v>4100</v>
      </c>
      <c r="R4582" s="2" t="s">
        <v>50</v>
      </c>
      <c r="S4582" s="9">
        <f>VLOOKUP(P4582,$T$2:U4579,2,1)</f>
        <v>0.02</v>
      </c>
    </row>
    <row r="4583" spans="1:19" x14ac:dyDescent="0.25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e">
        <f>VLOOKUP(F4583,'Customer Info'!A4575:I5074,2,0)</f>
        <v>#N/A</v>
      </c>
      <c r="H4583" s="6" t="e">
        <f>VLOOKUP(F4583,'Customer Info'!A4575:I5074,3,0)</f>
        <v>#N/A</v>
      </c>
      <c r="I4583" s="6" t="e">
        <f>VLOOKUP(F4583,'Customer Info'!A4575:I5074,5,0)</f>
        <v>#N/A</v>
      </c>
      <c r="J4583" s="2">
        <v>1752</v>
      </c>
      <c r="K4583" s="2">
        <v>1576</v>
      </c>
      <c r="L4583" s="2">
        <v>1</v>
      </c>
      <c r="M4583" s="7">
        <f t="shared" si="284"/>
        <v>1576</v>
      </c>
      <c r="N4583" s="7">
        <f t="shared" si="285"/>
        <v>1752</v>
      </c>
      <c r="O4583" s="2">
        <v>28</v>
      </c>
      <c r="P4583" s="8">
        <f t="shared" si="286"/>
        <v>1780</v>
      </c>
      <c r="Q4583" s="8">
        <f t="shared" si="287"/>
        <v>1724</v>
      </c>
      <c r="R4583" s="2" t="s">
        <v>28</v>
      </c>
      <c r="S4583" s="9">
        <f>VLOOKUP(P4583,$T$2:U4580,2,1)</f>
        <v>0.02</v>
      </c>
    </row>
    <row r="4584" spans="1:19" x14ac:dyDescent="0.25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e">
        <f>VLOOKUP(F4584,'Customer Info'!A4576:I5075,2,0)</f>
        <v>#N/A</v>
      </c>
      <c r="H4584" s="6" t="e">
        <f>VLOOKUP(F4584,'Customer Info'!A4576:I5075,3,0)</f>
        <v>#N/A</v>
      </c>
      <c r="I4584" s="6" t="e">
        <f>VLOOKUP(F4584,'Customer Info'!A4576:I5075,5,0)</f>
        <v>#N/A</v>
      </c>
      <c r="J4584" s="2">
        <v>136</v>
      </c>
      <c r="K4584" s="2">
        <v>130</v>
      </c>
      <c r="L4584" s="2">
        <v>5</v>
      </c>
      <c r="M4584" s="7">
        <f t="shared" si="284"/>
        <v>650</v>
      </c>
      <c r="N4584" s="7">
        <f t="shared" si="285"/>
        <v>680</v>
      </c>
      <c r="O4584" s="2">
        <v>30</v>
      </c>
      <c r="P4584" s="8">
        <f t="shared" si="286"/>
        <v>710</v>
      </c>
      <c r="Q4584" s="8">
        <f t="shared" si="287"/>
        <v>650</v>
      </c>
      <c r="R4584" s="2" t="s">
        <v>50</v>
      </c>
      <c r="S4584" s="9">
        <f>VLOOKUP(P4584,$T$2:U4581,2,1)</f>
        <v>0.02</v>
      </c>
    </row>
    <row r="4585" spans="1:19" x14ac:dyDescent="0.25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e">
        <f>VLOOKUP(F4585,'Customer Info'!A4577:I5076,2,0)</f>
        <v>#N/A</v>
      </c>
      <c r="H4585" s="6" t="e">
        <f>VLOOKUP(F4585,'Customer Info'!A4577:I5076,3,0)</f>
        <v>#N/A</v>
      </c>
      <c r="I4585" s="6" t="e">
        <f>VLOOKUP(F4585,'Customer Info'!A4577:I5076,5,0)</f>
        <v>#N/A</v>
      </c>
      <c r="J4585" s="2">
        <v>681</v>
      </c>
      <c r="K4585" s="2">
        <v>642</v>
      </c>
      <c r="L4585" s="2">
        <v>2</v>
      </c>
      <c r="M4585" s="7">
        <f t="shared" si="284"/>
        <v>1284</v>
      </c>
      <c r="N4585" s="7">
        <f t="shared" si="285"/>
        <v>1362</v>
      </c>
      <c r="O4585" s="2">
        <v>26</v>
      </c>
      <c r="P4585" s="8">
        <f t="shared" si="286"/>
        <v>1388</v>
      </c>
      <c r="Q4585" s="8">
        <f t="shared" si="287"/>
        <v>1336</v>
      </c>
      <c r="R4585" s="2" t="s">
        <v>28</v>
      </c>
      <c r="S4585" s="9">
        <f>VLOOKUP(P4585,$T$2:U4582,2,1)</f>
        <v>0.02</v>
      </c>
    </row>
    <row r="4586" spans="1:19" x14ac:dyDescent="0.25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e">
        <f>VLOOKUP(F4586,'Customer Info'!A4578:I5077,2,0)</f>
        <v>#N/A</v>
      </c>
      <c r="H4586" s="6" t="e">
        <f>VLOOKUP(F4586,'Customer Info'!A4578:I5077,3,0)</f>
        <v>#N/A</v>
      </c>
      <c r="I4586" s="6" t="e">
        <f>VLOOKUP(F4586,'Customer Info'!A4578:I5077,5,0)</f>
        <v>#N/A</v>
      </c>
      <c r="J4586" s="2">
        <v>666</v>
      </c>
      <c r="K4586" s="2">
        <v>641</v>
      </c>
      <c r="L4586" s="2">
        <v>2</v>
      </c>
      <c r="M4586" s="7">
        <f t="shared" si="284"/>
        <v>1282</v>
      </c>
      <c r="N4586" s="7">
        <f t="shared" si="285"/>
        <v>1332</v>
      </c>
      <c r="O4586" s="2">
        <v>46</v>
      </c>
      <c r="P4586" s="8">
        <f t="shared" si="286"/>
        <v>1378</v>
      </c>
      <c r="Q4586" s="8">
        <f t="shared" si="287"/>
        <v>1286</v>
      </c>
      <c r="R4586" s="2" t="s">
        <v>50</v>
      </c>
      <c r="S4586" s="9">
        <f>VLOOKUP(P4586,$T$2:U4583,2,1)</f>
        <v>0.02</v>
      </c>
    </row>
    <row r="4587" spans="1:19" x14ac:dyDescent="0.25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e">
        <f>VLOOKUP(F4587,'Customer Info'!A4579:I5078,2,0)</f>
        <v>#N/A</v>
      </c>
      <c r="H4587" s="6" t="e">
        <f>VLOOKUP(F4587,'Customer Info'!A4579:I5078,3,0)</f>
        <v>#N/A</v>
      </c>
      <c r="I4587" s="6" t="e">
        <f>VLOOKUP(F4587,'Customer Info'!A4579:I5078,5,0)</f>
        <v>#N/A</v>
      </c>
      <c r="J4587" s="2">
        <v>4904</v>
      </c>
      <c r="K4587" s="2">
        <v>4499</v>
      </c>
      <c r="L4587" s="2">
        <v>3</v>
      </c>
      <c r="M4587" s="7">
        <f t="shared" si="284"/>
        <v>13497</v>
      </c>
      <c r="N4587" s="7">
        <f t="shared" si="285"/>
        <v>14712</v>
      </c>
      <c r="O4587" s="2">
        <v>34</v>
      </c>
      <c r="P4587" s="8">
        <f t="shared" si="286"/>
        <v>14746</v>
      </c>
      <c r="Q4587" s="8">
        <f t="shared" si="287"/>
        <v>14678</v>
      </c>
      <c r="R4587" s="2" t="s">
        <v>28</v>
      </c>
      <c r="S4587" s="9">
        <f>VLOOKUP(P4587,$T$2:U4584,2,1)</f>
        <v>0.05</v>
      </c>
    </row>
    <row r="4588" spans="1:19" x14ac:dyDescent="0.25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e">
        <f>VLOOKUP(F4588,'Customer Info'!A4580:I5079,2,0)</f>
        <v>#N/A</v>
      </c>
      <c r="H4588" s="6" t="e">
        <f>VLOOKUP(F4588,'Customer Info'!A4580:I5079,3,0)</f>
        <v>#N/A</v>
      </c>
      <c r="I4588" s="6" t="e">
        <f>VLOOKUP(F4588,'Customer Info'!A4580:I5079,5,0)</f>
        <v>#N/A</v>
      </c>
      <c r="J4588" s="2">
        <v>2644</v>
      </c>
      <c r="K4588" s="2">
        <v>2425</v>
      </c>
      <c r="L4588" s="2">
        <v>14</v>
      </c>
      <c r="M4588" s="7">
        <f t="shared" si="284"/>
        <v>33950</v>
      </c>
      <c r="N4588" s="7">
        <f t="shared" si="285"/>
        <v>37016</v>
      </c>
      <c r="O4588" s="2">
        <v>37</v>
      </c>
      <c r="P4588" s="8">
        <f t="shared" si="286"/>
        <v>37053</v>
      </c>
      <c r="Q4588" s="8">
        <f t="shared" si="287"/>
        <v>36979</v>
      </c>
      <c r="R4588" s="2" t="s">
        <v>28</v>
      </c>
      <c r="S4588" s="9">
        <f>VLOOKUP(P4588,$T$2:U4585,2,1)</f>
        <v>7.0000000000000007E-2</v>
      </c>
    </row>
    <row r="4589" spans="1:19" x14ac:dyDescent="0.25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e">
        <f>VLOOKUP(F4589,'Customer Info'!A4581:I5080,2,0)</f>
        <v>#N/A</v>
      </c>
      <c r="H4589" s="6" t="e">
        <f>VLOOKUP(F4589,'Customer Info'!A4581:I5080,3,0)</f>
        <v>#N/A</v>
      </c>
      <c r="I4589" s="6" t="e">
        <f>VLOOKUP(F4589,'Customer Info'!A4581:I5080,5,0)</f>
        <v>#N/A</v>
      </c>
      <c r="J4589" s="2">
        <v>6060</v>
      </c>
      <c r="K4589" s="2">
        <v>6002</v>
      </c>
      <c r="L4589" s="2">
        <v>2</v>
      </c>
      <c r="M4589" s="7">
        <f t="shared" si="284"/>
        <v>12004</v>
      </c>
      <c r="N4589" s="7">
        <f t="shared" si="285"/>
        <v>12120</v>
      </c>
      <c r="O4589" s="2">
        <v>85</v>
      </c>
      <c r="P4589" s="8">
        <f t="shared" si="286"/>
        <v>12205</v>
      </c>
      <c r="Q4589" s="8">
        <f t="shared" si="287"/>
        <v>12035</v>
      </c>
      <c r="R4589" s="2" t="s">
        <v>28</v>
      </c>
      <c r="S4589" s="9">
        <f>VLOOKUP(P4589,$T$2:U4586,2,1)</f>
        <v>0.05</v>
      </c>
    </row>
    <row r="4590" spans="1:19" x14ac:dyDescent="0.25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e">
        <f>VLOOKUP(F4590,'Customer Info'!A4582:I5081,2,0)</f>
        <v>#N/A</v>
      </c>
      <c r="H4590" s="6" t="e">
        <f>VLOOKUP(F4590,'Customer Info'!A4582:I5081,3,0)</f>
        <v>#N/A</v>
      </c>
      <c r="I4590" s="6" t="e">
        <f>VLOOKUP(F4590,'Customer Info'!A4582:I5081,5,0)</f>
        <v>#N/A</v>
      </c>
      <c r="J4590" s="2">
        <v>2706</v>
      </c>
      <c r="K4590" s="2">
        <v>2553</v>
      </c>
      <c r="L4590" s="2">
        <v>1</v>
      </c>
      <c r="M4590" s="7">
        <f t="shared" si="284"/>
        <v>2553</v>
      </c>
      <c r="N4590" s="7">
        <f t="shared" si="285"/>
        <v>2706</v>
      </c>
      <c r="O4590" s="2">
        <v>63</v>
      </c>
      <c r="P4590" s="8">
        <f t="shared" si="286"/>
        <v>2769</v>
      </c>
      <c r="Q4590" s="8">
        <f t="shared" si="287"/>
        <v>2643</v>
      </c>
      <c r="R4590" s="2" t="s">
        <v>28</v>
      </c>
      <c r="S4590" s="9">
        <f>VLOOKUP(P4590,$T$2:U4587,2,1)</f>
        <v>0.02</v>
      </c>
    </row>
    <row r="4591" spans="1:19" x14ac:dyDescent="0.25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e">
        <f>VLOOKUP(F4591,'Customer Info'!A4583:I5082,2,0)</f>
        <v>#N/A</v>
      </c>
      <c r="H4591" s="6" t="e">
        <f>VLOOKUP(F4591,'Customer Info'!A4583:I5082,3,0)</f>
        <v>#N/A</v>
      </c>
      <c r="I4591" s="6" t="e">
        <f>VLOOKUP(F4591,'Customer Info'!A4583:I5082,5,0)</f>
        <v>#N/A</v>
      </c>
      <c r="J4591" s="2">
        <v>1181</v>
      </c>
      <c r="K4591" s="2">
        <v>1136</v>
      </c>
      <c r="L4591" s="2">
        <v>8</v>
      </c>
      <c r="M4591" s="7">
        <f t="shared" si="284"/>
        <v>9088</v>
      </c>
      <c r="N4591" s="7">
        <f t="shared" si="285"/>
        <v>9448</v>
      </c>
      <c r="O4591" s="2">
        <v>94</v>
      </c>
      <c r="P4591" s="8">
        <f t="shared" si="286"/>
        <v>9542</v>
      </c>
      <c r="Q4591" s="8">
        <f t="shared" si="287"/>
        <v>9354</v>
      </c>
      <c r="R4591" s="2" t="s">
        <v>28</v>
      </c>
      <c r="S4591" s="9">
        <f>VLOOKUP(P4591,$T$2:U4588,2,1)</f>
        <v>0.05</v>
      </c>
    </row>
    <row r="4592" spans="1:19" x14ac:dyDescent="0.25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e">
        <f>VLOOKUP(F4592,'Customer Info'!A4584:I5083,2,0)</f>
        <v>#N/A</v>
      </c>
      <c r="H4592" s="6" t="e">
        <f>VLOOKUP(F4592,'Customer Info'!A4584:I5083,3,0)</f>
        <v>#N/A</v>
      </c>
      <c r="I4592" s="6" t="e">
        <f>VLOOKUP(F4592,'Customer Info'!A4584:I5083,5,0)</f>
        <v>#N/A</v>
      </c>
      <c r="J4592" s="2">
        <v>691</v>
      </c>
      <c r="K4592" s="2">
        <v>627</v>
      </c>
      <c r="L4592" s="2">
        <v>2</v>
      </c>
      <c r="M4592" s="7">
        <f t="shared" si="284"/>
        <v>1254</v>
      </c>
      <c r="N4592" s="7">
        <f t="shared" si="285"/>
        <v>1382</v>
      </c>
      <c r="O4592" s="2">
        <v>77</v>
      </c>
      <c r="P4592" s="8">
        <f t="shared" si="286"/>
        <v>1459</v>
      </c>
      <c r="Q4592" s="8">
        <f t="shared" si="287"/>
        <v>1305</v>
      </c>
      <c r="R4592" s="2" t="s">
        <v>28</v>
      </c>
      <c r="S4592" s="9">
        <f>VLOOKUP(P4592,$T$2:U4589,2,1)</f>
        <v>0.02</v>
      </c>
    </row>
    <row r="4593" spans="1:19" x14ac:dyDescent="0.25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e">
        <f>VLOOKUP(F4593,'Customer Info'!A4585:I5084,2,0)</f>
        <v>#N/A</v>
      </c>
      <c r="H4593" s="6" t="e">
        <f>VLOOKUP(F4593,'Customer Info'!A4585:I5084,3,0)</f>
        <v>#N/A</v>
      </c>
      <c r="I4593" s="6" t="e">
        <f>VLOOKUP(F4593,'Customer Info'!A4585:I5084,5,0)</f>
        <v>#N/A</v>
      </c>
      <c r="J4593" s="2">
        <v>1968</v>
      </c>
      <c r="K4593" s="2">
        <v>1821</v>
      </c>
      <c r="L4593" s="2">
        <v>5</v>
      </c>
      <c r="M4593" s="7">
        <f t="shared" si="284"/>
        <v>9105</v>
      </c>
      <c r="N4593" s="7">
        <f t="shared" si="285"/>
        <v>9840</v>
      </c>
      <c r="O4593" s="2">
        <v>52</v>
      </c>
      <c r="P4593" s="8">
        <f t="shared" si="286"/>
        <v>9892</v>
      </c>
      <c r="Q4593" s="8">
        <f t="shared" si="287"/>
        <v>9788</v>
      </c>
      <c r="R4593" s="2" t="s">
        <v>28</v>
      </c>
      <c r="S4593" s="9">
        <f>VLOOKUP(P4593,$T$2:U4590,2,1)</f>
        <v>0.05</v>
      </c>
    </row>
    <row r="4594" spans="1:19" x14ac:dyDescent="0.25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e">
        <f>VLOOKUP(F4594,'Customer Info'!A4586:I5085,2,0)</f>
        <v>#N/A</v>
      </c>
      <c r="H4594" s="6" t="e">
        <f>VLOOKUP(F4594,'Customer Info'!A4586:I5085,3,0)</f>
        <v>#N/A</v>
      </c>
      <c r="I4594" s="6" t="e">
        <f>VLOOKUP(F4594,'Customer Info'!A4586:I5085,5,0)</f>
        <v>#N/A</v>
      </c>
      <c r="J4594" s="2">
        <v>914</v>
      </c>
      <c r="K4594" s="2">
        <v>830</v>
      </c>
      <c r="L4594" s="2">
        <v>2</v>
      </c>
      <c r="M4594" s="7">
        <f t="shared" si="284"/>
        <v>1660</v>
      </c>
      <c r="N4594" s="7">
        <f t="shared" si="285"/>
        <v>1828</v>
      </c>
      <c r="O4594" s="2">
        <v>21</v>
      </c>
      <c r="P4594" s="8">
        <f t="shared" si="286"/>
        <v>1849</v>
      </c>
      <c r="Q4594" s="8">
        <f t="shared" si="287"/>
        <v>1807</v>
      </c>
      <c r="R4594" s="2" t="s">
        <v>28</v>
      </c>
      <c r="S4594" s="9">
        <f>VLOOKUP(P4594,$T$2:U4591,2,1)</f>
        <v>0.02</v>
      </c>
    </row>
    <row r="4595" spans="1:19" x14ac:dyDescent="0.25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e">
        <f>VLOOKUP(F4595,'Customer Info'!A4587:I5086,2,0)</f>
        <v>#N/A</v>
      </c>
      <c r="H4595" s="6" t="e">
        <f>VLOOKUP(F4595,'Customer Info'!A4587:I5086,3,0)</f>
        <v>#N/A</v>
      </c>
      <c r="I4595" s="6" t="e">
        <f>VLOOKUP(F4595,'Customer Info'!A4587:I5086,5,0)</f>
        <v>#N/A</v>
      </c>
      <c r="J4595" s="2">
        <v>3091</v>
      </c>
      <c r="K4595" s="2">
        <v>2889</v>
      </c>
      <c r="L4595" s="2">
        <v>6</v>
      </c>
      <c r="M4595" s="7">
        <f t="shared" si="284"/>
        <v>17334</v>
      </c>
      <c r="N4595" s="7">
        <f t="shared" si="285"/>
        <v>18546</v>
      </c>
      <c r="O4595" s="2">
        <v>30</v>
      </c>
      <c r="P4595" s="8">
        <f t="shared" si="286"/>
        <v>18576</v>
      </c>
      <c r="Q4595" s="8">
        <f t="shared" si="287"/>
        <v>18516</v>
      </c>
      <c r="R4595" s="2" t="s">
        <v>28</v>
      </c>
      <c r="S4595" s="9">
        <f>VLOOKUP(P4595,$T$2:U4592,2,1)</f>
        <v>0.05</v>
      </c>
    </row>
    <row r="4596" spans="1:19" x14ac:dyDescent="0.25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e">
        <f>VLOOKUP(F4596,'Customer Info'!A4588:I5087,2,0)</f>
        <v>#N/A</v>
      </c>
      <c r="H4596" s="6" t="e">
        <f>VLOOKUP(F4596,'Customer Info'!A4588:I5087,3,0)</f>
        <v>#N/A</v>
      </c>
      <c r="I4596" s="6" t="e">
        <f>VLOOKUP(F4596,'Customer Info'!A4588:I5087,5,0)</f>
        <v>#N/A</v>
      </c>
      <c r="J4596" s="2">
        <v>1717</v>
      </c>
      <c r="K4596" s="2">
        <v>1652</v>
      </c>
      <c r="L4596" s="2">
        <v>1</v>
      </c>
      <c r="M4596" s="7">
        <f t="shared" si="284"/>
        <v>1652</v>
      </c>
      <c r="N4596" s="7">
        <f t="shared" si="285"/>
        <v>1717</v>
      </c>
      <c r="O4596" s="2">
        <v>81</v>
      </c>
      <c r="P4596" s="8">
        <f t="shared" si="286"/>
        <v>1798</v>
      </c>
      <c r="Q4596" s="8">
        <f t="shared" si="287"/>
        <v>1636</v>
      </c>
      <c r="R4596" s="2" t="s">
        <v>56</v>
      </c>
      <c r="S4596" s="9">
        <f>VLOOKUP(P4596,$T$2:U4593,2,1)</f>
        <v>0.02</v>
      </c>
    </row>
    <row r="4597" spans="1:19" x14ac:dyDescent="0.25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e">
        <f>VLOOKUP(F4597,'Customer Info'!A4589:I5088,2,0)</f>
        <v>#N/A</v>
      </c>
      <c r="H4597" s="6" t="e">
        <f>VLOOKUP(F4597,'Customer Info'!A4589:I5088,3,0)</f>
        <v>#N/A</v>
      </c>
      <c r="I4597" s="6" t="e">
        <f>VLOOKUP(F4597,'Customer Info'!A4589:I5088,5,0)</f>
        <v>#N/A</v>
      </c>
      <c r="J4597" s="2">
        <v>1512</v>
      </c>
      <c r="K4597" s="2">
        <v>1497</v>
      </c>
      <c r="L4597" s="2">
        <v>1</v>
      </c>
      <c r="M4597" s="7">
        <f t="shared" si="284"/>
        <v>1497</v>
      </c>
      <c r="N4597" s="7">
        <f t="shared" si="285"/>
        <v>1512</v>
      </c>
      <c r="O4597" s="2">
        <v>68</v>
      </c>
      <c r="P4597" s="8">
        <f t="shared" si="286"/>
        <v>1580</v>
      </c>
      <c r="Q4597" s="8">
        <f t="shared" si="287"/>
        <v>1444</v>
      </c>
      <c r="R4597" s="2" t="s">
        <v>28</v>
      </c>
      <c r="S4597" s="9">
        <f>VLOOKUP(P4597,$T$2:U4594,2,1)</f>
        <v>0.02</v>
      </c>
    </row>
    <row r="4598" spans="1:19" x14ac:dyDescent="0.25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e">
        <f>VLOOKUP(F4598,'Customer Info'!A4590:I5089,2,0)</f>
        <v>#N/A</v>
      </c>
      <c r="H4598" s="6" t="e">
        <f>VLOOKUP(F4598,'Customer Info'!A4590:I5089,3,0)</f>
        <v>#N/A</v>
      </c>
      <c r="I4598" s="6" t="e">
        <f>VLOOKUP(F4598,'Customer Info'!A4590:I5089,5,0)</f>
        <v>#N/A</v>
      </c>
      <c r="J4598" s="2">
        <v>811</v>
      </c>
      <c r="K4598" s="2">
        <v>780</v>
      </c>
      <c r="L4598" s="2">
        <v>3</v>
      </c>
      <c r="M4598" s="7">
        <f t="shared" si="284"/>
        <v>2340</v>
      </c>
      <c r="N4598" s="7">
        <f t="shared" si="285"/>
        <v>2433</v>
      </c>
      <c r="O4598" s="2">
        <v>41</v>
      </c>
      <c r="P4598" s="8">
        <f t="shared" si="286"/>
        <v>2474</v>
      </c>
      <c r="Q4598" s="8">
        <f t="shared" si="287"/>
        <v>2392</v>
      </c>
      <c r="R4598" s="2" t="s">
        <v>26</v>
      </c>
      <c r="S4598" s="9">
        <f>VLOOKUP(P4598,$T$2:U4595,2,1)</f>
        <v>0.02</v>
      </c>
    </row>
    <row r="4599" spans="1:19" x14ac:dyDescent="0.25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e">
        <f>VLOOKUP(F4599,'Customer Info'!A4591:I5090,2,0)</f>
        <v>#N/A</v>
      </c>
      <c r="H4599" s="6" t="e">
        <f>VLOOKUP(F4599,'Customer Info'!A4591:I5090,3,0)</f>
        <v>#N/A</v>
      </c>
      <c r="I4599" s="6" t="e">
        <f>VLOOKUP(F4599,'Customer Info'!A4591:I5090,5,0)</f>
        <v>#N/A</v>
      </c>
      <c r="J4599" s="2">
        <v>1181</v>
      </c>
      <c r="K4599" s="2">
        <v>1136</v>
      </c>
      <c r="L4599" s="2">
        <v>2</v>
      </c>
      <c r="M4599" s="7">
        <f t="shared" si="284"/>
        <v>2272</v>
      </c>
      <c r="N4599" s="7">
        <f t="shared" si="285"/>
        <v>2362</v>
      </c>
      <c r="O4599" s="2">
        <v>22</v>
      </c>
      <c r="P4599" s="8">
        <f t="shared" si="286"/>
        <v>2384</v>
      </c>
      <c r="Q4599" s="8">
        <f t="shared" si="287"/>
        <v>2340</v>
      </c>
      <c r="R4599" s="2" t="s">
        <v>28</v>
      </c>
      <c r="S4599" s="9">
        <f>VLOOKUP(P4599,$T$2:U4596,2,1)</f>
        <v>0.02</v>
      </c>
    </row>
    <row r="4600" spans="1:19" x14ac:dyDescent="0.25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e">
        <f>VLOOKUP(F4600,'Customer Info'!A4592:I5091,2,0)</f>
        <v>#N/A</v>
      </c>
      <c r="H4600" s="6" t="e">
        <f>VLOOKUP(F4600,'Customer Info'!A4592:I5091,3,0)</f>
        <v>#N/A</v>
      </c>
      <c r="I4600" s="6" t="e">
        <f>VLOOKUP(F4600,'Customer Info'!A4592:I5091,5,0)</f>
        <v>#N/A</v>
      </c>
      <c r="J4600" s="2">
        <v>809</v>
      </c>
      <c r="K4600" s="2">
        <v>770</v>
      </c>
      <c r="L4600" s="2">
        <v>1</v>
      </c>
      <c r="M4600" s="7">
        <f t="shared" si="284"/>
        <v>770</v>
      </c>
      <c r="N4600" s="7">
        <f t="shared" si="285"/>
        <v>809</v>
      </c>
      <c r="O4600" s="2">
        <v>89</v>
      </c>
      <c r="P4600" s="8">
        <f t="shared" si="286"/>
        <v>898</v>
      </c>
      <c r="Q4600" s="8">
        <f t="shared" si="287"/>
        <v>720</v>
      </c>
      <c r="R4600" s="2" t="s">
        <v>28</v>
      </c>
      <c r="S4600" s="9">
        <f>VLOOKUP(P4600,$T$2:U4597,2,1)</f>
        <v>0.02</v>
      </c>
    </row>
    <row r="4601" spans="1:19" x14ac:dyDescent="0.25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e">
        <f>VLOOKUP(F4601,'Customer Info'!A4593:I5092,2,0)</f>
        <v>#N/A</v>
      </c>
      <c r="H4601" s="6" t="e">
        <f>VLOOKUP(F4601,'Customer Info'!A4593:I5092,3,0)</f>
        <v>#N/A</v>
      </c>
      <c r="I4601" s="6" t="e">
        <f>VLOOKUP(F4601,'Customer Info'!A4593:I5092,5,0)</f>
        <v>#N/A</v>
      </c>
      <c r="J4601" s="2">
        <v>495</v>
      </c>
      <c r="K4601" s="2">
        <v>458</v>
      </c>
      <c r="L4601" s="2">
        <v>2</v>
      </c>
      <c r="M4601" s="7">
        <f t="shared" si="284"/>
        <v>916</v>
      </c>
      <c r="N4601" s="7">
        <f t="shared" si="285"/>
        <v>990</v>
      </c>
      <c r="O4601" s="2">
        <v>36</v>
      </c>
      <c r="P4601" s="8">
        <f t="shared" si="286"/>
        <v>1026</v>
      </c>
      <c r="Q4601" s="8">
        <f t="shared" si="287"/>
        <v>954</v>
      </c>
      <c r="R4601" s="2" t="s">
        <v>50</v>
      </c>
      <c r="S4601" s="9">
        <f>VLOOKUP(P4601,$T$2:U4598,2,1)</f>
        <v>0.02</v>
      </c>
    </row>
    <row r="4602" spans="1:19" x14ac:dyDescent="0.25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e">
        <f>VLOOKUP(F4602,'Customer Info'!A4594:I5093,2,0)</f>
        <v>#N/A</v>
      </c>
      <c r="H4602" s="6" t="e">
        <f>VLOOKUP(F4602,'Customer Info'!A4594:I5093,3,0)</f>
        <v>#N/A</v>
      </c>
      <c r="I4602" s="6" t="e">
        <f>VLOOKUP(F4602,'Customer Info'!A4594:I5093,5,0)</f>
        <v>#N/A</v>
      </c>
      <c r="J4602" s="2">
        <v>7623</v>
      </c>
      <c r="K4602" s="2">
        <v>7064</v>
      </c>
      <c r="L4602" s="2">
        <v>2</v>
      </c>
      <c r="M4602" s="7">
        <f t="shared" si="284"/>
        <v>14128</v>
      </c>
      <c r="N4602" s="7">
        <f t="shared" si="285"/>
        <v>15246</v>
      </c>
      <c r="O4602" s="2">
        <v>58</v>
      </c>
      <c r="P4602" s="8">
        <f t="shared" si="286"/>
        <v>15304</v>
      </c>
      <c r="Q4602" s="8">
        <f t="shared" si="287"/>
        <v>15188</v>
      </c>
      <c r="R4602" s="2" t="s">
        <v>28</v>
      </c>
      <c r="S4602" s="9">
        <f>VLOOKUP(P4602,$T$2:U4599,2,1)</f>
        <v>0.05</v>
      </c>
    </row>
    <row r="4603" spans="1:19" x14ac:dyDescent="0.25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e">
        <f>VLOOKUP(F4603,'Customer Info'!A4595:I5094,2,0)</f>
        <v>#N/A</v>
      </c>
      <c r="H4603" s="6" t="e">
        <f>VLOOKUP(F4603,'Customer Info'!A4595:I5094,3,0)</f>
        <v>#N/A</v>
      </c>
      <c r="I4603" s="6" t="e">
        <f>VLOOKUP(F4603,'Customer Info'!A4595:I5094,5,0)</f>
        <v>#N/A</v>
      </c>
      <c r="J4603" s="2">
        <v>5906</v>
      </c>
      <c r="K4603" s="2">
        <v>5266</v>
      </c>
      <c r="L4603" s="2">
        <v>5</v>
      </c>
      <c r="M4603" s="7">
        <f t="shared" si="284"/>
        <v>26330</v>
      </c>
      <c r="N4603" s="7">
        <f t="shared" si="285"/>
        <v>29530</v>
      </c>
      <c r="O4603" s="2">
        <v>91</v>
      </c>
      <c r="P4603" s="8">
        <f t="shared" si="286"/>
        <v>29621</v>
      </c>
      <c r="Q4603" s="8">
        <f t="shared" si="287"/>
        <v>29439</v>
      </c>
      <c r="R4603" s="2" t="s">
        <v>26</v>
      </c>
      <c r="S4603" s="9">
        <f>VLOOKUP(P4603,$T$2:U4600,2,1)</f>
        <v>7.0000000000000007E-2</v>
      </c>
    </row>
    <row r="4604" spans="1:19" x14ac:dyDescent="0.25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e">
        <f>VLOOKUP(F4604,'Customer Info'!A4596:I5095,2,0)</f>
        <v>#N/A</v>
      </c>
      <c r="H4604" s="6" t="e">
        <f>VLOOKUP(F4604,'Customer Info'!A4596:I5095,3,0)</f>
        <v>#N/A</v>
      </c>
      <c r="I4604" s="6" t="e">
        <f>VLOOKUP(F4604,'Customer Info'!A4596:I5095,5,0)</f>
        <v>#N/A</v>
      </c>
      <c r="J4604" s="2">
        <v>1770</v>
      </c>
      <c r="K4604" s="2">
        <v>1592</v>
      </c>
      <c r="L4604" s="2">
        <v>5</v>
      </c>
      <c r="M4604" s="7">
        <f t="shared" si="284"/>
        <v>7960</v>
      </c>
      <c r="N4604" s="7">
        <f t="shared" si="285"/>
        <v>8850</v>
      </c>
      <c r="O4604" s="2">
        <v>54</v>
      </c>
      <c r="P4604" s="8">
        <f t="shared" si="286"/>
        <v>8904</v>
      </c>
      <c r="Q4604" s="8">
        <f t="shared" si="287"/>
        <v>8796</v>
      </c>
      <c r="R4604" s="2" t="s">
        <v>28</v>
      </c>
      <c r="S4604" s="9">
        <f>VLOOKUP(P4604,$T$2:U4601,2,1)</f>
        <v>0.05</v>
      </c>
    </row>
    <row r="4605" spans="1:19" x14ac:dyDescent="0.25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e">
        <f>VLOOKUP(F4605,'Customer Info'!A4597:I5096,2,0)</f>
        <v>#N/A</v>
      </c>
      <c r="H4605" s="6" t="e">
        <f>VLOOKUP(F4605,'Customer Info'!A4597:I5096,3,0)</f>
        <v>#N/A</v>
      </c>
      <c r="I4605" s="6" t="e">
        <f>VLOOKUP(F4605,'Customer Info'!A4597:I5096,5,0)</f>
        <v>#N/A</v>
      </c>
      <c r="J4605" s="2">
        <v>8187</v>
      </c>
      <c r="K4605" s="2">
        <v>7799</v>
      </c>
      <c r="L4605" s="2">
        <v>1</v>
      </c>
      <c r="M4605" s="7">
        <f t="shared" si="284"/>
        <v>7799</v>
      </c>
      <c r="N4605" s="7">
        <f t="shared" si="285"/>
        <v>8187</v>
      </c>
      <c r="O4605" s="2">
        <v>27</v>
      </c>
      <c r="P4605" s="8">
        <f t="shared" si="286"/>
        <v>8214</v>
      </c>
      <c r="Q4605" s="8">
        <f t="shared" si="287"/>
        <v>8160</v>
      </c>
      <c r="R4605" s="2" t="s">
        <v>28</v>
      </c>
      <c r="S4605" s="9">
        <f>VLOOKUP(P4605,$T$2:U4602,2,1)</f>
        <v>0.05</v>
      </c>
    </row>
    <row r="4606" spans="1:19" x14ac:dyDescent="0.25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e">
        <f>VLOOKUP(F4606,'Customer Info'!A4598:I5097,2,0)</f>
        <v>#N/A</v>
      </c>
      <c r="H4606" s="6" t="e">
        <f>VLOOKUP(F4606,'Customer Info'!A4598:I5097,3,0)</f>
        <v>#N/A</v>
      </c>
      <c r="I4606" s="6" t="e">
        <f>VLOOKUP(F4606,'Customer Info'!A4598:I5097,5,0)</f>
        <v>#N/A</v>
      </c>
      <c r="J4606" s="2">
        <v>8781</v>
      </c>
      <c r="K4606" s="2">
        <v>7828</v>
      </c>
      <c r="L4606" s="2">
        <v>9</v>
      </c>
      <c r="M4606" s="7">
        <f t="shared" si="284"/>
        <v>70452</v>
      </c>
      <c r="N4606" s="7">
        <f t="shared" si="285"/>
        <v>79029</v>
      </c>
      <c r="O4606" s="2">
        <v>41</v>
      </c>
      <c r="P4606" s="8">
        <f t="shared" si="286"/>
        <v>79070</v>
      </c>
      <c r="Q4606" s="8">
        <f t="shared" si="287"/>
        <v>78988</v>
      </c>
      <c r="R4606" s="2" t="s">
        <v>50</v>
      </c>
      <c r="S4606" s="9">
        <f>VLOOKUP(P4606,$T$2:U4603,2,1)</f>
        <v>0.09</v>
      </c>
    </row>
    <row r="4607" spans="1:19" x14ac:dyDescent="0.25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e">
        <f>VLOOKUP(F4607,'Customer Info'!A4599:I5098,2,0)</f>
        <v>#N/A</v>
      </c>
      <c r="H4607" s="6" t="e">
        <f>VLOOKUP(F4607,'Customer Info'!A4599:I5098,3,0)</f>
        <v>#N/A</v>
      </c>
      <c r="I4607" s="6" t="e">
        <f>VLOOKUP(F4607,'Customer Info'!A4599:I5098,5,0)</f>
        <v>#N/A</v>
      </c>
      <c r="J4607" s="2">
        <v>170</v>
      </c>
      <c r="K4607" s="2">
        <v>160</v>
      </c>
      <c r="L4607" s="2">
        <v>2</v>
      </c>
      <c r="M4607" s="7">
        <f t="shared" si="284"/>
        <v>320</v>
      </c>
      <c r="N4607" s="7">
        <f t="shared" si="285"/>
        <v>340</v>
      </c>
      <c r="O4607" s="2">
        <v>30</v>
      </c>
      <c r="P4607" s="8">
        <f t="shared" si="286"/>
        <v>370</v>
      </c>
      <c r="Q4607" s="8">
        <f t="shared" si="287"/>
        <v>310</v>
      </c>
      <c r="R4607" s="2" t="s">
        <v>50</v>
      </c>
      <c r="S4607" s="9">
        <f>VLOOKUP(P4607,$T$2:U4604,2,1)</f>
        <v>0.02</v>
      </c>
    </row>
    <row r="4608" spans="1:19" x14ac:dyDescent="0.25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e">
        <f>VLOOKUP(F4608,'Customer Info'!A4600:I5099,2,0)</f>
        <v>#N/A</v>
      </c>
      <c r="H4608" s="6" t="e">
        <f>VLOOKUP(F4608,'Customer Info'!A4600:I5099,3,0)</f>
        <v>#N/A</v>
      </c>
      <c r="I4608" s="6" t="e">
        <f>VLOOKUP(F4608,'Customer Info'!A4600:I5099,5,0)</f>
        <v>#N/A</v>
      </c>
      <c r="J4608" s="2">
        <v>1399</v>
      </c>
      <c r="K4608" s="2">
        <v>1333</v>
      </c>
      <c r="L4608" s="2">
        <v>5</v>
      </c>
      <c r="M4608" s="7">
        <f t="shared" si="284"/>
        <v>6665</v>
      </c>
      <c r="N4608" s="7">
        <f t="shared" si="285"/>
        <v>6995</v>
      </c>
      <c r="O4608" s="2">
        <v>95</v>
      </c>
      <c r="P4608" s="8">
        <f t="shared" si="286"/>
        <v>7090</v>
      </c>
      <c r="Q4608" s="8">
        <f t="shared" si="287"/>
        <v>6900</v>
      </c>
      <c r="R4608" s="2" t="s">
        <v>28</v>
      </c>
      <c r="S4608" s="9">
        <f>VLOOKUP(P4608,$T$2:U4605,2,1)</f>
        <v>0.05</v>
      </c>
    </row>
    <row r="4609" spans="1:19" x14ac:dyDescent="0.25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e">
        <f>VLOOKUP(F4609,'Customer Info'!A4601:I5100,2,0)</f>
        <v>#N/A</v>
      </c>
      <c r="H4609" s="6" t="e">
        <f>VLOOKUP(F4609,'Customer Info'!A4601:I5100,3,0)</f>
        <v>#N/A</v>
      </c>
      <c r="I4609" s="6" t="e">
        <f>VLOOKUP(F4609,'Customer Info'!A4601:I5100,5,0)</f>
        <v>#N/A</v>
      </c>
      <c r="J4609" s="2">
        <v>58</v>
      </c>
      <c r="K4609" s="2">
        <v>56</v>
      </c>
      <c r="L4609" s="2">
        <v>5</v>
      </c>
      <c r="M4609" s="7">
        <f t="shared" si="284"/>
        <v>280</v>
      </c>
      <c r="N4609" s="7">
        <f t="shared" si="285"/>
        <v>290</v>
      </c>
      <c r="O4609" s="2">
        <v>10</v>
      </c>
      <c r="P4609" s="8">
        <f t="shared" si="286"/>
        <v>300</v>
      </c>
      <c r="Q4609" s="8">
        <f t="shared" si="287"/>
        <v>280</v>
      </c>
      <c r="R4609" s="2" t="s">
        <v>50</v>
      </c>
      <c r="S4609" s="9">
        <f>VLOOKUP(P4609,$T$2:U4606,2,1)</f>
        <v>0.02</v>
      </c>
    </row>
    <row r="4610" spans="1:19" x14ac:dyDescent="0.25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e">
        <f>VLOOKUP(F4610,'Customer Info'!A4602:I5101,2,0)</f>
        <v>#N/A</v>
      </c>
      <c r="H4610" s="6" t="e">
        <f>VLOOKUP(F4610,'Customer Info'!A4602:I5101,3,0)</f>
        <v>#N/A</v>
      </c>
      <c r="I4610" s="6" t="e">
        <f>VLOOKUP(F4610,'Customer Info'!A4602:I5101,5,0)</f>
        <v>#N/A</v>
      </c>
      <c r="J4610" s="2">
        <v>21143</v>
      </c>
      <c r="K4610" s="2">
        <v>18848</v>
      </c>
      <c r="L4610" s="2">
        <v>4</v>
      </c>
      <c r="M4610" s="7">
        <f t="shared" si="284"/>
        <v>75392</v>
      </c>
      <c r="N4610" s="7">
        <f t="shared" si="285"/>
        <v>84572</v>
      </c>
      <c r="O4610" s="2">
        <v>24</v>
      </c>
      <c r="P4610" s="8">
        <f t="shared" si="286"/>
        <v>84596</v>
      </c>
      <c r="Q4610" s="8">
        <f t="shared" si="287"/>
        <v>84548</v>
      </c>
      <c r="R4610" s="2" t="s">
        <v>28</v>
      </c>
      <c r="S4610" s="9">
        <f>VLOOKUP(P4610,$T$2:U4607,2,1)</f>
        <v>0.09</v>
      </c>
    </row>
    <row r="4611" spans="1:19" x14ac:dyDescent="0.25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e">
        <f>VLOOKUP(F4611,'Customer Info'!A4603:I5102,2,0)</f>
        <v>#N/A</v>
      </c>
      <c r="H4611" s="6" t="e">
        <f>VLOOKUP(F4611,'Customer Info'!A4603:I5102,3,0)</f>
        <v>#N/A</v>
      </c>
      <c r="I4611" s="6" t="e">
        <f>VLOOKUP(F4611,'Customer Info'!A4603:I5102,5,0)</f>
        <v>#N/A</v>
      </c>
      <c r="J4611" s="2">
        <v>210</v>
      </c>
      <c r="K4611" s="2">
        <v>191</v>
      </c>
      <c r="L4611" s="2">
        <v>1</v>
      </c>
      <c r="M4611" s="7">
        <f t="shared" si="284"/>
        <v>191</v>
      </c>
      <c r="N4611" s="7">
        <f t="shared" si="285"/>
        <v>210</v>
      </c>
      <c r="O4611" s="2">
        <v>30</v>
      </c>
      <c r="P4611" s="8">
        <f t="shared" si="286"/>
        <v>240</v>
      </c>
      <c r="Q4611" s="8">
        <f t="shared" si="287"/>
        <v>180</v>
      </c>
      <c r="R4611" s="2" t="s">
        <v>50</v>
      </c>
      <c r="S4611" s="9">
        <f>VLOOKUP(P4611,$T$2:U4608,2,1)</f>
        <v>0.02</v>
      </c>
    </row>
    <row r="4612" spans="1:19" x14ac:dyDescent="0.25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e">
        <f>VLOOKUP(F4612,'Customer Info'!A4604:I5103,2,0)</f>
        <v>#N/A</v>
      </c>
      <c r="H4612" s="6" t="e">
        <f>VLOOKUP(F4612,'Customer Info'!A4604:I5103,3,0)</f>
        <v>#N/A</v>
      </c>
      <c r="I4612" s="6" t="e">
        <f>VLOOKUP(F4612,'Customer Info'!A4604:I5103,5,0)</f>
        <v>#N/A</v>
      </c>
      <c r="J4612" s="2">
        <v>835</v>
      </c>
      <c r="K4612" s="2">
        <v>796</v>
      </c>
      <c r="L4612" s="2">
        <v>7</v>
      </c>
      <c r="M4612" s="7">
        <f t="shared" si="284"/>
        <v>5572</v>
      </c>
      <c r="N4612" s="7">
        <f t="shared" si="285"/>
        <v>5845</v>
      </c>
      <c r="O4612" s="2">
        <v>37</v>
      </c>
      <c r="P4612" s="8">
        <f t="shared" si="286"/>
        <v>5882</v>
      </c>
      <c r="Q4612" s="8">
        <f t="shared" si="287"/>
        <v>5808</v>
      </c>
      <c r="R4612" s="2" t="s">
        <v>28</v>
      </c>
      <c r="S4612" s="9">
        <f>VLOOKUP(P4612,$T$2:U4609,2,1)</f>
        <v>0.05</v>
      </c>
    </row>
    <row r="4613" spans="1:19" x14ac:dyDescent="0.25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e">
        <f>VLOOKUP(F4613,'Customer Info'!A4605:I5104,2,0)</f>
        <v>#N/A</v>
      </c>
      <c r="H4613" s="6" t="e">
        <f>VLOOKUP(F4613,'Customer Info'!A4605:I5104,3,0)</f>
        <v>#N/A</v>
      </c>
      <c r="I4613" s="6" t="e">
        <f>VLOOKUP(F4613,'Customer Info'!A4605:I5104,5,0)</f>
        <v>#N/A</v>
      </c>
      <c r="J4613" s="2">
        <v>1574</v>
      </c>
      <c r="K4613" s="2">
        <v>1458</v>
      </c>
      <c r="L4613" s="2">
        <v>6</v>
      </c>
      <c r="M4613" s="7">
        <f t="shared" si="284"/>
        <v>8748</v>
      </c>
      <c r="N4613" s="7">
        <f t="shared" si="285"/>
        <v>9444</v>
      </c>
      <c r="O4613" s="2">
        <v>23</v>
      </c>
      <c r="P4613" s="8">
        <f t="shared" si="286"/>
        <v>9467</v>
      </c>
      <c r="Q4613" s="8">
        <f t="shared" si="287"/>
        <v>9421</v>
      </c>
      <c r="R4613" s="2" t="s">
        <v>28</v>
      </c>
      <c r="S4613" s="9">
        <f>VLOOKUP(P4613,$T$2:U4610,2,1)</f>
        <v>0.05</v>
      </c>
    </row>
    <row r="4614" spans="1:19" x14ac:dyDescent="0.25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e">
        <f>VLOOKUP(F4614,'Customer Info'!A4606:I5105,2,0)</f>
        <v>#N/A</v>
      </c>
      <c r="H4614" s="6" t="e">
        <f>VLOOKUP(F4614,'Customer Info'!A4606:I5105,3,0)</f>
        <v>#N/A</v>
      </c>
      <c r="I4614" s="6" t="e">
        <f>VLOOKUP(F4614,'Customer Info'!A4606:I5105,5,0)</f>
        <v>#N/A</v>
      </c>
      <c r="J4614" s="2">
        <v>2017</v>
      </c>
      <c r="K4614" s="2">
        <v>1834</v>
      </c>
      <c r="L4614" s="2">
        <v>4</v>
      </c>
      <c r="M4614" s="7">
        <f t="shared" si="284"/>
        <v>7336</v>
      </c>
      <c r="N4614" s="7">
        <f t="shared" si="285"/>
        <v>8068</v>
      </c>
      <c r="O4614" s="2">
        <v>35</v>
      </c>
      <c r="P4614" s="8">
        <f t="shared" si="286"/>
        <v>8103</v>
      </c>
      <c r="Q4614" s="8">
        <f t="shared" si="287"/>
        <v>8033</v>
      </c>
      <c r="R4614" s="2" t="s">
        <v>28</v>
      </c>
      <c r="S4614" s="9">
        <f>VLOOKUP(P4614,$T$2:U4611,2,1)</f>
        <v>0.05</v>
      </c>
    </row>
    <row r="4615" spans="1:19" x14ac:dyDescent="0.25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e">
        <f>VLOOKUP(F4615,'Customer Info'!A4607:I5106,2,0)</f>
        <v>#N/A</v>
      </c>
      <c r="H4615" s="6" t="e">
        <f>VLOOKUP(F4615,'Customer Info'!A4607:I5106,3,0)</f>
        <v>#N/A</v>
      </c>
      <c r="I4615" s="6" t="e">
        <f>VLOOKUP(F4615,'Customer Info'!A4607:I5106,5,0)</f>
        <v>#N/A</v>
      </c>
      <c r="J4615" s="2">
        <v>1623</v>
      </c>
      <c r="K4615" s="2">
        <v>1546</v>
      </c>
      <c r="L4615" s="2">
        <v>4</v>
      </c>
      <c r="M4615" s="7">
        <f t="shared" si="284"/>
        <v>6184</v>
      </c>
      <c r="N4615" s="7">
        <f t="shared" si="285"/>
        <v>6492</v>
      </c>
      <c r="O4615" s="2">
        <v>77</v>
      </c>
      <c r="P4615" s="8">
        <f t="shared" si="286"/>
        <v>6569</v>
      </c>
      <c r="Q4615" s="8">
        <f t="shared" si="287"/>
        <v>6415</v>
      </c>
      <c r="R4615" s="2" t="s">
        <v>28</v>
      </c>
      <c r="S4615" s="9">
        <f>VLOOKUP(P4615,$T$2:U4612,2,1)</f>
        <v>0.05</v>
      </c>
    </row>
    <row r="4616" spans="1:19" x14ac:dyDescent="0.25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e">
        <f>VLOOKUP(F4616,'Customer Info'!A4608:I5107,2,0)</f>
        <v>#N/A</v>
      </c>
      <c r="H4616" s="6" t="e">
        <f>VLOOKUP(F4616,'Customer Info'!A4608:I5107,3,0)</f>
        <v>#N/A</v>
      </c>
      <c r="I4616" s="6" t="e">
        <f>VLOOKUP(F4616,'Customer Info'!A4608:I5107,5,0)</f>
        <v>#N/A</v>
      </c>
      <c r="J4616" s="2">
        <v>194</v>
      </c>
      <c r="K4616" s="2">
        <v>176</v>
      </c>
      <c r="L4616" s="2">
        <v>8</v>
      </c>
      <c r="M4616" s="7">
        <f t="shared" si="284"/>
        <v>1408</v>
      </c>
      <c r="N4616" s="7">
        <f t="shared" si="285"/>
        <v>1552</v>
      </c>
      <c r="O4616" s="2">
        <v>30</v>
      </c>
      <c r="P4616" s="8">
        <f t="shared" si="286"/>
        <v>1582</v>
      </c>
      <c r="Q4616" s="8">
        <f t="shared" si="287"/>
        <v>1522</v>
      </c>
      <c r="R4616" s="2" t="s">
        <v>50</v>
      </c>
      <c r="S4616" s="9">
        <f>VLOOKUP(P4616,$T$2:U4613,2,1)</f>
        <v>0.02</v>
      </c>
    </row>
    <row r="4617" spans="1:19" x14ac:dyDescent="0.25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e">
        <f>VLOOKUP(F4617,'Customer Info'!A4609:I5108,2,0)</f>
        <v>#N/A</v>
      </c>
      <c r="H4617" s="6" t="e">
        <f>VLOOKUP(F4617,'Customer Info'!A4609:I5108,3,0)</f>
        <v>#N/A</v>
      </c>
      <c r="I4617" s="6" t="e">
        <f>VLOOKUP(F4617,'Customer Info'!A4609:I5108,5,0)</f>
        <v>#N/A</v>
      </c>
      <c r="J4617" s="2">
        <v>151</v>
      </c>
      <c r="K4617" s="2">
        <v>139</v>
      </c>
      <c r="L4617" s="2">
        <v>5</v>
      </c>
      <c r="M4617" s="7">
        <f t="shared" si="284"/>
        <v>695</v>
      </c>
      <c r="N4617" s="7">
        <f t="shared" si="285"/>
        <v>755</v>
      </c>
      <c r="O4617" s="2">
        <v>30</v>
      </c>
      <c r="P4617" s="8">
        <f t="shared" si="286"/>
        <v>785</v>
      </c>
      <c r="Q4617" s="8">
        <f t="shared" si="287"/>
        <v>725</v>
      </c>
      <c r="R4617" s="2" t="s">
        <v>50</v>
      </c>
      <c r="S4617" s="9">
        <f>VLOOKUP(P4617,$T$2:U4614,2,1)</f>
        <v>0.02</v>
      </c>
    </row>
    <row r="4618" spans="1:19" x14ac:dyDescent="0.25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e">
        <f>VLOOKUP(F4618,'Customer Info'!A4610:I5109,2,0)</f>
        <v>#N/A</v>
      </c>
      <c r="H4618" s="6" t="e">
        <f>VLOOKUP(F4618,'Customer Info'!A4610:I5109,3,0)</f>
        <v>#N/A</v>
      </c>
      <c r="I4618" s="6" t="e">
        <f>VLOOKUP(F4618,'Customer Info'!A4610:I5109,5,0)</f>
        <v>#N/A</v>
      </c>
      <c r="J4618" s="2">
        <v>68</v>
      </c>
      <c r="K4618" s="2">
        <v>63</v>
      </c>
      <c r="L4618" s="2">
        <v>3</v>
      </c>
      <c r="M4618" s="7">
        <f t="shared" si="284"/>
        <v>189</v>
      </c>
      <c r="N4618" s="7">
        <f t="shared" si="285"/>
        <v>204</v>
      </c>
      <c r="O4618" s="2">
        <v>10</v>
      </c>
      <c r="P4618" s="8">
        <f t="shared" si="286"/>
        <v>214</v>
      </c>
      <c r="Q4618" s="8">
        <f t="shared" si="287"/>
        <v>194</v>
      </c>
      <c r="R4618" s="2" t="s">
        <v>50</v>
      </c>
      <c r="S4618" s="9">
        <f>VLOOKUP(P4618,$T$2:U4615,2,1)</f>
        <v>0.02</v>
      </c>
    </row>
    <row r="4619" spans="1:19" x14ac:dyDescent="0.25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e">
        <f>VLOOKUP(F4619,'Customer Info'!A4611:I5110,2,0)</f>
        <v>#N/A</v>
      </c>
      <c r="H4619" s="6" t="e">
        <f>VLOOKUP(F4619,'Customer Info'!A4611:I5110,3,0)</f>
        <v>#N/A</v>
      </c>
      <c r="I4619" s="6" t="e">
        <f>VLOOKUP(F4619,'Customer Info'!A4611:I5110,5,0)</f>
        <v>#N/A</v>
      </c>
      <c r="J4619" s="2">
        <v>1615</v>
      </c>
      <c r="K4619" s="2">
        <v>1525</v>
      </c>
      <c r="L4619" s="2">
        <v>2</v>
      </c>
      <c r="M4619" s="7">
        <f t="shared" ref="M4619:M4682" si="288">K4619*L4619</f>
        <v>3050</v>
      </c>
      <c r="N4619" s="7">
        <f t="shared" ref="N4619:N4682" si="289">J4619*L4619</f>
        <v>3230</v>
      </c>
      <c r="O4619" s="2">
        <v>52</v>
      </c>
      <c r="P4619" s="8">
        <f t="shared" ref="P4619:P4682" si="290">SUM(N4619,O4619)</f>
        <v>3282</v>
      </c>
      <c r="Q4619" s="8">
        <f t="shared" ref="Q4619:Q4682" si="291">N4619-O4619</f>
        <v>3178</v>
      </c>
      <c r="R4619" s="2" t="s">
        <v>50</v>
      </c>
      <c r="S4619" s="9">
        <f>VLOOKUP(P4619,$T$2:U4616,2,1)</f>
        <v>0.02</v>
      </c>
    </row>
    <row r="4620" spans="1:19" x14ac:dyDescent="0.25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e">
        <f>VLOOKUP(F4620,'Customer Info'!A4612:I5111,2,0)</f>
        <v>#N/A</v>
      </c>
      <c r="H4620" s="6" t="e">
        <f>VLOOKUP(F4620,'Customer Info'!A4612:I5111,3,0)</f>
        <v>#N/A</v>
      </c>
      <c r="I4620" s="6" t="e">
        <f>VLOOKUP(F4620,'Customer Info'!A4612:I5111,5,0)</f>
        <v>#N/A</v>
      </c>
      <c r="J4620" s="2">
        <v>214</v>
      </c>
      <c r="K4620" s="2">
        <v>200</v>
      </c>
      <c r="L4620" s="2">
        <v>3</v>
      </c>
      <c r="M4620" s="7">
        <f t="shared" si="288"/>
        <v>600</v>
      </c>
      <c r="N4620" s="7">
        <f t="shared" si="289"/>
        <v>642</v>
      </c>
      <c r="O4620" s="2">
        <v>27</v>
      </c>
      <c r="P4620" s="8">
        <f t="shared" si="290"/>
        <v>669</v>
      </c>
      <c r="Q4620" s="8">
        <f t="shared" si="291"/>
        <v>615</v>
      </c>
      <c r="R4620" s="2" t="s">
        <v>28</v>
      </c>
      <c r="S4620" s="9">
        <f>VLOOKUP(P4620,$T$2:U4617,2,1)</f>
        <v>0.02</v>
      </c>
    </row>
    <row r="4621" spans="1:19" x14ac:dyDescent="0.25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e">
        <f>VLOOKUP(F4621,'Customer Info'!A4613:I5112,2,0)</f>
        <v>#N/A</v>
      </c>
      <c r="H4621" s="6" t="e">
        <f>VLOOKUP(F4621,'Customer Info'!A4613:I5112,3,0)</f>
        <v>#N/A</v>
      </c>
      <c r="I4621" s="6" t="e">
        <f>VLOOKUP(F4621,'Customer Info'!A4613:I5112,5,0)</f>
        <v>#N/A</v>
      </c>
      <c r="J4621" s="2">
        <v>726</v>
      </c>
      <c r="K4621" s="2">
        <v>646</v>
      </c>
      <c r="L4621" s="2">
        <v>4</v>
      </c>
      <c r="M4621" s="7">
        <f t="shared" si="288"/>
        <v>2584</v>
      </c>
      <c r="N4621" s="7">
        <f t="shared" si="289"/>
        <v>2904</v>
      </c>
      <c r="O4621" s="2">
        <v>53</v>
      </c>
      <c r="P4621" s="8">
        <f t="shared" si="290"/>
        <v>2957</v>
      </c>
      <c r="Q4621" s="8">
        <f t="shared" si="291"/>
        <v>2851</v>
      </c>
      <c r="R4621" s="2" t="s">
        <v>50</v>
      </c>
      <c r="S4621" s="9">
        <f>VLOOKUP(P4621,$T$2:U4618,2,1)</f>
        <v>0.02</v>
      </c>
    </row>
    <row r="4622" spans="1:19" x14ac:dyDescent="0.25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e">
        <f>VLOOKUP(F4622,'Customer Info'!A4614:I5113,2,0)</f>
        <v>#N/A</v>
      </c>
      <c r="H4622" s="6" t="e">
        <f>VLOOKUP(F4622,'Customer Info'!A4614:I5113,3,0)</f>
        <v>#N/A</v>
      </c>
      <c r="I4622" s="6" t="e">
        <f>VLOOKUP(F4622,'Customer Info'!A4614:I5113,5,0)</f>
        <v>#N/A</v>
      </c>
      <c r="J4622" s="2">
        <v>3408</v>
      </c>
      <c r="K4622" s="2">
        <v>3215</v>
      </c>
      <c r="L4622" s="2">
        <v>1</v>
      </c>
      <c r="M4622" s="7">
        <f t="shared" si="288"/>
        <v>3215</v>
      </c>
      <c r="N4622" s="7">
        <f t="shared" si="289"/>
        <v>3408</v>
      </c>
      <c r="O4622" s="2">
        <v>32</v>
      </c>
      <c r="P4622" s="8">
        <f t="shared" si="290"/>
        <v>3440</v>
      </c>
      <c r="Q4622" s="8">
        <f t="shared" si="291"/>
        <v>3376</v>
      </c>
      <c r="R4622" s="2" t="s">
        <v>28</v>
      </c>
      <c r="S4622" s="9">
        <f>VLOOKUP(P4622,$T$2:U4619,2,1)</f>
        <v>0.02</v>
      </c>
    </row>
    <row r="4623" spans="1:19" x14ac:dyDescent="0.25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e">
        <f>VLOOKUP(F4623,'Customer Info'!A4615:I5114,2,0)</f>
        <v>#N/A</v>
      </c>
      <c r="H4623" s="6" t="e">
        <f>VLOOKUP(F4623,'Customer Info'!A4615:I5114,3,0)</f>
        <v>#N/A</v>
      </c>
      <c r="I4623" s="6" t="e">
        <f>VLOOKUP(F4623,'Customer Info'!A4615:I5114,5,0)</f>
        <v>#N/A</v>
      </c>
      <c r="J4623" s="2">
        <v>7623</v>
      </c>
      <c r="K4623" s="2">
        <v>7064</v>
      </c>
      <c r="L4623" s="2">
        <v>2</v>
      </c>
      <c r="M4623" s="7">
        <f t="shared" si="288"/>
        <v>14128</v>
      </c>
      <c r="N4623" s="7">
        <f t="shared" si="289"/>
        <v>15246</v>
      </c>
      <c r="O4623" s="2">
        <v>38</v>
      </c>
      <c r="P4623" s="8">
        <f t="shared" si="290"/>
        <v>15284</v>
      </c>
      <c r="Q4623" s="8">
        <f t="shared" si="291"/>
        <v>15208</v>
      </c>
      <c r="R4623" s="2" t="s">
        <v>50</v>
      </c>
      <c r="S4623" s="9">
        <f>VLOOKUP(P4623,$T$2:U4620,2,1)</f>
        <v>0.05</v>
      </c>
    </row>
    <row r="4624" spans="1:19" x14ac:dyDescent="0.25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e">
        <f>VLOOKUP(F4624,'Customer Info'!A4616:I5115,2,0)</f>
        <v>#N/A</v>
      </c>
      <c r="H4624" s="6" t="e">
        <f>VLOOKUP(F4624,'Customer Info'!A4616:I5115,3,0)</f>
        <v>#N/A</v>
      </c>
      <c r="I4624" s="6" t="e">
        <f>VLOOKUP(F4624,'Customer Info'!A4616:I5115,5,0)</f>
        <v>#N/A</v>
      </c>
      <c r="J4624" s="2">
        <v>1358</v>
      </c>
      <c r="K4624" s="2">
        <v>1294</v>
      </c>
      <c r="L4624" s="2">
        <v>3</v>
      </c>
      <c r="M4624" s="7">
        <f t="shared" si="288"/>
        <v>3882</v>
      </c>
      <c r="N4624" s="7">
        <f t="shared" si="289"/>
        <v>4074</v>
      </c>
      <c r="O4624" s="2">
        <v>28</v>
      </c>
      <c r="P4624" s="8">
        <f t="shared" si="290"/>
        <v>4102</v>
      </c>
      <c r="Q4624" s="8">
        <f t="shared" si="291"/>
        <v>4046</v>
      </c>
      <c r="R4624" s="2" t="s">
        <v>28</v>
      </c>
      <c r="S4624" s="9">
        <f>VLOOKUP(P4624,$T$2:U4621,2,1)</f>
        <v>0.02</v>
      </c>
    </row>
    <row r="4625" spans="1:19" x14ac:dyDescent="0.25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e">
        <f>VLOOKUP(F4625,'Customer Info'!A4617:I5116,2,0)</f>
        <v>#N/A</v>
      </c>
      <c r="H4625" s="6" t="e">
        <f>VLOOKUP(F4625,'Customer Info'!A4617:I5116,3,0)</f>
        <v>#N/A</v>
      </c>
      <c r="I4625" s="6" t="e">
        <f>VLOOKUP(F4625,'Customer Info'!A4617:I5116,5,0)</f>
        <v>#N/A</v>
      </c>
      <c r="J4625" s="2">
        <v>183</v>
      </c>
      <c r="K4625" s="2">
        <v>168</v>
      </c>
      <c r="L4625" s="2">
        <v>5</v>
      </c>
      <c r="M4625" s="7">
        <f t="shared" si="288"/>
        <v>840</v>
      </c>
      <c r="N4625" s="7">
        <f t="shared" si="289"/>
        <v>915</v>
      </c>
      <c r="O4625" s="2">
        <v>30</v>
      </c>
      <c r="P4625" s="8">
        <f t="shared" si="290"/>
        <v>945</v>
      </c>
      <c r="Q4625" s="8">
        <f t="shared" si="291"/>
        <v>885</v>
      </c>
      <c r="R4625" s="2" t="s">
        <v>28</v>
      </c>
      <c r="S4625" s="9">
        <f>VLOOKUP(P4625,$T$2:U4622,2,1)</f>
        <v>0.02</v>
      </c>
    </row>
    <row r="4626" spans="1:19" x14ac:dyDescent="0.25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e">
        <f>VLOOKUP(F4626,'Customer Info'!A4618:I5117,2,0)</f>
        <v>#N/A</v>
      </c>
      <c r="H4626" s="6" t="e">
        <f>VLOOKUP(F4626,'Customer Info'!A4618:I5117,3,0)</f>
        <v>#N/A</v>
      </c>
      <c r="I4626" s="6" t="e">
        <f>VLOOKUP(F4626,'Customer Info'!A4618:I5117,5,0)</f>
        <v>#N/A</v>
      </c>
      <c r="J4626" s="2">
        <v>58</v>
      </c>
      <c r="K4626" s="2">
        <v>56</v>
      </c>
      <c r="L4626" s="2">
        <v>2</v>
      </c>
      <c r="M4626" s="7">
        <f t="shared" si="288"/>
        <v>112</v>
      </c>
      <c r="N4626" s="7">
        <f t="shared" si="289"/>
        <v>116</v>
      </c>
      <c r="O4626" s="2">
        <v>10</v>
      </c>
      <c r="P4626" s="8">
        <f t="shared" si="290"/>
        <v>126</v>
      </c>
      <c r="Q4626" s="8">
        <f t="shared" si="291"/>
        <v>106</v>
      </c>
      <c r="R4626" s="2" t="s">
        <v>26</v>
      </c>
      <c r="S4626" s="9">
        <f>VLOOKUP(P4626,$T$2:U4623,2,1)</f>
        <v>0.02</v>
      </c>
    </row>
    <row r="4627" spans="1:19" x14ac:dyDescent="0.25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e">
        <f>VLOOKUP(F4627,'Customer Info'!A4619:I5118,2,0)</f>
        <v>#N/A</v>
      </c>
      <c r="H4627" s="6" t="e">
        <f>VLOOKUP(F4627,'Customer Info'!A4619:I5118,3,0)</f>
        <v>#N/A</v>
      </c>
      <c r="I4627" s="6" t="e">
        <f>VLOOKUP(F4627,'Customer Info'!A4619:I5118,5,0)</f>
        <v>#N/A</v>
      </c>
      <c r="J4627" s="2">
        <v>765</v>
      </c>
      <c r="K4627" s="2">
        <v>701</v>
      </c>
      <c r="L4627" s="2">
        <v>2</v>
      </c>
      <c r="M4627" s="7">
        <f t="shared" si="288"/>
        <v>1402</v>
      </c>
      <c r="N4627" s="7">
        <f t="shared" si="289"/>
        <v>1530</v>
      </c>
      <c r="O4627" s="2">
        <v>98</v>
      </c>
      <c r="P4627" s="8">
        <f t="shared" si="290"/>
        <v>1628</v>
      </c>
      <c r="Q4627" s="8">
        <f t="shared" si="291"/>
        <v>1432</v>
      </c>
      <c r="R4627" s="2" t="s">
        <v>50</v>
      </c>
      <c r="S4627" s="9">
        <f>VLOOKUP(P4627,$T$2:U4624,2,1)</f>
        <v>0.02</v>
      </c>
    </row>
    <row r="4628" spans="1:19" x14ac:dyDescent="0.25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e">
        <f>VLOOKUP(F4628,'Customer Info'!A4620:I5119,2,0)</f>
        <v>#N/A</v>
      </c>
      <c r="H4628" s="6" t="e">
        <f>VLOOKUP(F4628,'Customer Info'!A4620:I5119,3,0)</f>
        <v>#N/A</v>
      </c>
      <c r="I4628" s="6" t="e">
        <f>VLOOKUP(F4628,'Customer Info'!A4620:I5119,5,0)</f>
        <v>#N/A</v>
      </c>
      <c r="J4628" s="2">
        <v>1210</v>
      </c>
      <c r="K4628" s="2">
        <v>1164</v>
      </c>
      <c r="L4628" s="2">
        <v>4</v>
      </c>
      <c r="M4628" s="7">
        <f t="shared" si="288"/>
        <v>4656</v>
      </c>
      <c r="N4628" s="7">
        <f t="shared" si="289"/>
        <v>4840</v>
      </c>
      <c r="O4628" s="2">
        <v>28</v>
      </c>
      <c r="P4628" s="8">
        <f t="shared" si="290"/>
        <v>4868</v>
      </c>
      <c r="Q4628" s="8">
        <f t="shared" si="291"/>
        <v>4812</v>
      </c>
      <c r="R4628" s="2" t="s">
        <v>28</v>
      </c>
      <c r="S4628" s="9">
        <f>VLOOKUP(P4628,$T$2:U4625,2,1)</f>
        <v>0.02</v>
      </c>
    </row>
    <row r="4629" spans="1:19" x14ac:dyDescent="0.25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e">
        <f>VLOOKUP(F4629,'Customer Info'!A4621:I5120,2,0)</f>
        <v>#N/A</v>
      </c>
      <c r="H4629" s="6" t="e">
        <f>VLOOKUP(F4629,'Customer Info'!A4621:I5120,3,0)</f>
        <v>#N/A</v>
      </c>
      <c r="I4629" s="6" t="e">
        <f>VLOOKUP(F4629,'Customer Info'!A4621:I5120,5,0)</f>
        <v>#N/A</v>
      </c>
      <c r="J4629" s="2">
        <v>1700</v>
      </c>
      <c r="K4629" s="2">
        <v>1620</v>
      </c>
      <c r="L4629" s="2">
        <v>3</v>
      </c>
      <c r="M4629" s="7">
        <f t="shared" si="288"/>
        <v>4860</v>
      </c>
      <c r="N4629" s="7">
        <f t="shared" si="289"/>
        <v>5100</v>
      </c>
      <c r="O4629" s="2">
        <v>82</v>
      </c>
      <c r="P4629" s="8">
        <f t="shared" si="290"/>
        <v>5182</v>
      </c>
      <c r="Q4629" s="8">
        <f t="shared" si="291"/>
        <v>5018</v>
      </c>
      <c r="R4629" s="2" t="s">
        <v>28</v>
      </c>
      <c r="S4629" s="9">
        <f>VLOOKUP(P4629,$T$2:U4626,2,1)</f>
        <v>0.05</v>
      </c>
    </row>
    <row r="4630" spans="1:19" x14ac:dyDescent="0.25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e">
        <f>VLOOKUP(F4630,'Customer Info'!A4622:I5121,2,0)</f>
        <v>#N/A</v>
      </c>
      <c r="H4630" s="6" t="e">
        <f>VLOOKUP(F4630,'Customer Info'!A4622:I5121,3,0)</f>
        <v>#N/A</v>
      </c>
      <c r="I4630" s="6" t="e">
        <f>VLOOKUP(F4630,'Customer Info'!A4622:I5121,5,0)</f>
        <v>#N/A</v>
      </c>
      <c r="J4630" s="2">
        <v>6611</v>
      </c>
      <c r="K4630" s="2">
        <v>5943</v>
      </c>
      <c r="L4630" s="2">
        <v>1</v>
      </c>
      <c r="M4630" s="7">
        <f t="shared" si="288"/>
        <v>5943</v>
      </c>
      <c r="N4630" s="7">
        <f t="shared" si="289"/>
        <v>6611</v>
      </c>
      <c r="O4630" s="2">
        <v>58</v>
      </c>
      <c r="P4630" s="8">
        <f t="shared" si="290"/>
        <v>6669</v>
      </c>
      <c r="Q4630" s="8">
        <f t="shared" si="291"/>
        <v>6553</v>
      </c>
      <c r="R4630" s="2" t="s">
        <v>26</v>
      </c>
      <c r="S4630" s="9">
        <f>VLOOKUP(P4630,$T$2:U4627,2,1)</f>
        <v>0.05</v>
      </c>
    </row>
    <row r="4631" spans="1:19" x14ac:dyDescent="0.25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e">
        <f>VLOOKUP(F4631,'Customer Info'!A4623:I5122,2,0)</f>
        <v>#N/A</v>
      </c>
      <c r="H4631" s="6" t="e">
        <f>VLOOKUP(F4631,'Customer Info'!A4623:I5122,3,0)</f>
        <v>#N/A</v>
      </c>
      <c r="I4631" s="6" t="e">
        <f>VLOOKUP(F4631,'Customer Info'!A4623:I5122,5,0)</f>
        <v>#N/A</v>
      </c>
      <c r="J4631" s="2">
        <v>6012</v>
      </c>
      <c r="K4631" s="2">
        <v>5677</v>
      </c>
      <c r="L4631" s="2">
        <v>7</v>
      </c>
      <c r="M4631" s="7">
        <f t="shared" si="288"/>
        <v>39739</v>
      </c>
      <c r="N4631" s="7">
        <f t="shared" si="289"/>
        <v>42084</v>
      </c>
      <c r="O4631" s="2">
        <v>51</v>
      </c>
      <c r="P4631" s="8">
        <f t="shared" si="290"/>
        <v>42135</v>
      </c>
      <c r="Q4631" s="8">
        <f t="shared" si="291"/>
        <v>42033</v>
      </c>
      <c r="R4631" s="2" t="s">
        <v>50</v>
      </c>
      <c r="S4631" s="9">
        <f>VLOOKUP(P4631,$T$2:U4628,2,1)</f>
        <v>7.0000000000000007E-2</v>
      </c>
    </row>
    <row r="4632" spans="1:19" x14ac:dyDescent="0.25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e">
        <f>VLOOKUP(F4632,'Customer Info'!A4624:I5123,2,0)</f>
        <v>#N/A</v>
      </c>
      <c r="H4632" s="6" t="e">
        <f>VLOOKUP(F4632,'Customer Info'!A4624:I5123,3,0)</f>
        <v>#N/A</v>
      </c>
      <c r="I4632" s="6" t="e">
        <f>VLOOKUP(F4632,'Customer Info'!A4624:I5123,5,0)</f>
        <v>#N/A</v>
      </c>
      <c r="J4632" s="2">
        <v>1623</v>
      </c>
      <c r="K4632" s="2">
        <v>1546</v>
      </c>
      <c r="L4632" s="2">
        <v>1</v>
      </c>
      <c r="M4632" s="7">
        <f t="shared" si="288"/>
        <v>1546</v>
      </c>
      <c r="N4632" s="7">
        <f t="shared" si="289"/>
        <v>1623</v>
      </c>
      <c r="O4632" s="2">
        <v>45</v>
      </c>
      <c r="P4632" s="8">
        <f t="shared" si="290"/>
        <v>1668</v>
      </c>
      <c r="Q4632" s="8">
        <f t="shared" si="291"/>
        <v>1578</v>
      </c>
      <c r="R4632" s="2" t="s">
        <v>28</v>
      </c>
      <c r="S4632" s="9">
        <f>VLOOKUP(P4632,$T$2:U4629,2,1)</f>
        <v>0.02</v>
      </c>
    </row>
    <row r="4633" spans="1:19" x14ac:dyDescent="0.25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e">
        <f>VLOOKUP(F4633,'Customer Info'!A4625:I5124,2,0)</f>
        <v>#N/A</v>
      </c>
      <c r="H4633" s="6" t="e">
        <f>VLOOKUP(F4633,'Customer Info'!A4625:I5124,3,0)</f>
        <v>#N/A</v>
      </c>
      <c r="I4633" s="6" t="e">
        <f>VLOOKUP(F4633,'Customer Info'!A4625:I5124,5,0)</f>
        <v>#N/A</v>
      </c>
      <c r="J4633" s="2">
        <v>145</v>
      </c>
      <c r="K4633" s="2">
        <v>130</v>
      </c>
      <c r="L4633" s="2">
        <v>2</v>
      </c>
      <c r="M4633" s="7">
        <f t="shared" si="288"/>
        <v>260</v>
      </c>
      <c r="N4633" s="7">
        <f t="shared" si="289"/>
        <v>290</v>
      </c>
      <c r="O4633" s="2">
        <v>30</v>
      </c>
      <c r="P4633" s="8">
        <f t="shared" si="290"/>
        <v>320</v>
      </c>
      <c r="Q4633" s="8">
        <f t="shared" si="291"/>
        <v>260</v>
      </c>
      <c r="R4633" s="2" t="s">
        <v>50</v>
      </c>
      <c r="S4633" s="9">
        <f>VLOOKUP(P4633,$T$2:U4630,2,1)</f>
        <v>0.02</v>
      </c>
    </row>
    <row r="4634" spans="1:19" x14ac:dyDescent="0.25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e">
        <f>VLOOKUP(F4634,'Customer Info'!A4626:I5125,2,0)</f>
        <v>#N/A</v>
      </c>
      <c r="H4634" s="6" t="e">
        <f>VLOOKUP(F4634,'Customer Info'!A4626:I5125,3,0)</f>
        <v>#N/A</v>
      </c>
      <c r="I4634" s="6" t="e">
        <f>VLOOKUP(F4634,'Customer Info'!A4626:I5125,5,0)</f>
        <v>#N/A</v>
      </c>
      <c r="J4634" s="2">
        <v>1569</v>
      </c>
      <c r="K4634" s="2">
        <v>1466</v>
      </c>
      <c r="L4634" s="2">
        <v>2</v>
      </c>
      <c r="M4634" s="7">
        <f t="shared" si="288"/>
        <v>2932</v>
      </c>
      <c r="N4634" s="7">
        <f t="shared" si="289"/>
        <v>3138</v>
      </c>
      <c r="O4634" s="2">
        <v>57</v>
      </c>
      <c r="P4634" s="8">
        <f t="shared" si="290"/>
        <v>3195</v>
      </c>
      <c r="Q4634" s="8">
        <f t="shared" si="291"/>
        <v>3081</v>
      </c>
      <c r="R4634" s="2" t="s">
        <v>50</v>
      </c>
      <c r="S4634" s="9">
        <f>VLOOKUP(P4634,$T$2:U4631,2,1)</f>
        <v>0.02</v>
      </c>
    </row>
    <row r="4635" spans="1:19" x14ac:dyDescent="0.25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e">
        <f>VLOOKUP(F4635,'Customer Info'!A4627:I5126,2,0)</f>
        <v>#N/A</v>
      </c>
      <c r="H4635" s="6" t="e">
        <f>VLOOKUP(F4635,'Customer Info'!A4627:I5126,3,0)</f>
        <v>#N/A</v>
      </c>
      <c r="I4635" s="6" t="e">
        <f>VLOOKUP(F4635,'Customer Info'!A4627:I5126,5,0)</f>
        <v>#N/A</v>
      </c>
      <c r="J4635" s="2">
        <v>1169</v>
      </c>
      <c r="K4635" s="2">
        <v>1072</v>
      </c>
      <c r="L4635" s="2">
        <v>1</v>
      </c>
      <c r="M4635" s="7">
        <f t="shared" si="288"/>
        <v>1072</v>
      </c>
      <c r="N4635" s="7">
        <f t="shared" si="289"/>
        <v>1169</v>
      </c>
      <c r="O4635" s="2">
        <v>43</v>
      </c>
      <c r="P4635" s="8">
        <f t="shared" si="290"/>
        <v>1212</v>
      </c>
      <c r="Q4635" s="8">
        <f t="shared" si="291"/>
        <v>1126</v>
      </c>
      <c r="R4635" s="2" t="s">
        <v>50</v>
      </c>
      <c r="S4635" s="9">
        <f>VLOOKUP(P4635,$T$2:U4632,2,1)</f>
        <v>0.02</v>
      </c>
    </row>
    <row r="4636" spans="1:19" x14ac:dyDescent="0.25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e">
        <f>VLOOKUP(F4636,'Customer Info'!A4628:I5127,2,0)</f>
        <v>#N/A</v>
      </c>
      <c r="H4636" s="6" t="e">
        <f>VLOOKUP(F4636,'Customer Info'!A4628:I5127,3,0)</f>
        <v>#N/A</v>
      </c>
      <c r="I4636" s="6" t="e">
        <f>VLOOKUP(F4636,'Customer Info'!A4628:I5127,5,0)</f>
        <v>#N/A</v>
      </c>
      <c r="J4636" s="2">
        <v>214</v>
      </c>
      <c r="K4636" s="2">
        <v>199</v>
      </c>
      <c r="L4636" s="2">
        <v>4</v>
      </c>
      <c r="M4636" s="7">
        <f t="shared" si="288"/>
        <v>796</v>
      </c>
      <c r="N4636" s="7">
        <f t="shared" si="289"/>
        <v>856</v>
      </c>
      <c r="O4636" s="2">
        <v>44</v>
      </c>
      <c r="P4636" s="8">
        <f t="shared" si="290"/>
        <v>900</v>
      </c>
      <c r="Q4636" s="8">
        <f t="shared" si="291"/>
        <v>812</v>
      </c>
      <c r="R4636" s="2" t="s">
        <v>28</v>
      </c>
      <c r="S4636" s="9">
        <f>VLOOKUP(P4636,$T$2:U4633,2,1)</f>
        <v>0.02</v>
      </c>
    </row>
    <row r="4637" spans="1:19" x14ac:dyDescent="0.25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e">
        <f>VLOOKUP(F4637,'Customer Info'!A4629:I5128,2,0)</f>
        <v>#N/A</v>
      </c>
      <c r="H4637" s="6" t="e">
        <f>VLOOKUP(F4637,'Customer Info'!A4629:I5128,3,0)</f>
        <v>#N/A</v>
      </c>
      <c r="I4637" s="6" t="e">
        <f>VLOOKUP(F4637,'Customer Info'!A4629:I5128,5,0)</f>
        <v>#N/A</v>
      </c>
      <c r="J4637" s="2">
        <v>2515</v>
      </c>
      <c r="K4637" s="2">
        <v>2397</v>
      </c>
      <c r="L4637" s="2">
        <v>5</v>
      </c>
      <c r="M4637" s="7">
        <f t="shared" si="288"/>
        <v>11985</v>
      </c>
      <c r="N4637" s="7">
        <f t="shared" si="289"/>
        <v>12575</v>
      </c>
      <c r="O4637" s="2">
        <v>34</v>
      </c>
      <c r="P4637" s="8">
        <f t="shared" si="290"/>
        <v>12609</v>
      </c>
      <c r="Q4637" s="8">
        <f t="shared" si="291"/>
        <v>12541</v>
      </c>
      <c r="R4637" s="2" t="s">
        <v>50</v>
      </c>
      <c r="S4637" s="9">
        <f>VLOOKUP(P4637,$T$2:U4634,2,1)</f>
        <v>0.05</v>
      </c>
    </row>
    <row r="4638" spans="1:19" x14ac:dyDescent="0.25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e">
        <f>VLOOKUP(F4638,'Customer Info'!A4630:I5129,2,0)</f>
        <v>#N/A</v>
      </c>
      <c r="H4638" s="6" t="e">
        <f>VLOOKUP(F4638,'Customer Info'!A4630:I5129,3,0)</f>
        <v>#N/A</v>
      </c>
      <c r="I4638" s="6" t="e">
        <f>VLOOKUP(F4638,'Customer Info'!A4630:I5129,5,0)</f>
        <v>#N/A</v>
      </c>
      <c r="J4638" s="2">
        <v>805</v>
      </c>
      <c r="K4638" s="2">
        <v>746</v>
      </c>
      <c r="L4638" s="2">
        <v>4</v>
      </c>
      <c r="M4638" s="7">
        <f t="shared" si="288"/>
        <v>2984</v>
      </c>
      <c r="N4638" s="7">
        <f t="shared" si="289"/>
        <v>3220</v>
      </c>
      <c r="O4638" s="2">
        <v>20</v>
      </c>
      <c r="P4638" s="8">
        <f t="shared" si="290"/>
        <v>3240</v>
      </c>
      <c r="Q4638" s="8">
        <f t="shared" si="291"/>
        <v>3200</v>
      </c>
      <c r="R4638" s="2" t="s">
        <v>50</v>
      </c>
      <c r="S4638" s="9">
        <f>VLOOKUP(P4638,$T$2:U4635,2,1)</f>
        <v>0.02</v>
      </c>
    </row>
    <row r="4639" spans="1:19" x14ac:dyDescent="0.25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e">
        <f>VLOOKUP(F4639,'Customer Info'!A4631:I5130,2,0)</f>
        <v>#N/A</v>
      </c>
      <c r="H4639" s="6" t="e">
        <f>VLOOKUP(F4639,'Customer Info'!A4631:I5130,3,0)</f>
        <v>#N/A</v>
      </c>
      <c r="I4639" s="6" t="e">
        <f>VLOOKUP(F4639,'Customer Info'!A4631:I5130,5,0)</f>
        <v>#N/A</v>
      </c>
      <c r="J4639" s="2">
        <v>7232</v>
      </c>
      <c r="K4639" s="2">
        <v>6753</v>
      </c>
      <c r="L4639" s="2">
        <v>2</v>
      </c>
      <c r="M4639" s="7">
        <f t="shared" si="288"/>
        <v>13506</v>
      </c>
      <c r="N4639" s="7">
        <f t="shared" si="289"/>
        <v>14464</v>
      </c>
      <c r="O4639" s="2">
        <v>54</v>
      </c>
      <c r="P4639" s="8">
        <f t="shared" si="290"/>
        <v>14518</v>
      </c>
      <c r="Q4639" s="8">
        <f t="shared" si="291"/>
        <v>14410</v>
      </c>
      <c r="R4639" s="2" t="s">
        <v>50</v>
      </c>
      <c r="S4639" s="9">
        <f>VLOOKUP(P4639,$T$2:U4636,2,1)</f>
        <v>0.05</v>
      </c>
    </row>
    <row r="4640" spans="1:19" x14ac:dyDescent="0.25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e">
        <f>VLOOKUP(F4640,'Customer Info'!A4632:I5131,2,0)</f>
        <v>#N/A</v>
      </c>
      <c r="H4640" s="6" t="e">
        <f>VLOOKUP(F4640,'Customer Info'!A4632:I5131,3,0)</f>
        <v>#N/A</v>
      </c>
      <c r="I4640" s="6" t="e">
        <f>VLOOKUP(F4640,'Customer Info'!A4632:I5131,5,0)</f>
        <v>#N/A</v>
      </c>
      <c r="J4640" s="2">
        <v>1060</v>
      </c>
      <c r="K4640" s="2">
        <v>964</v>
      </c>
      <c r="L4640" s="2">
        <v>4</v>
      </c>
      <c r="M4640" s="7">
        <f t="shared" si="288"/>
        <v>3856</v>
      </c>
      <c r="N4640" s="7">
        <f t="shared" si="289"/>
        <v>4240</v>
      </c>
      <c r="O4640" s="2">
        <v>91</v>
      </c>
      <c r="P4640" s="8">
        <f t="shared" si="290"/>
        <v>4331</v>
      </c>
      <c r="Q4640" s="8">
        <f t="shared" si="291"/>
        <v>4149</v>
      </c>
      <c r="R4640" s="2" t="s">
        <v>28</v>
      </c>
      <c r="S4640" s="9">
        <f>VLOOKUP(P4640,$T$2:U4637,2,1)</f>
        <v>0.02</v>
      </c>
    </row>
    <row r="4641" spans="1:19" x14ac:dyDescent="0.25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e">
        <f>VLOOKUP(F4641,'Customer Info'!A4633:I5132,2,0)</f>
        <v>#N/A</v>
      </c>
      <c r="H4641" s="6" t="e">
        <f>VLOOKUP(F4641,'Customer Info'!A4633:I5132,3,0)</f>
        <v>#N/A</v>
      </c>
      <c r="I4641" s="6" t="e">
        <f>VLOOKUP(F4641,'Customer Info'!A4633:I5132,5,0)</f>
        <v>#N/A</v>
      </c>
      <c r="J4641" s="2">
        <v>36778</v>
      </c>
      <c r="K4641" s="2">
        <v>34709</v>
      </c>
      <c r="L4641" s="2">
        <v>2</v>
      </c>
      <c r="M4641" s="7">
        <f t="shared" si="288"/>
        <v>69418</v>
      </c>
      <c r="N4641" s="7">
        <f t="shared" si="289"/>
        <v>73556</v>
      </c>
      <c r="O4641" s="2">
        <v>81</v>
      </c>
      <c r="P4641" s="8">
        <f t="shared" si="290"/>
        <v>73637</v>
      </c>
      <c r="Q4641" s="8">
        <f t="shared" si="291"/>
        <v>73475</v>
      </c>
      <c r="R4641" s="2" t="s">
        <v>28</v>
      </c>
      <c r="S4641" s="9">
        <f>VLOOKUP(P4641,$T$2:U4638,2,1)</f>
        <v>0.09</v>
      </c>
    </row>
    <row r="4642" spans="1:19" x14ac:dyDescent="0.25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e">
        <f>VLOOKUP(F4642,'Customer Info'!A4634:I5133,2,0)</f>
        <v>#N/A</v>
      </c>
      <c r="H4642" s="6" t="e">
        <f>VLOOKUP(F4642,'Customer Info'!A4634:I5133,3,0)</f>
        <v>#N/A</v>
      </c>
      <c r="I4642" s="6" t="e">
        <f>VLOOKUP(F4642,'Customer Info'!A4634:I5133,5,0)</f>
        <v>#N/A</v>
      </c>
      <c r="J4642" s="2">
        <v>24662</v>
      </c>
      <c r="K4642" s="2">
        <v>23061</v>
      </c>
      <c r="L4642" s="2">
        <v>7</v>
      </c>
      <c r="M4642" s="7">
        <f t="shared" si="288"/>
        <v>161427</v>
      </c>
      <c r="N4642" s="7">
        <f t="shared" si="289"/>
        <v>172634</v>
      </c>
      <c r="O4642" s="2">
        <v>93</v>
      </c>
      <c r="P4642" s="8">
        <f t="shared" si="290"/>
        <v>172727</v>
      </c>
      <c r="Q4642" s="8">
        <f t="shared" si="291"/>
        <v>172541</v>
      </c>
      <c r="R4642" s="2" t="s">
        <v>28</v>
      </c>
      <c r="S4642" s="9">
        <f>VLOOKUP(P4642,$T$2:U4639,2,1)</f>
        <v>0.12</v>
      </c>
    </row>
    <row r="4643" spans="1:19" x14ac:dyDescent="0.25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e">
        <f>VLOOKUP(F4643,'Customer Info'!A4635:I5134,2,0)</f>
        <v>#N/A</v>
      </c>
      <c r="H4643" s="6" t="e">
        <f>VLOOKUP(F4643,'Customer Info'!A4635:I5134,3,0)</f>
        <v>#N/A</v>
      </c>
      <c r="I4643" s="6" t="e">
        <f>VLOOKUP(F4643,'Customer Info'!A4635:I5134,5,0)</f>
        <v>#N/A</v>
      </c>
      <c r="J4643" s="2">
        <v>61</v>
      </c>
      <c r="K4643" s="2">
        <v>57</v>
      </c>
      <c r="L4643" s="2">
        <v>3</v>
      </c>
      <c r="M4643" s="7">
        <f t="shared" si="288"/>
        <v>171</v>
      </c>
      <c r="N4643" s="7">
        <f t="shared" si="289"/>
        <v>183</v>
      </c>
      <c r="O4643" s="2">
        <v>10</v>
      </c>
      <c r="P4643" s="8">
        <f t="shared" si="290"/>
        <v>193</v>
      </c>
      <c r="Q4643" s="8">
        <f t="shared" si="291"/>
        <v>173</v>
      </c>
      <c r="R4643" s="2" t="s">
        <v>28</v>
      </c>
      <c r="S4643" s="9">
        <f>VLOOKUP(P4643,$T$2:U4640,2,1)</f>
        <v>0.02</v>
      </c>
    </row>
    <row r="4644" spans="1:19" x14ac:dyDescent="0.25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e">
        <f>VLOOKUP(F4644,'Customer Info'!A4636:I5135,2,0)</f>
        <v>#N/A</v>
      </c>
      <c r="H4644" s="6" t="e">
        <f>VLOOKUP(F4644,'Customer Info'!A4636:I5135,3,0)</f>
        <v>#N/A</v>
      </c>
      <c r="I4644" s="6" t="e">
        <f>VLOOKUP(F4644,'Customer Info'!A4636:I5135,5,0)</f>
        <v>#N/A</v>
      </c>
      <c r="J4644" s="2">
        <v>1447</v>
      </c>
      <c r="K4644" s="2">
        <v>1326</v>
      </c>
      <c r="L4644" s="2">
        <v>3</v>
      </c>
      <c r="M4644" s="7">
        <f t="shared" si="288"/>
        <v>3978</v>
      </c>
      <c r="N4644" s="7">
        <f t="shared" si="289"/>
        <v>4341</v>
      </c>
      <c r="O4644" s="2">
        <v>66</v>
      </c>
      <c r="P4644" s="8">
        <f t="shared" si="290"/>
        <v>4407</v>
      </c>
      <c r="Q4644" s="8">
        <f t="shared" si="291"/>
        <v>4275</v>
      </c>
      <c r="R4644" s="2" t="s">
        <v>28</v>
      </c>
      <c r="S4644" s="9">
        <f>VLOOKUP(P4644,$T$2:U4641,2,1)</f>
        <v>0.02</v>
      </c>
    </row>
    <row r="4645" spans="1:19" x14ac:dyDescent="0.25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e">
        <f>VLOOKUP(F4645,'Customer Info'!A4637:I5136,2,0)</f>
        <v>#N/A</v>
      </c>
      <c r="H4645" s="6" t="e">
        <f>VLOOKUP(F4645,'Customer Info'!A4637:I5136,3,0)</f>
        <v>#N/A</v>
      </c>
      <c r="I4645" s="6" t="e">
        <f>VLOOKUP(F4645,'Customer Info'!A4637:I5136,5,0)</f>
        <v>#N/A</v>
      </c>
      <c r="J4645" s="2">
        <v>726</v>
      </c>
      <c r="K4645" s="2">
        <v>646</v>
      </c>
      <c r="L4645" s="2">
        <v>14</v>
      </c>
      <c r="M4645" s="7">
        <f t="shared" si="288"/>
        <v>9044</v>
      </c>
      <c r="N4645" s="7">
        <f t="shared" si="289"/>
        <v>10164</v>
      </c>
      <c r="O4645" s="2">
        <v>65</v>
      </c>
      <c r="P4645" s="8">
        <f t="shared" si="290"/>
        <v>10229</v>
      </c>
      <c r="Q4645" s="8">
        <f t="shared" si="291"/>
        <v>10099</v>
      </c>
      <c r="R4645" s="2" t="s">
        <v>28</v>
      </c>
      <c r="S4645" s="9">
        <f>VLOOKUP(P4645,$T$2:U4642,2,1)</f>
        <v>0.05</v>
      </c>
    </row>
    <row r="4646" spans="1:19" x14ac:dyDescent="0.25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e">
        <f>VLOOKUP(F4646,'Customer Info'!A4638:I5137,2,0)</f>
        <v>#N/A</v>
      </c>
      <c r="H4646" s="6" t="e">
        <f>VLOOKUP(F4646,'Customer Info'!A4638:I5137,3,0)</f>
        <v>#N/A</v>
      </c>
      <c r="I4646" s="6" t="e">
        <f>VLOOKUP(F4646,'Customer Info'!A4638:I5137,5,0)</f>
        <v>#N/A</v>
      </c>
      <c r="J4646" s="2">
        <v>6717</v>
      </c>
      <c r="K4646" s="2">
        <v>6288</v>
      </c>
      <c r="L4646" s="2">
        <v>4</v>
      </c>
      <c r="M4646" s="7">
        <f t="shared" si="288"/>
        <v>25152</v>
      </c>
      <c r="N4646" s="7">
        <f t="shared" si="289"/>
        <v>26868</v>
      </c>
      <c r="O4646" s="2">
        <v>21</v>
      </c>
      <c r="P4646" s="8">
        <f t="shared" si="290"/>
        <v>26889</v>
      </c>
      <c r="Q4646" s="8">
        <f t="shared" si="291"/>
        <v>26847</v>
      </c>
      <c r="R4646" s="2" t="s">
        <v>28</v>
      </c>
      <c r="S4646" s="9">
        <f>VLOOKUP(P4646,$T$2:U4643,2,1)</f>
        <v>7.0000000000000007E-2</v>
      </c>
    </row>
    <row r="4647" spans="1:19" x14ac:dyDescent="0.25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e">
        <f>VLOOKUP(F4647,'Customer Info'!A4639:I5138,2,0)</f>
        <v>#N/A</v>
      </c>
      <c r="H4647" s="6" t="e">
        <f>VLOOKUP(F4647,'Customer Info'!A4639:I5138,3,0)</f>
        <v>#N/A</v>
      </c>
      <c r="I4647" s="6" t="e">
        <f>VLOOKUP(F4647,'Customer Info'!A4639:I5138,5,0)</f>
        <v>#N/A</v>
      </c>
      <c r="J4647" s="2">
        <v>1816</v>
      </c>
      <c r="K4647" s="2">
        <v>1700</v>
      </c>
      <c r="L4647" s="2">
        <v>12</v>
      </c>
      <c r="M4647" s="7">
        <f t="shared" si="288"/>
        <v>20400</v>
      </c>
      <c r="N4647" s="7">
        <f t="shared" si="289"/>
        <v>21792</v>
      </c>
      <c r="O4647" s="2">
        <v>24</v>
      </c>
      <c r="P4647" s="8">
        <f t="shared" si="290"/>
        <v>21816</v>
      </c>
      <c r="Q4647" s="8">
        <f t="shared" si="291"/>
        <v>21768</v>
      </c>
      <c r="R4647" s="2" t="s">
        <v>56</v>
      </c>
      <c r="S4647" s="9">
        <f>VLOOKUP(P4647,$T$2:U4644,2,1)</f>
        <v>0.05</v>
      </c>
    </row>
    <row r="4648" spans="1:19" x14ac:dyDescent="0.25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e">
        <f>VLOOKUP(F4648,'Customer Info'!A4640:I5139,2,0)</f>
        <v>#N/A</v>
      </c>
      <c r="H4648" s="6" t="e">
        <f>VLOOKUP(F4648,'Customer Info'!A4640:I5139,3,0)</f>
        <v>#N/A</v>
      </c>
      <c r="I4648" s="6" t="e">
        <f>VLOOKUP(F4648,'Customer Info'!A4640:I5139,5,0)</f>
        <v>#N/A</v>
      </c>
      <c r="J4648" s="2">
        <v>167</v>
      </c>
      <c r="K4648" s="2">
        <v>152</v>
      </c>
      <c r="L4648" s="2">
        <v>3</v>
      </c>
      <c r="M4648" s="7">
        <f t="shared" si="288"/>
        <v>456</v>
      </c>
      <c r="N4648" s="7">
        <f t="shared" si="289"/>
        <v>501</v>
      </c>
      <c r="O4648" s="2">
        <v>30</v>
      </c>
      <c r="P4648" s="8">
        <f t="shared" si="290"/>
        <v>531</v>
      </c>
      <c r="Q4648" s="8">
        <f t="shared" si="291"/>
        <v>471</v>
      </c>
      <c r="R4648" s="2" t="s">
        <v>28</v>
      </c>
      <c r="S4648" s="9">
        <f>VLOOKUP(P4648,$T$2:U4645,2,1)</f>
        <v>0.02</v>
      </c>
    </row>
    <row r="4649" spans="1:19" x14ac:dyDescent="0.25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e">
        <f>VLOOKUP(F4649,'Customer Info'!A4641:I5140,2,0)</f>
        <v>#N/A</v>
      </c>
      <c r="H4649" s="6" t="e">
        <f>VLOOKUP(F4649,'Customer Info'!A4641:I5140,3,0)</f>
        <v>#N/A</v>
      </c>
      <c r="I4649" s="6" t="e">
        <f>VLOOKUP(F4649,'Customer Info'!A4641:I5140,5,0)</f>
        <v>#N/A</v>
      </c>
      <c r="J4649" s="2">
        <v>2706</v>
      </c>
      <c r="K4649" s="2">
        <v>2553</v>
      </c>
      <c r="L4649" s="2">
        <v>4</v>
      </c>
      <c r="M4649" s="7">
        <f t="shared" si="288"/>
        <v>10212</v>
      </c>
      <c r="N4649" s="7">
        <f t="shared" si="289"/>
        <v>10824</v>
      </c>
      <c r="O4649" s="2">
        <v>47</v>
      </c>
      <c r="P4649" s="8">
        <f t="shared" si="290"/>
        <v>10871</v>
      </c>
      <c r="Q4649" s="8">
        <f t="shared" si="291"/>
        <v>10777</v>
      </c>
      <c r="R4649" s="2" t="s">
        <v>28</v>
      </c>
      <c r="S4649" s="9">
        <f>VLOOKUP(P4649,$T$2:U4646,2,1)</f>
        <v>0.05</v>
      </c>
    </row>
    <row r="4650" spans="1:19" x14ac:dyDescent="0.25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e">
        <f>VLOOKUP(F4650,'Customer Info'!A4642:I5141,2,0)</f>
        <v>#N/A</v>
      </c>
      <c r="H4650" s="6" t="e">
        <f>VLOOKUP(F4650,'Customer Info'!A4642:I5141,3,0)</f>
        <v>#N/A</v>
      </c>
      <c r="I4650" s="6" t="e">
        <f>VLOOKUP(F4650,'Customer Info'!A4642:I5141,5,0)</f>
        <v>#N/A</v>
      </c>
      <c r="J4650" s="2">
        <v>4714</v>
      </c>
      <c r="K4650" s="2">
        <v>4323</v>
      </c>
      <c r="L4650" s="2">
        <v>3</v>
      </c>
      <c r="M4650" s="7">
        <f t="shared" si="288"/>
        <v>12969</v>
      </c>
      <c r="N4650" s="7">
        <f t="shared" si="289"/>
        <v>14142</v>
      </c>
      <c r="O4650" s="2">
        <v>27</v>
      </c>
      <c r="P4650" s="8">
        <f t="shared" si="290"/>
        <v>14169</v>
      </c>
      <c r="Q4650" s="8">
        <f t="shared" si="291"/>
        <v>14115</v>
      </c>
      <c r="R4650" s="2" t="s">
        <v>28</v>
      </c>
      <c r="S4650" s="9">
        <f>VLOOKUP(P4650,$T$2:U4647,2,1)</f>
        <v>0.05</v>
      </c>
    </row>
    <row r="4651" spans="1:19" x14ac:dyDescent="0.25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e">
        <f>VLOOKUP(F4651,'Customer Info'!A4643:I5142,2,0)</f>
        <v>#N/A</v>
      </c>
      <c r="H4651" s="6" t="e">
        <f>VLOOKUP(F4651,'Customer Info'!A4643:I5142,3,0)</f>
        <v>#N/A</v>
      </c>
      <c r="I4651" s="6" t="e">
        <f>VLOOKUP(F4651,'Customer Info'!A4643:I5142,5,0)</f>
        <v>#N/A</v>
      </c>
      <c r="J4651" s="2">
        <v>1958</v>
      </c>
      <c r="K4651" s="2">
        <v>1846</v>
      </c>
      <c r="L4651" s="2">
        <v>3</v>
      </c>
      <c r="M4651" s="7">
        <f t="shared" si="288"/>
        <v>5538</v>
      </c>
      <c r="N4651" s="7">
        <f t="shared" si="289"/>
        <v>5874</v>
      </c>
      <c r="O4651" s="2">
        <v>60</v>
      </c>
      <c r="P4651" s="8">
        <f t="shared" si="290"/>
        <v>5934</v>
      </c>
      <c r="Q4651" s="8">
        <f t="shared" si="291"/>
        <v>5814</v>
      </c>
      <c r="R4651" s="2" t="s">
        <v>28</v>
      </c>
      <c r="S4651" s="9">
        <f>VLOOKUP(P4651,$T$2:U4648,2,1)</f>
        <v>0.05</v>
      </c>
    </row>
    <row r="4652" spans="1:19" x14ac:dyDescent="0.25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e">
        <f>VLOOKUP(F4652,'Customer Info'!A4644:I5143,2,0)</f>
        <v>#N/A</v>
      </c>
      <c r="H4652" s="6" t="e">
        <f>VLOOKUP(F4652,'Customer Info'!A4644:I5143,3,0)</f>
        <v>#N/A</v>
      </c>
      <c r="I4652" s="6" t="e">
        <f>VLOOKUP(F4652,'Customer Info'!A4644:I5143,5,0)</f>
        <v>#N/A</v>
      </c>
      <c r="J4652" s="2">
        <v>2759</v>
      </c>
      <c r="K4652" s="2">
        <v>2628</v>
      </c>
      <c r="L4652" s="2">
        <v>4</v>
      </c>
      <c r="M4652" s="7">
        <f t="shared" si="288"/>
        <v>10512</v>
      </c>
      <c r="N4652" s="7">
        <f t="shared" si="289"/>
        <v>11036</v>
      </c>
      <c r="O4652" s="2">
        <v>81</v>
      </c>
      <c r="P4652" s="8">
        <f t="shared" si="290"/>
        <v>11117</v>
      </c>
      <c r="Q4652" s="8">
        <f t="shared" si="291"/>
        <v>10955</v>
      </c>
      <c r="R4652" s="2" t="s">
        <v>50</v>
      </c>
      <c r="S4652" s="9">
        <f>VLOOKUP(P4652,$T$2:U4649,2,1)</f>
        <v>0.05</v>
      </c>
    </row>
    <row r="4653" spans="1:19" x14ac:dyDescent="0.25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e">
        <f>VLOOKUP(F4653,'Customer Info'!A4645:I5144,2,0)</f>
        <v>#N/A</v>
      </c>
      <c r="H4653" s="6" t="e">
        <f>VLOOKUP(F4653,'Customer Info'!A4645:I5144,3,0)</f>
        <v>#N/A</v>
      </c>
      <c r="I4653" s="6" t="e">
        <f>VLOOKUP(F4653,'Customer Info'!A4645:I5144,5,0)</f>
        <v>#N/A</v>
      </c>
      <c r="J4653" s="2">
        <v>666</v>
      </c>
      <c r="K4653" s="2">
        <v>641</v>
      </c>
      <c r="L4653" s="2">
        <v>4</v>
      </c>
      <c r="M4653" s="7">
        <f t="shared" si="288"/>
        <v>2564</v>
      </c>
      <c r="N4653" s="7">
        <f t="shared" si="289"/>
        <v>2664</v>
      </c>
      <c r="O4653" s="2">
        <v>49</v>
      </c>
      <c r="P4653" s="8">
        <f t="shared" si="290"/>
        <v>2713</v>
      </c>
      <c r="Q4653" s="8">
        <f t="shared" si="291"/>
        <v>2615</v>
      </c>
      <c r="R4653" s="2" t="s">
        <v>28</v>
      </c>
      <c r="S4653" s="9">
        <f>VLOOKUP(P4653,$T$2:U4650,2,1)</f>
        <v>0.02</v>
      </c>
    </row>
    <row r="4654" spans="1:19" x14ac:dyDescent="0.25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e">
        <f>VLOOKUP(F4654,'Customer Info'!A4646:I5145,2,0)</f>
        <v>#N/A</v>
      </c>
      <c r="H4654" s="6" t="e">
        <f>VLOOKUP(F4654,'Customer Info'!A4646:I5145,3,0)</f>
        <v>#N/A</v>
      </c>
      <c r="I4654" s="6" t="e">
        <f>VLOOKUP(F4654,'Customer Info'!A4646:I5145,5,0)</f>
        <v>#N/A</v>
      </c>
      <c r="J4654" s="2">
        <v>171</v>
      </c>
      <c r="K4654" s="2">
        <v>153</v>
      </c>
      <c r="L4654" s="2">
        <v>2</v>
      </c>
      <c r="M4654" s="7">
        <f t="shared" si="288"/>
        <v>306</v>
      </c>
      <c r="N4654" s="7">
        <f t="shared" si="289"/>
        <v>342</v>
      </c>
      <c r="O4654" s="2">
        <v>30</v>
      </c>
      <c r="P4654" s="8">
        <f t="shared" si="290"/>
        <v>372</v>
      </c>
      <c r="Q4654" s="8">
        <f t="shared" si="291"/>
        <v>312</v>
      </c>
      <c r="R4654" s="2" t="s">
        <v>50</v>
      </c>
      <c r="S4654" s="9">
        <f>VLOOKUP(P4654,$T$2:U4651,2,1)</f>
        <v>0.02</v>
      </c>
    </row>
    <row r="4655" spans="1:19" x14ac:dyDescent="0.25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e">
        <f>VLOOKUP(F4655,'Customer Info'!A4647:I5146,2,0)</f>
        <v>#N/A</v>
      </c>
      <c r="H4655" s="6" t="e">
        <f>VLOOKUP(F4655,'Customer Info'!A4647:I5146,3,0)</f>
        <v>#N/A</v>
      </c>
      <c r="I4655" s="6" t="e">
        <f>VLOOKUP(F4655,'Customer Info'!A4647:I5146,5,0)</f>
        <v>#N/A</v>
      </c>
      <c r="J4655" s="2">
        <v>1556</v>
      </c>
      <c r="K4655" s="2">
        <v>1414</v>
      </c>
      <c r="L4655" s="2">
        <v>12</v>
      </c>
      <c r="M4655" s="7">
        <f t="shared" si="288"/>
        <v>16968</v>
      </c>
      <c r="N4655" s="7">
        <f t="shared" si="289"/>
        <v>18672</v>
      </c>
      <c r="O4655" s="2">
        <v>46</v>
      </c>
      <c r="P4655" s="8">
        <f t="shared" si="290"/>
        <v>18718</v>
      </c>
      <c r="Q4655" s="8">
        <f t="shared" si="291"/>
        <v>18626</v>
      </c>
      <c r="R4655" s="2" t="s">
        <v>28</v>
      </c>
      <c r="S4655" s="9">
        <f>VLOOKUP(P4655,$T$2:U4652,2,1)</f>
        <v>0.05</v>
      </c>
    </row>
    <row r="4656" spans="1:19" x14ac:dyDescent="0.25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e">
        <f>VLOOKUP(F4656,'Customer Info'!A4648:I5147,2,0)</f>
        <v>#N/A</v>
      </c>
      <c r="H4656" s="6" t="e">
        <f>VLOOKUP(F4656,'Customer Info'!A4648:I5147,3,0)</f>
        <v>#N/A</v>
      </c>
      <c r="I4656" s="6" t="e">
        <f>VLOOKUP(F4656,'Customer Info'!A4648:I5147,5,0)</f>
        <v>#N/A</v>
      </c>
      <c r="J4656" s="2">
        <v>1306</v>
      </c>
      <c r="K4656" s="2">
        <v>1197</v>
      </c>
      <c r="L4656" s="2">
        <v>5</v>
      </c>
      <c r="M4656" s="7">
        <f t="shared" si="288"/>
        <v>5985</v>
      </c>
      <c r="N4656" s="7">
        <f t="shared" si="289"/>
        <v>6530</v>
      </c>
      <c r="O4656" s="2">
        <v>68</v>
      </c>
      <c r="P4656" s="8">
        <f t="shared" si="290"/>
        <v>6598</v>
      </c>
      <c r="Q4656" s="8">
        <f t="shared" si="291"/>
        <v>6462</v>
      </c>
      <c r="R4656" s="2" t="s">
        <v>50</v>
      </c>
      <c r="S4656" s="9">
        <f>VLOOKUP(P4656,$T$2:U4653,2,1)</f>
        <v>0.05</v>
      </c>
    </row>
    <row r="4657" spans="1:19" x14ac:dyDescent="0.25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e">
        <f>VLOOKUP(F4657,'Customer Info'!A4649:I5148,2,0)</f>
        <v>#N/A</v>
      </c>
      <c r="H4657" s="6" t="e">
        <f>VLOOKUP(F4657,'Customer Info'!A4649:I5148,3,0)</f>
        <v>#N/A</v>
      </c>
      <c r="I4657" s="6" t="e">
        <f>VLOOKUP(F4657,'Customer Info'!A4649:I5148,5,0)</f>
        <v>#N/A</v>
      </c>
      <c r="J4657" s="2">
        <v>2017</v>
      </c>
      <c r="K4657" s="2">
        <v>1834</v>
      </c>
      <c r="L4657" s="2">
        <v>1</v>
      </c>
      <c r="M4657" s="7">
        <f t="shared" si="288"/>
        <v>1834</v>
      </c>
      <c r="N4657" s="7">
        <f t="shared" si="289"/>
        <v>2017</v>
      </c>
      <c r="O4657" s="2">
        <v>68</v>
      </c>
      <c r="P4657" s="8">
        <f t="shared" si="290"/>
        <v>2085</v>
      </c>
      <c r="Q4657" s="8">
        <f t="shared" si="291"/>
        <v>1949</v>
      </c>
      <c r="R4657" s="2" t="s">
        <v>28</v>
      </c>
      <c r="S4657" s="9">
        <f>VLOOKUP(P4657,$T$2:U4654,2,1)</f>
        <v>0.02</v>
      </c>
    </row>
    <row r="4658" spans="1:19" x14ac:dyDescent="0.25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e">
        <f>VLOOKUP(F4658,'Customer Info'!A4650:I5149,2,0)</f>
        <v>#N/A</v>
      </c>
      <c r="H4658" s="6" t="e">
        <f>VLOOKUP(F4658,'Customer Info'!A4650:I5149,3,0)</f>
        <v>#N/A</v>
      </c>
      <c r="I4658" s="6" t="e">
        <f>VLOOKUP(F4658,'Customer Info'!A4650:I5149,5,0)</f>
        <v>#N/A</v>
      </c>
      <c r="J4658" s="2">
        <v>4246</v>
      </c>
      <c r="K4658" s="2">
        <v>3857</v>
      </c>
      <c r="L4658" s="2">
        <v>7</v>
      </c>
      <c r="M4658" s="7">
        <f t="shared" si="288"/>
        <v>26999</v>
      </c>
      <c r="N4658" s="7">
        <f t="shared" si="289"/>
        <v>29722</v>
      </c>
      <c r="O4658" s="2">
        <v>21</v>
      </c>
      <c r="P4658" s="8">
        <f t="shared" si="290"/>
        <v>29743</v>
      </c>
      <c r="Q4658" s="8">
        <f t="shared" si="291"/>
        <v>29701</v>
      </c>
      <c r="R4658" s="2" t="s">
        <v>28</v>
      </c>
      <c r="S4658" s="9">
        <f>VLOOKUP(P4658,$T$2:U4655,2,1)</f>
        <v>7.0000000000000007E-2</v>
      </c>
    </row>
    <row r="4659" spans="1:19" x14ac:dyDescent="0.25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e">
        <f>VLOOKUP(F4659,'Customer Info'!A4651:I5150,2,0)</f>
        <v>#N/A</v>
      </c>
      <c r="H4659" s="6" t="e">
        <f>VLOOKUP(F4659,'Customer Info'!A4651:I5150,3,0)</f>
        <v>#N/A</v>
      </c>
      <c r="I4659" s="6" t="e">
        <f>VLOOKUP(F4659,'Customer Info'!A4651:I5150,5,0)</f>
        <v>#N/A</v>
      </c>
      <c r="J4659" s="2">
        <v>1498</v>
      </c>
      <c r="K4659" s="2">
        <v>1335</v>
      </c>
      <c r="L4659" s="2">
        <v>6</v>
      </c>
      <c r="M4659" s="7">
        <f t="shared" si="288"/>
        <v>8010</v>
      </c>
      <c r="N4659" s="7">
        <f t="shared" si="289"/>
        <v>8988</v>
      </c>
      <c r="O4659" s="2">
        <v>61</v>
      </c>
      <c r="P4659" s="8">
        <f t="shared" si="290"/>
        <v>9049</v>
      </c>
      <c r="Q4659" s="8">
        <f t="shared" si="291"/>
        <v>8927</v>
      </c>
      <c r="R4659" s="2" t="s">
        <v>28</v>
      </c>
      <c r="S4659" s="9">
        <f>VLOOKUP(P4659,$T$2:U4656,2,1)</f>
        <v>0.05</v>
      </c>
    </row>
    <row r="4660" spans="1:19" x14ac:dyDescent="0.25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e">
        <f>VLOOKUP(F4660,'Customer Info'!A4652:I5151,2,0)</f>
        <v>#N/A</v>
      </c>
      <c r="H4660" s="6" t="e">
        <f>VLOOKUP(F4660,'Customer Info'!A4652:I5151,3,0)</f>
        <v>#N/A</v>
      </c>
      <c r="I4660" s="6" t="e">
        <f>VLOOKUP(F4660,'Customer Info'!A4652:I5151,5,0)</f>
        <v>#N/A</v>
      </c>
      <c r="J4660" s="2">
        <v>191</v>
      </c>
      <c r="K4660" s="2">
        <v>170</v>
      </c>
      <c r="L4660" s="2">
        <v>2</v>
      </c>
      <c r="M4660" s="7">
        <f t="shared" si="288"/>
        <v>340</v>
      </c>
      <c r="N4660" s="7">
        <f t="shared" si="289"/>
        <v>382</v>
      </c>
      <c r="O4660" s="2">
        <v>30</v>
      </c>
      <c r="P4660" s="8">
        <f t="shared" si="290"/>
        <v>412</v>
      </c>
      <c r="Q4660" s="8">
        <f t="shared" si="291"/>
        <v>352</v>
      </c>
      <c r="R4660" s="2" t="s">
        <v>28</v>
      </c>
      <c r="S4660" s="9">
        <f>VLOOKUP(P4660,$T$2:U4657,2,1)</f>
        <v>0.02</v>
      </c>
    </row>
    <row r="4661" spans="1:19" x14ac:dyDescent="0.25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e">
        <f>VLOOKUP(F4661,'Customer Info'!A4653:I5152,2,0)</f>
        <v>#N/A</v>
      </c>
      <c r="H4661" s="6" t="e">
        <f>VLOOKUP(F4661,'Customer Info'!A4653:I5152,3,0)</f>
        <v>#N/A</v>
      </c>
      <c r="I4661" s="6" t="e">
        <f>VLOOKUP(F4661,'Customer Info'!A4653:I5152,5,0)</f>
        <v>#N/A</v>
      </c>
      <c r="J4661" s="2">
        <v>183</v>
      </c>
      <c r="K4661" s="2">
        <v>172</v>
      </c>
      <c r="L4661" s="2">
        <v>3</v>
      </c>
      <c r="M4661" s="7">
        <f t="shared" si="288"/>
        <v>516</v>
      </c>
      <c r="N4661" s="7">
        <f t="shared" si="289"/>
        <v>549</v>
      </c>
      <c r="O4661" s="2">
        <v>30</v>
      </c>
      <c r="P4661" s="8">
        <f t="shared" si="290"/>
        <v>579</v>
      </c>
      <c r="Q4661" s="8">
        <f t="shared" si="291"/>
        <v>519</v>
      </c>
      <c r="R4661" s="2" t="s">
        <v>50</v>
      </c>
      <c r="S4661" s="9">
        <f>VLOOKUP(P4661,$T$2:U4658,2,1)</f>
        <v>0.02</v>
      </c>
    </row>
    <row r="4662" spans="1:19" x14ac:dyDescent="0.25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e">
        <f>VLOOKUP(F4662,'Customer Info'!A4654:I5153,2,0)</f>
        <v>#N/A</v>
      </c>
      <c r="H4662" s="6" t="e">
        <f>VLOOKUP(F4662,'Customer Info'!A4654:I5153,3,0)</f>
        <v>#N/A</v>
      </c>
      <c r="I4662" s="6" t="e">
        <f>VLOOKUP(F4662,'Customer Info'!A4654:I5153,5,0)</f>
        <v>#N/A</v>
      </c>
      <c r="J4662" s="2">
        <v>1528</v>
      </c>
      <c r="K4662" s="2">
        <v>1348</v>
      </c>
      <c r="L4662" s="2">
        <v>6</v>
      </c>
      <c r="M4662" s="7">
        <f t="shared" si="288"/>
        <v>8088</v>
      </c>
      <c r="N4662" s="7">
        <f t="shared" si="289"/>
        <v>9168</v>
      </c>
      <c r="O4662" s="2">
        <v>74</v>
      </c>
      <c r="P4662" s="8">
        <f t="shared" si="290"/>
        <v>9242</v>
      </c>
      <c r="Q4662" s="8">
        <f t="shared" si="291"/>
        <v>9094</v>
      </c>
      <c r="R4662" s="2" t="s">
        <v>28</v>
      </c>
      <c r="S4662" s="9">
        <f>VLOOKUP(P4662,$T$2:U4659,2,1)</f>
        <v>0.05</v>
      </c>
    </row>
    <row r="4663" spans="1:19" x14ac:dyDescent="0.25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e">
        <f>VLOOKUP(F4663,'Customer Info'!A4655:I5154,2,0)</f>
        <v>#N/A</v>
      </c>
      <c r="H4663" s="6" t="e">
        <f>VLOOKUP(F4663,'Customer Info'!A4655:I5154,3,0)</f>
        <v>#N/A</v>
      </c>
      <c r="I4663" s="6" t="e">
        <f>VLOOKUP(F4663,'Customer Info'!A4655:I5154,5,0)</f>
        <v>#N/A</v>
      </c>
      <c r="J4663" s="2">
        <v>191</v>
      </c>
      <c r="K4663" s="2">
        <v>170</v>
      </c>
      <c r="L4663" s="2">
        <v>4</v>
      </c>
      <c r="M4663" s="7">
        <f t="shared" si="288"/>
        <v>680</v>
      </c>
      <c r="N4663" s="7">
        <f t="shared" si="289"/>
        <v>764</v>
      </c>
      <c r="O4663" s="2">
        <v>30</v>
      </c>
      <c r="P4663" s="8">
        <f t="shared" si="290"/>
        <v>794</v>
      </c>
      <c r="Q4663" s="8">
        <f t="shared" si="291"/>
        <v>734</v>
      </c>
      <c r="R4663" s="2" t="s">
        <v>28</v>
      </c>
      <c r="S4663" s="9">
        <f>VLOOKUP(P4663,$T$2:U4660,2,1)</f>
        <v>0.02</v>
      </c>
    </row>
    <row r="4664" spans="1:19" x14ac:dyDescent="0.25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e">
        <f>VLOOKUP(F4664,'Customer Info'!A4656:I5155,2,0)</f>
        <v>#N/A</v>
      </c>
      <c r="H4664" s="6" t="e">
        <f>VLOOKUP(F4664,'Customer Info'!A4656:I5155,3,0)</f>
        <v>#N/A</v>
      </c>
      <c r="I4664" s="6" t="e">
        <f>VLOOKUP(F4664,'Customer Info'!A4656:I5155,5,0)</f>
        <v>#N/A</v>
      </c>
      <c r="J4664" s="2">
        <v>8967</v>
      </c>
      <c r="K4664" s="2">
        <v>8151</v>
      </c>
      <c r="L4664" s="2">
        <v>9</v>
      </c>
      <c r="M4664" s="7">
        <f t="shared" si="288"/>
        <v>73359</v>
      </c>
      <c r="N4664" s="7">
        <f t="shared" si="289"/>
        <v>80703</v>
      </c>
      <c r="O4664" s="2">
        <v>53</v>
      </c>
      <c r="P4664" s="8">
        <f t="shared" si="290"/>
        <v>80756</v>
      </c>
      <c r="Q4664" s="8">
        <f t="shared" si="291"/>
        <v>80650</v>
      </c>
      <c r="R4664" s="2" t="s">
        <v>28</v>
      </c>
      <c r="S4664" s="9">
        <f>VLOOKUP(P4664,$T$2:U4661,2,1)</f>
        <v>0.09</v>
      </c>
    </row>
    <row r="4665" spans="1:19" x14ac:dyDescent="0.25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e">
        <f>VLOOKUP(F4665,'Customer Info'!A4657:I5156,2,0)</f>
        <v>#N/A</v>
      </c>
      <c r="H4665" s="6" t="e">
        <f>VLOOKUP(F4665,'Customer Info'!A4657:I5156,3,0)</f>
        <v>#N/A</v>
      </c>
      <c r="I4665" s="6" t="e">
        <f>VLOOKUP(F4665,'Customer Info'!A4657:I5156,5,0)</f>
        <v>#N/A</v>
      </c>
      <c r="J4665" s="2">
        <v>674</v>
      </c>
      <c r="K4665" s="2">
        <v>629</v>
      </c>
      <c r="L4665" s="2">
        <v>3</v>
      </c>
      <c r="M4665" s="7">
        <f t="shared" si="288"/>
        <v>1887</v>
      </c>
      <c r="N4665" s="7">
        <f t="shared" si="289"/>
        <v>2022</v>
      </c>
      <c r="O4665" s="2">
        <v>24</v>
      </c>
      <c r="P4665" s="8">
        <f t="shared" si="290"/>
        <v>2046</v>
      </c>
      <c r="Q4665" s="8">
        <f t="shared" si="291"/>
        <v>1998</v>
      </c>
      <c r="R4665" s="2" t="s">
        <v>50</v>
      </c>
      <c r="S4665" s="9">
        <f>VLOOKUP(P4665,$T$2:U4662,2,1)</f>
        <v>0.02</v>
      </c>
    </row>
    <row r="4666" spans="1:19" x14ac:dyDescent="0.25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e">
        <f>VLOOKUP(F4666,'Customer Info'!A4658:I5157,2,0)</f>
        <v>#N/A</v>
      </c>
      <c r="H4666" s="6" t="e">
        <f>VLOOKUP(F4666,'Customer Info'!A4658:I5157,3,0)</f>
        <v>#N/A</v>
      </c>
      <c r="I4666" s="6" t="e">
        <f>VLOOKUP(F4666,'Customer Info'!A4658:I5157,5,0)</f>
        <v>#N/A</v>
      </c>
      <c r="J4666" s="2">
        <v>2273</v>
      </c>
      <c r="K4666" s="2">
        <v>2229</v>
      </c>
      <c r="L4666" s="2">
        <v>5</v>
      </c>
      <c r="M4666" s="7">
        <f t="shared" si="288"/>
        <v>11145</v>
      </c>
      <c r="N4666" s="7">
        <f t="shared" si="289"/>
        <v>11365</v>
      </c>
      <c r="O4666" s="2">
        <v>63</v>
      </c>
      <c r="P4666" s="8">
        <f t="shared" si="290"/>
        <v>11428</v>
      </c>
      <c r="Q4666" s="8">
        <f t="shared" si="291"/>
        <v>11302</v>
      </c>
      <c r="R4666" s="2" t="s">
        <v>56</v>
      </c>
      <c r="S4666" s="9">
        <f>VLOOKUP(P4666,$T$2:U4663,2,1)</f>
        <v>0.05</v>
      </c>
    </row>
    <row r="4667" spans="1:19" x14ac:dyDescent="0.25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e">
        <f>VLOOKUP(F4667,'Customer Info'!A4659:I5158,2,0)</f>
        <v>#N/A</v>
      </c>
      <c r="H4667" s="6" t="e">
        <f>VLOOKUP(F4667,'Customer Info'!A4659:I5158,3,0)</f>
        <v>#N/A</v>
      </c>
      <c r="I4667" s="6" t="e">
        <f>VLOOKUP(F4667,'Customer Info'!A4659:I5158,5,0)</f>
        <v>#N/A</v>
      </c>
      <c r="J4667" s="2">
        <v>1186</v>
      </c>
      <c r="K4667" s="2">
        <v>1141</v>
      </c>
      <c r="L4667" s="2">
        <v>2</v>
      </c>
      <c r="M4667" s="7">
        <f t="shared" si="288"/>
        <v>2282</v>
      </c>
      <c r="N4667" s="7">
        <f t="shared" si="289"/>
        <v>2372</v>
      </c>
      <c r="O4667" s="2">
        <v>49</v>
      </c>
      <c r="P4667" s="8">
        <f t="shared" si="290"/>
        <v>2421</v>
      </c>
      <c r="Q4667" s="8">
        <f t="shared" si="291"/>
        <v>2323</v>
      </c>
      <c r="R4667" s="2" t="s">
        <v>50</v>
      </c>
      <c r="S4667" s="9">
        <f>VLOOKUP(P4667,$T$2:U4664,2,1)</f>
        <v>0.02</v>
      </c>
    </row>
    <row r="4668" spans="1:19" x14ac:dyDescent="0.25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e">
        <f>VLOOKUP(F4668,'Customer Info'!A4660:I5159,2,0)</f>
        <v>#N/A</v>
      </c>
      <c r="H4668" s="6" t="e">
        <f>VLOOKUP(F4668,'Customer Info'!A4660:I5159,3,0)</f>
        <v>#N/A</v>
      </c>
      <c r="I4668" s="6" t="e">
        <f>VLOOKUP(F4668,'Customer Info'!A4660:I5159,5,0)</f>
        <v>#N/A</v>
      </c>
      <c r="J4668" s="2">
        <v>1798</v>
      </c>
      <c r="K4668" s="2">
        <v>1650</v>
      </c>
      <c r="L4668" s="2">
        <v>1</v>
      </c>
      <c r="M4668" s="7">
        <f t="shared" si="288"/>
        <v>1650</v>
      </c>
      <c r="N4668" s="7">
        <f t="shared" si="289"/>
        <v>1798</v>
      </c>
      <c r="O4668" s="2">
        <v>30</v>
      </c>
      <c r="P4668" s="8">
        <f t="shared" si="290"/>
        <v>1828</v>
      </c>
      <c r="Q4668" s="8">
        <f t="shared" si="291"/>
        <v>1768</v>
      </c>
      <c r="R4668" s="2" t="s">
        <v>50</v>
      </c>
      <c r="S4668" s="9">
        <f>VLOOKUP(P4668,$T$2:U4665,2,1)</f>
        <v>0.02</v>
      </c>
    </row>
    <row r="4669" spans="1:19" x14ac:dyDescent="0.25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e">
        <f>VLOOKUP(F4669,'Customer Info'!A4661:I5160,2,0)</f>
        <v>#N/A</v>
      </c>
      <c r="H4669" s="6" t="e">
        <f>VLOOKUP(F4669,'Customer Info'!A4661:I5160,3,0)</f>
        <v>#N/A</v>
      </c>
      <c r="I4669" s="6" t="e">
        <f>VLOOKUP(F4669,'Customer Info'!A4661:I5160,5,0)</f>
        <v>#N/A</v>
      </c>
      <c r="J4669" s="2">
        <v>7943</v>
      </c>
      <c r="K4669" s="2">
        <v>7790</v>
      </c>
      <c r="L4669" s="2">
        <v>7</v>
      </c>
      <c r="M4669" s="7">
        <f t="shared" si="288"/>
        <v>54530</v>
      </c>
      <c r="N4669" s="7">
        <f t="shared" si="289"/>
        <v>55601</v>
      </c>
      <c r="O4669" s="2">
        <v>42</v>
      </c>
      <c r="P4669" s="8">
        <f t="shared" si="290"/>
        <v>55643</v>
      </c>
      <c r="Q4669" s="8">
        <f t="shared" si="291"/>
        <v>55559</v>
      </c>
      <c r="R4669" s="2" t="s">
        <v>28</v>
      </c>
      <c r="S4669" s="9">
        <f>VLOOKUP(P4669,$T$2:U4666,2,1)</f>
        <v>0.09</v>
      </c>
    </row>
    <row r="4670" spans="1:19" x14ac:dyDescent="0.25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e">
        <f>VLOOKUP(F4670,'Customer Info'!A4662:I5161,2,0)</f>
        <v>#N/A</v>
      </c>
      <c r="H4670" s="6" t="e">
        <f>VLOOKUP(F4670,'Customer Info'!A4662:I5161,3,0)</f>
        <v>#N/A</v>
      </c>
      <c r="I4670" s="6" t="e">
        <f>VLOOKUP(F4670,'Customer Info'!A4662:I5161,5,0)</f>
        <v>#N/A</v>
      </c>
      <c r="J4670" s="2">
        <v>835</v>
      </c>
      <c r="K4670" s="2">
        <v>796</v>
      </c>
      <c r="L4670" s="2">
        <v>4</v>
      </c>
      <c r="M4670" s="7">
        <f t="shared" si="288"/>
        <v>3184</v>
      </c>
      <c r="N4670" s="7">
        <f t="shared" si="289"/>
        <v>3340</v>
      </c>
      <c r="O4670" s="2">
        <v>80</v>
      </c>
      <c r="P4670" s="8">
        <f t="shared" si="290"/>
        <v>3420</v>
      </c>
      <c r="Q4670" s="8">
        <f t="shared" si="291"/>
        <v>3260</v>
      </c>
      <c r="R4670" s="2" t="s">
        <v>26</v>
      </c>
      <c r="S4670" s="9">
        <f>VLOOKUP(P4670,$T$2:U4667,2,1)</f>
        <v>0.02</v>
      </c>
    </row>
    <row r="4671" spans="1:19" x14ac:dyDescent="0.25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e">
        <f>VLOOKUP(F4671,'Customer Info'!A4663:I5162,2,0)</f>
        <v>#N/A</v>
      </c>
      <c r="H4671" s="6" t="e">
        <f>VLOOKUP(F4671,'Customer Info'!A4663:I5162,3,0)</f>
        <v>#N/A</v>
      </c>
      <c r="I4671" s="6" t="e">
        <f>VLOOKUP(F4671,'Customer Info'!A4663:I5162,5,0)</f>
        <v>#N/A</v>
      </c>
      <c r="J4671" s="2">
        <v>1498</v>
      </c>
      <c r="K4671" s="2">
        <v>1335</v>
      </c>
      <c r="L4671" s="2">
        <v>7</v>
      </c>
      <c r="M4671" s="7">
        <f t="shared" si="288"/>
        <v>9345</v>
      </c>
      <c r="N4671" s="7">
        <f t="shared" si="289"/>
        <v>10486</v>
      </c>
      <c r="O4671" s="2">
        <v>44</v>
      </c>
      <c r="P4671" s="8">
        <f t="shared" si="290"/>
        <v>10530</v>
      </c>
      <c r="Q4671" s="8">
        <f t="shared" si="291"/>
        <v>10442</v>
      </c>
      <c r="R4671" s="2" t="s">
        <v>28</v>
      </c>
      <c r="S4671" s="9">
        <f>VLOOKUP(P4671,$T$2:U4668,2,1)</f>
        <v>0.05</v>
      </c>
    </row>
    <row r="4672" spans="1:19" x14ac:dyDescent="0.25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e">
        <f>VLOOKUP(F4672,'Customer Info'!A4664:I5163,2,0)</f>
        <v>#N/A</v>
      </c>
      <c r="H4672" s="6" t="e">
        <f>VLOOKUP(F4672,'Customer Info'!A4664:I5163,3,0)</f>
        <v>#N/A</v>
      </c>
      <c r="I4672" s="6" t="e">
        <f>VLOOKUP(F4672,'Customer Info'!A4664:I5163,5,0)</f>
        <v>#N/A</v>
      </c>
      <c r="J4672" s="2">
        <v>531</v>
      </c>
      <c r="K4672" s="2">
        <v>487</v>
      </c>
      <c r="L4672" s="2">
        <v>4</v>
      </c>
      <c r="M4672" s="7">
        <f t="shared" si="288"/>
        <v>1948</v>
      </c>
      <c r="N4672" s="7">
        <f t="shared" si="289"/>
        <v>2124</v>
      </c>
      <c r="O4672" s="2">
        <v>26</v>
      </c>
      <c r="P4672" s="8">
        <f t="shared" si="290"/>
        <v>2150</v>
      </c>
      <c r="Q4672" s="8">
        <f t="shared" si="291"/>
        <v>2098</v>
      </c>
      <c r="R4672" s="2" t="s">
        <v>50</v>
      </c>
      <c r="S4672" s="9">
        <f>VLOOKUP(P4672,$T$2:U4669,2,1)</f>
        <v>0.02</v>
      </c>
    </row>
    <row r="4673" spans="1:19" x14ac:dyDescent="0.25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e">
        <f>VLOOKUP(F4673,'Customer Info'!A4665:I5164,2,0)</f>
        <v>#N/A</v>
      </c>
      <c r="H4673" s="6" t="e">
        <f>VLOOKUP(F4673,'Customer Info'!A4665:I5164,3,0)</f>
        <v>#N/A</v>
      </c>
      <c r="I4673" s="6" t="e">
        <f>VLOOKUP(F4673,'Customer Info'!A4665:I5164,5,0)</f>
        <v>#N/A</v>
      </c>
      <c r="J4673" s="2">
        <v>208</v>
      </c>
      <c r="K4673" s="2">
        <v>187</v>
      </c>
      <c r="L4673" s="2">
        <v>3</v>
      </c>
      <c r="M4673" s="7">
        <f t="shared" si="288"/>
        <v>561</v>
      </c>
      <c r="N4673" s="7">
        <f t="shared" si="289"/>
        <v>624</v>
      </c>
      <c r="O4673" s="2">
        <v>72</v>
      </c>
      <c r="P4673" s="8">
        <f t="shared" si="290"/>
        <v>696</v>
      </c>
      <c r="Q4673" s="8">
        <f t="shared" si="291"/>
        <v>552</v>
      </c>
      <c r="R4673" s="2" t="s">
        <v>50</v>
      </c>
      <c r="S4673" s="9">
        <f>VLOOKUP(P4673,$T$2:U4670,2,1)</f>
        <v>0.02</v>
      </c>
    </row>
    <row r="4674" spans="1:19" x14ac:dyDescent="0.25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e">
        <f>VLOOKUP(F4674,'Customer Info'!A4666:I5165,2,0)</f>
        <v>#N/A</v>
      </c>
      <c r="H4674" s="6" t="e">
        <f>VLOOKUP(F4674,'Customer Info'!A4666:I5165,3,0)</f>
        <v>#N/A</v>
      </c>
      <c r="I4674" s="6" t="e">
        <f>VLOOKUP(F4674,'Customer Info'!A4666:I5165,5,0)</f>
        <v>#N/A</v>
      </c>
      <c r="J4674" s="2">
        <v>8160</v>
      </c>
      <c r="K4674" s="2">
        <v>7475</v>
      </c>
      <c r="L4674" s="2">
        <v>1</v>
      </c>
      <c r="M4674" s="7">
        <f t="shared" si="288"/>
        <v>7475</v>
      </c>
      <c r="N4674" s="7">
        <f t="shared" si="289"/>
        <v>8160</v>
      </c>
      <c r="O4674" s="2">
        <v>27</v>
      </c>
      <c r="P4674" s="8">
        <f t="shared" si="290"/>
        <v>8187</v>
      </c>
      <c r="Q4674" s="8">
        <f t="shared" si="291"/>
        <v>8133</v>
      </c>
      <c r="R4674" s="2" t="s">
        <v>28</v>
      </c>
      <c r="S4674" s="9">
        <f>VLOOKUP(P4674,$T$2:U4671,2,1)</f>
        <v>0.05</v>
      </c>
    </row>
    <row r="4675" spans="1:19" x14ac:dyDescent="0.25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e">
        <f>VLOOKUP(F4675,'Customer Info'!A4667:I5166,2,0)</f>
        <v>#N/A</v>
      </c>
      <c r="H4675" s="6" t="e">
        <f>VLOOKUP(F4675,'Customer Info'!A4667:I5166,3,0)</f>
        <v>#N/A</v>
      </c>
      <c r="I4675" s="6" t="e">
        <f>VLOOKUP(F4675,'Customer Info'!A4667:I5166,5,0)</f>
        <v>#N/A</v>
      </c>
      <c r="J4675" s="2">
        <v>61</v>
      </c>
      <c r="K4675" s="2">
        <v>56</v>
      </c>
      <c r="L4675" s="2">
        <v>2</v>
      </c>
      <c r="M4675" s="7">
        <f t="shared" si="288"/>
        <v>112</v>
      </c>
      <c r="N4675" s="7">
        <f t="shared" si="289"/>
        <v>122</v>
      </c>
      <c r="O4675" s="2">
        <v>10</v>
      </c>
      <c r="P4675" s="8">
        <f t="shared" si="290"/>
        <v>132</v>
      </c>
      <c r="Q4675" s="8">
        <f t="shared" si="291"/>
        <v>112</v>
      </c>
      <c r="R4675" s="2" t="s">
        <v>28</v>
      </c>
      <c r="S4675" s="9">
        <f>VLOOKUP(P4675,$T$2:U4672,2,1)</f>
        <v>0.02</v>
      </c>
    </row>
    <row r="4676" spans="1:19" x14ac:dyDescent="0.25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e">
        <f>VLOOKUP(F4676,'Customer Info'!A4668:I5167,2,0)</f>
        <v>#N/A</v>
      </c>
      <c r="H4676" s="6" t="e">
        <f>VLOOKUP(F4676,'Customer Info'!A4668:I5167,3,0)</f>
        <v>#N/A</v>
      </c>
      <c r="I4676" s="6" t="e">
        <f>VLOOKUP(F4676,'Customer Info'!A4668:I5167,5,0)</f>
        <v>#N/A</v>
      </c>
      <c r="J4676" s="2">
        <v>81</v>
      </c>
      <c r="K4676" s="2">
        <v>77</v>
      </c>
      <c r="L4676" s="2">
        <v>8</v>
      </c>
      <c r="M4676" s="7">
        <f t="shared" si="288"/>
        <v>616</v>
      </c>
      <c r="N4676" s="7">
        <f t="shared" si="289"/>
        <v>648</v>
      </c>
      <c r="O4676" s="2">
        <v>10</v>
      </c>
      <c r="P4676" s="8">
        <f t="shared" si="290"/>
        <v>658</v>
      </c>
      <c r="Q4676" s="8">
        <f t="shared" si="291"/>
        <v>638</v>
      </c>
      <c r="R4676" s="2" t="s">
        <v>28</v>
      </c>
      <c r="S4676" s="9">
        <f>VLOOKUP(P4676,$T$2:U4673,2,1)</f>
        <v>0.02</v>
      </c>
    </row>
    <row r="4677" spans="1:19" x14ac:dyDescent="0.25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e">
        <f>VLOOKUP(F4677,'Customer Info'!A4669:I5168,2,0)</f>
        <v>#N/A</v>
      </c>
      <c r="H4677" s="6" t="e">
        <f>VLOOKUP(F4677,'Customer Info'!A4669:I5168,3,0)</f>
        <v>#N/A</v>
      </c>
      <c r="I4677" s="6" t="e">
        <f>VLOOKUP(F4677,'Customer Info'!A4669:I5168,5,0)</f>
        <v>#N/A</v>
      </c>
      <c r="J4677" s="2">
        <v>3224</v>
      </c>
      <c r="K4677" s="2">
        <v>2901</v>
      </c>
      <c r="L4677" s="2">
        <v>1</v>
      </c>
      <c r="M4677" s="7">
        <f t="shared" si="288"/>
        <v>2901</v>
      </c>
      <c r="N4677" s="7">
        <f t="shared" si="289"/>
        <v>3224</v>
      </c>
      <c r="O4677" s="2">
        <v>99</v>
      </c>
      <c r="P4677" s="8">
        <f t="shared" si="290"/>
        <v>3323</v>
      </c>
      <c r="Q4677" s="8">
        <f t="shared" si="291"/>
        <v>3125</v>
      </c>
      <c r="R4677" s="2" t="s">
        <v>26</v>
      </c>
      <c r="S4677" s="9">
        <f>VLOOKUP(P4677,$T$2:U4674,2,1)</f>
        <v>0.02</v>
      </c>
    </row>
    <row r="4678" spans="1:19" x14ac:dyDescent="0.25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e">
        <f>VLOOKUP(F4678,'Customer Info'!A4670:I5169,2,0)</f>
        <v>#N/A</v>
      </c>
      <c r="H4678" s="6" t="e">
        <f>VLOOKUP(F4678,'Customer Info'!A4670:I5169,3,0)</f>
        <v>#N/A</v>
      </c>
      <c r="I4678" s="6" t="e">
        <f>VLOOKUP(F4678,'Customer Info'!A4670:I5169,5,0)</f>
        <v>#N/A</v>
      </c>
      <c r="J4678" s="2">
        <v>5882</v>
      </c>
      <c r="K4678" s="2">
        <v>5713</v>
      </c>
      <c r="L4678" s="2">
        <v>2</v>
      </c>
      <c r="M4678" s="7">
        <f t="shared" si="288"/>
        <v>11426</v>
      </c>
      <c r="N4678" s="7">
        <f t="shared" si="289"/>
        <v>11764</v>
      </c>
      <c r="O4678" s="2">
        <v>67</v>
      </c>
      <c r="P4678" s="8">
        <f t="shared" si="290"/>
        <v>11831</v>
      </c>
      <c r="Q4678" s="8">
        <f t="shared" si="291"/>
        <v>11697</v>
      </c>
      <c r="R4678" s="2" t="s">
        <v>50</v>
      </c>
      <c r="S4678" s="9">
        <f>VLOOKUP(P4678,$T$2:U4675,2,1)</f>
        <v>0.05</v>
      </c>
    </row>
    <row r="4679" spans="1:19" x14ac:dyDescent="0.25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e">
        <f>VLOOKUP(F4679,'Customer Info'!A4671:I5170,2,0)</f>
        <v>#N/A</v>
      </c>
      <c r="H4679" s="6" t="e">
        <f>VLOOKUP(F4679,'Customer Info'!A4671:I5170,3,0)</f>
        <v>#N/A</v>
      </c>
      <c r="I4679" s="6" t="e">
        <f>VLOOKUP(F4679,'Customer Info'!A4671:I5170,5,0)</f>
        <v>#N/A</v>
      </c>
      <c r="J4679" s="2">
        <v>2958</v>
      </c>
      <c r="K4679" s="2">
        <v>2743</v>
      </c>
      <c r="L4679" s="2">
        <v>2</v>
      </c>
      <c r="M4679" s="7">
        <f t="shared" si="288"/>
        <v>5486</v>
      </c>
      <c r="N4679" s="7">
        <f t="shared" si="289"/>
        <v>5916</v>
      </c>
      <c r="O4679" s="2">
        <v>36</v>
      </c>
      <c r="P4679" s="8">
        <f t="shared" si="290"/>
        <v>5952</v>
      </c>
      <c r="Q4679" s="8">
        <f t="shared" si="291"/>
        <v>5880</v>
      </c>
      <c r="R4679" s="2" t="s">
        <v>50</v>
      </c>
      <c r="S4679" s="9">
        <f>VLOOKUP(P4679,$T$2:U4676,2,1)</f>
        <v>0.05</v>
      </c>
    </row>
    <row r="4680" spans="1:19" x14ac:dyDescent="0.25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e">
        <f>VLOOKUP(F4680,'Customer Info'!A4672:I5171,2,0)</f>
        <v>#N/A</v>
      </c>
      <c r="H4680" s="6" t="e">
        <f>VLOOKUP(F4680,'Customer Info'!A4672:I5171,3,0)</f>
        <v>#N/A</v>
      </c>
      <c r="I4680" s="6" t="e">
        <f>VLOOKUP(F4680,'Customer Info'!A4672:I5171,5,0)</f>
        <v>#N/A</v>
      </c>
      <c r="J4680" s="2">
        <v>142</v>
      </c>
      <c r="K4680" s="2">
        <v>134</v>
      </c>
      <c r="L4680" s="2">
        <v>8</v>
      </c>
      <c r="M4680" s="7">
        <f t="shared" si="288"/>
        <v>1072</v>
      </c>
      <c r="N4680" s="7">
        <f t="shared" si="289"/>
        <v>1136</v>
      </c>
      <c r="O4680" s="2">
        <v>30</v>
      </c>
      <c r="P4680" s="8">
        <f t="shared" si="290"/>
        <v>1166</v>
      </c>
      <c r="Q4680" s="8">
        <f t="shared" si="291"/>
        <v>1106</v>
      </c>
      <c r="R4680" s="2" t="s">
        <v>50</v>
      </c>
      <c r="S4680" s="9">
        <f>VLOOKUP(P4680,$T$2:U4677,2,1)</f>
        <v>0.02</v>
      </c>
    </row>
    <row r="4681" spans="1:19" x14ac:dyDescent="0.25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e">
        <f>VLOOKUP(F4681,'Customer Info'!A4673:I5172,2,0)</f>
        <v>#N/A</v>
      </c>
      <c r="H4681" s="6" t="e">
        <f>VLOOKUP(F4681,'Customer Info'!A4673:I5172,3,0)</f>
        <v>#N/A</v>
      </c>
      <c r="I4681" s="6" t="e">
        <f>VLOOKUP(F4681,'Customer Info'!A4673:I5172,5,0)</f>
        <v>#N/A</v>
      </c>
      <c r="J4681" s="2">
        <v>144</v>
      </c>
      <c r="K4681" s="2">
        <v>132</v>
      </c>
      <c r="L4681" s="2">
        <v>9</v>
      </c>
      <c r="M4681" s="7">
        <f t="shared" si="288"/>
        <v>1188</v>
      </c>
      <c r="N4681" s="7">
        <f t="shared" si="289"/>
        <v>1296</v>
      </c>
      <c r="O4681" s="2">
        <v>30</v>
      </c>
      <c r="P4681" s="8">
        <f t="shared" si="290"/>
        <v>1326</v>
      </c>
      <c r="Q4681" s="8">
        <f t="shared" si="291"/>
        <v>1266</v>
      </c>
      <c r="R4681" s="2" t="s">
        <v>28</v>
      </c>
      <c r="S4681" s="9">
        <f>VLOOKUP(P4681,$T$2:U4678,2,1)</f>
        <v>0.02</v>
      </c>
    </row>
    <row r="4682" spans="1:19" x14ac:dyDescent="0.25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e">
        <f>VLOOKUP(F4682,'Customer Info'!A4674:I5173,2,0)</f>
        <v>#N/A</v>
      </c>
      <c r="H4682" s="6" t="e">
        <f>VLOOKUP(F4682,'Customer Info'!A4674:I5173,3,0)</f>
        <v>#N/A</v>
      </c>
      <c r="I4682" s="6" t="e">
        <f>VLOOKUP(F4682,'Customer Info'!A4674:I5173,5,0)</f>
        <v>#N/A</v>
      </c>
      <c r="J4682" s="2">
        <v>1358</v>
      </c>
      <c r="K4682" s="2">
        <v>1270</v>
      </c>
      <c r="L4682" s="2">
        <v>2</v>
      </c>
      <c r="M4682" s="7">
        <f t="shared" si="288"/>
        <v>2540</v>
      </c>
      <c r="N4682" s="7">
        <f t="shared" si="289"/>
        <v>2716</v>
      </c>
      <c r="O4682" s="2">
        <v>54</v>
      </c>
      <c r="P4682" s="8">
        <f t="shared" si="290"/>
        <v>2770</v>
      </c>
      <c r="Q4682" s="8">
        <f t="shared" si="291"/>
        <v>2662</v>
      </c>
      <c r="R4682" s="2" t="s">
        <v>28</v>
      </c>
      <c r="S4682" s="9">
        <f>VLOOKUP(P4682,$T$2:U4679,2,1)</f>
        <v>0.02</v>
      </c>
    </row>
    <row r="4683" spans="1:19" x14ac:dyDescent="0.25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e">
        <f>VLOOKUP(F4683,'Customer Info'!A4675:I5174,2,0)</f>
        <v>#N/A</v>
      </c>
      <c r="H4683" s="6" t="e">
        <f>VLOOKUP(F4683,'Customer Info'!A4675:I5174,3,0)</f>
        <v>#N/A</v>
      </c>
      <c r="I4683" s="6" t="e">
        <f>VLOOKUP(F4683,'Customer Info'!A4675:I5174,5,0)</f>
        <v>#N/A</v>
      </c>
      <c r="J4683" s="2">
        <v>2273</v>
      </c>
      <c r="K4683" s="2">
        <v>2229</v>
      </c>
      <c r="L4683" s="2">
        <v>1</v>
      </c>
      <c r="M4683" s="7">
        <f t="shared" ref="M4683:M4746" si="292">K4683*L4683</f>
        <v>2229</v>
      </c>
      <c r="N4683" s="7">
        <f t="shared" ref="N4683:N4746" si="293">J4683*L4683</f>
        <v>2273</v>
      </c>
      <c r="O4683" s="2">
        <v>44</v>
      </c>
      <c r="P4683" s="8">
        <f t="shared" ref="P4683:P4746" si="294">SUM(N4683,O4683)</f>
        <v>2317</v>
      </c>
      <c r="Q4683" s="8">
        <f t="shared" ref="Q4683:Q4746" si="295">N4683-O4683</f>
        <v>2229</v>
      </c>
      <c r="R4683" s="2" t="s">
        <v>28</v>
      </c>
      <c r="S4683" s="9">
        <f>VLOOKUP(P4683,$T$2:U4680,2,1)</f>
        <v>0.02</v>
      </c>
    </row>
    <row r="4684" spans="1:19" x14ac:dyDescent="0.25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e">
        <f>VLOOKUP(F4684,'Customer Info'!A4676:I5175,2,0)</f>
        <v>#N/A</v>
      </c>
      <c r="H4684" s="6" t="e">
        <f>VLOOKUP(F4684,'Customer Info'!A4676:I5175,3,0)</f>
        <v>#N/A</v>
      </c>
      <c r="I4684" s="6" t="e">
        <f>VLOOKUP(F4684,'Customer Info'!A4676:I5175,5,0)</f>
        <v>#N/A</v>
      </c>
      <c r="J4684" s="2">
        <v>21143</v>
      </c>
      <c r="K4684" s="2">
        <v>18848</v>
      </c>
      <c r="L4684" s="2">
        <v>7</v>
      </c>
      <c r="M4684" s="7">
        <f t="shared" si="292"/>
        <v>131936</v>
      </c>
      <c r="N4684" s="7">
        <f t="shared" si="293"/>
        <v>148001</v>
      </c>
      <c r="O4684" s="2">
        <v>88</v>
      </c>
      <c r="P4684" s="8">
        <f t="shared" si="294"/>
        <v>148089</v>
      </c>
      <c r="Q4684" s="8">
        <f t="shared" si="295"/>
        <v>147913</v>
      </c>
      <c r="R4684" s="2" t="s">
        <v>26</v>
      </c>
      <c r="S4684" s="9">
        <f>VLOOKUP(P4684,$T$2:U4681,2,1)</f>
        <v>0.12</v>
      </c>
    </row>
    <row r="4685" spans="1:19" x14ac:dyDescent="0.25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e">
        <f>VLOOKUP(F4685,'Customer Info'!A4677:I5176,2,0)</f>
        <v>#N/A</v>
      </c>
      <c r="H4685" s="6" t="e">
        <f>VLOOKUP(F4685,'Customer Info'!A4677:I5176,3,0)</f>
        <v>#N/A</v>
      </c>
      <c r="I4685" s="6" t="e">
        <f>VLOOKUP(F4685,'Customer Info'!A4677:I5176,5,0)</f>
        <v>#N/A</v>
      </c>
      <c r="J4685" s="2">
        <v>1587</v>
      </c>
      <c r="K4685" s="2">
        <v>1428</v>
      </c>
      <c r="L4685" s="2">
        <v>1</v>
      </c>
      <c r="M4685" s="7">
        <f t="shared" si="292"/>
        <v>1428</v>
      </c>
      <c r="N4685" s="7">
        <f t="shared" si="293"/>
        <v>1587</v>
      </c>
      <c r="O4685" s="2">
        <v>63</v>
      </c>
      <c r="P4685" s="8">
        <f t="shared" si="294"/>
        <v>1650</v>
      </c>
      <c r="Q4685" s="8">
        <f t="shared" si="295"/>
        <v>1524</v>
      </c>
      <c r="R4685" s="2" t="s">
        <v>56</v>
      </c>
      <c r="S4685" s="9">
        <f>VLOOKUP(P4685,$T$2:U4682,2,1)</f>
        <v>0.02</v>
      </c>
    </row>
    <row r="4686" spans="1:19" x14ac:dyDescent="0.25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e">
        <f>VLOOKUP(F4686,'Customer Info'!A4678:I5177,2,0)</f>
        <v>#N/A</v>
      </c>
      <c r="H4686" s="6" t="e">
        <f>VLOOKUP(F4686,'Customer Info'!A4678:I5177,3,0)</f>
        <v>#N/A</v>
      </c>
      <c r="I4686" s="6" t="e">
        <f>VLOOKUP(F4686,'Customer Info'!A4678:I5177,5,0)</f>
        <v>#N/A</v>
      </c>
      <c r="J4686" s="2">
        <v>1770</v>
      </c>
      <c r="K4686" s="2">
        <v>1592</v>
      </c>
      <c r="L4686" s="2">
        <v>1</v>
      </c>
      <c r="M4686" s="7">
        <f t="shared" si="292"/>
        <v>1592</v>
      </c>
      <c r="N4686" s="7">
        <f t="shared" si="293"/>
        <v>1770</v>
      </c>
      <c r="O4686" s="2">
        <v>40</v>
      </c>
      <c r="P4686" s="8">
        <f t="shared" si="294"/>
        <v>1810</v>
      </c>
      <c r="Q4686" s="8">
        <f t="shared" si="295"/>
        <v>1730</v>
      </c>
      <c r="R4686" s="2" t="s">
        <v>50</v>
      </c>
      <c r="S4686" s="9">
        <f>VLOOKUP(P4686,$T$2:U4683,2,1)</f>
        <v>0.02</v>
      </c>
    </row>
    <row r="4687" spans="1:19" x14ac:dyDescent="0.25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e">
        <f>VLOOKUP(F4687,'Customer Info'!A4679:I5178,2,0)</f>
        <v>#N/A</v>
      </c>
      <c r="H4687" s="6" t="e">
        <f>VLOOKUP(F4687,'Customer Info'!A4679:I5178,3,0)</f>
        <v>#N/A</v>
      </c>
      <c r="I4687" s="6" t="e">
        <f>VLOOKUP(F4687,'Customer Info'!A4679:I5178,5,0)</f>
        <v>#N/A</v>
      </c>
      <c r="J4687" s="2">
        <v>1576</v>
      </c>
      <c r="K4687" s="2">
        <v>1531</v>
      </c>
      <c r="L4687" s="2">
        <v>7</v>
      </c>
      <c r="M4687" s="7">
        <f t="shared" si="292"/>
        <v>10717</v>
      </c>
      <c r="N4687" s="7">
        <f t="shared" si="293"/>
        <v>11032</v>
      </c>
      <c r="O4687" s="2">
        <v>49</v>
      </c>
      <c r="P4687" s="8">
        <f t="shared" si="294"/>
        <v>11081</v>
      </c>
      <c r="Q4687" s="8">
        <f t="shared" si="295"/>
        <v>10983</v>
      </c>
      <c r="R4687" s="2" t="s">
        <v>28</v>
      </c>
      <c r="S4687" s="9">
        <f>VLOOKUP(P4687,$T$2:U4684,2,1)</f>
        <v>0.05</v>
      </c>
    </row>
    <row r="4688" spans="1:19" x14ac:dyDescent="0.25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e">
        <f>VLOOKUP(F4688,'Customer Info'!A4680:I5179,2,0)</f>
        <v>#N/A</v>
      </c>
      <c r="H4688" s="6" t="e">
        <f>VLOOKUP(F4688,'Customer Info'!A4680:I5179,3,0)</f>
        <v>#N/A</v>
      </c>
      <c r="I4688" s="6" t="e">
        <f>VLOOKUP(F4688,'Customer Info'!A4680:I5179,5,0)</f>
        <v>#N/A</v>
      </c>
      <c r="J4688" s="2">
        <v>3289</v>
      </c>
      <c r="K4688" s="2">
        <v>3105</v>
      </c>
      <c r="L4688" s="2">
        <v>1</v>
      </c>
      <c r="M4688" s="7">
        <f t="shared" si="292"/>
        <v>3105</v>
      </c>
      <c r="N4688" s="7">
        <f t="shared" si="293"/>
        <v>3289</v>
      </c>
      <c r="O4688" s="2">
        <v>24</v>
      </c>
      <c r="P4688" s="8">
        <f t="shared" si="294"/>
        <v>3313</v>
      </c>
      <c r="Q4688" s="8">
        <f t="shared" si="295"/>
        <v>3265</v>
      </c>
      <c r="R4688" s="2" t="s">
        <v>28</v>
      </c>
      <c r="S4688" s="9">
        <f>VLOOKUP(P4688,$T$2:U4685,2,1)</f>
        <v>0.02</v>
      </c>
    </row>
    <row r="4689" spans="1:19" x14ac:dyDescent="0.25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e">
        <f>VLOOKUP(F4689,'Customer Info'!A4681:I5180,2,0)</f>
        <v>#N/A</v>
      </c>
      <c r="H4689" s="6" t="e">
        <f>VLOOKUP(F4689,'Customer Info'!A4681:I5180,3,0)</f>
        <v>#N/A</v>
      </c>
      <c r="I4689" s="6" t="e">
        <f>VLOOKUP(F4689,'Customer Info'!A4681:I5180,5,0)</f>
        <v>#N/A</v>
      </c>
      <c r="J4689" s="2">
        <v>8351</v>
      </c>
      <c r="K4689" s="2">
        <v>8033</v>
      </c>
      <c r="L4689" s="2">
        <v>1</v>
      </c>
      <c r="M4689" s="7">
        <f t="shared" si="292"/>
        <v>8033</v>
      </c>
      <c r="N4689" s="7">
        <f t="shared" si="293"/>
        <v>8351</v>
      </c>
      <c r="O4689" s="2">
        <v>54</v>
      </c>
      <c r="P4689" s="8">
        <f t="shared" si="294"/>
        <v>8405</v>
      </c>
      <c r="Q4689" s="8">
        <f t="shared" si="295"/>
        <v>8297</v>
      </c>
      <c r="R4689" s="2" t="s">
        <v>50</v>
      </c>
      <c r="S4689" s="9">
        <f>VLOOKUP(P4689,$T$2:U4686,2,1)</f>
        <v>0.05</v>
      </c>
    </row>
    <row r="4690" spans="1:19" x14ac:dyDescent="0.25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e">
        <f>VLOOKUP(F4690,'Customer Info'!A4682:I5181,2,0)</f>
        <v>#N/A</v>
      </c>
      <c r="H4690" s="6" t="e">
        <f>VLOOKUP(F4690,'Customer Info'!A4682:I5181,3,0)</f>
        <v>#N/A</v>
      </c>
      <c r="I4690" s="6" t="e">
        <f>VLOOKUP(F4690,'Customer Info'!A4682:I5181,5,0)</f>
        <v>#N/A</v>
      </c>
      <c r="J4690" s="2">
        <v>7141</v>
      </c>
      <c r="K4690" s="2">
        <v>6541</v>
      </c>
      <c r="L4690" s="2">
        <v>1</v>
      </c>
      <c r="M4690" s="7">
        <f t="shared" si="292"/>
        <v>6541</v>
      </c>
      <c r="N4690" s="7">
        <f t="shared" si="293"/>
        <v>7141</v>
      </c>
      <c r="O4690" s="2">
        <v>70</v>
      </c>
      <c r="P4690" s="8">
        <f t="shared" si="294"/>
        <v>7211</v>
      </c>
      <c r="Q4690" s="8">
        <f t="shared" si="295"/>
        <v>7071</v>
      </c>
      <c r="R4690" s="2" t="s">
        <v>28</v>
      </c>
      <c r="S4690" s="9">
        <f>VLOOKUP(P4690,$T$2:U4687,2,1)</f>
        <v>0.05</v>
      </c>
    </row>
    <row r="4691" spans="1:19" x14ac:dyDescent="0.25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e">
        <f>VLOOKUP(F4691,'Customer Info'!A4683:I5182,2,0)</f>
        <v>#N/A</v>
      </c>
      <c r="H4691" s="6" t="e">
        <f>VLOOKUP(F4691,'Customer Info'!A4683:I5182,3,0)</f>
        <v>#N/A</v>
      </c>
      <c r="I4691" s="6" t="e">
        <f>VLOOKUP(F4691,'Customer Info'!A4683:I5182,5,0)</f>
        <v>#N/A</v>
      </c>
      <c r="J4691" s="2">
        <v>886</v>
      </c>
      <c r="K4691" s="2">
        <v>796</v>
      </c>
      <c r="L4691" s="2">
        <v>2</v>
      </c>
      <c r="M4691" s="7">
        <f t="shared" si="292"/>
        <v>1592</v>
      </c>
      <c r="N4691" s="7">
        <f t="shared" si="293"/>
        <v>1772</v>
      </c>
      <c r="O4691" s="2">
        <v>69</v>
      </c>
      <c r="P4691" s="8">
        <f t="shared" si="294"/>
        <v>1841</v>
      </c>
      <c r="Q4691" s="8">
        <f t="shared" si="295"/>
        <v>1703</v>
      </c>
      <c r="R4691" s="2" t="s">
        <v>28</v>
      </c>
      <c r="S4691" s="9">
        <f>VLOOKUP(P4691,$T$2:U4688,2,1)</f>
        <v>0.02</v>
      </c>
    </row>
    <row r="4692" spans="1:19" x14ac:dyDescent="0.25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e">
        <f>VLOOKUP(F4692,'Customer Info'!A4684:I5183,2,0)</f>
        <v>#N/A</v>
      </c>
      <c r="H4692" s="6" t="e">
        <f>VLOOKUP(F4692,'Customer Info'!A4684:I5183,3,0)</f>
        <v>#N/A</v>
      </c>
      <c r="I4692" s="6" t="e">
        <f>VLOOKUP(F4692,'Customer Info'!A4684:I5183,5,0)</f>
        <v>#N/A</v>
      </c>
      <c r="J4692" s="2">
        <v>125</v>
      </c>
      <c r="K4692" s="2">
        <v>113</v>
      </c>
      <c r="L4692" s="2">
        <v>6</v>
      </c>
      <c r="M4692" s="7">
        <f t="shared" si="292"/>
        <v>678</v>
      </c>
      <c r="N4692" s="7">
        <f t="shared" si="293"/>
        <v>750</v>
      </c>
      <c r="O4692" s="2">
        <v>30</v>
      </c>
      <c r="P4692" s="8">
        <f t="shared" si="294"/>
        <v>780</v>
      </c>
      <c r="Q4692" s="8">
        <f t="shared" si="295"/>
        <v>720</v>
      </c>
      <c r="R4692" s="2" t="s">
        <v>28</v>
      </c>
      <c r="S4692" s="9">
        <f>VLOOKUP(P4692,$T$2:U4689,2,1)</f>
        <v>0.02</v>
      </c>
    </row>
    <row r="4693" spans="1:19" x14ac:dyDescent="0.25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e">
        <f>VLOOKUP(F4693,'Customer Info'!A4685:I5184,2,0)</f>
        <v>#N/A</v>
      </c>
      <c r="H4693" s="6" t="e">
        <f>VLOOKUP(F4693,'Customer Info'!A4685:I5184,3,0)</f>
        <v>#N/A</v>
      </c>
      <c r="I4693" s="6" t="e">
        <f>VLOOKUP(F4693,'Customer Info'!A4685:I5184,5,0)</f>
        <v>#N/A</v>
      </c>
      <c r="J4693" s="2">
        <v>202</v>
      </c>
      <c r="K4693" s="2">
        <v>187</v>
      </c>
      <c r="L4693" s="2">
        <v>4</v>
      </c>
      <c r="M4693" s="7">
        <f t="shared" si="292"/>
        <v>748</v>
      </c>
      <c r="N4693" s="7">
        <f t="shared" si="293"/>
        <v>808</v>
      </c>
      <c r="O4693" s="2">
        <v>30</v>
      </c>
      <c r="P4693" s="8">
        <f t="shared" si="294"/>
        <v>838</v>
      </c>
      <c r="Q4693" s="8">
        <f t="shared" si="295"/>
        <v>778</v>
      </c>
      <c r="R4693" s="2" t="s">
        <v>28</v>
      </c>
      <c r="S4693" s="9">
        <f>VLOOKUP(P4693,$T$2:U4690,2,1)</f>
        <v>0.02</v>
      </c>
    </row>
    <row r="4694" spans="1:19" x14ac:dyDescent="0.25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e">
        <f>VLOOKUP(F4694,'Customer Info'!A4686:I5185,2,0)</f>
        <v>#N/A</v>
      </c>
      <c r="H4694" s="6" t="e">
        <f>VLOOKUP(F4694,'Customer Info'!A4686:I5185,3,0)</f>
        <v>#N/A</v>
      </c>
      <c r="I4694" s="6" t="e">
        <f>VLOOKUP(F4694,'Customer Info'!A4686:I5185,5,0)</f>
        <v>#N/A</v>
      </c>
      <c r="J4694" s="2">
        <v>1564</v>
      </c>
      <c r="K4694" s="2">
        <v>1420</v>
      </c>
      <c r="L4694" s="2">
        <v>5</v>
      </c>
      <c r="M4694" s="7">
        <f t="shared" si="292"/>
        <v>7100</v>
      </c>
      <c r="N4694" s="7">
        <f t="shared" si="293"/>
        <v>7820</v>
      </c>
      <c r="O4694" s="2">
        <v>64</v>
      </c>
      <c r="P4694" s="8">
        <f t="shared" si="294"/>
        <v>7884</v>
      </c>
      <c r="Q4694" s="8">
        <f t="shared" si="295"/>
        <v>7756</v>
      </c>
      <c r="R4694" s="2" t="s">
        <v>28</v>
      </c>
      <c r="S4694" s="9">
        <f>VLOOKUP(P4694,$T$2:U4691,2,1)</f>
        <v>0.05</v>
      </c>
    </row>
    <row r="4695" spans="1:19" x14ac:dyDescent="0.25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e">
        <f>VLOOKUP(F4695,'Customer Info'!A4687:I5186,2,0)</f>
        <v>#N/A</v>
      </c>
      <c r="H4695" s="6" t="e">
        <f>VLOOKUP(F4695,'Customer Info'!A4687:I5186,3,0)</f>
        <v>#N/A</v>
      </c>
      <c r="I4695" s="6" t="e">
        <f>VLOOKUP(F4695,'Customer Info'!A4687:I5186,5,0)</f>
        <v>#N/A</v>
      </c>
      <c r="J4695" s="2">
        <v>1305</v>
      </c>
      <c r="K4695" s="2">
        <v>1197</v>
      </c>
      <c r="L4695" s="2">
        <v>3</v>
      </c>
      <c r="M4695" s="7">
        <f t="shared" si="292"/>
        <v>3591</v>
      </c>
      <c r="N4695" s="7">
        <f t="shared" si="293"/>
        <v>3915</v>
      </c>
      <c r="O4695" s="2">
        <v>43</v>
      </c>
      <c r="P4695" s="8">
        <f t="shared" si="294"/>
        <v>3958</v>
      </c>
      <c r="Q4695" s="8">
        <f t="shared" si="295"/>
        <v>3872</v>
      </c>
      <c r="R4695" s="2" t="s">
        <v>28</v>
      </c>
      <c r="S4695" s="9">
        <f>VLOOKUP(P4695,$T$2:U4692,2,1)</f>
        <v>0.02</v>
      </c>
    </row>
    <row r="4696" spans="1:19" x14ac:dyDescent="0.25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e">
        <f>VLOOKUP(F4696,'Customer Info'!A4688:I5187,2,0)</f>
        <v>#N/A</v>
      </c>
      <c r="H4696" s="6" t="e">
        <f>VLOOKUP(F4696,'Customer Info'!A4688:I5187,3,0)</f>
        <v>#N/A</v>
      </c>
      <c r="I4696" s="6" t="e">
        <f>VLOOKUP(F4696,'Customer Info'!A4688:I5187,5,0)</f>
        <v>#N/A</v>
      </c>
      <c r="J4696" s="2">
        <v>4443</v>
      </c>
      <c r="K4696" s="2">
        <v>4079</v>
      </c>
      <c r="L4696" s="2">
        <v>1</v>
      </c>
      <c r="M4696" s="7">
        <f t="shared" si="292"/>
        <v>4079</v>
      </c>
      <c r="N4696" s="7">
        <f t="shared" si="293"/>
        <v>4443</v>
      </c>
      <c r="O4696" s="2">
        <v>96</v>
      </c>
      <c r="P4696" s="8">
        <f t="shared" si="294"/>
        <v>4539</v>
      </c>
      <c r="Q4696" s="8">
        <f t="shared" si="295"/>
        <v>4347</v>
      </c>
      <c r="R4696" s="2" t="s">
        <v>50</v>
      </c>
      <c r="S4696" s="9">
        <f>VLOOKUP(P4696,$T$2:U4693,2,1)</f>
        <v>0.02</v>
      </c>
    </row>
    <row r="4697" spans="1:19" x14ac:dyDescent="0.25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e">
        <f>VLOOKUP(F4697,'Customer Info'!A4689:I5188,2,0)</f>
        <v>#N/A</v>
      </c>
      <c r="H4697" s="6" t="e">
        <f>VLOOKUP(F4697,'Customer Info'!A4689:I5188,3,0)</f>
        <v>#N/A</v>
      </c>
      <c r="I4697" s="6" t="e">
        <f>VLOOKUP(F4697,'Customer Info'!A4689:I5188,5,0)</f>
        <v>#N/A</v>
      </c>
      <c r="J4697" s="2">
        <v>1146</v>
      </c>
      <c r="K4697" s="2">
        <v>1061</v>
      </c>
      <c r="L4697" s="2">
        <v>4</v>
      </c>
      <c r="M4697" s="7">
        <f t="shared" si="292"/>
        <v>4244</v>
      </c>
      <c r="N4697" s="7">
        <f t="shared" si="293"/>
        <v>4584</v>
      </c>
      <c r="O4697" s="2">
        <v>77</v>
      </c>
      <c r="P4697" s="8">
        <f t="shared" si="294"/>
        <v>4661</v>
      </c>
      <c r="Q4697" s="8">
        <f t="shared" si="295"/>
        <v>4507</v>
      </c>
      <c r="R4697" s="2" t="s">
        <v>50</v>
      </c>
      <c r="S4697" s="9">
        <f>VLOOKUP(P4697,$T$2:U4694,2,1)</f>
        <v>0.02</v>
      </c>
    </row>
    <row r="4698" spans="1:19" x14ac:dyDescent="0.25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e">
        <f>VLOOKUP(F4698,'Customer Info'!A4690:I5189,2,0)</f>
        <v>#N/A</v>
      </c>
      <c r="H4698" s="6" t="e">
        <f>VLOOKUP(F4698,'Customer Info'!A4690:I5189,3,0)</f>
        <v>#N/A</v>
      </c>
      <c r="I4698" s="6" t="e">
        <f>VLOOKUP(F4698,'Customer Info'!A4690:I5189,5,0)</f>
        <v>#N/A</v>
      </c>
      <c r="J4698" s="2">
        <v>187</v>
      </c>
      <c r="K4698" s="2">
        <v>176</v>
      </c>
      <c r="L4698" s="2">
        <v>1</v>
      </c>
      <c r="M4698" s="7">
        <f t="shared" si="292"/>
        <v>176</v>
      </c>
      <c r="N4698" s="7">
        <f t="shared" si="293"/>
        <v>187</v>
      </c>
      <c r="O4698" s="2">
        <v>30</v>
      </c>
      <c r="P4698" s="8">
        <f t="shared" si="294"/>
        <v>217</v>
      </c>
      <c r="Q4698" s="8">
        <f t="shared" si="295"/>
        <v>157</v>
      </c>
      <c r="R4698" s="2" t="s">
        <v>56</v>
      </c>
      <c r="S4698" s="9">
        <f>VLOOKUP(P4698,$T$2:U4695,2,1)</f>
        <v>0.02</v>
      </c>
    </row>
    <row r="4699" spans="1:19" x14ac:dyDescent="0.25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e">
        <f>VLOOKUP(F4699,'Customer Info'!A4691:I5190,2,0)</f>
        <v>#N/A</v>
      </c>
      <c r="H4699" s="6" t="e">
        <f>VLOOKUP(F4699,'Customer Info'!A4691:I5190,3,0)</f>
        <v>#N/A</v>
      </c>
      <c r="I4699" s="6" t="e">
        <f>VLOOKUP(F4699,'Customer Info'!A4691:I5190,5,0)</f>
        <v>#N/A</v>
      </c>
      <c r="J4699" s="2">
        <v>79</v>
      </c>
      <c r="K4699" s="2">
        <v>75</v>
      </c>
      <c r="L4699" s="2">
        <v>4</v>
      </c>
      <c r="M4699" s="7">
        <f t="shared" si="292"/>
        <v>300</v>
      </c>
      <c r="N4699" s="7">
        <f t="shared" si="293"/>
        <v>316</v>
      </c>
      <c r="O4699" s="2">
        <v>10</v>
      </c>
      <c r="P4699" s="8">
        <f t="shared" si="294"/>
        <v>326</v>
      </c>
      <c r="Q4699" s="8">
        <f t="shared" si="295"/>
        <v>306</v>
      </c>
      <c r="R4699" s="2" t="s">
        <v>50</v>
      </c>
      <c r="S4699" s="9">
        <f>VLOOKUP(P4699,$T$2:U4696,2,1)</f>
        <v>0.02</v>
      </c>
    </row>
    <row r="4700" spans="1:19" x14ac:dyDescent="0.25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e">
        <f>VLOOKUP(F4700,'Customer Info'!A4692:I5191,2,0)</f>
        <v>#N/A</v>
      </c>
      <c r="H4700" s="6" t="e">
        <f>VLOOKUP(F4700,'Customer Info'!A4692:I5191,3,0)</f>
        <v>#N/A</v>
      </c>
      <c r="I4700" s="6" t="e">
        <f>VLOOKUP(F4700,'Customer Info'!A4692:I5191,5,0)</f>
        <v>#N/A</v>
      </c>
      <c r="J4700" s="2">
        <v>691</v>
      </c>
      <c r="K4700" s="2">
        <v>646</v>
      </c>
      <c r="L4700" s="2">
        <v>1</v>
      </c>
      <c r="M4700" s="7">
        <f t="shared" si="292"/>
        <v>646</v>
      </c>
      <c r="N4700" s="7">
        <f t="shared" si="293"/>
        <v>691</v>
      </c>
      <c r="O4700" s="2">
        <v>30</v>
      </c>
      <c r="P4700" s="8">
        <f t="shared" si="294"/>
        <v>721</v>
      </c>
      <c r="Q4700" s="8">
        <f t="shared" si="295"/>
        <v>661</v>
      </c>
      <c r="R4700" s="2" t="s">
        <v>28</v>
      </c>
      <c r="S4700" s="9">
        <f>VLOOKUP(P4700,$T$2:U4697,2,1)</f>
        <v>0.02</v>
      </c>
    </row>
    <row r="4701" spans="1:19" x14ac:dyDescent="0.25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e">
        <f>VLOOKUP(F4701,'Customer Info'!A4693:I5192,2,0)</f>
        <v>#N/A</v>
      </c>
      <c r="H4701" s="6" t="e">
        <f>VLOOKUP(F4701,'Customer Info'!A4693:I5192,3,0)</f>
        <v>#N/A</v>
      </c>
      <c r="I4701" s="6" t="e">
        <f>VLOOKUP(F4701,'Customer Info'!A4693:I5192,5,0)</f>
        <v>#N/A</v>
      </c>
      <c r="J4701" s="2">
        <v>6087</v>
      </c>
      <c r="K4701" s="2">
        <v>5808</v>
      </c>
      <c r="L4701" s="2">
        <v>2</v>
      </c>
      <c r="M4701" s="7">
        <f t="shared" si="292"/>
        <v>11616</v>
      </c>
      <c r="N4701" s="7">
        <f t="shared" si="293"/>
        <v>12174</v>
      </c>
      <c r="O4701" s="2">
        <v>49</v>
      </c>
      <c r="P4701" s="8">
        <f t="shared" si="294"/>
        <v>12223</v>
      </c>
      <c r="Q4701" s="8">
        <f t="shared" si="295"/>
        <v>12125</v>
      </c>
      <c r="R4701" s="2" t="s">
        <v>28</v>
      </c>
      <c r="S4701" s="9">
        <f>VLOOKUP(P4701,$T$2:U4698,2,1)</f>
        <v>0.05</v>
      </c>
    </row>
    <row r="4702" spans="1:19" x14ac:dyDescent="0.25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e">
        <f>VLOOKUP(F4702,'Customer Info'!A4694:I5193,2,0)</f>
        <v>#N/A</v>
      </c>
      <c r="H4702" s="6" t="e">
        <f>VLOOKUP(F4702,'Customer Info'!A4694:I5193,3,0)</f>
        <v>#N/A</v>
      </c>
      <c r="I4702" s="6" t="e">
        <f>VLOOKUP(F4702,'Customer Info'!A4694:I5193,5,0)</f>
        <v>#N/A</v>
      </c>
      <c r="J4702" s="2">
        <v>1968</v>
      </c>
      <c r="K4702" s="2">
        <v>1821</v>
      </c>
      <c r="L4702" s="2">
        <v>3</v>
      </c>
      <c r="M4702" s="7">
        <f t="shared" si="292"/>
        <v>5463</v>
      </c>
      <c r="N4702" s="7">
        <f t="shared" si="293"/>
        <v>5904</v>
      </c>
      <c r="O4702" s="2">
        <v>95</v>
      </c>
      <c r="P4702" s="8">
        <f t="shared" si="294"/>
        <v>5999</v>
      </c>
      <c r="Q4702" s="8">
        <f t="shared" si="295"/>
        <v>5809</v>
      </c>
      <c r="R4702" s="2" t="s">
        <v>28</v>
      </c>
      <c r="S4702" s="9">
        <f>VLOOKUP(P4702,$T$2:U4699,2,1)</f>
        <v>0.05</v>
      </c>
    </row>
    <row r="4703" spans="1:19" x14ac:dyDescent="0.25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e">
        <f>VLOOKUP(F4703,'Customer Info'!A4695:I5194,2,0)</f>
        <v>#N/A</v>
      </c>
      <c r="H4703" s="6" t="e">
        <f>VLOOKUP(F4703,'Customer Info'!A4695:I5194,3,0)</f>
        <v>#N/A</v>
      </c>
      <c r="I4703" s="6" t="e">
        <f>VLOOKUP(F4703,'Customer Info'!A4695:I5194,5,0)</f>
        <v>#N/A</v>
      </c>
      <c r="J4703" s="2">
        <v>1635</v>
      </c>
      <c r="K4703" s="2">
        <v>1573</v>
      </c>
      <c r="L4703" s="2">
        <v>4</v>
      </c>
      <c r="M4703" s="7">
        <f t="shared" si="292"/>
        <v>6292</v>
      </c>
      <c r="N4703" s="7">
        <f t="shared" si="293"/>
        <v>6540</v>
      </c>
      <c r="O4703" s="2">
        <v>57</v>
      </c>
      <c r="P4703" s="8">
        <f t="shared" si="294"/>
        <v>6597</v>
      </c>
      <c r="Q4703" s="8">
        <f t="shared" si="295"/>
        <v>6483</v>
      </c>
      <c r="R4703" s="2" t="s">
        <v>28</v>
      </c>
      <c r="S4703" s="9">
        <f>VLOOKUP(P4703,$T$2:U4700,2,1)</f>
        <v>0.05</v>
      </c>
    </row>
    <row r="4704" spans="1:19" x14ac:dyDescent="0.25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e">
        <f>VLOOKUP(F4704,'Customer Info'!A4696:I5195,2,0)</f>
        <v>#N/A</v>
      </c>
      <c r="H4704" s="6" t="e">
        <f>VLOOKUP(F4704,'Customer Info'!A4696:I5195,3,0)</f>
        <v>#N/A</v>
      </c>
      <c r="I4704" s="6" t="e">
        <f>VLOOKUP(F4704,'Customer Info'!A4696:I5195,5,0)</f>
        <v>#N/A</v>
      </c>
      <c r="J4704" s="2">
        <v>1181</v>
      </c>
      <c r="K4704" s="2">
        <v>1136</v>
      </c>
      <c r="L4704" s="2">
        <v>2</v>
      </c>
      <c r="M4704" s="7">
        <f t="shared" si="292"/>
        <v>2272</v>
      </c>
      <c r="N4704" s="7">
        <f t="shared" si="293"/>
        <v>2362</v>
      </c>
      <c r="O4704" s="2">
        <v>76</v>
      </c>
      <c r="P4704" s="8">
        <f t="shared" si="294"/>
        <v>2438</v>
      </c>
      <c r="Q4704" s="8">
        <f t="shared" si="295"/>
        <v>2286</v>
      </c>
      <c r="R4704" s="2" t="s">
        <v>28</v>
      </c>
      <c r="S4704" s="9">
        <f>VLOOKUP(P4704,$T$2:U4701,2,1)</f>
        <v>0.02</v>
      </c>
    </row>
    <row r="4705" spans="1:19" x14ac:dyDescent="0.25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e">
        <f>VLOOKUP(F4705,'Customer Info'!A4697:I5196,2,0)</f>
        <v>#N/A</v>
      </c>
      <c r="H4705" s="6" t="e">
        <f>VLOOKUP(F4705,'Customer Info'!A4697:I5196,3,0)</f>
        <v>#N/A</v>
      </c>
      <c r="I4705" s="6" t="e">
        <f>VLOOKUP(F4705,'Customer Info'!A4697:I5196,5,0)</f>
        <v>#N/A</v>
      </c>
      <c r="J4705" s="2">
        <v>6585</v>
      </c>
      <c r="K4705" s="2">
        <v>6105</v>
      </c>
      <c r="L4705" s="2">
        <v>14</v>
      </c>
      <c r="M4705" s="7">
        <f t="shared" si="292"/>
        <v>85470</v>
      </c>
      <c r="N4705" s="7">
        <f t="shared" si="293"/>
        <v>92190</v>
      </c>
      <c r="O4705" s="2">
        <v>84</v>
      </c>
      <c r="P4705" s="8">
        <f t="shared" si="294"/>
        <v>92274</v>
      </c>
      <c r="Q4705" s="8">
        <f t="shared" si="295"/>
        <v>92106</v>
      </c>
      <c r="R4705" s="2" t="s">
        <v>26</v>
      </c>
      <c r="S4705" s="9">
        <f>VLOOKUP(P4705,$T$2:U4702,2,1)</f>
        <v>0.09</v>
      </c>
    </row>
    <row r="4706" spans="1:19" x14ac:dyDescent="0.25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e">
        <f>VLOOKUP(F4706,'Customer Info'!A4698:I5197,2,0)</f>
        <v>#N/A</v>
      </c>
      <c r="H4706" s="6" t="e">
        <f>VLOOKUP(F4706,'Customer Info'!A4698:I5197,3,0)</f>
        <v>#N/A</v>
      </c>
      <c r="I4706" s="6" t="e">
        <f>VLOOKUP(F4706,'Customer Info'!A4698:I5197,5,0)</f>
        <v>#N/A</v>
      </c>
      <c r="J4706" s="2">
        <v>2271</v>
      </c>
      <c r="K4706" s="2">
        <v>2144</v>
      </c>
      <c r="L4706" s="2">
        <v>2</v>
      </c>
      <c r="M4706" s="7">
        <f t="shared" si="292"/>
        <v>4288</v>
      </c>
      <c r="N4706" s="7">
        <f t="shared" si="293"/>
        <v>4542</v>
      </c>
      <c r="O4706" s="2">
        <v>74</v>
      </c>
      <c r="P4706" s="8">
        <f t="shared" si="294"/>
        <v>4616</v>
      </c>
      <c r="Q4706" s="8">
        <f t="shared" si="295"/>
        <v>4468</v>
      </c>
      <c r="R4706" s="2" t="s">
        <v>26</v>
      </c>
      <c r="S4706" s="9">
        <f>VLOOKUP(P4706,$T$2:U4703,2,1)</f>
        <v>0.02</v>
      </c>
    </row>
    <row r="4707" spans="1:19" x14ac:dyDescent="0.25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e">
        <f>VLOOKUP(F4707,'Customer Info'!A4699:I5198,2,0)</f>
        <v>#N/A</v>
      </c>
      <c r="H4707" s="6" t="e">
        <f>VLOOKUP(F4707,'Customer Info'!A4699:I5198,3,0)</f>
        <v>#N/A</v>
      </c>
      <c r="I4707" s="6" t="e">
        <f>VLOOKUP(F4707,'Customer Info'!A4699:I5198,5,0)</f>
        <v>#N/A</v>
      </c>
      <c r="J4707" s="2">
        <v>456</v>
      </c>
      <c r="K4707" s="2">
        <v>430</v>
      </c>
      <c r="L4707" s="2">
        <v>1</v>
      </c>
      <c r="M4707" s="7">
        <f t="shared" si="292"/>
        <v>430</v>
      </c>
      <c r="N4707" s="7">
        <f t="shared" si="293"/>
        <v>456</v>
      </c>
      <c r="O4707" s="2">
        <v>93</v>
      </c>
      <c r="P4707" s="8">
        <f t="shared" si="294"/>
        <v>549</v>
      </c>
      <c r="Q4707" s="8">
        <f t="shared" si="295"/>
        <v>363</v>
      </c>
      <c r="R4707" s="2" t="s">
        <v>50</v>
      </c>
      <c r="S4707" s="9">
        <f>VLOOKUP(P4707,$T$2:U4704,2,1)</f>
        <v>0.02</v>
      </c>
    </row>
    <row r="4708" spans="1:19" x14ac:dyDescent="0.25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e">
        <f>VLOOKUP(F4708,'Customer Info'!A4700:I5199,2,0)</f>
        <v>#N/A</v>
      </c>
      <c r="H4708" s="6" t="e">
        <f>VLOOKUP(F4708,'Customer Info'!A4700:I5199,3,0)</f>
        <v>#N/A</v>
      </c>
      <c r="I4708" s="6" t="e">
        <f>VLOOKUP(F4708,'Customer Info'!A4700:I5199,5,0)</f>
        <v>#N/A</v>
      </c>
      <c r="J4708" s="2">
        <v>7136</v>
      </c>
      <c r="K4708" s="2">
        <v>6676</v>
      </c>
      <c r="L4708" s="2">
        <v>2</v>
      </c>
      <c r="M4708" s="7">
        <f t="shared" si="292"/>
        <v>13352</v>
      </c>
      <c r="N4708" s="7">
        <f t="shared" si="293"/>
        <v>14272</v>
      </c>
      <c r="O4708" s="2">
        <v>75</v>
      </c>
      <c r="P4708" s="8">
        <f t="shared" si="294"/>
        <v>14347</v>
      </c>
      <c r="Q4708" s="8">
        <f t="shared" si="295"/>
        <v>14197</v>
      </c>
      <c r="R4708" s="2" t="s">
        <v>28</v>
      </c>
      <c r="S4708" s="9">
        <f>VLOOKUP(P4708,$T$2:U4705,2,1)</f>
        <v>0.05</v>
      </c>
    </row>
    <row r="4709" spans="1:19" x14ac:dyDescent="0.25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e">
        <f>VLOOKUP(F4709,'Customer Info'!A4701:I5200,2,0)</f>
        <v>#N/A</v>
      </c>
      <c r="H4709" s="6" t="e">
        <f>VLOOKUP(F4709,'Customer Info'!A4701:I5200,3,0)</f>
        <v>#N/A</v>
      </c>
      <c r="I4709" s="6" t="e">
        <f>VLOOKUP(F4709,'Customer Info'!A4701:I5200,5,0)</f>
        <v>#N/A</v>
      </c>
      <c r="J4709" s="2">
        <v>222</v>
      </c>
      <c r="K4709" s="2">
        <v>208</v>
      </c>
      <c r="L4709" s="2">
        <v>3</v>
      </c>
      <c r="M4709" s="7">
        <f t="shared" si="292"/>
        <v>624</v>
      </c>
      <c r="N4709" s="7">
        <f t="shared" si="293"/>
        <v>666</v>
      </c>
      <c r="O4709" s="2">
        <v>69</v>
      </c>
      <c r="P4709" s="8">
        <f t="shared" si="294"/>
        <v>735</v>
      </c>
      <c r="Q4709" s="8">
        <f t="shared" si="295"/>
        <v>597</v>
      </c>
      <c r="R4709" s="2" t="s">
        <v>50</v>
      </c>
      <c r="S4709" s="9">
        <f>VLOOKUP(P4709,$T$2:U4706,2,1)</f>
        <v>0.02</v>
      </c>
    </row>
    <row r="4710" spans="1:19" x14ac:dyDescent="0.25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e">
        <f>VLOOKUP(F4710,'Customer Info'!A4702:I5201,2,0)</f>
        <v>#N/A</v>
      </c>
      <c r="H4710" s="6" t="e">
        <f>VLOOKUP(F4710,'Customer Info'!A4702:I5201,3,0)</f>
        <v>#N/A</v>
      </c>
      <c r="I4710" s="6" t="e">
        <f>VLOOKUP(F4710,'Customer Info'!A4702:I5201,5,0)</f>
        <v>#N/A</v>
      </c>
      <c r="J4710" s="2">
        <v>1983</v>
      </c>
      <c r="K4710" s="2">
        <v>1908</v>
      </c>
      <c r="L4710" s="2">
        <v>12</v>
      </c>
      <c r="M4710" s="7">
        <f t="shared" si="292"/>
        <v>22896</v>
      </c>
      <c r="N4710" s="7">
        <f t="shared" si="293"/>
        <v>23796</v>
      </c>
      <c r="O4710" s="2">
        <v>89</v>
      </c>
      <c r="P4710" s="8">
        <f t="shared" si="294"/>
        <v>23885</v>
      </c>
      <c r="Q4710" s="8">
        <f t="shared" si="295"/>
        <v>23707</v>
      </c>
      <c r="R4710" s="2" t="s">
        <v>28</v>
      </c>
      <c r="S4710" s="9">
        <f>VLOOKUP(P4710,$T$2:U4707,2,1)</f>
        <v>0.05</v>
      </c>
    </row>
    <row r="4711" spans="1:19" x14ac:dyDescent="0.25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e">
        <f>VLOOKUP(F4711,'Customer Info'!A4703:I5202,2,0)</f>
        <v>#N/A</v>
      </c>
      <c r="H4711" s="6" t="e">
        <f>VLOOKUP(F4711,'Customer Info'!A4703:I5202,3,0)</f>
        <v>#N/A</v>
      </c>
      <c r="I4711" s="6" t="e">
        <f>VLOOKUP(F4711,'Customer Info'!A4703:I5202,5,0)</f>
        <v>#N/A</v>
      </c>
      <c r="J4711" s="2">
        <v>187</v>
      </c>
      <c r="K4711" s="2">
        <v>176</v>
      </c>
      <c r="L4711" s="2">
        <v>8</v>
      </c>
      <c r="M4711" s="7">
        <f t="shared" si="292"/>
        <v>1408</v>
      </c>
      <c r="N4711" s="7">
        <f t="shared" si="293"/>
        <v>1496</v>
      </c>
      <c r="O4711" s="2">
        <v>30</v>
      </c>
      <c r="P4711" s="8">
        <f t="shared" si="294"/>
        <v>1526</v>
      </c>
      <c r="Q4711" s="8">
        <f t="shared" si="295"/>
        <v>1466</v>
      </c>
      <c r="R4711" s="2" t="s">
        <v>28</v>
      </c>
      <c r="S4711" s="9">
        <f>VLOOKUP(P4711,$T$2:U4708,2,1)</f>
        <v>0.02</v>
      </c>
    </row>
    <row r="4712" spans="1:19" x14ac:dyDescent="0.25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e">
        <f>VLOOKUP(F4712,'Customer Info'!A4704:I5203,2,0)</f>
        <v>#N/A</v>
      </c>
      <c r="H4712" s="6" t="e">
        <f>VLOOKUP(F4712,'Customer Info'!A4704:I5203,3,0)</f>
        <v>#N/A</v>
      </c>
      <c r="I4712" s="6" t="e">
        <f>VLOOKUP(F4712,'Customer Info'!A4704:I5203,5,0)</f>
        <v>#N/A</v>
      </c>
      <c r="J4712" s="2">
        <v>531</v>
      </c>
      <c r="K4712" s="2">
        <v>487</v>
      </c>
      <c r="L4712" s="2">
        <v>5</v>
      </c>
      <c r="M4712" s="7">
        <f t="shared" si="292"/>
        <v>2435</v>
      </c>
      <c r="N4712" s="7">
        <f t="shared" si="293"/>
        <v>2655</v>
      </c>
      <c r="O4712" s="2">
        <v>25</v>
      </c>
      <c r="P4712" s="8">
        <f t="shared" si="294"/>
        <v>2680</v>
      </c>
      <c r="Q4712" s="8">
        <f t="shared" si="295"/>
        <v>2630</v>
      </c>
      <c r="R4712" s="2" t="s">
        <v>50</v>
      </c>
      <c r="S4712" s="9">
        <f>VLOOKUP(P4712,$T$2:U4709,2,1)</f>
        <v>0.02</v>
      </c>
    </row>
    <row r="4713" spans="1:19" x14ac:dyDescent="0.25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e">
        <f>VLOOKUP(F4713,'Customer Info'!A4705:I5204,2,0)</f>
        <v>#N/A</v>
      </c>
      <c r="H4713" s="6" t="e">
        <f>VLOOKUP(F4713,'Customer Info'!A4705:I5204,3,0)</f>
        <v>#N/A</v>
      </c>
      <c r="I4713" s="6" t="e">
        <f>VLOOKUP(F4713,'Customer Info'!A4705:I5204,5,0)</f>
        <v>#N/A</v>
      </c>
      <c r="J4713" s="2">
        <v>80</v>
      </c>
      <c r="K4713" s="2">
        <v>75</v>
      </c>
      <c r="L4713" s="2">
        <v>4</v>
      </c>
      <c r="M4713" s="7">
        <f t="shared" si="292"/>
        <v>300</v>
      </c>
      <c r="N4713" s="7">
        <f t="shared" si="293"/>
        <v>320</v>
      </c>
      <c r="O4713" s="2">
        <v>10</v>
      </c>
      <c r="P4713" s="8">
        <f t="shared" si="294"/>
        <v>330</v>
      </c>
      <c r="Q4713" s="8">
        <f t="shared" si="295"/>
        <v>310</v>
      </c>
      <c r="R4713" s="2" t="s">
        <v>50</v>
      </c>
      <c r="S4713" s="9">
        <f>VLOOKUP(P4713,$T$2:U4710,2,1)</f>
        <v>0.02</v>
      </c>
    </row>
    <row r="4714" spans="1:19" x14ac:dyDescent="0.25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e">
        <f>VLOOKUP(F4714,'Customer Info'!A4706:I5205,2,0)</f>
        <v>#N/A</v>
      </c>
      <c r="H4714" s="6" t="e">
        <f>VLOOKUP(F4714,'Customer Info'!A4706:I5205,3,0)</f>
        <v>#N/A</v>
      </c>
      <c r="I4714" s="6" t="e">
        <f>VLOOKUP(F4714,'Customer Info'!A4706:I5205,5,0)</f>
        <v>#N/A</v>
      </c>
      <c r="J4714" s="2">
        <v>141</v>
      </c>
      <c r="K4714" s="2">
        <v>131</v>
      </c>
      <c r="L4714" s="2">
        <v>2</v>
      </c>
      <c r="M4714" s="7">
        <f t="shared" si="292"/>
        <v>262</v>
      </c>
      <c r="N4714" s="7">
        <f t="shared" si="293"/>
        <v>282</v>
      </c>
      <c r="O4714" s="2">
        <v>30</v>
      </c>
      <c r="P4714" s="8">
        <f t="shared" si="294"/>
        <v>312</v>
      </c>
      <c r="Q4714" s="8">
        <f t="shared" si="295"/>
        <v>252</v>
      </c>
      <c r="R4714" s="2" t="s">
        <v>28</v>
      </c>
      <c r="S4714" s="9">
        <f>VLOOKUP(P4714,$T$2:U4711,2,1)</f>
        <v>0.02</v>
      </c>
    </row>
    <row r="4715" spans="1:19" x14ac:dyDescent="0.25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e">
        <f>VLOOKUP(F4715,'Customer Info'!A4707:I5206,2,0)</f>
        <v>#N/A</v>
      </c>
      <c r="H4715" s="6" t="e">
        <f>VLOOKUP(F4715,'Customer Info'!A4707:I5206,3,0)</f>
        <v>#N/A</v>
      </c>
      <c r="I4715" s="6" t="e">
        <f>VLOOKUP(F4715,'Customer Info'!A4707:I5206,5,0)</f>
        <v>#N/A</v>
      </c>
      <c r="J4715" s="2">
        <v>1587</v>
      </c>
      <c r="K4715" s="2">
        <v>1428</v>
      </c>
      <c r="L4715" s="2">
        <v>4</v>
      </c>
      <c r="M4715" s="7">
        <f t="shared" si="292"/>
        <v>5712</v>
      </c>
      <c r="N4715" s="7">
        <f t="shared" si="293"/>
        <v>6348</v>
      </c>
      <c r="O4715" s="2">
        <v>34</v>
      </c>
      <c r="P4715" s="8">
        <f t="shared" si="294"/>
        <v>6382</v>
      </c>
      <c r="Q4715" s="8">
        <f t="shared" si="295"/>
        <v>6314</v>
      </c>
      <c r="R4715" s="2" t="s">
        <v>50</v>
      </c>
      <c r="S4715" s="9">
        <f>VLOOKUP(P4715,$T$2:U4712,2,1)</f>
        <v>0.05</v>
      </c>
    </row>
    <row r="4716" spans="1:19" x14ac:dyDescent="0.25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e">
        <f>VLOOKUP(F4716,'Customer Info'!A4708:I5207,2,0)</f>
        <v>#N/A</v>
      </c>
      <c r="H4716" s="6" t="e">
        <f>VLOOKUP(F4716,'Customer Info'!A4708:I5207,3,0)</f>
        <v>#N/A</v>
      </c>
      <c r="I4716" s="6" t="e">
        <f>VLOOKUP(F4716,'Customer Info'!A4708:I5207,5,0)</f>
        <v>#N/A</v>
      </c>
      <c r="J4716" s="2">
        <v>5894</v>
      </c>
      <c r="K4716" s="2">
        <v>5621</v>
      </c>
      <c r="L4716" s="2">
        <v>2</v>
      </c>
      <c r="M4716" s="7">
        <f t="shared" si="292"/>
        <v>11242</v>
      </c>
      <c r="N4716" s="7">
        <f t="shared" si="293"/>
        <v>11788</v>
      </c>
      <c r="O4716" s="2">
        <v>79</v>
      </c>
      <c r="P4716" s="8">
        <f t="shared" si="294"/>
        <v>11867</v>
      </c>
      <c r="Q4716" s="8">
        <f t="shared" si="295"/>
        <v>11709</v>
      </c>
      <c r="R4716" s="2" t="s">
        <v>50</v>
      </c>
      <c r="S4716" s="9">
        <f>VLOOKUP(P4716,$T$2:U4713,2,1)</f>
        <v>0.05</v>
      </c>
    </row>
    <row r="4717" spans="1:19" x14ac:dyDescent="0.25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e">
        <f>VLOOKUP(F4717,'Customer Info'!A4709:I5208,2,0)</f>
        <v>#N/A</v>
      </c>
      <c r="H4717" s="6" t="e">
        <f>VLOOKUP(F4717,'Customer Info'!A4709:I5208,3,0)</f>
        <v>#N/A</v>
      </c>
      <c r="I4717" s="6" t="e">
        <f>VLOOKUP(F4717,'Customer Info'!A4709:I5208,5,0)</f>
        <v>#N/A</v>
      </c>
      <c r="J4717" s="2">
        <v>8869</v>
      </c>
      <c r="K4717" s="2">
        <v>7906</v>
      </c>
      <c r="L4717" s="2">
        <v>6</v>
      </c>
      <c r="M4717" s="7">
        <f t="shared" si="292"/>
        <v>47436</v>
      </c>
      <c r="N4717" s="7">
        <f t="shared" si="293"/>
        <v>53214</v>
      </c>
      <c r="O4717" s="2">
        <v>31</v>
      </c>
      <c r="P4717" s="8">
        <f t="shared" si="294"/>
        <v>53245</v>
      </c>
      <c r="Q4717" s="8">
        <f t="shared" si="295"/>
        <v>53183</v>
      </c>
      <c r="R4717" s="2" t="s">
        <v>28</v>
      </c>
      <c r="S4717" s="9">
        <f>VLOOKUP(P4717,$T$2:U4714,2,1)</f>
        <v>0.09</v>
      </c>
    </row>
    <row r="4718" spans="1:19" x14ac:dyDescent="0.25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e">
        <f>VLOOKUP(F4718,'Customer Info'!A4710:I5209,2,0)</f>
        <v>#N/A</v>
      </c>
      <c r="H4718" s="6" t="e">
        <f>VLOOKUP(F4718,'Customer Info'!A4710:I5209,3,0)</f>
        <v>#N/A</v>
      </c>
      <c r="I4718" s="6" t="e">
        <f>VLOOKUP(F4718,'Customer Info'!A4710:I5209,5,0)</f>
        <v>#N/A</v>
      </c>
      <c r="J4718" s="2">
        <v>279</v>
      </c>
      <c r="K4718" s="2">
        <v>254</v>
      </c>
      <c r="L4718" s="2">
        <v>1</v>
      </c>
      <c r="M4718" s="7">
        <f t="shared" si="292"/>
        <v>254</v>
      </c>
      <c r="N4718" s="7">
        <f t="shared" si="293"/>
        <v>279</v>
      </c>
      <c r="O4718" s="2">
        <v>69</v>
      </c>
      <c r="P4718" s="8">
        <f t="shared" si="294"/>
        <v>348</v>
      </c>
      <c r="Q4718" s="8">
        <f t="shared" si="295"/>
        <v>210</v>
      </c>
      <c r="R4718" s="2" t="s">
        <v>28</v>
      </c>
      <c r="S4718" s="9">
        <f>VLOOKUP(P4718,$T$2:U4715,2,1)</f>
        <v>0.02</v>
      </c>
    </row>
    <row r="4719" spans="1:19" x14ac:dyDescent="0.25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e">
        <f>VLOOKUP(F4719,'Customer Info'!A4711:I5210,2,0)</f>
        <v>#N/A</v>
      </c>
      <c r="H4719" s="6" t="e">
        <f>VLOOKUP(F4719,'Customer Info'!A4711:I5210,3,0)</f>
        <v>#N/A</v>
      </c>
      <c r="I4719" s="6" t="e">
        <f>VLOOKUP(F4719,'Customer Info'!A4711:I5210,5,0)</f>
        <v>#N/A</v>
      </c>
      <c r="J4719" s="2">
        <v>516</v>
      </c>
      <c r="K4719" s="2">
        <v>473</v>
      </c>
      <c r="L4719" s="2">
        <v>2</v>
      </c>
      <c r="M4719" s="7">
        <f t="shared" si="292"/>
        <v>946</v>
      </c>
      <c r="N4719" s="7">
        <f t="shared" si="293"/>
        <v>1032</v>
      </c>
      <c r="O4719" s="2">
        <v>59</v>
      </c>
      <c r="P4719" s="8">
        <f t="shared" si="294"/>
        <v>1091</v>
      </c>
      <c r="Q4719" s="8">
        <f t="shared" si="295"/>
        <v>973</v>
      </c>
      <c r="R4719" s="2" t="s">
        <v>28</v>
      </c>
      <c r="S4719" s="9">
        <f>VLOOKUP(P4719,$T$2:U4716,2,1)</f>
        <v>0.02</v>
      </c>
    </row>
    <row r="4720" spans="1:19" x14ac:dyDescent="0.25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e">
        <f>VLOOKUP(F4720,'Customer Info'!A4712:I5211,2,0)</f>
        <v>#N/A</v>
      </c>
      <c r="H4720" s="6" t="e">
        <f>VLOOKUP(F4720,'Customer Info'!A4712:I5211,3,0)</f>
        <v>#N/A</v>
      </c>
      <c r="I4720" s="6" t="e">
        <f>VLOOKUP(F4720,'Customer Info'!A4712:I5211,5,0)</f>
        <v>#N/A</v>
      </c>
      <c r="J4720" s="2">
        <v>887</v>
      </c>
      <c r="K4720" s="2">
        <v>814</v>
      </c>
      <c r="L4720" s="2">
        <v>2</v>
      </c>
      <c r="M4720" s="7">
        <f t="shared" si="292"/>
        <v>1628</v>
      </c>
      <c r="N4720" s="7">
        <f t="shared" si="293"/>
        <v>1774</v>
      </c>
      <c r="O4720" s="2">
        <v>57</v>
      </c>
      <c r="P4720" s="8">
        <f t="shared" si="294"/>
        <v>1831</v>
      </c>
      <c r="Q4720" s="8">
        <f t="shared" si="295"/>
        <v>1717</v>
      </c>
      <c r="R4720" s="2" t="s">
        <v>50</v>
      </c>
      <c r="S4720" s="9">
        <f>VLOOKUP(P4720,$T$2:U4717,2,1)</f>
        <v>0.02</v>
      </c>
    </row>
    <row r="4721" spans="1:19" x14ac:dyDescent="0.25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e">
        <f>VLOOKUP(F4721,'Customer Info'!A4713:I5212,2,0)</f>
        <v>#N/A</v>
      </c>
      <c r="H4721" s="6" t="e">
        <f>VLOOKUP(F4721,'Customer Info'!A4713:I5212,3,0)</f>
        <v>#N/A</v>
      </c>
      <c r="I4721" s="6" t="e">
        <f>VLOOKUP(F4721,'Customer Info'!A4713:I5212,5,0)</f>
        <v>#N/A</v>
      </c>
      <c r="J4721" s="2">
        <v>2808</v>
      </c>
      <c r="K4721" s="2">
        <v>2674</v>
      </c>
      <c r="L4721" s="2">
        <v>1</v>
      </c>
      <c r="M4721" s="7">
        <f t="shared" si="292"/>
        <v>2674</v>
      </c>
      <c r="N4721" s="7">
        <f t="shared" si="293"/>
        <v>2808</v>
      </c>
      <c r="O4721" s="2">
        <v>42</v>
      </c>
      <c r="P4721" s="8">
        <f t="shared" si="294"/>
        <v>2850</v>
      </c>
      <c r="Q4721" s="8">
        <f t="shared" si="295"/>
        <v>2766</v>
      </c>
      <c r="R4721" s="2" t="s">
        <v>28</v>
      </c>
      <c r="S4721" s="9">
        <f>VLOOKUP(P4721,$T$2:U4718,2,1)</f>
        <v>0.02</v>
      </c>
    </row>
    <row r="4722" spans="1:19" x14ac:dyDescent="0.25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e">
        <f>VLOOKUP(F4722,'Customer Info'!A4714:I5213,2,0)</f>
        <v>#N/A</v>
      </c>
      <c r="H4722" s="6" t="e">
        <f>VLOOKUP(F4722,'Customer Info'!A4714:I5213,3,0)</f>
        <v>#N/A</v>
      </c>
      <c r="I4722" s="6" t="e">
        <f>VLOOKUP(F4722,'Customer Info'!A4714:I5213,5,0)</f>
        <v>#N/A</v>
      </c>
      <c r="J4722" s="2">
        <v>4122</v>
      </c>
      <c r="K4722" s="2">
        <v>3781</v>
      </c>
      <c r="L4722" s="2">
        <v>2</v>
      </c>
      <c r="M4722" s="7">
        <f t="shared" si="292"/>
        <v>7562</v>
      </c>
      <c r="N4722" s="7">
        <f t="shared" si="293"/>
        <v>8244</v>
      </c>
      <c r="O4722" s="2">
        <v>49</v>
      </c>
      <c r="P4722" s="8">
        <f t="shared" si="294"/>
        <v>8293</v>
      </c>
      <c r="Q4722" s="8">
        <f t="shared" si="295"/>
        <v>8195</v>
      </c>
      <c r="R4722" s="2" t="s">
        <v>28</v>
      </c>
      <c r="S4722" s="9">
        <f>VLOOKUP(P4722,$T$2:U4719,2,1)</f>
        <v>0.05</v>
      </c>
    </row>
    <row r="4723" spans="1:19" x14ac:dyDescent="0.25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e">
        <f>VLOOKUP(F4723,'Customer Info'!A4715:I5214,2,0)</f>
        <v>#N/A</v>
      </c>
      <c r="H4723" s="6" t="e">
        <f>VLOOKUP(F4723,'Customer Info'!A4715:I5214,3,0)</f>
        <v>#N/A</v>
      </c>
      <c r="I4723" s="6" t="e">
        <f>VLOOKUP(F4723,'Customer Info'!A4715:I5214,5,0)</f>
        <v>#N/A</v>
      </c>
      <c r="J4723" s="2">
        <v>218</v>
      </c>
      <c r="K4723" s="2">
        <v>200</v>
      </c>
      <c r="L4723" s="2">
        <v>3</v>
      </c>
      <c r="M4723" s="7">
        <f t="shared" si="292"/>
        <v>600</v>
      </c>
      <c r="N4723" s="7">
        <f t="shared" si="293"/>
        <v>654</v>
      </c>
      <c r="O4723" s="2">
        <v>37</v>
      </c>
      <c r="P4723" s="8">
        <f t="shared" si="294"/>
        <v>691</v>
      </c>
      <c r="Q4723" s="8">
        <f t="shared" si="295"/>
        <v>617</v>
      </c>
      <c r="R4723" s="2" t="s">
        <v>50</v>
      </c>
      <c r="S4723" s="9">
        <f>VLOOKUP(P4723,$T$2:U4720,2,1)</f>
        <v>0.02</v>
      </c>
    </row>
    <row r="4724" spans="1:19" x14ac:dyDescent="0.25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e">
        <f>VLOOKUP(F4724,'Customer Info'!A4716:I5215,2,0)</f>
        <v>#N/A</v>
      </c>
      <c r="H4724" s="6" t="e">
        <f>VLOOKUP(F4724,'Customer Info'!A4716:I5215,3,0)</f>
        <v>#N/A</v>
      </c>
      <c r="I4724" s="6" t="e">
        <f>VLOOKUP(F4724,'Customer Info'!A4716:I5215,5,0)</f>
        <v>#N/A</v>
      </c>
      <c r="J4724" s="2">
        <v>2244</v>
      </c>
      <c r="K4724" s="2">
        <v>2143</v>
      </c>
      <c r="L4724" s="2">
        <v>3</v>
      </c>
      <c r="M4724" s="7">
        <f t="shared" si="292"/>
        <v>6429</v>
      </c>
      <c r="N4724" s="7">
        <f t="shared" si="293"/>
        <v>6732</v>
      </c>
      <c r="O4724" s="2">
        <v>57</v>
      </c>
      <c r="P4724" s="8">
        <f t="shared" si="294"/>
        <v>6789</v>
      </c>
      <c r="Q4724" s="8">
        <f t="shared" si="295"/>
        <v>6675</v>
      </c>
      <c r="R4724" s="2" t="s">
        <v>50</v>
      </c>
      <c r="S4724" s="9">
        <f>VLOOKUP(P4724,$T$2:U4721,2,1)</f>
        <v>0.05</v>
      </c>
    </row>
    <row r="4725" spans="1:19" x14ac:dyDescent="0.25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e">
        <f>VLOOKUP(F4725,'Customer Info'!A4717:I5216,2,0)</f>
        <v>#N/A</v>
      </c>
      <c r="H4725" s="6" t="e">
        <f>VLOOKUP(F4725,'Customer Info'!A4717:I5216,3,0)</f>
        <v>#N/A</v>
      </c>
      <c r="I4725" s="6" t="e">
        <f>VLOOKUP(F4725,'Customer Info'!A4717:I5216,5,0)</f>
        <v>#N/A</v>
      </c>
      <c r="J4725" s="2">
        <v>2466</v>
      </c>
      <c r="K4725" s="2">
        <v>2350</v>
      </c>
      <c r="L4725" s="2">
        <v>3</v>
      </c>
      <c r="M4725" s="7">
        <f t="shared" si="292"/>
        <v>7050</v>
      </c>
      <c r="N4725" s="7">
        <f t="shared" si="293"/>
        <v>7398</v>
      </c>
      <c r="O4725" s="2">
        <v>100</v>
      </c>
      <c r="P4725" s="8">
        <f t="shared" si="294"/>
        <v>7498</v>
      </c>
      <c r="Q4725" s="8">
        <f t="shared" si="295"/>
        <v>7298</v>
      </c>
      <c r="R4725" s="2" t="s">
        <v>50</v>
      </c>
      <c r="S4725" s="9">
        <f>VLOOKUP(P4725,$T$2:U4722,2,1)</f>
        <v>0.05</v>
      </c>
    </row>
    <row r="4726" spans="1:19" x14ac:dyDescent="0.25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e">
        <f>VLOOKUP(F4726,'Customer Info'!A4718:I5217,2,0)</f>
        <v>#N/A</v>
      </c>
      <c r="H4726" s="6" t="e">
        <f>VLOOKUP(F4726,'Customer Info'!A4718:I5217,3,0)</f>
        <v>#N/A</v>
      </c>
      <c r="I4726" s="6" t="e">
        <f>VLOOKUP(F4726,'Customer Info'!A4718:I5217,5,0)</f>
        <v>#N/A</v>
      </c>
      <c r="J4726" s="2">
        <v>279</v>
      </c>
      <c r="K4726" s="2">
        <v>254</v>
      </c>
      <c r="L4726" s="2">
        <v>1</v>
      </c>
      <c r="M4726" s="7">
        <f t="shared" si="292"/>
        <v>254</v>
      </c>
      <c r="N4726" s="7">
        <f t="shared" si="293"/>
        <v>279</v>
      </c>
      <c r="O4726" s="2">
        <v>65</v>
      </c>
      <c r="P4726" s="8">
        <f t="shared" si="294"/>
        <v>344</v>
      </c>
      <c r="Q4726" s="8">
        <f t="shared" si="295"/>
        <v>214</v>
      </c>
      <c r="R4726" s="2" t="s">
        <v>26</v>
      </c>
      <c r="S4726" s="9">
        <f>VLOOKUP(P4726,$T$2:U4723,2,1)</f>
        <v>0.02</v>
      </c>
    </row>
    <row r="4727" spans="1:19" x14ac:dyDescent="0.25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e">
        <f>VLOOKUP(F4727,'Customer Info'!A4719:I5218,2,0)</f>
        <v>#N/A</v>
      </c>
      <c r="H4727" s="6" t="e">
        <f>VLOOKUP(F4727,'Customer Info'!A4719:I5218,3,0)</f>
        <v>#N/A</v>
      </c>
      <c r="I4727" s="6" t="e">
        <f>VLOOKUP(F4727,'Customer Info'!A4719:I5218,5,0)</f>
        <v>#N/A</v>
      </c>
      <c r="J4727" s="2">
        <v>1552</v>
      </c>
      <c r="K4727" s="2">
        <v>1466</v>
      </c>
      <c r="L4727" s="2">
        <v>4</v>
      </c>
      <c r="M4727" s="7">
        <f t="shared" si="292"/>
        <v>5864</v>
      </c>
      <c r="N4727" s="7">
        <f t="shared" si="293"/>
        <v>6208</v>
      </c>
      <c r="O4727" s="2">
        <v>66</v>
      </c>
      <c r="P4727" s="8">
        <f t="shared" si="294"/>
        <v>6274</v>
      </c>
      <c r="Q4727" s="8">
        <f t="shared" si="295"/>
        <v>6142</v>
      </c>
      <c r="R4727" s="2" t="s">
        <v>50</v>
      </c>
      <c r="S4727" s="9">
        <f>VLOOKUP(P4727,$T$2:U4724,2,1)</f>
        <v>0.05</v>
      </c>
    </row>
    <row r="4728" spans="1:19" x14ac:dyDescent="0.25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e">
        <f>VLOOKUP(F4728,'Customer Info'!A4720:I5219,2,0)</f>
        <v>#N/A</v>
      </c>
      <c r="H4728" s="6" t="e">
        <f>VLOOKUP(F4728,'Customer Info'!A4720:I5219,3,0)</f>
        <v>#N/A</v>
      </c>
      <c r="I4728" s="6" t="e">
        <f>VLOOKUP(F4728,'Customer Info'!A4720:I5219,5,0)</f>
        <v>#N/A</v>
      </c>
      <c r="J4728" s="2">
        <v>6520</v>
      </c>
      <c r="K4728" s="2">
        <v>5985</v>
      </c>
      <c r="L4728" s="2">
        <v>7</v>
      </c>
      <c r="M4728" s="7">
        <f t="shared" si="292"/>
        <v>41895</v>
      </c>
      <c r="N4728" s="7">
        <f t="shared" si="293"/>
        <v>45640</v>
      </c>
      <c r="O4728" s="2">
        <v>52</v>
      </c>
      <c r="P4728" s="8">
        <f t="shared" si="294"/>
        <v>45692</v>
      </c>
      <c r="Q4728" s="8">
        <f t="shared" si="295"/>
        <v>45588</v>
      </c>
      <c r="R4728" s="2" t="s">
        <v>26</v>
      </c>
      <c r="S4728" s="9">
        <f>VLOOKUP(P4728,$T$2:U4725,2,1)</f>
        <v>7.0000000000000007E-2</v>
      </c>
    </row>
    <row r="4729" spans="1:19" x14ac:dyDescent="0.25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e">
        <f>VLOOKUP(F4729,'Customer Info'!A4721:I5220,2,0)</f>
        <v>#N/A</v>
      </c>
      <c r="H4729" s="6" t="e">
        <f>VLOOKUP(F4729,'Customer Info'!A4721:I5220,3,0)</f>
        <v>#N/A</v>
      </c>
      <c r="I4729" s="6" t="e">
        <f>VLOOKUP(F4729,'Customer Info'!A4721:I5220,5,0)</f>
        <v>#N/A</v>
      </c>
      <c r="J4729" s="2">
        <v>6337</v>
      </c>
      <c r="K4729" s="2">
        <v>6215</v>
      </c>
      <c r="L4729" s="2">
        <v>2</v>
      </c>
      <c r="M4729" s="7">
        <f t="shared" si="292"/>
        <v>12430</v>
      </c>
      <c r="N4729" s="7">
        <f t="shared" si="293"/>
        <v>12674</v>
      </c>
      <c r="O4729" s="2">
        <v>74</v>
      </c>
      <c r="P4729" s="8">
        <f t="shared" si="294"/>
        <v>12748</v>
      </c>
      <c r="Q4729" s="8">
        <f t="shared" si="295"/>
        <v>12600</v>
      </c>
      <c r="R4729" s="2" t="s">
        <v>26</v>
      </c>
      <c r="S4729" s="9">
        <f>VLOOKUP(P4729,$T$2:U4726,2,1)</f>
        <v>0.05</v>
      </c>
    </row>
    <row r="4730" spans="1:19" x14ac:dyDescent="0.25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e">
        <f>VLOOKUP(F4730,'Customer Info'!A4722:I5221,2,0)</f>
        <v>#N/A</v>
      </c>
      <c r="H4730" s="6" t="e">
        <f>VLOOKUP(F4730,'Customer Info'!A4722:I5221,3,0)</f>
        <v>#N/A</v>
      </c>
      <c r="I4730" s="6" t="e">
        <f>VLOOKUP(F4730,'Customer Info'!A4722:I5221,5,0)</f>
        <v>#N/A</v>
      </c>
      <c r="J4730" s="2">
        <v>1569</v>
      </c>
      <c r="K4730" s="2">
        <v>1466</v>
      </c>
      <c r="L4730" s="2">
        <v>6</v>
      </c>
      <c r="M4730" s="7">
        <f t="shared" si="292"/>
        <v>8796</v>
      </c>
      <c r="N4730" s="7">
        <f t="shared" si="293"/>
        <v>9414</v>
      </c>
      <c r="O4730" s="2">
        <v>55</v>
      </c>
      <c r="P4730" s="8">
        <f t="shared" si="294"/>
        <v>9469</v>
      </c>
      <c r="Q4730" s="8">
        <f t="shared" si="295"/>
        <v>9359</v>
      </c>
      <c r="R4730" s="2" t="s">
        <v>50</v>
      </c>
      <c r="S4730" s="9">
        <f>VLOOKUP(P4730,$T$2:U4727,2,1)</f>
        <v>0.05</v>
      </c>
    </row>
    <row r="4731" spans="1:19" x14ac:dyDescent="0.25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e">
        <f>VLOOKUP(F4731,'Customer Info'!A4723:I5222,2,0)</f>
        <v>#N/A</v>
      </c>
      <c r="H4731" s="6" t="e">
        <f>VLOOKUP(F4731,'Customer Info'!A4723:I5222,3,0)</f>
        <v>#N/A</v>
      </c>
      <c r="I4731" s="6" t="e">
        <f>VLOOKUP(F4731,'Customer Info'!A4723:I5222,5,0)</f>
        <v>#N/A</v>
      </c>
      <c r="J4731" s="2">
        <v>140</v>
      </c>
      <c r="K4731" s="2">
        <v>137</v>
      </c>
      <c r="L4731" s="2">
        <v>2</v>
      </c>
      <c r="M4731" s="7">
        <f t="shared" si="292"/>
        <v>274</v>
      </c>
      <c r="N4731" s="7">
        <f t="shared" si="293"/>
        <v>280</v>
      </c>
      <c r="O4731" s="2">
        <v>30</v>
      </c>
      <c r="P4731" s="8">
        <f t="shared" si="294"/>
        <v>310</v>
      </c>
      <c r="Q4731" s="8">
        <f t="shared" si="295"/>
        <v>250</v>
      </c>
      <c r="R4731" s="2" t="s">
        <v>50</v>
      </c>
      <c r="S4731" s="9">
        <f>VLOOKUP(P4731,$T$2:U4728,2,1)</f>
        <v>0.02</v>
      </c>
    </row>
    <row r="4732" spans="1:19" x14ac:dyDescent="0.25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e">
        <f>VLOOKUP(F4732,'Customer Info'!A4724:I5223,2,0)</f>
        <v>#N/A</v>
      </c>
      <c r="H4732" s="6" t="e">
        <f>VLOOKUP(F4732,'Customer Info'!A4724:I5223,3,0)</f>
        <v>#N/A</v>
      </c>
      <c r="I4732" s="6" t="e">
        <f>VLOOKUP(F4732,'Customer Info'!A4724:I5223,5,0)</f>
        <v>#N/A</v>
      </c>
      <c r="J4732" s="2">
        <v>2857</v>
      </c>
      <c r="K4732" s="2">
        <v>2622</v>
      </c>
      <c r="L4732" s="2">
        <v>1</v>
      </c>
      <c r="M4732" s="7">
        <f t="shared" si="292"/>
        <v>2622</v>
      </c>
      <c r="N4732" s="7">
        <f t="shared" si="293"/>
        <v>2857</v>
      </c>
      <c r="O4732" s="2">
        <v>97</v>
      </c>
      <c r="P4732" s="8">
        <f t="shared" si="294"/>
        <v>2954</v>
      </c>
      <c r="Q4732" s="8">
        <f t="shared" si="295"/>
        <v>2760</v>
      </c>
      <c r="R4732" s="2" t="s">
        <v>28</v>
      </c>
      <c r="S4732" s="9">
        <f>VLOOKUP(P4732,$T$2:U4729,2,1)</f>
        <v>0.02</v>
      </c>
    </row>
    <row r="4733" spans="1:19" x14ac:dyDescent="0.25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e">
        <f>VLOOKUP(F4733,'Customer Info'!A4725:I5224,2,0)</f>
        <v>#N/A</v>
      </c>
      <c r="H4733" s="6" t="e">
        <f>VLOOKUP(F4733,'Customer Info'!A4725:I5224,3,0)</f>
        <v>#N/A</v>
      </c>
      <c r="I4733" s="6" t="e">
        <f>VLOOKUP(F4733,'Customer Info'!A4725:I5224,5,0)</f>
        <v>#N/A</v>
      </c>
      <c r="J4733" s="2">
        <v>4246</v>
      </c>
      <c r="K4733" s="2">
        <v>3857</v>
      </c>
      <c r="L4733" s="2">
        <v>3</v>
      </c>
      <c r="M4733" s="7">
        <f t="shared" si="292"/>
        <v>11571</v>
      </c>
      <c r="N4733" s="7">
        <f t="shared" si="293"/>
        <v>12738</v>
      </c>
      <c r="O4733" s="2">
        <v>20</v>
      </c>
      <c r="P4733" s="8">
        <f t="shared" si="294"/>
        <v>12758</v>
      </c>
      <c r="Q4733" s="8">
        <f t="shared" si="295"/>
        <v>12718</v>
      </c>
      <c r="R4733" s="2" t="s">
        <v>50</v>
      </c>
      <c r="S4733" s="9">
        <f>VLOOKUP(P4733,$T$2:U4730,2,1)</f>
        <v>0.05</v>
      </c>
    </row>
    <row r="4734" spans="1:19" x14ac:dyDescent="0.25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e">
        <f>VLOOKUP(F4734,'Customer Info'!A4726:I5225,2,0)</f>
        <v>#N/A</v>
      </c>
      <c r="H4734" s="6" t="e">
        <f>VLOOKUP(F4734,'Customer Info'!A4726:I5225,3,0)</f>
        <v>#N/A</v>
      </c>
      <c r="I4734" s="6" t="e">
        <f>VLOOKUP(F4734,'Customer Info'!A4726:I5225,5,0)</f>
        <v>#N/A</v>
      </c>
      <c r="J4734" s="2">
        <v>8878</v>
      </c>
      <c r="K4734" s="2">
        <v>7914</v>
      </c>
      <c r="L4734" s="2">
        <v>2</v>
      </c>
      <c r="M4734" s="7">
        <f t="shared" si="292"/>
        <v>15828</v>
      </c>
      <c r="N4734" s="7">
        <f t="shared" si="293"/>
        <v>17756</v>
      </c>
      <c r="O4734" s="2">
        <v>89</v>
      </c>
      <c r="P4734" s="8">
        <f t="shared" si="294"/>
        <v>17845</v>
      </c>
      <c r="Q4734" s="8">
        <f t="shared" si="295"/>
        <v>17667</v>
      </c>
      <c r="R4734" s="2" t="s">
        <v>28</v>
      </c>
      <c r="S4734" s="9">
        <f>VLOOKUP(P4734,$T$2:U4731,2,1)</f>
        <v>0.05</v>
      </c>
    </row>
    <row r="4735" spans="1:19" x14ac:dyDescent="0.25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e">
        <f>VLOOKUP(F4735,'Customer Info'!A4727:I5226,2,0)</f>
        <v>#N/A</v>
      </c>
      <c r="H4735" s="6" t="e">
        <f>VLOOKUP(F4735,'Customer Info'!A4727:I5226,3,0)</f>
        <v>#N/A</v>
      </c>
      <c r="I4735" s="6" t="e">
        <f>VLOOKUP(F4735,'Customer Info'!A4727:I5226,5,0)</f>
        <v>#N/A</v>
      </c>
      <c r="J4735" s="2">
        <v>61</v>
      </c>
      <c r="K4735" s="2">
        <v>56</v>
      </c>
      <c r="L4735" s="2">
        <v>3</v>
      </c>
      <c r="M4735" s="7">
        <f t="shared" si="292"/>
        <v>168</v>
      </c>
      <c r="N4735" s="7">
        <f t="shared" si="293"/>
        <v>183</v>
      </c>
      <c r="O4735" s="2">
        <v>10</v>
      </c>
      <c r="P4735" s="8">
        <f t="shared" si="294"/>
        <v>193</v>
      </c>
      <c r="Q4735" s="8">
        <f t="shared" si="295"/>
        <v>173</v>
      </c>
      <c r="R4735" s="2" t="s">
        <v>50</v>
      </c>
      <c r="S4735" s="9">
        <f>VLOOKUP(P4735,$T$2:U4732,2,1)</f>
        <v>0.02</v>
      </c>
    </row>
    <row r="4736" spans="1:19" x14ac:dyDescent="0.25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e">
        <f>VLOOKUP(F4736,'Customer Info'!A4728:I5227,2,0)</f>
        <v>#N/A</v>
      </c>
      <c r="H4736" s="6" t="e">
        <f>VLOOKUP(F4736,'Customer Info'!A4728:I5227,3,0)</f>
        <v>#N/A</v>
      </c>
      <c r="I4736" s="6" t="e">
        <f>VLOOKUP(F4736,'Customer Info'!A4728:I5227,5,0)</f>
        <v>#N/A</v>
      </c>
      <c r="J4736" s="2">
        <v>7474</v>
      </c>
      <c r="K4736" s="2">
        <v>6858</v>
      </c>
      <c r="L4736" s="2">
        <v>6</v>
      </c>
      <c r="M4736" s="7">
        <f t="shared" si="292"/>
        <v>41148</v>
      </c>
      <c r="N4736" s="7">
        <f t="shared" si="293"/>
        <v>44844</v>
      </c>
      <c r="O4736" s="2">
        <v>96</v>
      </c>
      <c r="P4736" s="8">
        <f t="shared" si="294"/>
        <v>44940</v>
      </c>
      <c r="Q4736" s="8">
        <f t="shared" si="295"/>
        <v>44748</v>
      </c>
      <c r="R4736" s="2" t="s">
        <v>28</v>
      </c>
      <c r="S4736" s="9">
        <f>VLOOKUP(P4736,$T$2:U4733,2,1)</f>
        <v>7.0000000000000007E-2</v>
      </c>
    </row>
    <row r="4737" spans="1:19" x14ac:dyDescent="0.25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e">
        <f>VLOOKUP(F4737,'Customer Info'!A4729:I5228,2,0)</f>
        <v>#N/A</v>
      </c>
      <c r="H4737" s="6" t="e">
        <f>VLOOKUP(F4737,'Customer Info'!A4729:I5228,3,0)</f>
        <v>#N/A</v>
      </c>
      <c r="I4737" s="6" t="e">
        <f>VLOOKUP(F4737,'Customer Info'!A4729:I5228,5,0)</f>
        <v>#N/A</v>
      </c>
      <c r="J4737" s="2">
        <v>2083</v>
      </c>
      <c r="K4737" s="2">
        <v>2004</v>
      </c>
      <c r="L4737" s="2">
        <v>1</v>
      </c>
      <c r="M4737" s="7">
        <f t="shared" si="292"/>
        <v>2004</v>
      </c>
      <c r="N4737" s="7">
        <f t="shared" si="293"/>
        <v>2083</v>
      </c>
      <c r="O4737" s="2">
        <v>68</v>
      </c>
      <c r="P4737" s="8">
        <f t="shared" si="294"/>
        <v>2151</v>
      </c>
      <c r="Q4737" s="8">
        <f t="shared" si="295"/>
        <v>2015</v>
      </c>
      <c r="R4737" s="2" t="s">
        <v>28</v>
      </c>
      <c r="S4737" s="9">
        <f>VLOOKUP(P4737,$T$2:U4734,2,1)</f>
        <v>0.02</v>
      </c>
    </row>
    <row r="4738" spans="1:19" x14ac:dyDescent="0.25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e">
        <f>VLOOKUP(F4738,'Customer Info'!A4730:I5229,2,0)</f>
        <v>#N/A</v>
      </c>
      <c r="H4738" s="6" t="e">
        <f>VLOOKUP(F4738,'Customer Info'!A4730:I5229,3,0)</f>
        <v>#N/A</v>
      </c>
      <c r="I4738" s="6" t="e">
        <f>VLOOKUP(F4738,'Customer Info'!A4730:I5229,5,0)</f>
        <v>#N/A</v>
      </c>
      <c r="J4738" s="2">
        <v>69</v>
      </c>
      <c r="K4738" s="2">
        <v>64</v>
      </c>
      <c r="L4738" s="2">
        <v>1</v>
      </c>
      <c r="M4738" s="7">
        <f t="shared" si="292"/>
        <v>64</v>
      </c>
      <c r="N4738" s="7">
        <f t="shared" si="293"/>
        <v>69</v>
      </c>
      <c r="O4738" s="2">
        <v>10</v>
      </c>
      <c r="P4738" s="8">
        <f t="shared" si="294"/>
        <v>79</v>
      </c>
      <c r="Q4738" s="8">
        <f t="shared" si="295"/>
        <v>59</v>
      </c>
      <c r="R4738" s="2" t="s">
        <v>28</v>
      </c>
      <c r="S4738" s="9">
        <f>VLOOKUP(P4738,$T$2:U4735,2,1)</f>
        <v>0.02</v>
      </c>
    </row>
    <row r="4739" spans="1:19" x14ac:dyDescent="0.25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e">
        <f>VLOOKUP(F4739,'Customer Info'!A4731:I5230,2,0)</f>
        <v>#N/A</v>
      </c>
      <c r="H4739" s="6" t="e">
        <f>VLOOKUP(F4739,'Customer Info'!A4731:I5230,3,0)</f>
        <v>#N/A</v>
      </c>
      <c r="I4739" s="6" t="e">
        <f>VLOOKUP(F4739,'Customer Info'!A4731:I5230,5,0)</f>
        <v>#N/A</v>
      </c>
      <c r="J4739" s="2">
        <v>7943</v>
      </c>
      <c r="K4739" s="2">
        <v>7790</v>
      </c>
      <c r="L4739" s="2">
        <v>2</v>
      </c>
      <c r="M4739" s="7">
        <f t="shared" si="292"/>
        <v>15580</v>
      </c>
      <c r="N4739" s="7">
        <f t="shared" si="293"/>
        <v>15886</v>
      </c>
      <c r="O4739" s="2">
        <v>71</v>
      </c>
      <c r="P4739" s="8">
        <f t="shared" si="294"/>
        <v>15957</v>
      </c>
      <c r="Q4739" s="8">
        <f t="shared" si="295"/>
        <v>15815</v>
      </c>
      <c r="R4739" s="2" t="s">
        <v>28</v>
      </c>
      <c r="S4739" s="9">
        <f>VLOOKUP(P4739,$T$2:U4736,2,1)</f>
        <v>0.05</v>
      </c>
    </row>
    <row r="4740" spans="1:19" x14ac:dyDescent="0.25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e">
        <f>VLOOKUP(F4740,'Customer Info'!A4732:I5231,2,0)</f>
        <v>#N/A</v>
      </c>
      <c r="H4740" s="6" t="e">
        <f>VLOOKUP(F4740,'Customer Info'!A4732:I5231,3,0)</f>
        <v>#N/A</v>
      </c>
      <c r="I4740" s="6" t="e">
        <f>VLOOKUP(F4740,'Customer Info'!A4732:I5231,5,0)</f>
        <v>#N/A</v>
      </c>
      <c r="J4740" s="2">
        <v>2874</v>
      </c>
      <c r="K4740" s="2">
        <v>2583</v>
      </c>
      <c r="L4740" s="2">
        <v>2</v>
      </c>
      <c r="M4740" s="7">
        <f t="shared" si="292"/>
        <v>5166</v>
      </c>
      <c r="N4740" s="7">
        <f t="shared" si="293"/>
        <v>5748</v>
      </c>
      <c r="O4740" s="2">
        <v>86</v>
      </c>
      <c r="P4740" s="8">
        <f t="shared" si="294"/>
        <v>5834</v>
      </c>
      <c r="Q4740" s="8">
        <f t="shared" si="295"/>
        <v>5662</v>
      </c>
      <c r="R4740" s="2" t="s">
        <v>28</v>
      </c>
      <c r="S4740" s="9">
        <f>VLOOKUP(P4740,$T$2:U4737,2,1)</f>
        <v>0.05</v>
      </c>
    </row>
    <row r="4741" spans="1:19" x14ac:dyDescent="0.25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e">
        <f>VLOOKUP(F4741,'Customer Info'!A4733:I5232,2,0)</f>
        <v>#N/A</v>
      </c>
      <c r="H4741" s="6" t="e">
        <f>VLOOKUP(F4741,'Customer Info'!A4733:I5232,3,0)</f>
        <v>#N/A</v>
      </c>
      <c r="I4741" s="6" t="e">
        <f>VLOOKUP(F4741,'Customer Info'!A4733:I5232,5,0)</f>
        <v>#N/A</v>
      </c>
      <c r="J4741" s="2">
        <v>4904</v>
      </c>
      <c r="K4741" s="2">
        <v>4499</v>
      </c>
      <c r="L4741" s="2">
        <v>2</v>
      </c>
      <c r="M4741" s="7">
        <f t="shared" si="292"/>
        <v>8998</v>
      </c>
      <c r="N4741" s="7">
        <f t="shared" si="293"/>
        <v>9808</v>
      </c>
      <c r="O4741" s="2">
        <v>56</v>
      </c>
      <c r="P4741" s="8">
        <f t="shared" si="294"/>
        <v>9864</v>
      </c>
      <c r="Q4741" s="8">
        <f t="shared" si="295"/>
        <v>9752</v>
      </c>
      <c r="R4741" s="2" t="s">
        <v>28</v>
      </c>
      <c r="S4741" s="9">
        <f>VLOOKUP(P4741,$T$2:U4738,2,1)</f>
        <v>0.05</v>
      </c>
    </row>
    <row r="4742" spans="1:19" x14ac:dyDescent="0.25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e">
        <f>VLOOKUP(F4742,'Customer Info'!A4734:I5233,2,0)</f>
        <v>#N/A</v>
      </c>
      <c r="H4742" s="6" t="e">
        <f>VLOOKUP(F4742,'Customer Info'!A4734:I5233,3,0)</f>
        <v>#N/A</v>
      </c>
      <c r="I4742" s="6" t="e">
        <f>VLOOKUP(F4742,'Customer Info'!A4734:I5233,5,0)</f>
        <v>#N/A</v>
      </c>
      <c r="J4742" s="2">
        <v>1882</v>
      </c>
      <c r="K4742" s="2">
        <v>1792</v>
      </c>
      <c r="L4742" s="2">
        <v>3</v>
      </c>
      <c r="M4742" s="7">
        <f t="shared" si="292"/>
        <v>5376</v>
      </c>
      <c r="N4742" s="7">
        <f t="shared" si="293"/>
        <v>5646</v>
      </c>
      <c r="O4742" s="2">
        <v>60</v>
      </c>
      <c r="P4742" s="8">
        <f t="shared" si="294"/>
        <v>5706</v>
      </c>
      <c r="Q4742" s="8">
        <f t="shared" si="295"/>
        <v>5586</v>
      </c>
      <c r="R4742" s="2" t="s">
        <v>50</v>
      </c>
      <c r="S4742" s="9">
        <f>VLOOKUP(P4742,$T$2:U4739,2,1)</f>
        <v>0.05</v>
      </c>
    </row>
    <row r="4743" spans="1:19" x14ac:dyDescent="0.25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e">
        <f>VLOOKUP(F4743,'Customer Info'!A4735:I5234,2,0)</f>
        <v>#N/A</v>
      </c>
      <c r="H4743" s="6" t="e">
        <f>VLOOKUP(F4743,'Customer Info'!A4735:I5234,3,0)</f>
        <v>#N/A</v>
      </c>
      <c r="I4743" s="6" t="e">
        <f>VLOOKUP(F4743,'Customer Info'!A4735:I5234,5,0)</f>
        <v>#N/A</v>
      </c>
      <c r="J4743" s="2">
        <v>140</v>
      </c>
      <c r="K4743" s="2">
        <v>137</v>
      </c>
      <c r="L4743" s="2">
        <v>2</v>
      </c>
      <c r="M4743" s="7">
        <f t="shared" si="292"/>
        <v>274</v>
      </c>
      <c r="N4743" s="7">
        <f t="shared" si="293"/>
        <v>280</v>
      </c>
      <c r="O4743" s="2">
        <v>30</v>
      </c>
      <c r="P4743" s="8">
        <f t="shared" si="294"/>
        <v>310</v>
      </c>
      <c r="Q4743" s="8">
        <f t="shared" si="295"/>
        <v>250</v>
      </c>
      <c r="R4743" s="2" t="s">
        <v>50</v>
      </c>
      <c r="S4743" s="9">
        <f>VLOOKUP(P4743,$T$2:U4740,2,1)</f>
        <v>0.02</v>
      </c>
    </row>
    <row r="4744" spans="1:19" x14ac:dyDescent="0.25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e">
        <f>VLOOKUP(F4744,'Customer Info'!A4736:I5235,2,0)</f>
        <v>#N/A</v>
      </c>
      <c r="H4744" s="6" t="e">
        <f>VLOOKUP(F4744,'Customer Info'!A4736:I5235,3,0)</f>
        <v>#N/A</v>
      </c>
      <c r="I4744" s="6" t="e">
        <f>VLOOKUP(F4744,'Customer Info'!A4736:I5235,5,0)</f>
        <v>#N/A</v>
      </c>
      <c r="J4744" s="2">
        <v>9306</v>
      </c>
      <c r="K4744" s="2">
        <v>8461</v>
      </c>
      <c r="L4744" s="2">
        <v>3</v>
      </c>
      <c r="M4744" s="7">
        <f t="shared" si="292"/>
        <v>25383</v>
      </c>
      <c r="N4744" s="7">
        <f t="shared" si="293"/>
        <v>27918</v>
      </c>
      <c r="O4744" s="2">
        <v>39</v>
      </c>
      <c r="P4744" s="8">
        <f t="shared" si="294"/>
        <v>27957</v>
      </c>
      <c r="Q4744" s="8">
        <f t="shared" si="295"/>
        <v>27879</v>
      </c>
      <c r="R4744" s="2" t="s">
        <v>50</v>
      </c>
      <c r="S4744" s="9">
        <f>VLOOKUP(P4744,$T$2:U4741,2,1)</f>
        <v>7.0000000000000007E-2</v>
      </c>
    </row>
    <row r="4745" spans="1:19" x14ac:dyDescent="0.25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e">
        <f>VLOOKUP(F4745,'Customer Info'!A4737:I5236,2,0)</f>
        <v>#N/A</v>
      </c>
      <c r="H4745" s="6" t="e">
        <f>VLOOKUP(F4745,'Customer Info'!A4737:I5236,3,0)</f>
        <v>#N/A</v>
      </c>
      <c r="I4745" s="6" t="e">
        <f>VLOOKUP(F4745,'Customer Info'!A4737:I5236,5,0)</f>
        <v>#N/A</v>
      </c>
      <c r="J4745" s="2">
        <v>1364</v>
      </c>
      <c r="K4745" s="2">
        <v>1274</v>
      </c>
      <c r="L4745" s="2">
        <v>4</v>
      </c>
      <c r="M4745" s="7">
        <f t="shared" si="292"/>
        <v>5096</v>
      </c>
      <c r="N4745" s="7">
        <f t="shared" si="293"/>
        <v>5456</v>
      </c>
      <c r="O4745" s="2">
        <v>51</v>
      </c>
      <c r="P4745" s="8">
        <f t="shared" si="294"/>
        <v>5507</v>
      </c>
      <c r="Q4745" s="8">
        <f t="shared" si="295"/>
        <v>5405</v>
      </c>
      <c r="R4745" s="2" t="s">
        <v>56</v>
      </c>
      <c r="S4745" s="9">
        <f>VLOOKUP(P4745,$T$2:U4742,2,1)</f>
        <v>0.05</v>
      </c>
    </row>
    <row r="4746" spans="1:19" x14ac:dyDescent="0.25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e">
        <f>VLOOKUP(F4746,'Customer Info'!A4738:I5237,2,0)</f>
        <v>#N/A</v>
      </c>
      <c r="H4746" s="6" t="e">
        <f>VLOOKUP(F4746,'Customer Info'!A4738:I5237,3,0)</f>
        <v>#N/A</v>
      </c>
      <c r="I4746" s="6" t="e">
        <f>VLOOKUP(F4746,'Customer Info'!A4738:I5237,5,0)</f>
        <v>#N/A</v>
      </c>
      <c r="J4746" s="2">
        <v>58</v>
      </c>
      <c r="K4746" s="2">
        <v>56</v>
      </c>
      <c r="L4746" s="2">
        <v>2</v>
      </c>
      <c r="M4746" s="7">
        <f t="shared" si="292"/>
        <v>112</v>
      </c>
      <c r="N4746" s="7">
        <f t="shared" si="293"/>
        <v>116</v>
      </c>
      <c r="O4746" s="2">
        <v>10</v>
      </c>
      <c r="P4746" s="8">
        <f t="shared" si="294"/>
        <v>126</v>
      </c>
      <c r="Q4746" s="8">
        <f t="shared" si="295"/>
        <v>106</v>
      </c>
      <c r="R4746" s="2" t="s">
        <v>28</v>
      </c>
      <c r="S4746" s="9">
        <f>VLOOKUP(P4746,$T$2:U4743,2,1)</f>
        <v>0.02</v>
      </c>
    </row>
    <row r="4747" spans="1:19" x14ac:dyDescent="0.25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e">
        <f>VLOOKUP(F4747,'Customer Info'!A4739:I5238,2,0)</f>
        <v>#N/A</v>
      </c>
      <c r="H4747" s="6" t="e">
        <f>VLOOKUP(F4747,'Customer Info'!A4739:I5238,3,0)</f>
        <v>#N/A</v>
      </c>
      <c r="I4747" s="6" t="e">
        <f>VLOOKUP(F4747,'Customer Info'!A4739:I5238,5,0)</f>
        <v>#N/A</v>
      </c>
      <c r="J4747" s="2">
        <v>1081</v>
      </c>
      <c r="K4747" s="2">
        <v>983</v>
      </c>
      <c r="L4747" s="2">
        <v>3</v>
      </c>
      <c r="M4747" s="7">
        <f t="shared" ref="M4747:M4810" si="296">K4747*L4747</f>
        <v>2949</v>
      </c>
      <c r="N4747" s="7">
        <f t="shared" ref="N4747:N4810" si="297">J4747*L4747</f>
        <v>3243</v>
      </c>
      <c r="O4747" s="2">
        <v>44</v>
      </c>
      <c r="P4747" s="8">
        <f t="shared" ref="P4747:P4810" si="298">SUM(N4747,O4747)</f>
        <v>3287</v>
      </c>
      <c r="Q4747" s="8">
        <f t="shared" ref="Q4747:Q4810" si="299">N4747-O4747</f>
        <v>3199</v>
      </c>
      <c r="R4747" s="2" t="s">
        <v>28</v>
      </c>
      <c r="S4747" s="9">
        <f>VLOOKUP(P4747,$T$2:U4744,2,1)</f>
        <v>0.02</v>
      </c>
    </row>
    <row r="4748" spans="1:19" x14ac:dyDescent="0.25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e">
        <f>VLOOKUP(F4748,'Customer Info'!A4740:I5239,2,0)</f>
        <v>#N/A</v>
      </c>
      <c r="H4748" s="6" t="e">
        <f>VLOOKUP(F4748,'Customer Info'!A4740:I5239,3,0)</f>
        <v>#N/A</v>
      </c>
      <c r="I4748" s="6" t="e">
        <f>VLOOKUP(F4748,'Customer Info'!A4740:I5239,5,0)</f>
        <v>#N/A</v>
      </c>
      <c r="J4748" s="2">
        <v>170</v>
      </c>
      <c r="K4748" s="2">
        <v>160</v>
      </c>
      <c r="L4748" s="2">
        <v>6</v>
      </c>
      <c r="M4748" s="7">
        <f t="shared" si="296"/>
        <v>960</v>
      </c>
      <c r="N4748" s="7">
        <f t="shared" si="297"/>
        <v>1020</v>
      </c>
      <c r="O4748" s="2">
        <v>30</v>
      </c>
      <c r="P4748" s="8">
        <f t="shared" si="298"/>
        <v>1050</v>
      </c>
      <c r="Q4748" s="8">
        <f t="shared" si="299"/>
        <v>990</v>
      </c>
      <c r="R4748" s="2" t="s">
        <v>28</v>
      </c>
      <c r="S4748" s="9">
        <f>VLOOKUP(P4748,$T$2:U4745,2,1)</f>
        <v>0.02</v>
      </c>
    </row>
    <row r="4749" spans="1:19" x14ac:dyDescent="0.25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e">
        <f>VLOOKUP(F4749,'Customer Info'!A4741:I5240,2,0)</f>
        <v>#N/A</v>
      </c>
      <c r="H4749" s="6" t="e">
        <f>VLOOKUP(F4749,'Customer Info'!A4741:I5240,3,0)</f>
        <v>#N/A</v>
      </c>
      <c r="I4749" s="6" t="e">
        <f>VLOOKUP(F4749,'Customer Info'!A4741:I5240,5,0)</f>
        <v>#N/A</v>
      </c>
      <c r="J4749" s="2">
        <v>6024</v>
      </c>
      <c r="K4749" s="2">
        <v>5424</v>
      </c>
      <c r="L4749" s="2">
        <v>3</v>
      </c>
      <c r="M4749" s="7">
        <f t="shared" si="296"/>
        <v>16272</v>
      </c>
      <c r="N4749" s="7">
        <f t="shared" si="297"/>
        <v>18072</v>
      </c>
      <c r="O4749" s="2">
        <v>48</v>
      </c>
      <c r="P4749" s="8">
        <f t="shared" si="298"/>
        <v>18120</v>
      </c>
      <c r="Q4749" s="8">
        <f t="shared" si="299"/>
        <v>18024</v>
      </c>
      <c r="R4749" s="2" t="s">
        <v>26</v>
      </c>
      <c r="S4749" s="9">
        <f>VLOOKUP(P4749,$T$2:U4746,2,1)</f>
        <v>0.05</v>
      </c>
    </row>
    <row r="4750" spans="1:19" x14ac:dyDescent="0.25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e">
        <f>VLOOKUP(F4750,'Customer Info'!A4742:I5241,2,0)</f>
        <v>#N/A</v>
      </c>
      <c r="H4750" s="6" t="e">
        <f>VLOOKUP(F4750,'Customer Info'!A4742:I5241,3,0)</f>
        <v>#N/A</v>
      </c>
      <c r="I4750" s="6" t="e">
        <f>VLOOKUP(F4750,'Customer Info'!A4742:I5241,5,0)</f>
        <v>#N/A</v>
      </c>
      <c r="J4750" s="2">
        <v>2526</v>
      </c>
      <c r="K4750" s="2">
        <v>2408</v>
      </c>
      <c r="L4750" s="2">
        <v>5</v>
      </c>
      <c r="M4750" s="7">
        <f t="shared" si="296"/>
        <v>12040</v>
      </c>
      <c r="N4750" s="7">
        <f t="shared" si="297"/>
        <v>12630</v>
      </c>
      <c r="O4750" s="2">
        <v>58</v>
      </c>
      <c r="P4750" s="8">
        <f t="shared" si="298"/>
        <v>12688</v>
      </c>
      <c r="Q4750" s="8">
        <f t="shared" si="299"/>
        <v>12572</v>
      </c>
      <c r="R4750" s="2" t="s">
        <v>28</v>
      </c>
      <c r="S4750" s="9">
        <f>VLOOKUP(P4750,$T$2:U4747,2,1)</f>
        <v>0.05</v>
      </c>
    </row>
    <row r="4751" spans="1:19" x14ac:dyDescent="0.25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e">
        <f>VLOOKUP(F4751,'Customer Info'!A4743:I5242,2,0)</f>
        <v>#N/A</v>
      </c>
      <c r="H4751" s="6" t="e">
        <f>VLOOKUP(F4751,'Customer Info'!A4743:I5242,3,0)</f>
        <v>#N/A</v>
      </c>
      <c r="I4751" s="6" t="e">
        <f>VLOOKUP(F4751,'Customer Info'!A4743:I5242,5,0)</f>
        <v>#N/A</v>
      </c>
      <c r="J4751" s="2">
        <v>2747</v>
      </c>
      <c r="K4751" s="2">
        <v>2545</v>
      </c>
      <c r="L4751" s="2">
        <v>8</v>
      </c>
      <c r="M4751" s="7">
        <f t="shared" si="296"/>
        <v>20360</v>
      </c>
      <c r="N4751" s="7">
        <f t="shared" si="297"/>
        <v>21976</v>
      </c>
      <c r="O4751" s="2">
        <v>25</v>
      </c>
      <c r="P4751" s="8">
        <f t="shared" si="298"/>
        <v>22001</v>
      </c>
      <c r="Q4751" s="8">
        <f t="shared" si="299"/>
        <v>21951</v>
      </c>
      <c r="R4751" s="2" t="s">
        <v>28</v>
      </c>
      <c r="S4751" s="9">
        <f>VLOOKUP(P4751,$T$2:U4748,2,1)</f>
        <v>0.05</v>
      </c>
    </row>
    <row r="4752" spans="1:19" x14ac:dyDescent="0.25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e">
        <f>VLOOKUP(F4752,'Customer Info'!A4744:I5243,2,0)</f>
        <v>#N/A</v>
      </c>
      <c r="H4752" s="6" t="e">
        <f>VLOOKUP(F4752,'Customer Info'!A4744:I5243,3,0)</f>
        <v>#N/A</v>
      </c>
      <c r="I4752" s="6" t="e">
        <f>VLOOKUP(F4752,'Customer Info'!A4744:I5243,5,0)</f>
        <v>#N/A</v>
      </c>
      <c r="J4752" s="2">
        <v>4832</v>
      </c>
      <c r="K4752" s="2">
        <v>4563</v>
      </c>
      <c r="L4752" s="2">
        <v>2</v>
      </c>
      <c r="M4752" s="7">
        <f t="shared" si="296"/>
        <v>9126</v>
      </c>
      <c r="N4752" s="7">
        <f t="shared" si="297"/>
        <v>9664</v>
      </c>
      <c r="O4752" s="2">
        <v>21</v>
      </c>
      <c r="P4752" s="8">
        <f t="shared" si="298"/>
        <v>9685</v>
      </c>
      <c r="Q4752" s="8">
        <f t="shared" si="299"/>
        <v>9643</v>
      </c>
      <c r="R4752" s="2" t="s">
        <v>28</v>
      </c>
      <c r="S4752" s="9">
        <f>VLOOKUP(P4752,$T$2:U4749,2,1)</f>
        <v>0.05</v>
      </c>
    </row>
    <row r="4753" spans="1:19" x14ac:dyDescent="0.25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e">
        <f>VLOOKUP(F4753,'Customer Info'!A4745:I5244,2,0)</f>
        <v>#N/A</v>
      </c>
      <c r="H4753" s="6" t="e">
        <f>VLOOKUP(F4753,'Customer Info'!A4745:I5244,3,0)</f>
        <v>#N/A</v>
      </c>
      <c r="I4753" s="6" t="e">
        <f>VLOOKUP(F4753,'Customer Info'!A4745:I5244,5,0)</f>
        <v>#N/A</v>
      </c>
      <c r="J4753" s="2">
        <v>67</v>
      </c>
      <c r="K4753" s="2">
        <v>62</v>
      </c>
      <c r="L4753" s="2">
        <v>2</v>
      </c>
      <c r="M4753" s="7">
        <f t="shared" si="296"/>
        <v>124</v>
      </c>
      <c r="N4753" s="7">
        <f t="shared" si="297"/>
        <v>134</v>
      </c>
      <c r="O4753" s="2">
        <v>10</v>
      </c>
      <c r="P4753" s="8">
        <f t="shared" si="298"/>
        <v>144</v>
      </c>
      <c r="Q4753" s="8">
        <f t="shared" si="299"/>
        <v>124</v>
      </c>
      <c r="R4753" s="2" t="s">
        <v>50</v>
      </c>
      <c r="S4753" s="9">
        <f>VLOOKUP(P4753,$T$2:U4750,2,1)</f>
        <v>0.02</v>
      </c>
    </row>
    <row r="4754" spans="1:19" x14ac:dyDescent="0.25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e">
        <f>VLOOKUP(F4754,'Customer Info'!A4746:I5245,2,0)</f>
        <v>#N/A</v>
      </c>
      <c r="H4754" s="6" t="e">
        <f>VLOOKUP(F4754,'Customer Info'!A4746:I5245,3,0)</f>
        <v>#N/A</v>
      </c>
      <c r="I4754" s="6" t="e">
        <f>VLOOKUP(F4754,'Customer Info'!A4746:I5245,5,0)</f>
        <v>#N/A</v>
      </c>
      <c r="J4754" s="2">
        <v>2778</v>
      </c>
      <c r="K4754" s="2">
        <v>2573</v>
      </c>
      <c r="L4754" s="2">
        <v>1</v>
      </c>
      <c r="M4754" s="7">
        <f t="shared" si="296"/>
        <v>2573</v>
      </c>
      <c r="N4754" s="7">
        <f t="shared" si="297"/>
        <v>2778</v>
      </c>
      <c r="O4754" s="2">
        <v>86</v>
      </c>
      <c r="P4754" s="8">
        <f t="shared" si="298"/>
        <v>2864</v>
      </c>
      <c r="Q4754" s="8">
        <f t="shared" si="299"/>
        <v>2692</v>
      </c>
      <c r="R4754" s="2" t="s">
        <v>28</v>
      </c>
      <c r="S4754" s="9">
        <f>VLOOKUP(P4754,$T$2:U4751,2,1)</f>
        <v>0.02</v>
      </c>
    </row>
    <row r="4755" spans="1:19" x14ac:dyDescent="0.25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e">
        <f>VLOOKUP(F4755,'Customer Info'!A4747:I5246,2,0)</f>
        <v>#N/A</v>
      </c>
      <c r="H4755" s="6" t="e">
        <f>VLOOKUP(F4755,'Customer Info'!A4747:I5246,3,0)</f>
        <v>#N/A</v>
      </c>
      <c r="I4755" s="6" t="e">
        <f>VLOOKUP(F4755,'Customer Info'!A4747:I5246,5,0)</f>
        <v>#N/A</v>
      </c>
      <c r="J4755" s="2">
        <v>7232</v>
      </c>
      <c r="K4755" s="2">
        <v>6753</v>
      </c>
      <c r="L4755" s="2">
        <v>2</v>
      </c>
      <c r="M4755" s="7">
        <f t="shared" si="296"/>
        <v>13506</v>
      </c>
      <c r="N4755" s="7">
        <f t="shared" si="297"/>
        <v>14464</v>
      </c>
      <c r="O4755" s="2">
        <v>68</v>
      </c>
      <c r="P4755" s="8">
        <f t="shared" si="298"/>
        <v>14532</v>
      </c>
      <c r="Q4755" s="8">
        <f t="shared" si="299"/>
        <v>14396</v>
      </c>
      <c r="R4755" s="2" t="s">
        <v>50</v>
      </c>
      <c r="S4755" s="9">
        <f>VLOOKUP(P4755,$T$2:U4752,2,1)</f>
        <v>0.05</v>
      </c>
    </row>
    <row r="4756" spans="1:19" x14ac:dyDescent="0.25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e">
        <f>VLOOKUP(F4756,'Customer Info'!A4748:I5247,2,0)</f>
        <v>#N/A</v>
      </c>
      <c r="H4756" s="6" t="e">
        <f>VLOOKUP(F4756,'Customer Info'!A4748:I5247,3,0)</f>
        <v>#N/A</v>
      </c>
      <c r="I4756" s="6" t="e">
        <f>VLOOKUP(F4756,'Customer Info'!A4748:I5247,5,0)</f>
        <v>#N/A</v>
      </c>
      <c r="J4756" s="2">
        <v>664</v>
      </c>
      <c r="K4756" s="2">
        <v>576</v>
      </c>
      <c r="L4756" s="2">
        <v>7</v>
      </c>
      <c r="M4756" s="7">
        <f t="shared" si="296"/>
        <v>4032</v>
      </c>
      <c r="N4756" s="7">
        <f t="shared" si="297"/>
        <v>4648</v>
      </c>
      <c r="O4756" s="2">
        <v>46</v>
      </c>
      <c r="P4756" s="8">
        <f t="shared" si="298"/>
        <v>4694</v>
      </c>
      <c r="Q4756" s="8">
        <f t="shared" si="299"/>
        <v>4602</v>
      </c>
      <c r="R4756" s="2" t="s">
        <v>28</v>
      </c>
      <c r="S4756" s="9">
        <f>VLOOKUP(P4756,$T$2:U4753,2,1)</f>
        <v>0.02</v>
      </c>
    </row>
    <row r="4757" spans="1:19" x14ac:dyDescent="0.25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e">
        <f>VLOOKUP(F4757,'Customer Info'!A4749:I5248,2,0)</f>
        <v>#N/A</v>
      </c>
      <c r="H4757" s="6" t="e">
        <f>VLOOKUP(F4757,'Customer Info'!A4749:I5248,3,0)</f>
        <v>#N/A</v>
      </c>
      <c r="I4757" s="6" t="e">
        <f>VLOOKUP(F4757,'Customer Info'!A4749:I5248,5,0)</f>
        <v>#N/A</v>
      </c>
      <c r="J4757" s="2">
        <v>8379</v>
      </c>
      <c r="K4757" s="2">
        <v>8061</v>
      </c>
      <c r="L4757" s="2">
        <v>3</v>
      </c>
      <c r="M4757" s="7">
        <f t="shared" si="296"/>
        <v>24183</v>
      </c>
      <c r="N4757" s="7">
        <f t="shared" si="297"/>
        <v>25137</v>
      </c>
      <c r="O4757" s="2">
        <v>89</v>
      </c>
      <c r="P4757" s="8">
        <f t="shared" si="298"/>
        <v>25226</v>
      </c>
      <c r="Q4757" s="8">
        <f t="shared" si="299"/>
        <v>25048</v>
      </c>
      <c r="R4757" s="2" t="s">
        <v>50</v>
      </c>
      <c r="S4757" s="9">
        <f>VLOOKUP(P4757,$T$2:U4754,2,1)</f>
        <v>7.0000000000000007E-2</v>
      </c>
    </row>
    <row r="4758" spans="1:19" x14ac:dyDescent="0.25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e">
        <f>VLOOKUP(F4758,'Customer Info'!A4750:I5249,2,0)</f>
        <v>#N/A</v>
      </c>
      <c r="H4758" s="6" t="e">
        <f>VLOOKUP(F4758,'Customer Info'!A4750:I5249,3,0)</f>
        <v>#N/A</v>
      </c>
      <c r="I4758" s="6" t="e">
        <f>VLOOKUP(F4758,'Customer Info'!A4750:I5249,5,0)</f>
        <v>#N/A</v>
      </c>
      <c r="J4758" s="2">
        <v>6060</v>
      </c>
      <c r="K4758" s="2">
        <v>6002</v>
      </c>
      <c r="L4758" s="2">
        <v>3</v>
      </c>
      <c r="M4758" s="7">
        <f t="shared" si="296"/>
        <v>18006</v>
      </c>
      <c r="N4758" s="7">
        <f t="shared" si="297"/>
        <v>18180</v>
      </c>
      <c r="O4758" s="2">
        <v>92</v>
      </c>
      <c r="P4758" s="8">
        <f t="shared" si="298"/>
        <v>18272</v>
      </c>
      <c r="Q4758" s="8">
        <f t="shared" si="299"/>
        <v>18088</v>
      </c>
      <c r="R4758" s="2" t="s">
        <v>50</v>
      </c>
      <c r="S4758" s="9">
        <f>VLOOKUP(P4758,$T$2:U4755,2,1)</f>
        <v>0.05</v>
      </c>
    </row>
    <row r="4759" spans="1:19" x14ac:dyDescent="0.25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e">
        <f>VLOOKUP(F4759,'Customer Info'!A4751:I5250,2,0)</f>
        <v>#N/A</v>
      </c>
      <c r="H4759" s="6" t="e">
        <f>VLOOKUP(F4759,'Customer Info'!A4751:I5250,3,0)</f>
        <v>#N/A</v>
      </c>
      <c r="I4759" s="6" t="e">
        <f>VLOOKUP(F4759,'Customer Info'!A4751:I5250,5,0)</f>
        <v>#N/A</v>
      </c>
      <c r="J4759" s="2">
        <v>2526</v>
      </c>
      <c r="K4759" s="2">
        <v>2408</v>
      </c>
      <c r="L4759" s="2">
        <v>1</v>
      </c>
      <c r="M4759" s="7">
        <f t="shared" si="296"/>
        <v>2408</v>
      </c>
      <c r="N4759" s="7">
        <f t="shared" si="297"/>
        <v>2526</v>
      </c>
      <c r="O4759" s="2">
        <v>99</v>
      </c>
      <c r="P4759" s="8">
        <f t="shared" si="298"/>
        <v>2625</v>
      </c>
      <c r="Q4759" s="8">
        <f t="shared" si="299"/>
        <v>2427</v>
      </c>
      <c r="R4759" s="2" t="s">
        <v>28</v>
      </c>
      <c r="S4759" s="9">
        <f>VLOOKUP(P4759,$T$2:U4756,2,1)</f>
        <v>0.02</v>
      </c>
    </row>
    <row r="4760" spans="1:19" x14ac:dyDescent="0.25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e">
        <f>VLOOKUP(F4760,'Customer Info'!A4752:I5251,2,0)</f>
        <v>#N/A</v>
      </c>
      <c r="H4760" s="6" t="e">
        <f>VLOOKUP(F4760,'Customer Info'!A4752:I5251,3,0)</f>
        <v>#N/A</v>
      </c>
      <c r="I4760" s="6" t="e">
        <f>VLOOKUP(F4760,'Customer Info'!A4752:I5251,5,0)</f>
        <v>#N/A</v>
      </c>
      <c r="J4760" s="2">
        <v>3176</v>
      </c>
      <c r="K4760" s="2">
        <v>3116</v>
      </c>
      <c r="L4760" s="2">
        <v>2</v>
      </c>
      <c r="M4760" s="7">
        <f t="shared" si="296"/>
        <v>6232</v>
      </c>
      <c r="N4760" s="7">
        <f t="shared" si="297"/>
        <v>6352</v>
      </c>
      <c r="O4760" s="2">
        <v>22</v>
      </c>
      <c r="P4760" s="8">
        <f t="shared" si="298"/>
        <v>6374</v>
      </c>
      <c r="Q4760" s="8">
        <f t="shared" si="299"/>
        <v>6330</v>
      </c>
      <c r="R4760" s="2" t="s">
        <v>50</v>
      </c>
      <c r="S4760" s="9">
        <f>VLOOKUP(P4760,$T$2:U4757,2,1)</f>
        <v>0.05</v>
      </c>
    </row>
    <row r="4761" spans="1:19" x14ac:dyDescent="0.25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e">
        <f>VLOOKUP(F4761,'Customer Info'!A4753:I5252,2,0)</f>
        <v>#N/A</v>
      </c>
      <c r="H4761" s="6" t="e">
        <f>VLOOKUP(F4761,'Customer Info'!A4753:I5252,3,0)</f>
        <v>#N/A</v>
      </c>
      <c r="I4761" s="6" t="e">
        <f>VLOOKUP(F4761,'Customer Info'!A4753:I5252,5,0)</f>
        <v>#N/A</v>
      </c>
      <c r="J4761" s="2">
        <v>129</v>
      </c>
      <c r="K4761" s="2">
        <v>118</v>
      </c>
      <c r="L4761" s="2">
        <v>2</v>
      </c>
      <c r="M4761" s="7">
        <f t="shared" si="296"/>
        <v>236</v>
      </c>
      <c r="N4761" s="7">
        <f t="shared" si="297"/>
        <v>258</v>
      </c>
      <c r="O4761" s="2">
        <v>30</v>
      </c>
      <c r="P4761" s="8">
        <f t="shared" si="298"/>
        <v>288</v>
      </c>
      <c r="Q4761" s="8">
        <f t="shared" si="299"/>
        <v>228</v>
      </c>
      <c r="R4761" s="2" t="s">
        <v>28</v>
      </c>
      <c r="S4761" s="9">
        <f>VLOOKUP(P4761,$T$2:U4758,2,1)</f>
        <v>0.02</v>
      </c>
    </row>
    <row r="4762" spans="1:19" x14ac:dyDescent="0.25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e">
        <f>VLOOKUP(F4762,'Customer Info'!A4754:I5253,2,0)</f>
        <v>#N/A</v>
      </c>
      <c r="H4762" s="6" t="e">
        <f>VLOOKUP(F4762,'Customer Info'!A4754:I5253,3,0)</f>
        <v>#N/A</v>
      </c>
      <c r="I4762" s="6" t="e">
        <f>VLOOKUP(F4762,'Customer Info'!A4754:I5253,5,0)</f>
        <v>#N/A</v>
      </c>
      <c r="J4762" s="2">
        <v>222</v>
      </c>
      <c r="K4762" s="2">
        <v>208</v>
      </c>
      <c r="L4762" s="2">
        <v>6</v>
      </c>
      <c r="M4762" s="7">
        <f t="shared" si="296"/>
        <v>1248</v>
      </c>
      <c r="N4762" s="7">
        <f t="shared" si="297"/>
        <v>1332</v>
      </c>
      <c r="O4762" s="2">
        <v>30</v>
      </c>
      <c r="P4762" s="8">
        <f t="shared" si="298"/>
        <v>1362</v>
      </c>
      <c r="Q4762" s="8">
        <f t="shared" si="299"/>
        <v>1302</v>
      </c>
      <c r="R4762" s="2" t="s">
        <v>50</v>
      </c>
      <c r="S4762" s="9">
        <f>VLOOKUP(P4762,$T$2:U4759,2,1)</f>
        <v>0.02</v>
      </c>
    </row>
    <row r="4763" spans="1:19" x14ac:dyDescent="0.25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e">
        <f>VLOOKUP(F4763,'Customer Info'!A4755:I5254,2,0)</f>
        <v>#N/A</v>
      </c>
      <c r="H4763" s="6" t="e">
        <f>VLOOKUP(F4763,'Customer Info'!A4755:I5254,3,0)</f>
        <v>#N/A</v>
      </c>
      <c r="I4763" s="6" t="e">
        <f>VLOOKUP(F4763,'Customer Info'!A4755:I5254,5,0)</f>
        <v>#N/A</v>
      </c>
      <c r="J4763" s="2">
        <v>1103</v>
      </c>
      <c r="K4763" s="2">
        <v>1030</v>
      </c>
      <c r="L4763" s="2">
        <v>2</v>
      </c>
      <c r="M4763" s="7">
        <f t="shared" si="296"/>
        <v>2060</v>
      </c>
      <c r="N4763" s="7">
        <f t="shared" si="297"/>
        <v>2206</v>
      </c>
      <c r="O4763" s="2">
        <v>55</v>
      </c>
      <c r="P4763" s="8">
        <f t="shared" si="298"/>
        <v>2261</v>
      </c>
      <c r="Q4763" s="8">
        <f t="shared" si="299"/>
        <v>2151</v>
      </c>
      <c r="R4763" s="2" t="s">
        <v>28</v>
      </c>
      <c r="S4763" s="9">
        <f>VLOOKUP(P4763,$T$2:U4760,2,1)</f>
        <v>0.02</v>
      </c>
    </row>
    <row r="4764" spans="1:19" x14ac:dyDescent="0.25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e">
        <f>VLOOKUP(F4764,'Customer Info'!A4756:I5255,2,0)</f>
        <v>#N/A</v>
      </c>
      <c r="H4764" s="6" t="e">
        <f>VLOOKUP(F4764,'Customer Info'!A4756:I5255,3,0)</f>
        <v>#N/A</v>
      </c>
      <c r="I4764" s="6" t="e">
        <f>VLOOKUP(F4764,'Customer Info'!A4756:I5255,5,0)</f>
        <v>#N/A</v>
      </c>
      <c r="J4764" s="2">
        <v>6481</v>
      </c>
      <c r="K4764" s="2">
        <v>5884</v>
      </c>
      <c r="L4764" s="2">
        <v>5</v>
      </c>
      <c r="M4764" s="7">
        <f t="shared" si="296"/>
        <v>29420</v>
      </c>
      <c r="N4764" s="7">
        <f t="shared" si="297"/>
        <v>32405</v>
      </c>
      <c r="O4764" s="2">
        <v>91</v>
      </c>
      <c r="P4764" s="8">
        <f t="shared" si="298"/>
        <v>32496</v>
      </c>
      <c r="Q4764" s="8">
        <f t="shared" si="299"/>
        <v>32314</v>
      </c>
      <c r="R4764" s="2" t="s">
        <v>56</v>
      </c>
      <c r="S4764" s="9">
        <f>VLOOKUP(P4764,$T$2:U4761,2,1)</f>
        <v>7.0000000000000007E-2</v>
      </c>
    </row>
    <row r="4765" spans="1:19" x14ac:dyDescent="0.25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e">
        <f>VLOOKUP(F4765,'Customer Info'!A4757:I5256,2,0)</f>
        <v>#N/A</v>
      </c>
      <c r="H4765" s="6" t="e">
        <f>VLOOKUP(F4765,'Customer Info'!A4757:I5256,3,0)</f>
        <v>#N/A</v>
      </c>
      <c r="I4765" s="6" t="e">
        <f>VLOOKUP(F4765,'Customer Info'!A4757:I5256,5,0)</f>
        <v>#N/A</v>
      </c>
      <c r="J4765" s="2">
        <v>63</v>
      </c>
      <c r="K4765" s="2">
        <v>59</v>
      </c>
      <c r="L4765" s="2">
        <v>5</v>
      </c>
      <c r="M4765" s="7">
        <f t="shared" si="296"/>
        <v>295</v>
      </c>
      <c r="N4765" s="7">
        <f t="shared" si="297"/>
        <v>315</v>
      </c>
      <c r="O4765" s="2">
        <v>10</v>
      </c>
      <c r="P4765" s="8">
        <f t="shared" si="298"/>
        <v>325</v>
      </c>
      <c r="Q4765" s="8">
        <f t="shared" si="299"/>
        <v>305</v>
      </c>
      <c r="R4765" s="2" t="s">
        <v>28</v>
      </c>
      <c r="S4765" s="9">
        <f>VLOOKUP(P4765,$T$2:U4762,2,1)</f>
        <v>0.02</v>
      </c>
    </row>
    <row r="4766" spans="1:19" x14ac:dyDescent="0.25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e">
        <f>VLOOKUP(F4766,'Customer Info'!A4758:I5257,2,0)</f>
        <v>#N/A</v>
      </c>
      <c r="H4766" s="6" t="e">
        <f>VLOOKUP(F4766,'Customer Info'!A4758:I5257,3,0)</f>
        <v>#N/A</v>
      </c>
      <c r="I4766" s="6" t="e">
        <f>VLOOKUP(F4766,'Customer Info'!A4758:I5257,5,0)</f>
        <v>#N/A</v>
      </c>
      <c r="J4766" s="2">
        <v>187</v>
      </c>
      <c r="K4766" s="2">
        <v>176</v>
      </c>
      <c r="L4766" s="2">
        <v>5</v>
      </c>
      <c r="M4766" s="7">
        <f t="shared" si="296"/>
        <v>880</v>
      </c>
      <c r="N4766" s="7">
        <f t="shared" si="297"/>
        <v>935</v>
      </c>
      <c r="O4766" s="2">
        <v>30</v>
      </c>
      <c r="P4766" s="8">
        <f t="shared" si="298"/>
        <v>965</v>
      </c>
      <c r="Q4766" s="8">
        <f t="shared" si="299"/>
        <v>905</v>
      </c>
      <c r="R4766" s="2" t="s">
        <v>28</v>
      </c>
      <c r="S4766" s="9">
        <f>VLOOKUP(P4766,$T$2:U4763,2,1)</f>
        <v>0.02</v>
      </c>
    </row>
    <row r="4767" spans="1:19" x14ac:dyDescent="0.25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e">
        <f>VLOOKUP(F4767,'Customer Info'!A4759:I5258,2,0)</f>
        <v>#N/A</v>
      </c>
      <c r="H4767" s="6" t="e">
        <f>VLOOKUP(F4767,'Customer Info'!A4759:I5258,3,0)</f>
        <v>#N/A</v>
      </c>
      <c r="I4767" s="6" t="e">
        <f>VLOOKUP(F4767,'Customer Info'!A4759:I5258,5,0)</f>
        <v>#N/A</v>
      </c>
      <c r="J4767" s="2">
        <v>1169</v>
      </c>
      <c r="K4767" s="2">
        <v>1072</v>
      </c>
      <c r="L4767" s="2">
        <v>4</v>
      </c>
      <c r="M4767" s="7">
        <f t="shared" si="296"/>
        <v>4288</v>
      </c>
      <c r="N4767" s="7">
        <f t="shared" si="297"/>
        <v>4676</v>
      </c>
      <c r="O4767" s="2">
        <v>69</v>
      </c>
      <c r="P4767" s="8">
        <f t="shared" si="298"/>
        <v>4745</v>
      </c>
      <c r="Q4767" s="8">
        <f t="shared" si="299"/>
        <v>4607</v>
      </c>
      <c r="R4767" s="2" t="s">
        <v>50</v>
      </c>
      <c r="S4767" s="9">
        <f>VLOOKUP(P4767,$T$2:U4764,2,1)</f>
        <v>0.02</v>
      </c>
    </row>
    <row r="4768" spans="1:19" x14ac:dyDescent="0.25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e">
        <f>VLOOKUP(F4768,'Customer Info'!A4760:I5259,2,0)</f>
        <v>#N/A</v>
      </c>
      <c r="H4768" s="6" t="e">
        <f>VLOOKUP(F4768,'Customer Info'!A4760:I5259,3,0)</f>
        <v>#N/A</v>
      </c>
      <c r="I4768" s="6" t="e">
        <f>VLOOKUP(F4768,'Customer Info'!A4760:I5259,5,0)</f>
        <v>#N/A</v>
      </c>
      <c r="J4768" s="2">
        <v>173</v>
      </c>
      <c r="K4768" s="2">
        <v>155</v>
      </c>
      <c r="L4768" s="2">
        <v>3</v>
      </c>
      <c r="M4768" s="7">
        <f t="shared" si="296"/>
        <v>465</v>
      </c>
      <c r="N4768" s="7">
        <f t="shared" si="297"/>
        <v>519</v>
      </c>
      <c r="O4768" s="2">
        <v>30</v>
      </c>
      <c r="P4768" s="8">
        <f t="shared" si="298"/>
        <v>549</v>
      </c>
      <c r="Q4768" s="8">
        <f t="shared" si="299"/>
        <v>489</v>
      </c>
      <c r="R4768" s="2" t="s">
        <v>50</v>
      </c>
      <c r="S4768" s="9">
        <f>VLOOKUP(P4768,$T$2:U4765,2,1)</f>
        <v>0.02</v>
      </c>
    </row>
    <row r="4769" spans="1:19" x14ac:dyDescent="0.25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e">
        <f>VLOOKUP(F4769,'Customer Info'!A4761:I5260,2,0)</f>
        <v>#N/A</v>
      </c>
      <c r="H4769" s="6" t="e">
        <f>VLOOKUP(F4769,'Customer Info'!A4761:I5260,3,0)</f>
        <v>#N/A</v>
      </c>
      <c r="I4769" s="6" t="e">
        <f>VLOOKUP(F4769,'Customer Info'!A4761:I5260,5,0)</f>
        <v>#N/A</v>
      </c>
      <c r="J4769" s="2">
        <v>1017</v>
      </c>
      <c r="K4769" s="2">
        <v>950</v>
      </c>
      <c r="L4769" s="2">
        <v>7</v>
      </c>
      <c r="M4769" s="7">
        <f t="shared" si="296"/>
        <v>6650</v>
      </c>
      <c r="N4769" s="7">
        <f t="shared" si="297"/>
        <v>7119</v>
      </c>
      <c r="O4769" s="2">
        <v>67</v>
      </c>
      <c r="P4769" s="8">
        <f t="shared" si="298"/>
        <v>7186</v>
      </c>
      <c r="Q4769" s="8">
        <f t="shared" si="299"/>
        <v>7052</v>
      </c>
      <c r="R4769" s="2" t="s">
        <v>50</v>
      </c>
      <c r="S4769" s="9">
        <f>VLOOKUP(P4769,$T$2:U4766,2,1)</f>
        <v>0.05</v>
      </c>
    </row>
    <row r="4770" spans="1:19" x14ac:dyDescent="0.25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e">
        <f>VLOOKUP(F4770,'Customer Info'!A4762:I5261,2,0)</f>
        <v>#N/A</v>
      </c>
      <c r="H4770" s="6" t="e">
        <f>VLOOKUP(F4770,'Customer Info'!A4762:I5261,3,0)</f>
        <v>#N/A</v>
      </c>
      <c r="I4770" s="6" t="e">
        <f>VLOOKUP(F4770,'Customer Info'!A4762:I5261,5,0)</f>
        <v>#N/A</v>
      </c>
      <c r="J4770" s="2">
        <v>175</v>
      </c>
      <c r="K4770" s="2">
        <v>158</v>
      </c>
      <c r="L4770" s="2">
        <v>2</v>
      </c>
      <c r="M4770" s="7">
        <f t="shared" si="296"/>
        <v>316</v>
      </c>
      <c r="N4770" s="7">
        <f t="shared" si="297"/>
        <v>350</v>
      </c>
      <c r="O4770" s="2">
        <v>30</v>
      </c>
      <c r="P4770" s="8">
        <f t="shared" si="298"/>
        <v>380</v>
      </c>
      <c r="Q4770" s="8">
        <f t="shared" si="299"/>
        <v>320</v>
      </c>
      <c r="R4770" s="2" t="s">
        <v>50</v>
      </c>
      <c r="S4770" s="9">
        <f>VLOOKUP(P4770,$T$2:U4767,2,1)</f>
        <v>0.02</v>
      </c>
    </row>
    <row r="4771" spans="1:19" x14ac:dyDescent="0.25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e">
        <f>VLOOKUP(F4771,'Customer Info'!A4763:I5262,2,0)</f>
        <v>#N/A</v>
      </c>
      <c r="H4771" s="6" t="e">
        <f>VLOOKUP(F4771,'Customer Info'!A4763:I5262,3,0)</f>
        <v>#N/A</v>
      </c>
      <c r="I4771" s="6" t="e">
        <f>VLOOKUP(F4771,'Customer Info'!A4763:I5262,5,0)</f>
        <v>#N/A</v>
      </c>
      <c r="J4771" s="2">
        <v>166</v>
      </c>
      <c r="K4771" s="2">
        <v>157</v>
      </c>
      <c r="L4771" s="2">
        <v>1</v>
      </c>
      <c r="M4771" s="7">
        <f t="shared" si="296"/>
        <v>157</v>
      </c>
      <c r="N4771" s="7">
        <f t="shared" si="297"/>
        <v>166</v>
      </c>
      <c r="O4771" s="2">
        <v>30</v>
      </c>
      <c r="P4771" s="8">
        <f t="shared" si="298"/>
        <v>196</v>
      </c>
      <c r="Q4771" s="8">
        <f t="shared" si="299"/>
        <v>136</v>
      </c>
      <c r="R4771" s="2" t="s">
        <v>50</v>
      </c>
      <c r="S4771" s="9">
        <f>VLOOKUP(P4771,$T$2:U4768,2,1)</f>
        <v>0.02</v>
      </c>
    </row>
    <row r="4772" spans="1:19" x14ac:dyDescent="0.25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e">
        <f>VLOOKUP(F4772,'Customer Info'!A4764:I5263,2,0)</f>
        <v>#N/A</v>
      </c>
      <c r="H4772" s="6" t="e">
        <f>VLOOKUP(F4772,'Customer Info'!A4764:I5263,3,0)</f>
        <v>#N/A</v>
      </c>
      <c r="I4772" s="6" t="e">
        <f>VLOOKUP(F4772,'Customer Info'!A4764:I5263,5,0)</f>
        <v>#N/A</v>
      </c>
      <c r="J4772" s="2">
        <v>8026</v>
      </c>
      <c r="K4772" s="2">
        <v>7572</v>
      </c>
      <c r="L4772" s="2">
        <v>3</v>
      </c>
      <c r="M4772" s="7">
        <f t="shared" si="296"/>
        <v>22716</v>
      </c>
      <c r="N4772" s="7">
        <f t="shared" si="297"/>
        <v>24078</v>
      </c>
      <c r="O4772" s="2">
        <v>82</v>
      </c>
      <c r="P4772" s="8">
        <f t="shared" si="298"/>
        <v>24160</v>
      </c>
      <c r="Q4772" s="8">
        <f t="shared" si="299"/>
        <v>23996</v>
      </c>
      <c r="R4772" s="2" t="s">
        <v>56</v>
      </c>
      <c r="S4772" s="9">
        <f>VLOOKUP(P4772,$T$2:U4769,2,1)</f>
        <v>0.05</v>
      </c>
    </row>
    <row r="4773" spans="1:19" x14ac:dyDescent="0.25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e">
        <f>VLOOKUP(F4773,'Customer Info'!A4765:I5264,2,0)</f>
        <v>#N/A</v>
      </c>
      <c r="H4773" s="6" t="e">
        <f>VLOOKUP(F4773,'Customer Info'!A4765:I5264,3,0)</f>
        <v>#N/A</v>
      </c>
      <c r="I4773" s="6" t="e">
        <f>VLOOKUP(F4773,'Customer Info'!A4765:I5264,5,0)</f>
        <v>#N/A</v>
      </c>
      <c r="J4773" s="2">
        <v>79</v>
      </c>
      <c r="K4773" s="2">
        <v>75</v>
      </c>
      <c r="L4773" s="2">
        <v>1</v>
      </c>
      <c r="M4773" s="7">
        <f t="shared" si="296"/>
        <v>75</v>
      </c>
      <c r="N4773" s="7">
        <f t="shared" si="297"/>
        <v>79</v>
      </c>
      <c r="O4773" s="2">
        <v>10</v>
      </c>
      <c r="P4773" s="8">
        <f t="shared" si="298"/>
        <v>89</v>
      </c>
      <c r="Q4773" s="8">
        <f t="shared" si="299"/>
        <v>69</v>
      </c>
      <c r="R4773" s="2" t="s">
        <v>50</v>
      </c>
      <c r="S4773" s="9">
        <f>VLOOKUP(P4773,$T$2:U4770,2,1)</f>
        <v>0.02</v>
      </c>
    </row>
    <row r="4774" spans="1:19" x14ac:dyDescent="0.25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e">
        <f>VLOOKUP(F4774,'Customer Info'!A4766:I5265,2,0)</f>
        <v>#N/A</v>
      </c>
      <c r="H4774" s="6" t="e">
        <f>VLOOKUP(F4774,'Customer Info'!A4766:I5265,3,0)</f>
        <v>#N/A</v>
      </c>
      <c r="I4774" s="6" t="e">
        <f>VLOOKUP(F4774,'Customer Info'!A4766:I5265,5,0)</f>
        <v>#N/A</v>
      </c>
      <c r="J4774" s="2">
        <v>6585</v>
      </c>
      <c r="K4774" s="2">
        <v>6105</v>
      </c>
      <c r="L4774" s="2">
        <v>1</v>
      </c>
      <c r="M4774" s="7">
        <f t="shared" si="296"/>
        <v>6105</v>
      </c>
      <c r="N4774" s="7">
        <f t="shared" si="297"/>
        <v>6585</v>
      </c>
      <c r="O4774" s="2">
        <v>87</v>
      </c>
      <c r="P4774" s="8">
        <f t="shared" si="298"/>
        <v>6672</v>
      </c>
      <c r="Q4774" s="8">
        <f t="shared" si="299"/>
        <v>6498</v>
      </c>
      <c r="R4774" s="2" t="s">
        <v>50</v>
      </c>
      <c r="S4774" s="9">
        <f>VLOOKUP(P4774,$T$2:U4771,2,1)</f>
        <v>0.05</v>
      </c>
    </row>
    <row r="4775" spans="1:19" x14ac:dyDescent="0.25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e">
        <f>VLOOKUP(F4775,'Customer Info'!A4767:I5266,2,0)</f>
        <v>#N/A</v>
      </c>
      <c r="H4775" s="6" t="e">
        <f>VLOOKUP(F4775,'Customer Info'!A4767:I5266,3,0)</f>
        <v>#N/A</v>
      </c>
      <c r="I4775" s="6" t="e">
        <f>VLOOKUP(F4775,'Customer Info'!A4767:I5266,5,0)</f>
        <v>#N/A</v>
      </c>
      <c r="J4775" s="2">
        <v>2981</v>
      </c>
      <c r="K4775" s="2">
        <v>2870</v>
      </c>
      <c r="L4775" s="2">
        <v>4</v>
      </c>
      <c r="M4775" s="7">
        <f t="shared" si="296"/>
        <v>11480</v>
      </c>
      <c r="N4775" s="7">
        <f t="shared" si="297"/>
        <v>11924</v>
      </c>
      <c r="O4775" s="2">
        <v>54</v>
      </c>
      <c r="P4775" s="8">
        <f t="shared" si="298"/>
        <v>11978</v>
      </c>
      <c r="Q4775" s="8">
        <f t="shared" si="299"/>
        <v>11870</v>
      </c>
      <c r="R4775" s="2" t="s">
        <v>28</v>
      </c>
      <c r="S4775" s="9">
        <f>VLOOKUP(P4775,$T$2:U4772,2,1)</f>
        <v>0.05</v>
      </c>
    </row>
    <row r="4776" spans="1:19" x14ac:dyDescent="0.25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e">
        <f>VLOOKUP(F4776,'Customer Info'!A4768:I5267,2,0)</f>
        <v>#N/A</v>
      </c>
      <c r="H4776" s="6" t="e">
        <f>VLOOKUP(F4776,'Customer Info'!A4768:I5267,3,0)</f>
        <v>#N/A</v>
      </c>
      <c r="I4776" s="6" t="e">
        <f>VLOOKUP(F4776,'Customer Info'!A4768:I5267,5,0)</f>
        <v>#N/A</v>
      </c>
      <c r="J4776" s="2">
        <v>666</v>
      </c>
      <c r="K4776" s="2">
        <v>641</v>
      </c>
      <c r="L4776" s="2">
        <v>2</v>
      </c>
      <c r="M4776" s="7">
        <f t="shared" si="296"/>
        <v>1282</v>
      </c>
      <c r="N4776" s="7">
        <f t="shared" si="297"/>
        <v>1332</v>
      </c>
      <c r="O4776" s="2">
        <v>76</v>
      </c>
      <c r="P4776" s="8">
        <f t="shared" si="298"/>
        <v>1408</v>
      </c>
      <c r="Q4776" s="8">
        <f t="shared" si="299"/>
        <v>1256</v>
      </c>
      <c r="R4776" s="2" t="s">
        <v>28</v>
      </c>
      <c r="S4776" s="9">
        <f>VLOOKUP(P4776,$T$2:U4773,2,1)</f>
        <v>0.02</v>
      </c>
    </row>
    <row r="4777" spans="1:19" x14ac:dyDescent="0.25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e">
        <f>VLOOKUP(F4777,'Customer Info'!A4769:I5268,2,0)</f>
        <v>#N/A</v>
      </c>
      <c r="H4777" s="6" t="e">
        <f>VLOOKUP(F4777,'Customer Info'!A4769:I5268,3,0)</f>
        <v>#N/A</v>
      </c>
      <c r="I4777" s="6" t="e">
        <f>VLOOKUP(F4777,'Customer Info'!A4769:I5268,5,0)</f>
        <v>#N/A</v>
      </c>
      <c r="J4777" s="2">
        <v>4737</v>
      </c>
      <c r="K4777" s="2">
        <v>4473</v>
      </c>
      <c r="L4777" s="2">
        <v>3</v>
      </c>
      <c r="M4777" s="7">
        <f t="shared" si="296"/>
        <v>13419</v>
      </c>
      <c r="N4777" s="7">
        <f t="shared" si="297"/>
        <v>14211</v>
      </c>
      <c r="O4777" s="2">
        <v>47</v>
      </c>
      <c r="P4777" s="8">
        <f t="shared" si="298"/>
        <v>14258</v>
      </c>
      <c r="Q4777" s="8">
        <f t="shared" si="299"/>
        <v>14164</v>
      </c>
      <c r="R4777" s="2" t="s">
        <v>28</v>
      </c>
      <c r="S4777" s="9">
        <f>VLOOKUP(P4777,$T$2:U4774,2,1)</f>
        <v>0.05</v>
      </c>
    </row>
    <row r="4778" spans="1:19" x14ac:dyDescent="0.25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e">
        <f>VLOOKUP(F4778,'Customer Info'!A4770:I5269,2,0)</f>
        <v>#N/A</v>
      </c>
      <c r="H4778" s="6" t="e">
        <f>VLOOKUP(F4778,'Customer Info'!A4770:I5269,3,0)</f>
        <v>#N/A</v>
      </c>
      <c r="I4778" s="6" t="e">
        <f>VLOOKUP(F4778,'Customer Info'!A4770:I5269,5,0)</f>
        <v>#N/A</v>
      </c>
      <c r="J4778" s="2">
        <v>193</v>
      </c>
      <c r="K4778" s="2">
        <v>173</v>
      </c>
      <c r="L4778" s="2">
        <v>4</v>
      </c>
      <c r="M4778" s="7">
        <f t="shared" si="296"/>
        <v>692</v>
      </c>
      <c r="N4778" s="7">
        <f t="shared" si="297"/>
        <v>772</v>
      </c>
      <c r="O4778" s="2">
        <v>30</v>
      </c>
      <c r="P4778" s="8">
        <f t="shared" si="298"/>
        <v>802</v>
      </c>
      <c r="Q4778" s="8">
        <f t="shared" si="299"/>
        <v>742</v>
      </c>
      <c r="R4778" s="2" t="s">
        <v>50</v>
      </c>
      <c r="S4778" s="9">
        <f>VLOOKUP(P4778,$T$2:U4775,2,1)</f>
        <v>0.02</v>
      </c>
    </row>
    <row r="4779" spans="1:19" x14ac:dyDescent="0.25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e">
        <f>VLOOKUP(F4779,'Customer Info'!A4771:I5270,2,0)</f>
        <v>#N/A</v>
      </c>
      <c r="H4779" s="6" t="e">
        <f>VLOOKUP(F4779,'Customer Info'!A4771:I5270,3,0)</f>
        <v>#N/A</v>
      </c>
      <c r="I4779" s="6" t="e">
        <f>VLOOKUP(F4779,'Customer Info'!A4771:I5270,5,0)</f>
        <v>#N/A</v>
      </c>
      <c r="J4779" s="2">
        <v>3354</v>
      </c>
      <c r="K4779" s="2">
        <v>3102</v>
      </c>
      <c r="L4779" s="2">
        <v>8</v>
      </c>
      <c r="M4779" s="7">
        <f t="shared" si="296"/>
        <v>24816</v>
      </c>
      <c r="N4779" s="7">
        <f t="shared" si="297"/>
        <v>26832</v>
      </c>
      <c r="O4779" s="2">
        <v>29</v>
      </c>
      <c r="P4779" s="8">
        <f t="shared" si="298"/>
        <v>26861</v>
      </c>
      <c r="Q4779" s="8">
        <f t="shared" si="299"/>
        <v>26803</v>
      </c>
      <c r="R4779" s="2" t="s">
        <v>50</v>
      </c>
      <c r="S4779" s="9">
        <f>VLOOKUP(P4779,$T$2:U4776,2,1)</f>
        <v>7.0000000000000007E-2</v>
      </c>
    </row>
    <row r="4780" spans="1:19" x14ac:dyDescent="0.25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e">
        <f>VLOOKUP(F4780,'Customer Info'!A4772:I5271,2,0)</f>
        <v>#N/A</v>
      </c>
      <c r="H4780" s="6" t="e">
        <f>VLOOKUP(F4780,'Customer Info'!A4772:I5271,3,0)</f>
        <v>#N/A</v>
      </c>
      <c r="I4780" s="6" t="e">
        <f>VLOOKUP(F4780,'Customer Info'!A4772:I5271,5,0)</f>
        <v>#N/A</v>
      </c>
      <c r="J4780" s="2">
        <v>6027</v>
      </c>
      <c r="K4780" s="2">
        <v>5694</v>
      </c>
      <c r="L4780" s="2">
        <v>3</v>
      </c>
      <c r="M4780" s="7">
        <f t="shared" si="296"/>
        <v>17082</v>
      </c>
      <c r="N4780" s="7">
        <f t="shared" si="297"/>
        <v>18081</v>
      </c>
      <c r="O4780" s="2">
        <v>29</v>
      </c>
      <c r="P4780" s="8">
        <f t="shared" si="298"/>
        <v>18110</v>
      </c>
      <c r="Q4780" s="8">
        <f t="shared" si="299"/>
        <v>18052</v>
      </c>
      <c r="R4780" s="2" t="s">
        <v>28</v>
      </c>
      <c r="S4780" s="9">
        <f>VLOOKUP(P4780,$T$2:U4777,2,1)</f>
        <v>0.05</v>
      </c>
    </row>
    <row r="4781" spans="1:19" x14ac:dyDescent="0.25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e">
        <f>VLOOKUP(F4781,'Customer Info'!A4773:I5272,2,0)</f>
        <v>#N/A</v>
      </c>
      <c r="H4781" s="6" t="e">
        <f>VLOOKUP(F4781,'Customer Info'!A4773:I5272,3,0)</f>
        <v>#N/A</v>
      </c>
      <c r="I4781" s="6" t="e">
        <f>VLOOKUP(F4781,'Customer Info'!A4773:I5272,5,0)</f>
        <v>#N/A</v>
      </c>
      <c r="J4781" s="2">
        <v>188</v>
      </c>
      <c r="K4781" s="2">
        <v>173</v>
      </c>
      <c r="L4781" s="2">
        <v>3</v>
      </c>
      <c r="M4781" s="7">
        <f t="shared" si="296"/>
        <v>519</v>
      </c>
      <c r="N4781" s="7">
        <f t="shared" si="297"/>
        <v>564</v>
      </c>
      <c r="O4781" s="2">
        <v>30</v>
      </c>
      <c r="P4781" s="8">
        <f t="shared" si="298"/>
        <v>594</v>
      </c>
      <c r="Q4781" s="8">
        <f t="shared" si="299"/>
        <v>534</v>
      </c>
      <c r="R4781" s="2" t="s">
        <v>50</v>
      </c>
      <c r="S4781" s="9">
        <f>VLOOKUP(P4781,$T$2:U4778,2,1)</f>
        <v>0.02</v>
      </c>
    </row>
    <row r="4782" spans="1:19" x14ac:dyDescent="0.25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e">
        <f>VLOOKUP(F4782,'Customer Info'!A4774:I5273,2,0)</f>
        <v>#N/A</v>
      </c>
      <c r="H4782" s="6" t="e">
        <f>VLOOKUP(F4782,'Customer Info'!A4774:I5273,3,0)</f>
        <v>#N/A</v>
      </c>
      <c r="I4782" s="6" t="e">
        <f>VLOOKUP(F4782,'Customer Info'!A4774:I5273,5,0)</f>
        <v>#N/A</v>
      </c>
      <c r="J4782" s="2">
        <v>129</v>
      </c>
      <c r="K4782" s="2">
        <v>118</v>
      </c>
      <c r="L4782" s="2">
        <v>7</v>
      </c>
      <c r="M4782" s="7">
        <f t="shared" si="296"/>
        <v>826</v>
      </c>
      <c r="N4782" s="7">
        <f t="shared" si="297"/>
        <v>903</v>
      </c>
      <c r="O4782" s="2">
        <v>30</v>
      </c>
      <c r="P4782" s="8">
        <f t="shared" si="298"/>
        <v>933</v>
      </c>
      <c r="Q4782" s="8">
        <f t="shared" si="299"/>
        <v>873</v>
      </c>
      <c r="R4782" s="2" t="s">
        <v>50</v>
      </c>
      <c r="S4782" s="9">
        <f>VLOOKUP(P4782,$T$2:U4779,2,1)</f>
        <v>0.02</v>
      </c>
    </row>
    <row r="4783" spans="1:19" x14ac:dyDescent="0.25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e">
        <f>VLOOKUP(F4783,'Customer Info'!A4775:I5274,2,0)</f>
        <v>#N/A</v>
      </c>
      <c r="H4783" s="6" t="e">
        <f>VLOOKUP(F4783,'Customer Info'!A4775:I5274,3,0)</f>
        <v>#N/A</v>
      </c>
      <c r="I4783" s="6" t="e">
        <f>VLOOKUP(F4783,'Customer Info'!A4775:I5274,5,0)</f>
        <v>#N/A</v>
      </c>
      <c r="J4783" s="2">
        <v>8160</v>
      </c>
      <c r="K4783" s="2">
        <v>7475</v>
      </c>
      <c r="L4783" s="2">
        <v>3</v>
      </c>
      <c r="M4783" s="7">
        <f t="shared" si="296"/>
        <v>22425</v>
      </c>
      <c r="N4783" s="7">
        <f t="shared" si="297"/>
        <v>24480</v>
      </c>
      <c r="O4783" s="2">
        <v>35</v>
      </c>
      <c r="P4783" s="8">
        <f t="shared" si="298"/>
        <v>24515</v>
      </c>
      <c r="Q4783" s="8">
        <f t="shared" si="299"/>
        <v>24445</v>
      </c>
      <c r="R4783" s="2" t="s">
        <v>28</v>
      </c>
      <c r="S4783" s="9">
        <f>VLOOKUP(P4783,$T$2:U4780,2,1)</f>
        <v>0.05</v>
      </c>
    </row>
    <row r="4784" spans="1:19" x14ac:dyDescent="0.25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e">
        <f>VLOOKUP(F4784,'Customer Info'!A4776:I5275,2,0)</f>
        <v>#N/A</v>
      </c>
      <c r="H4784" s="6" t="e">
        <f>VLOOKUP(F4784,'Customer Info'!A4776:I5275,3,0)</f>
        <v>#N/A</v>
      </c>
      <c r="I4784" s="6" t="e">
        <f>VLOOKUP(F4784,'Customer Info'!A4776:I5275,5,0)</f>
        <v>#N/A</v>
      </c>
      <c r="J4784" s="2">
        <v>1081</v>
      </c>
      <c r="K4784" s="2">
        <v>983</v>
      </c>
      <c r="L4784" s="2">
        <v>5</v>
      </c>
      <c r="M4784" s="7">
        <f t="shared" si="296"/>
        <v>4915</v>
      </c>
      <c r="N4784" s="7">
        <f t="shared" si="297"/>
        <v>5405</v>
      </c>
      <c r="O4784" s="2">
        <v>75</v>
      </c>
      <c r="P4784" s="8">
        <f t="shared" si="298"/>
        <v>5480</v>
      </c>
      <c r="Q4784" s="8">
        <f t="shared" si="299"/>
        <v>5330</v>
      </c>
      <c r="R4784" s="2" t="s">
        <v>28</v>
      </c>
      <c r="S4784" s="9">
        <f>VLOOKUP(P4784,$T$2:U4781,2,1)</f>
        <v>0.05</v>
      </c>
    </row>
    <row r="4785" spans="1:19" x14ac:dyDescent="0.25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e">
        <f>VLOOKUP(F4785,'Customer Info'!A4777:I5276,2,0)</f>
        <v>#N/A</v>
      </c>
      <c r="H4785" s="6" t="e">
        <f>VLOOKUP(F4785,'Customer Info'!A4777:I5276,3,0)</f>
        <v>#N/A</v>
      </c>
      <c r="I4785" s="6" t="e">
        <f>VLOOKUP(F4785,'Customer Info'!A4777:I5276,5,0)</f>
        <v>#N/A</v>
      </c>
      <c r="J4785" s="2">
        <v>1169</v>
      </c>
      <c r="K4785" s="2">
        <v>1103</v>
      </c>
      <c r="L4785" s="2">
        <v>2</v>
      </c>
      <c r="M4785" s="7">
        <f t="shared" si="296"/>
        <v>2206</v>
      </c>
      <c r="N4785" s="7">
        <f t="shared" si="297"/>
        <v>2338</v>
      </c>
      <c r="O4785" s="2">
        <v>66</v>
      </c>
      <c r="P4785" s="8">
        <f t="shared" si="298"/>
        <v>2404</v>
      </c>
      <c r="Q4785" s="8">
        <f t="shared" si="299"/>
        <v>2272</v>
      </c>
      <c r="R4785" s="2" t="s">
        <v>50</v>
      </c>
      <c r="S4785" s="9">
        <f>VLOOKUP(P4785,$T$2:U4782,2,1)</f>
        <v>0.02</v>
      </c>
    </row>
    <row r="4786" spans="1:19" x14ac:dyDescent="0.25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e">
        <f>VLOOKUP(F4786,'Customer Info'!A4778:I5277,2,0)</f>
        <v>#N/A</v>
      </c>
      <c r="H4786" s="6" t="e">
        <f>VLOOKUP(F4786,'Customer Info'!A4778:I5277,3,0)</f>
        <v>#N/A</v>
      </c>
      <c r="I4786" s="6" t="e">
        <f>VLOOKUP(F4786,'Customer Info'!A4778:I5277,5,0)</f>
        <v>#N/A</v>
      </c>
      <c r="J4786" s="2">
        <v>148</v>
      </c>
      <c r="K4786" s="2">
        <v>136</v>
      </c>
      <c r="L4786" s="2">
        <v>4</v>
      </c>
      <c r="M4786" s="7">
        <f t="shared" si="296"/>
        <v>544</v>
      </c>
      <c r="N4786" s="7">
        <f t="shared" si="297"/>
        <v>592</v>
      </c>
      <c r="O4786" s="2">
        <v>30</v>
      </c>
      <c r="P4786" s="8">
        <f t="shared" si="298"/>
        <v>622</v>
      </c>
      <c r="Q4786" s="8">
        <f t="shared" si="299"/>
        <v>562</v>
      </c>
      <c r="R4786" s="2" t="s">
        <v>28</v>
      </c>
      <c r="S4786" s="9">
        <f>VLOOKUP(P4786,$T$2:U4783,2,1)</f>
        <v>0.02</v>
      </c>
    </row>
    <row r="4787" spans="1:19" x14ac:dyDescent="0.25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e">
        <f>VLOOKUP(F4787,'Customer Info'!A4779:I5278,2,0)</f>
        <v>#N/A</v>
      </c>
      <c r="H4787" s="6" t="e">
        <f>VLOOKUP(F4787,'Customer Info'!A4779:I5278,3,0)</f>
        <v>#N/A</v>
      </c>
      <c r="I4787" s="6" t="e">
        <f>VLOOKUP(F4787,'Customer Info'!A4779:I5278,5,0)</f>
        <v>#N/A</v>
      </c>
      <c r="J4787" s="2">
        <v>404</v>
      </c>
      <c r="K4787" s="2">
        <v>371</v>
      </c>
      <c r="L4787" s="2">
        <v>2</v>
      </c>
      <c r="M4787" s="7">
        <f t="shared" si="296"/>
        <v>742</v>
      </c>
      <c r="N4787" s="7">
        <f t="shared" si="297"/>
        <v>808</v>
      </c>
      <c r="O4787" s="2">
        <v>51</v>
      </c>
      <c r="P4787" s="8">
        <f t="shared" si="298"/>
        <v>859</v>
      </c>
      <c r="Q4787" s="8">
        <f t="shared" si="299"/>
        <v>757</v>
      </c>
      <c r="R4787" s="2" t="s">
        <v>50</v>
      </c>
      <c r="S4787" s="9">
        <f>VLOOKUP(P4787,$T$2:U4784,2,1)</f>
        <v>0.02</v>
      </c>
    </row>
    <row r="4788" spans="1:19" x14ac:dyDescent="0.25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e">
        <f>VLOOKUP(F4788,'Customer Info'!A4780:I5279,2,0)</f>
        <v>#N/A</v>
      </c>
      <c r="H4788" s="6" t="e">
        <f>VLOOKUP(F4788,'Customer Info'!A4780:I5279,3,0)</f>
        <v>#N/A</v>
      </c>
      <c r="I4788" s="6" t="e">
        <f>VLOOKUP(F4788,'Customer Info'!A4780:I5279,5,0)</f>
        <v>#N/A</v>
      </c>
      <c r="J4788" s="2">
        <v>8379</v>
      </c>
      <c r="K4788" s="2">
        <v>8061</v>
      </c>
      <c r="L4788" s="2">
        <v>4</v>
      </c>
      <c r="M4788" s="7">
        <f t="shared" si="296"/>
        <v>32244</v>
      </c>
      <c r="N4788" s="7">
        <f t="shared" si="297"/>
        <v>33516</v>
      </c>
      <c r="O4788" s="2">
        <v>82</v>
      </c>
      <c r="P4788" s="8">
        <f t="shared" si="298"/>
        <v>33598</v>
      </c>
      <c r="Q4788" s="8">
        <f t="shared" si="299"/>
        <v>33434</v>
      </c>
      <c r="R4788" s="2" t="s">
        <v>50</v>
      </c>
      <c r="S4788" s="9">
        <f>VLOOKUP(P4788,$T$2:U4785,2,1)</f>
        <v>7.0000000000000007E-2</v>
      </c>
    </row>
    <row r="4789" spans="1:19" x14ac:dyDescent="0.25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e">
        <f>VLOOKUP(F4789,'Customer Info'!A4781:I5280,2,0)</f>
        <v>#N/A</v>
      </c>
      <c r="H4789" s="6" t="e">
        <f>VLOOKUP(F4789,'Customer Info'!A4781:I5280,3,0)</f>
        <v>#N/A</v>
      </c>
      <c r="I4789" s="6" t="e">
        <f>VLOOKUP(F4789,'Customer Info'!A4781:I5280,5,0)</f>
        <v>#N/A</v>
      </c>
      <c r="J4789" s="2">
        <v>1359</v>
      </c>
      <c r="K4789" s="2">
        <v>1221</v>
      </c>
      <c r="L4789" s="2">
        <v>4</v>
      </c>
      <c r="M4789" s="7">
        <f t="shared" si="296"/>
        <v>4884</v>
      </c>
      <c r="N4789" s="7">
        <f t="shared" si="297"/>
        <v>5436</v>
      </c>
      <c r="O4789" s="2">
        <v>58</v>
      </c>
      <c r="P4789" s="8">
        <f t="shared" si="298"/>
        <v>5494</v>
      </c>
      <c r="Q4789" s="8">
        <f t="shared" si="299"/>
        <v>5378</v>
      </c>
      <c r="R4789" s="2" t="s">
        <v>28</v>
      </c>
      <c r="S4789" s="9">
        <f>VLOOKUP(P4789,$T$2:U4786,2,1)</f>
        <v>0.05</v>
      </c>
    </row>
    <row r="4790" spans="1:19" x14ac:dyDescent="0.25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e">
        <f>VLOOKUP(F4790,'Customer Info'!A4782:I5281,2,0)</f>
        <v>#N/A</v>
      </c>
      <c r="H4790" s="6" t="e">
        <f>VLOOKUP(F4790,'Customer Info'!A4782:I5281,3,0)</f>
        <v>#N/A</v>
      </c>
      <c r="I4790" s="6" t="e">
        <f>VLOOKUP(F4790,'Customer Info'!A4782:I5281,5,0)</f>
        <v>#N/A</v>
      </c>
      <c r="J4790" s="2">
        <v>128</v>
      </c>
      <c r="K4790" s="2">
        <v>115</v>
      </c>
      <c r="L4790" s="2">
        <v>3</v>
      </c>
      <c r="M4790" s="7">
        <f t="shared" si="296"/>
        <v>345</v>
      </c>
      <c r="N4790" s="7">
        <f t="shared" si="297"/>
        <v>384</v>
      </c>
      <c r="O4790" s="2">
        <v>30</v>
      </c>
      <c r="P4790" s="8">
        <f t="shared" si="298"/>
        <v>414</v>
      </c>
      <c r="Q4790" s="8">
        <f t="shared" si="299"/>
        <v>354</v>
      </c>
      <c r="R4790" s="2" t="s">
        <v>26</v>
      </c>
      <c r="S4790" s="9">
        <f>VLOOKUP(P4790,$T$2:U4787,2,1)</f>
        <v>0.02</v>
      </c>
    </row>
    <row r="4791" spans="1:19" x14ac:dyDescent="0.25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e">
        <f>VLOOKUP(F4791,'Customer Info'!A4783:I5282,2,0)</f>
        <v>#N/A</v>
      </c>
      <c r="H4791" s="6" t="e">
        <f>VLOOKUP(F4791,'Customer Info'!A4783:I5282,3,0)</f>
        <v>#N/A</v>
      </c>
      <c r="I4791" s="6" t="e">
        <f>VLOOKUP(F4791,'Customer Info'!A4783:I5282,5,0)</f>
        <v>#N/A</v>
      </c>
      <c r="J4791" s="2">
        <v>1399</v>
      </c>
      <c r="K4791" s="2">
        <v>1333</v>
      </c>
      <c r="L4791" s="2">
        <v>4</v>
      </c>
      <c r="M4791" s="7">
        <f t="shared" si="296"/>
        <v>5332</v>
      </c>
      <c r="N4791" s="7">
        <f t="shared" si="297"/>
        <v>5596</v>
      </c>
      <c r="O4791" s="2">
        <v>38</v>
      </c>
      <c r="P4791" s="8">
        <f t="shared" si="298"/>
        <v>5634</v>
      </c>
      <c r="Q4791" s="8">
        <f t="shared" si="299"/>
        <v>5558</v>
      </c>
      <c r="R4791" s="2" t="s">
        <v>26</v>
      </c>
      <c r="S4791" s="9">
        <f>VLOOKUP(P4791,$T$2:U4788,2,1)</f>
        <v>0.05</v>
      </c>
    </row>
    <row r="4792" spans="1:19" x14ac:dyDescent="0.25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e">
        <f>VLOOKUP(F4792,'Customer Info'!A4784:I5283,2,0)</f>
        <v>#N/A</v>
      </c>
      <c r="H4792" s="6" t="e">
        <f>VLOOKUP(F4792,'Customer Info'!A4784:I5283,3,0)</f>
        <v>#N/A</v>
      </c>
      <c r="I4792" s="6" t="e">
        <f>VLOOKUP(F4792,'Customer Info'!A4784:I5283,5,0)</f>
        <v>#N/A</v>
      </c>
      <c r="J4792" s="2">
        <v>90</v>
      </c>
      <c r="K4792" s="2">
        <v>81</v>
      </c>
      <c r="L4792" s="2">
        <v>5</v>
      </c>
      <c r="M4792" s="7">
        <f t="shared" si="296"/>
        <v>405</v>
      </c>
      <c r="N4792" s="7">
        <f t="shared" si="297"/>
        <v>450</v>
      </c>
      <c r="O4792" s="2">
        <v>10</v>
      </c>
      <c r="P4792" s="8">
        <f t="shared" si="298"/>
        <v>460</v>
      </c>
      <c r="Q4792" s="8">
        <f t="shared" si="299"/>
        <v>440</v>
      </c>
      <c r="R4792" s="2" t="s">
        <v>28</v>
      </c>
      <c r="S4792" s="9">
        <f>VLOOKUP(P4792,$T$2:U4789,2,1)</f>
        <v>0.02</v>
      </c>
    </row>
    <row r="4793" spans="1:19" x14ac:dyDescent="0.25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e">
        <f>VLOOKUP(F4793,'Customer Info'!A4785:I5284,2,0)</f>
        <v>#N/A</v>
      </c>
      <c r="H4793" s="6" t="e">
        <f>VLOOKUP(F4793,'Customer Info'!A4785:I5284,3,0)</f>
        <v>#N/A</v>
      </c>
      <c r="I4793" s="6" t="e">
        <f>VLOOKUP(F4793,'Customer Info'!A4785:I5284,5,0)</f>
        <v>#N/A</v>
      </c>
      <c r="J4793" s="2">
        <v>1686</v>
      </c>
      <c r="K4793" s="2">
        <v>1591</v>
      </c>
      <c r="L4793" s="2">
        <v>2</v>
      </c>
      <c r="M4793" s="7">
        <f t="shared" si="296"/>
        <v>3182</v>
      </c>
      <c r="N4793" s="7">
        <f t="shared" si="297"/>
        <v>3372</v>
      </c>
      <c r="O4793" s="2">
        <v>97</v>
      </c>
      <c r="P4793" s="8">
        <f t="shared" si="298"/>
        <v>3469</v>
      </c>
      <c r="Q4793" s="8">
        <f t="shared" si="299"/>
        <v>3275</v>
      </c>
      <c r="R4793" s="2" t="s">
        <v>28</v>
      </c>
      <c r="S4793" s="9">
        <f>VLOOKUP(P4793,$T$2:U4790,2,1)</f>
        <v>0.02</v>
      </c>
    </row>
    <row r="4794" spans="1:19" x14ac:dyDescent="0.25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e">
        <f>VLOOKUP(F4794,'Customer Info'!A4786:I5285,2,0)</f>
        <v>#N/A</v>
      </c>
      <c r="H4794" s="6" t="e">
        <f>VLOOKUP(F4794,'Customer Info'!A4786:I5285,3,0)</f>
        <v>#N/A</v>
      </c>
      <c r="I4794" s="6" t="e">
        <f>VLOOKUP(F4794,'Customer Info'!A4786:I5285,5,0)</f>
        <v>#N/A</v>
      </c>
      <c r="J4794" s="2">
        <v>8878</v>
      </c>
      <c r="K4794" s="2">
        <v>7914</v>
      </c>
      <c r="L4794" s="2">
        <v>2</v>
      </c>
      <c r="M4794" s="7">
        <f t="shared" si="296"/>
        <v>15828</v>
      </c>
      <c r="N4794" s="7">
        <f t="shared" si="297"/>
        <v>17756</v>
      </c>
      <c r="O4794" s="2">
        <v>34</v>
      </c>
      <c r="P4794" s="8">
        <f t="shared" si="298"/>
        <v>17790</v>
      </c>
      <c r="Q4794" s="8">
        <f t="shared" si="299"/>
        <v>17722</v>
      </c>
      <c r="R4794" s="2" t="s">
        <v>50</v>
      </c>
      <c r="S4794" s="9">
        <f>VLOOKUP(P4794,$T$2:U4791,2,1)</f>
        <v>0.05</v>
      </c>
    </row>
    <row r="4795" spans="1:19" x14ac:dyDescent="0.25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e">
        <f>VLOOKUP(F4795,'Customer Info'!A4787:I5286,2,0)</f>
        <v>#N/A</v>
      </c>
      <c r="H4795" s="6" t="e">
        <f>VLOOKUP(F4795,'Customer Info'!A4787:I5286,3,0)</f>
        <v>#N/A</v>
      </c>
      <c r="I4795" s="6" t="e">
        <f>VLOOKUP(F4795,'Customer Info'!A4787:I5286,5,0)</f>
        <v>#N/A</v>
      </c>
      <c r="J4795" s="2">
        <v>2960</v>
      </c>
      <c r="K4795" s="2">
        <v>2635</v>
      </c>
      <c r="L4795" s="2">
        <v>2</v>
      </c>
      <c r="M4795" s="7">
        <f t="shared" si="296"/>
        <v>5270</v>
      </c>
      <c r="N4795" s="7">
        <f t="shared" si="297"/>
        <v>5920</v>
      </c>
      <c r="O4795" s="2">
        <v>97</v>
      </c>
      <c r="P4795" s="8">
        <f t="shared" si="298"/>
        <v>6017</v>
      </c>
      <c r="Q4795" s="8">
        <f t="shared" si="299"/>
        <v>5823</v>
      </c>
      <c r="R4795" s="2" t="s">
        <v>28</v>
      </c>
      <c r="S4795" s="9">
        <f>VLOOKUP(P4795,$T$2:U4792,2,1)</f>
        <v>0.05</v>
      </c>
    </row>
    <row r="4796" spans="1:19" x14ac:dyDescent="0.25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e">
        <f>VLOOKUP(F4796,'Customer Info'!A4788:I5287,2,0)</f>
        <v>#N/A</v>
      </c>
      <c r="H4796" s="6" t="e">
        <f>VLOOKUP(F4796,'Customer Info'!A4788:I5287,3,0)</f>
        <v>#N/A</v>
      </c>
      <c r="I4796" s="6" t="e">
        <f>VLOOKUP(F4796,'Customer Info'!A4788:I5287,5,0)</f>
        <v>#N/A</v>
      </c>
      <c r="J4796" s="2">
        <v>8967</v>
      </c>
      <c r="K4796" s="2">
        <v>8151</v>
      </c>
      <c r="L4796" s="2">
        <v>2</v>
      </c>
      <c r="M4796" s="7">
        <f t="shared" si="296"/>
        <v>16302</v>
      </c>
      <c r="N4796" s="7">
        <f t="shared" si="297"/>
        <v>17934</v>
      </c>
      <c r="O4796" s="2">
        <v>49</v>
      </c>
      <c r="P4796" s="8">
        <f t="shared" si="298"/>
        <v>17983</v>
      </c>
      <c r="Q4796" s="8">
        <f t="shared" si="299"/>
        <v>17885</v>
      </c>
      <c r="R4796" s="2" t="s">
        <v>50</v>
      </c>
      <c r="S4796" s="9">
        <f>VLOOKUP(P4796,$T$2:U4793,2,1)</f>
        <v>0.05</v>
      </c>
    </row>
    <row r="4797" spans="1:19" x14ac:dyDescent="0.25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e">
        <f>VLOOKUP(F4797,'Customer Info'!A4789:I5288,2,0)</f>
        <v>#N/A</v>
      </c>
      <c r="H4797" s="6" t="e">
        <f>VLOOKUP(F4797,'Customer Info'!A4789:I5288,3,0)</f>
        <v>#N/A</v>
      </c>
      <c r="I4797" s="6" t="e">
        <f>VLOOKUP(F4797,'Customer Info'!A4789:I5288,5,0)</f>
        <v>#N/A</v>
      </c>
      <c r="J4797" s="2">
        <v>4761</v>
      </c>
      <c r="K4797" s="2">
        <v>4368</v>
      </c>
      <c r="L4797" s="2">
        <v>1</v>
      </c>
      <c r="M4797" s="7">
        <f t="shared" si="296"/>
        <v>4368</v>
      </c>
      <c r="N4797" s="7">
        <f t="shared" si="297"/>
        <v>4761</v>
      </c>
      <c r="O4797" s="2">
        <v>53</v>
      </c>
      <c r="P4797" s="8">
        <f t="shared" si="298"/>
        <v>4814</v>
      </c>
      <c r="Q4797" s="8">
        <f t="shared" si="299"/>
        <v>4708</v>
      </c>
      <c r="R4797" s="2" t="s">
        <v>28</v>
      </c>
      <c r="S4797" s="9">
        <f>VLOOKUP(P4797,$T$2:U4794,2,1)</f>
        <v>0.02</v>
      </c>
    </row>
    <row r="4798" spans="1:19" x14ac:dyDescent="0.25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e">
        <f>VLOOKUP(F4798,'Customer Info'!A4790:I5289,2,0)</f>
        <v>#N/A</v>
      </c>
      <c r="H4798" s="6" t="e">
        <f>VLOOKUP(F4798,'Customer Info'!A4790:I5289,3,0)</f>
        <v>#N/A</v>
      </c>
      <c r="I4798" s="6" t="e">
        <f>VLOOKUP(F4798,'Customer Info'!A4790:I5289,5,0)</f>
        <v>#N/A</v>
      </c>
      <c r="J4798" s="2">
        <v>1060</v>
      </c>
      <c r="K4798" s="2">
        <v>964</v>
      </c>
      <c r="L4798" s="2">
        <v>7</v>
      </c>
      <c r="M4798" s="7">
        <f t="shared" si="296"/>
        <v>6748</v>
      </c>
      <c r="N4798" s="7">
        <f t="shared" si="297"/>
        <v>7420</v>
      </c>
      <c r="O4798" s="2">
        <v>80</v>
      </c>
      <c r="P4798" s="8">
        <f t="shared" si="298"/>
        <v>7500</v>
      </c>
      <c r="Q4798" s="8">
        <f t="shared" si="299"/>
        <v>7340</v>
      </c>
      <c r="R4798" s="2" t="s">
        <v>28</v>
      </c>
      <c r="S4798" s="9">
        <f>VLOOKUP(P4798,$T$2:U4795,2,1)</f>
        <v>0.05</v>
      </c>
    </row>
    <row r="4799" spans="1:19" x14ac:dyDescent="0.25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e">
        <f>VLOOKUP(F4799,'Customer Info'!A4791:I5290,2,0)</f>
        <v>#N/A</v>
      </c>
      <c r="H4799" s="6" t="e">
        <f>VLOOKUP(F4799,'Customer Info'!A4791:I5290,3,0)</f>
        <v>#N/A</v>
      </c>
      <c r="I4799" s="6" t="e">
        <f>VLOOKUP(F4799,'Customer Info'!A4791:I5290,5,0)</f>
        <v>#N/A</v>
      </c>
      <c r="J4799" s="2">
        <v>681</v>
      </c>
      <c r="K4799" s="2">
        <v>642</v>
      </c>
      <c r="L4799" s="2">
        <v>4</v>
      </c>
      <c r="M4799" s="7">
        <f t="shared" si="296"/>
        <v>2568</v>
      </c>
      <c r="N4799" s="7">
        <f t="shared" si="297"/>
        <v>2724</v>
      </c>
      <c r="O4799" s="2">
        <v>50</v>
      </c>
      <c r="P4799" s="8">
        <f t="shared" si="298"/>
        <v>2774</v>
      </c>
      <c r="Q4799" s="8">
        <f t="shared" si="299"/>
        <v>2674</v>
      </c>
      <c r="R4799" s="2" t="s">
        <v>28</v>
      </c>
      <c r="S4799" s="9">
        <f>VLOOKUP(P4799,$T$2:U4796,2,1)</f>
        <v>0.02</v>
      </c>
    </row>
    <row r="4800" spans="1:19" x14ac:dyDescent="0.25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e">
        <f>VLOOKUP(F4800,'Customer Info'!A4792:I5291,2,0)</f>
        <v>#N/A</v>
      </c>
      <c r="H4800" s="6" t="e">
        <f>VLOOKUP(F4800,'Customer Info'!A4792:I5291,3,0)</f>
        <v>#N/A</v>
      </c>
      <c r="I4800" s="6" t="e">
        <f>VLOOKUP(F4800,'Customer Info'!A4792:I5291,5,0)</f>
        <v>#N/A</v>
      </c>
      <c r="J4800" s="2">
        <v>8281</v>
      </c>
      <c r="K4800" s="2">
        <v>7673</v>
      </c>
      <c r="L4800" s="2">
        <v>2</v>
      </c>
      <c r="M4800" s="7">
        <f t="shared" si="296"/>
        <v>15346</v>
      </c>
      <c r="N4800" s="7">
        <f t="shared" si="297"/>
        <v>16562</v>
      </c>
      <c r="O4800" s="2">
        <v>82</v>
      </c>
      <c r="P4800" s="8">
        <f t="shared" si="298"/>
        <v>16644</v>
      </c>
      <c r="Q4800" s="8">
        <f t="shared" si="299"/>
        <v>16480</v>
      </c>
      <c r="R4800" s="2" t="s">
        <v>28</v>
      </c>
      <c r="S4800" s="9">
        <f>VLOOKUP(P4800,$T$2:U4797,2,1)</f>
        <v>0.05</v>
      </c>
    </row>
    <row r="4801" spans="1:19" x14ac:dyDescent="0.25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e">
        <f>VLOOKUP(F4801,'Customer Info'!A4793:I5292,2,0)</f>
        <v>#N/A</v>
      </c>
      <c r="H4801" s="6" t="e">
        <f>VLOOKUP(F4801,'Customer Info'!A4793:I5292,3,0)</f>
        <v>#N/A</v>
      </c>
      <c r="I4801" s="6" t="e">
        <f>VLOOKUP(F4801,'Customer Info'!A4793:I5292,5,0)</f>
        <v>#N/A</v>
      </c>
      <c r="J4801" s="2">
        <v>2042</v>
      </c>
      <c r="K4801" s="2">
        <v>1965</v>
      </c>
      <c r="L4801" s="2">
        <v>6</v>
      </c>
      <c r="M4801" s="7">
        <f t="shared" si="296"/>
        <v>11790</v>
      </c>
      <c r="N4801" s="7">
        <f t="shared" si="297"/>
        <v>12252</v>
      </c>
      <c r="O4801" s="2">
        <v>73</v>
      </c>
      <c r="P4801" s="8">
        <f t="shared" si="298"/>
        <v>12325</v>
      </c>
      <c r="Q4801" s="8">
        <f t="shared" si="299"/>
        <v>12179</v>
      </c>
      <c r="R4801" s="2" t="s">
        <v>28</v>
      </c>
      <c r="S4801" s="9">
        <f>VLOOKUP(P4801,$T$2:U4798,2,1)</f>
        <v>0.05</v>
      </c>
    </row>
    <row r="4802" spans="1:19" x14ac:dyDescent="0.25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e">
        <f>VLOOKUP(F4802,'Customer Info'!A4794:I5293,2,0)</f>
        <v>#N/A</v>
      </c>
      <c r="H4802" s="6" t="e">
        <f>VLOOKUP(F4802,'Customer Info'!A4794:I5293,3,0)</f>
        <v>#N/A</v>
      </c>
      <c r="I4802" s="6" t="e">
        <f>VLOOKUP(F4802,'Customer Info'!A4794:I5293,5,0)</f>
        <v>#N/A</v>
      </c>
      <c r="J4802" s="2">
        <v>2733</v>
      </c>
      <c r="K4802" s="2">
        <v>2579</v>
      </c>
      <c r="L4802" s="2">
        <v>3</v>
      </c>
      <c r="M4802" s="7">
        <f t="shared" si="296"/>
        <v>7737</v>
      </c>
      <c r="N4802" s="7">
        <f t="shared" si="297"/>
        <v>8199</v>
      </c>
      <c r="O4802" s="2">
        <v>100</v>
      </c>
      <c r="P4802" s="8">
        <f t="shared" si="298"/>
        <v>8299</v>
      </c>
      <c r="Q4802" s="8">
        <f t="shared" si="299"/>
        <v>8099</v>
      </c>
      <c r="R4802" s="2" t="s">
        <v>28</v>
      </c>
      <c r="S4802" s="9">
        <f>VLOOKUP(P4802,$T$2:U4799,2,1)</f>
        <v>0.05</v>
      </c>
    </row>
    <row r="4803" spans="1:19" x14ac:dyDescent="0.25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e">
        <f>VLOOKUP(F4803,'Customer Info'!A4795:I5294,2,0)</f>
        <v>#N/A</v>
      </c>
      <c r="H4803" s="6" t="e">
        <f>VLOOKUP(F4803,'Customer Info'!A4795:I5294,3,0)</f>
        <v>#N/A</v>
      </c>
      <c r="I4803" s="6" t="e">
        <f>VLOOKUP(F4803,'Customer Info'!A4795:I5294,5,0)</f>
        <v>#N/A</v>
      </c>
      <c r="J4803" s="2">
        <v>27691</v>
      </c>
      <c r="K4803" s="2">
        <v>25616</v>
      </c>
      <c r="L4803" s="2">
        <v>1</v>
      </c>
      <c r="M4803" s="7">
        <f t="shared" si="296"/>
        <v>25616</v>
      </c>
      <c r="N4803" s="7">
        <f t="shared" si="297"/>
        <v>27691</v>
      </c>
      <c r="O4803" s="2">
        <v>28</v>
      </c>
      <c r="P4803" s="8">
        <f t="shared" si="298"/>
        <v>27719</v>
      </c>
      <c r="Q4803" s="8">
        <f t="shared" si="299"/>
        <v>27663</v>
      </c>
      <c r="R4803" s="2" t="s">
        <v>28</v>
      </c>
      <c r="S4803" s="9">
        <f>VLOOKUP(P4803,$T$2:U4800,2,1)</f>
        <v>7.0000000000000007E-2</v>
      </c>
    </row>
    <row r="4804" spans="1:19" x14ac:dyDescent="0.25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e">
        <f>VLOOKUP(F4804,'Customer Info'!A4796:I5295,2,0)</f>
        <v>#N/A</v>
      </c>
      <c r="H4804" s="6" t="e">
        <f>VLOOKUP(F4804,'Customer Info'!A4796:I5295,3,0)</f>
        <v>#N/A</v>
      </c>
      <c r="I4804" s="6" t="e">
        <f>VLOOKUP(F4804,'Customer Info'!A4796:I5295,5,0)</f>
        <v>#N/A</v>
      </c>
      <c r="J4804" s="2">
        <v>2155</v>
      </c>
      <c r="K4804" s="2">
        <v>2014</v>
      </c>
      <c r="L4804" s="2">
        <v>1</v>
      </c>
      <c r="M4804" s="7">
        <f t="shared" si="296"/>
        <v>2014</v>
      </c>
      <c r="N4804" s="7">
        <f t="shared" si="297"/>
        <v>2155</v>
      </c>
      <c r="O4804" s="2">
        <v>52</v>
      </c>
      <c r="P4804" s="8">
        <f t="shared" si="298"/>
        <v>2207</v>
      </c>
      <c r="Q4804" s="8">
        <f t="shared" si="299"/>
        <v>2103</v>
      </c>
      <c r="R4804" s="2" t="s">
        <v>28</v>
      </c>
      <c r="S4804" s="9">
        <f>VLOOKUP(P4804,$T$2:U4801,2,1)</f>
        <v>0.02</v>
      </c>
    </row>
    <row r="4805" spans="1:19" x14ac:dyDescent="0.25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e">
        <f>VLOOKUP(F4805,'Customer Info'!A4797:I5296,2,0)</f>
        <v>#N/A</v>
      </c>
      <c r="H4805" s="6" t="e">
        <f>VLOOKUP(F4805,'Customer Info'!A4797:I5296,3,0)</f>
        <v>#N/A</v>
      </c>
      <c r="I4805" s="6" t="e">
        <f>VLOOKUP(F4805,'Customer Info'!A4797:I5296,5,0)</f>
        <v>#N/A</v>
      </c>
      <c r="J4805" s="2">
        <v>2958</v>
      </c>
      <c r="K4805" s="2">
        <v>2743</v>
      </c>
      <c r="L4805" s="2">
        <v>3</v>
      </c>
      <c r="M4805" s="7">
        <f t="shared" si="296"/>
        <v>8229</v>
      </c>
      <c r="N4805" s="7">
        <f t="shared" si="297"/>
        <v>8874</v>
      </c>
      <c r="O4805" s="2">
        <v>32</v>
      </c>
      <c r="P4805" s="8">
        <f t="shared" si="298"/>
        <v>8906</v>
      </c>
      <c r="Q4805" s="8">
        <f t="shared" si="299"/>
        <v>8842</v>
      </c>
      <c r="R4805" s="2" t="s">
        <v>28</v>
      </c>
      <c r="S4805" s="9">
        <f>VLOOKUP(P4805,$T$2:U4802,2,1)</f>
        <v>0.05</v>
      </c>
    </row>
    <row r="4806" spans="1:19" x14ac:dyDescent="0.25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e">
        <f>VLOOKUP(F4806,'Customer Info'!A4798:I5297,2,0)</f>
        <v>#N/A</v>
      </c>
      <c r="H4806" s="6" t="e">
        <f>VLOOKUP(F4806,'Customer Info'!A4798:I5297,3,0)</f>
        <v>#N/A</v>
      </c>
      <c r="I4806" s="6" t="e">
        <f>VLOOKUP(F4806,'Customer Info'!A4798:I5297,5,0)</f>
        <v>#N/A</v>
      </c>
      <c r="J4806" s="2">
        <v>2442</v>
      </c>
      <c r="K4806" s="2">
        <v>2304</v>
      </c>
      <c r="L4806" s="2">
        <v>5</v>
      </c>
      <c r="M4806" s="7">
        <f t="shared" si="296"/>
        <v>11520</v>
      </c>
      <c r="N4806" s="7">
        <f t="shared" si="297"/>
        <v>12210</v>
      </c>
      <c r="O4806" s="2">
        <v>94</v>
      </c>
      <c r="P4806" s="8">
        <f t="shared" si="298"/>
        <v>12304</v>
      </c>
      <c r="Q4806" s="8">
        <f t="shared" si="299"/>
        <v>12116</v>
      </c>
      <c r="R4806" s="2" t="s">
        <v>50</v>
      </c>
      <c r="S4806" s="9">
        <f>VLOOKUP(P4806,$T$2:U4803,2,1)</f>
        <v>0.05</v>
      </c>
    </row>
    <row r="4807" spans="1:19" x14ac:dyDescent="0.25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e">
        <f>VLOOKUP(F4807,'Customer Info'!A4799:I5298,2,0)</f>
        <v>#N/A</v>
      </c>
      <c r="H4807" s="6" t="e">
        <f>VLOOKUP(F4807,'Customer Info'!A4799:I5298,3,0)</f>
        <v>#N/A</v>
      </c>
      <c r="I4807" s="6" t="e">
        <f>VLOOKUP(F4807,'Customer Info'!A4799:I5298,5,0)</f>
        <v>#N/A</v>
      </c>
      <c r="J4807" s="2">
        <v>6768</v>
      </c>
      <c r="K4807" s="2">
        <v>6512</v>
      </c>
      <c r="L4807" s="2">
        <v>1</v>
      </c>
      <c r="M4807" s="7">
        <f t="shared" si="296"/>
        <v>6512</v>
      </c>
      <c r="N4807" s="7">
        <f t="shared" si="297"/>
        <v>6768</v>
      </c>
      <c r="O4807" s="2">
        <v>60</v>
      </c>
      <c r="P4807" s="8">
        <f t="shared" si="298"/>
        <v>6828</v>
      </c>
      <c r="Q4807" s="8">
        <f t="shared" si="299"/>
        <v>6708</v>
      </c>
      <c r="R4807" s="2" t="s">
        <v>50</v>
      </c>
      <c r="S4807" s="9">
        <f>VLOOKUP(P4807,$T$2:U4804,2,1)</f>
        <v>0.05</v>
      </c>
    </row>
    <row r="4808" spans="1:19" x14ac:dyDescent="0.25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e">
        <f>VLOOKUP(F4808,'Customer Info'!A4800:I5299,2,0)</f>
        <v>#N/A</v>
      </c>
      <c r="H4808" s="6" t="e">
        <f>VLOOKUP(F4808,'Customer Info'!A4800:I5299,3,0)</f>
        <v>#N/A</v>
      </c>
      <c r="I4808" s="6" t="e">
        <f>VLOOKUP(F4808,'Customer Info'!A4800:I5299,5,0)</f>
        <v>#N/A</v>
      </c>
      <c r="J4808" s="2">
        <v>1186</v>
      </c>
      <c r="K4808" s="2">
        <v>1141</v>
      </c>
      <c r="L4808" s="2">
        <v>1</v>
      </c>
      <c r="M4808" s="7">
        <f t="shared" si="296"/>
        <v>1141</v>
      </c>
      <c r="N4808" s="7">
        <f t="shared" si="297"/>
        <v>1186</v>
      </c>
      <c r="O4808" s="2">
        <v>42</v>
      </c>
      <c r="P4808" s="8">
        <f t="shared" si="298"/>
        <v>1228</v>
      </c>
      <c r="Q4808" s="8">
        <f t="shared" si="299"/>
        <v>1144</v>
      </c>
      <c r="R4808" s="2" t="s">
        <v>50</v>
      </c>
      <c r="S4808" s="9">
        <f>VLOOKUP(P4808,$T$2:U4805,2,1)</f>
        <v>0.02</v>
      </c>
    </row>
    <row r="4809" spans="1:19" x14ac:dyDescent="0.25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e">
        <f>VLOOKUP(F4809,'Customer Info'!A4801:I5300,2,0)</f>
        <v>#N/A</v>
      </c>
      <c r="H4809" s="6" t="e">
        <f>VLOOKUP(F4809,'Customer Info'!A4801:I5300,3,0)</f>
        <v>#N/A</v>
      </c>
      <c r="I4809" s="6" t="e">
        <f>VLOOKUP(F4809,'Customer Info'!A4801:I5300,5,0)</f>
        <v>#N/A</v>
      </c>
      <c r="J4809" s="2">
        <v>1060</v>
      </c>
      <c r="K4809" s="2">
        <v>964</v>
      </c>
      <c r="L4809" s="2">
        <v>6</v>
      </c>
      <c r="M4809" s="7">
        <f t="shared" si="296"/>
        <v>5784</v>
      </c>
      <c r="N4809" s="7">
        <f t="shared" si="297"/>
        <v>6360</v>
      </c>
      <c r="O4809" s="2">
        <v>82</v>
      </c>
      <c r="P4809" s="8">
        <f t="shared" si="298"/>
        <v>6442</v>
      </c>
      <c r="Q4809" s="8">
        <f t="shared" si="299"/>
        <v>6278</v>
      </c>
      <c r="R4809" s="2" t="s">
        <v>26</v>
      </c>
      <c r="S4809" s="9">
        <f>VLOOKUP(P4809,$T$2:U4806,2,1)</f>
        <v>0.05</v>
      </c>
    </row>
    <row r="4810" spans="1:19" x14ac:dyDescent="0.25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e">
        <f>VLOOKUP(F4810,'Customer Info'!A4802:I5301,2,0)</f>
        <v>#N/A</v>
      </c>
      <c r="H4810" s="6" t="e">
        <f>VLOOKUP(F4810,'Customer Info'!A4802:I5301,3,0)</f>
        <v>#N/A</v>
      </c>
      <c r="I4810" s="6" t="e">
        <f>VLOOKUP(F4810,'Customer Info'!A4802:I5301,5,0)</f>
        <v>#N/A</v>
      </c>
      <c r="J4810" s="2">
        <v>8351</v>
      </c>
      <c r="K4810" s="2">
        <v>8033</v>
      </c>
      <c r="L4810" s="2">
        <v>3</v>
      </c>
      <c r="M4810" s="7">
        <f t="shared" si="296"/>
        <v>24099</v>
      </c>
      <c r="N4810" s="7">
        <f t="shared" si="297"/>
        <v>25053</v>
      </c>
      <c r="O4810" s="2">
        <v>68</v>
      </c>
      <c r="P4810" s="8">
        <f t="shared" si="298"/>
        <v>25121</v>
      </c>
      <c r="Q4810" s="8">
        <f t="shared" si="299"/>
        <v>24985</v>
      </c>
      <c r="R4810" s="2" t="s">
        <v>28</v>
      </c>
      <c r="S4810" s="9">
        <f>VLOOKUP(P4810,$T$2:U4807,2,1)</f>
        <v>7.0000000000000007E-2</v>
      </c>
    </row>
    <row r="4811" spans="1:19" x14ac:dyDescent="0.25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e">
        <f>VLOOKUP(F4811,'Customer Info'!A4803:I5302,2,0)</f>
        <v>#N/A</v>
      </c>
      <c r="H4811" s="6" t="e">
        <f>VLOOKUP(F4811,'Customer Info'!A4803:I5302,3,0)</f>
        <v>#N/A</v>
      </c>
      <c r="I4811" s="6" t="e">
        <f>VLOOKUP(F4811,'Customer Info'!A4803:I5302,5,0)</f>
        <v>#N/A</v>
      </c>
      <c r="J4811" s="2">
        <v>63</v>
      </c>
      <c r="K4811" s="2">
        <v>59</v>
      </c>
      <c r="L4811" s="2">
        <v>9</v>
      </c>
      <c r="M4811" s="7">
        <f t="shared" ref="M4811:M4815" si="300">K4811*L4811</f>
        <v>531</v>
      </c>
      <c r="N4811" s="7">
        <f t="shared" ref="N4811:N4815" si="301">J4811*L4811</f>
        <v>567</v>
      </c>
      <c r="O4811" s="2">
        <v>10</v>
      </c>
      <c r="P4811" s="8">
        <f t="shared" ref="P4811:P4815" si="302">SUM(N4811,O4811)</f>
        <v>577</v>
      </c>
      <c r="Q4811" s="8">
        <f t="shared" ref="Q4811:Q4815" si="303">N4811-O4811</f>
        <v>557</v>
      </c>
      <c r="R4811" s="2" t="s">
        <v>28</v>
      </c>
      <c r="S4811" s="9">
        <f>VLOOKUP(P4811,$T$2:U4808,2,1)</f>
        <v>0.02</v>
      </c>
    </row>
    <row r="4812" spans="1:19" x14ac:dyDescent="0.25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e">
        <f>VLOOKUP(F4812,'Customer Info'!A4804:I5303,2,0)</f>
        <v>#N/A</v>
      </c>
      <c r="H4812" s="6" t="e">
        <f>VLOOKUP(F4812,'Customer Info'!A4804:I5303,3,0)</f>
        <v>#N/A</v>
      </c>
      <c r="I4812" s="6" t="e">
        <f>VLOOKUP(F4812,'Customer Info'!A4804:I5303,5,0)</f>
        <v>#N/A</v>
      </c>
      <c r="J4812" s="2">
        <v>7327</v>
      </c>
      <c r="K4812" s="2">
        <v>6658</v>
      </c>
      <c r="L4812" s="2">
        <v>5</v>
      </c>
      <c r="M4812" s="7">
        <f t="shared" si="300"/>
        <v>33290</v>
      </c>
      <c r="N4812" s="7">
        <f t="shared" si="301"/>
        <v>36635</v>
      </c>
      <c r="O4812" s="2">
        <v>25</v>
      </c>
      <c r="P4812" s="8">
        <f t="shared" si="302"/>
        <v>36660</v>
      </c>
      <c r="Q4812" s="8">
        <f t="shared" si="303"/>
        <v>36610</v>
      </c>
      <c r="R4812" s="2" t="s">
        <v>50</v>
      </c>
      <c r="S4812" s="9">
        <f>VLOOKUP(P4812,$T$2:U4809,2,1)</f>
        <v>7.0000000000000007E-2</v>
      </c>
    </row>
    <row r="4813" spans="1:19" x14ac:dyDescent="0.25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e">
        <f>VLOOKUP(F4813,'Customer Info'!A4805:I5304,2,0)</f>
        <v>#N/A</v>
      </c>
      <c r="H4813" s="6" t="e">
        <f>VLOOKUP(F4813,'Customer Info'!A4805:I5304,3,0)</f>
        <v>#N/A</v>
      </c>
      <c r="I4813" s="6" t="e">
        <f>VLOOKUP(F4813,'Customer Info'!A4805:I5304,5,0)</f>
        <v>#N/A</v>
      </c>
      <c r="J4813" s="2">
        <v>61</v>
      </c>
      <c r="K4813" s="2">
        <v>57</v>
      </c>
      <c r="L4813" s="2">
        <v>1</v>
      </c>
      <c r="M4813" s="7">
        <f t="shared" si="300"/>
        <v>57</v>
      </c>
      <c r="N4813" s="7">
        <f t="shared" si="301"/>
        <v>61</v>
      </c>
      <c r="O4813" s="2">
        <v>10</v>
      </c>
      <c r="P4813" s="8">
        <f t="shared" si="302"/>
        <v>71</v>
      </c>
      <c r="Q4813" s="8">
        <f t="shared" si="303"/>
        <v>51</v>
      </c>
      <c r="R4813" s="2" t="s">
        <v>28</v>
      </c>
      <c r="S4813" s="9">
        <f>VLOOKUP(P4813,$T$2:U4810,2,1)</f>
        <v>0.02</v>
      </c>
    </row>
    <row r="4814" spans="1:19" x14ac:dyDescent="0.25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e">
        <f>VLOOKUP(F4814,'Customer Info'!A4806:I5305,2,0)</f>
        <v>#N/A</v>
      </c>
      <c r="H4814" s="6" t="e">
        <f>VLOOKUP(F4814,'Customer Info'!A4806:I5305,3,0)</f>
        <v>#N/A</v>
      </c>
      <c r="I4814" s="6" t="e">
        <f>VLOOKUP(F4814,'Customer Info'!A4806:I5305,5,0)</f>
        <v>#N/A</v>
      </c>
      <c r="J4814" s="2">
        <v>56</v>
      </c>
      <c r="K4814" s="2">
        <v>54</v>
      </c>
      <c r="L4814" s="2">
        <v>4</v>
      </c>
      <c r="M4814" s="7">
        <f t="shared" si="300"/>
        <v>216</v>
      </c>
      <c r="N4814" s="7">
        <f t="shared" si="301"/>
        <v>224</v>
      </c>
      <c r="O4814" s="2">
        <v>10</v>
      </c>
      <c r="P4814" s="8">
        <f t="shared" si="302"/>
        <v>234</v>
      </c>
      <c r="Q4814" s="8">
        <f t="shared" si="303"/>
        <v>214</v>
      </c>
      <c r="R4814" s="2" t="s">
        <v>28</v>
      </c>
      <c r="S4814" s="9">
        <f>VLOOKUP(P4814,$T$2:U4811,2,1)</f>
        <v>0.02</v>
      </c>
    </row>
    <row r="4815" spans="1:19" x14ac:dyDescent="0.25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e">
        <f>VLOOKUP(F4815,'Customer Info'!A4807:I5306,2,0)</f>
        <v>#N/A</v>
      </c>
      <c r="H4815" s="6" t="e">
        <f>VLOOKUP(F4815,'Customer Info'!A4807:I5306,3,0)</f>
        <v>#N/A</v>
      </c>
      <c r="I4815" s="6" t="e">
        <f>VLOOKUP(F4815,'Customer Info'!A4807:I5306,5,0)</f>
        <v>#N/A</v>
      </c>
      <c r="J4815" s="2">
        <v>851</v>
      </c>
      <c r="K4815" s="2">
        <v>773</v>
      </c>
      <c r="L4815" s="2">
        <v>2</v>
      </c>
      <c r="M4815" s="7">
        <f t="shared" si="300"/>
        <v>1546</v>
      </c>
      <c r="N4815" s="7">
        <f t="shared" si="301"/>
        <v>1702</v>
      </c>
      <c r="O4815" s="2">
        <v>98</v>
      </c>
      <c r="P4815" s="8">
        <f t="shared" si="302"/>
        <v>1800</v>
      </c>
      <c r="Q4815" s="8">
        <f t="shared" si="303"/>
        <v>1604</v>
      </c>
      <c r="R4815" s="2" t="s">
        <v>26</v>
      </c>
      <c r="S4815" s="9">
        <f>VLOOKUP(P4815,$T$2:U4812,2,1)</f>
        <v>0.02</v>
      </c>
    </row>
  </sheetData>
  <autoFilter ref="A9:R4815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workbookViewId="0">
      <selection activeCell="B1" sqref="B1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21" bestFit="1" customWidth="1"/>
    <col min="4" max="4" width="12.140625" bestFit="1" customWidth="1"/>
    <col min="5" max="5" width="24.28515625" bestFit="1" customWidth="1"/>
    <col min="6" max="6" width="25.140625" bestFit="1" customWidth="1"/>
    <col min="7" max="7" width="10.28515625" bestFit="1" customWidth="1"/>
    <col min="8" max="8" width="14.140625" bestFit="1" customWidth="1"/>
    <col min="9" max="9" width="6.7109375" bestFit="1" customWidth="1"/>
  </cols>
  <sheetData>
    <row r="1" spans="1:18" ht="14.45" x14ac:dyDescent="0.3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ht="14.45" x14ac:dyDescent="0.3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ht="14.45" x14ac:dyDescent="0.3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ht="14.45" x14ac:dyDescent="0.3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ht="14.45" x14ac:dyDescent="0.3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ht="14.45" x14ac:dyDescent="0.3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ht="14.45" x14ac:dyDescent="0.3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ht="14.45" x14ac:dyDescent="0.3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ht="14.45" x14ac:dyDescent="0.3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ht="14.45" x14ac:dyDescent="0.3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ht="14.45" x14ac:dyDescent="0.3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ht="14.45" x14ac:dyDescent="0.3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25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ht="14.45" x14ac:dyDescent="0.3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ht="14.45" x14ac:dyDescent="0.3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ht="14.45" x14ac:dyDescent="0.3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ht="14.45" x14ac:dyDescent="0.3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ht="14.45" x14ac:dyDescent="0.3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ht="14.45" x14ac:dyDescent="0.3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ht="14.45" x14ac:dyDescent="0.3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ht="14.45" x14ac:dyDescent="0.3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ht="14.45" x14ac:dyDescent="0.3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ht="14.45" x14ac:dyDescent="0.3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ht="14.45" x14ac:dyDescent="0.3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25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25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25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25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25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25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25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25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25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25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25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25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25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25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25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25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25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25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25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25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25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25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25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25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25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25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25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25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25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25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25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25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25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25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25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25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25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25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25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25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25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25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25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25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25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25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25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25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25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25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25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25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25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25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25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25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25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25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25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25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25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25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25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25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25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25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25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25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25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25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25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25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25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25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25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25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25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25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25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25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25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25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25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25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25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25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25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25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25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25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25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25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25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25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25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25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25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25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25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25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25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25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25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25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25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25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25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25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25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25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25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25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25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25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25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25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25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25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25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25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25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25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25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25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25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25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25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25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25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25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25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25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25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25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25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25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25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25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25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25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25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25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25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25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25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25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25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25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25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25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25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25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25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25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25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25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25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25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25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25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25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25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25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25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25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25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25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25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25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25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25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25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25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25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25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25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25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25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25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25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25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25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25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25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25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25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25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25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25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25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25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25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25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25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25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25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25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25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25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25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25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25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25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25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25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25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25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25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25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25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25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25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25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25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25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25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25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25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25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25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25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25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25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25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25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25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25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25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25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25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25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25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25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25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25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25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25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25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25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25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25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25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25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25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25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25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25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25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25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25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25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25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25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25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25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25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25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25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25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25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25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25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25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25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25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25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25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25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25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25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25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25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25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25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25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25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25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25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25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25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25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25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25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25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25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25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25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25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25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25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25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25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25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25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25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25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25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25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25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25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25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25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25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25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25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25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25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25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25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25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25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25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25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25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25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25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25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25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25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25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25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25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25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25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25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25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25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25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25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25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25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25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25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25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25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25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25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25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25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25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25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25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25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25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25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25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25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25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25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25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25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25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25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25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25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25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25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25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25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25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25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25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25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25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25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25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25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25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25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25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25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25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25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25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25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25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25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25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25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25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25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25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25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25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25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25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25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25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25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25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25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25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25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25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25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25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25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25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25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25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25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25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25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25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25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25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25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25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25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25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25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25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25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25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25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25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25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25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25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25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25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25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25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25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25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25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25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25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25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25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25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25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25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25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25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25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25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25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25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25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25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25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25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25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25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25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25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25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25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25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25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25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25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25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25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25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25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25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25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25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25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25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25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25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25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25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25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25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25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25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25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25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25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25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25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25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25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DELL</cp:lastModifiedBy>
  <dcterms:created xsi:type="dcterms:W3CDTF">2022-11-26T08:10:01Z</dcterms:created>
  <dcterms:modified xsi:type="dcterms:W3CDTF">2026-07-21T09:05:30Z</dcterms:modified>
</cp:coreProperties>
</file>